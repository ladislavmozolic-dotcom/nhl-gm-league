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34d781f474b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f295b868d1d141b5"/>
    <x:sheet xmlns:r="http://schemas.openxmlformats.org/officeDocument/2006/relationships" name="UPDATE_LIVE_V8" sheetId="2" r:id="Rbde30e5d681147a4"/>
    <x:sheet xmlns:r="http://schemas.openxmlformats.org/officeDocument/2006/relationships" name="CONFIG_V8" sheetId="3" r:id="R5ef103c671a2420f"/>
    <x:sheet xmlns:r="http://schemas.openxmlformats.org/officeDocument/2006/relationships" name="LIVE_SOURCES_V8" sheetId="4" r:id="R9059940a313f4b7e"/>
    <x:sheet xmlns:r="http://schemas.openxmlformats.org/officeDocument/2006/relationships" name="FORMULAS_V8" sheetId="5" r:id="Rba2dea41c0ff4fc2"/>
    <x:sheet xmlns:r="http://schemas.openxmlformats.org/officeDocument/2006/relationships" name="PLAYERS_MASTER" sheetId="6" r:id="Rcecdf54e72d74544"/>
    <x:sheet xmlns:r="http://schemas.openxmlformats.org/officeDocument/2006/relationships" name="BASELINE_OLD" sheetId="7" r:id="Rc8c37c4b4baa40ef"/>
    <x:sheet xmlns:r="http://schemas.openxmlformats.org/officeDocument/2006/relationships" name="NHL_PLAYERS" sheetId="8" r:id="R475de632a09842f3"/>
    <x:sheet xmlns:r="http://schemas.openxmlformats.org/officeDocument/2006/relationships" name="AHL_PLAYERS" sheetId="9" r:id="R6aea41629f504555"/>
    <x:sheet xmlns:r="http://schemas.openxmlformats.org/officeDocument/2006/relationships" name="AHL_MATCHING" sheetId="10" r:id="Rf49a5ed2e40949e1"/>
    <x:sheet xmlns:r="http://schemas.openxmlformats.org/officeDocument/2006/relationships" name="AHL_PA_SC_BALANCE" sheetId="11" r:id="Reed981c6c00248cb"/>
    <x:sheet xmlns:r="http://schemas.openxmlformats.org/officeDocument/2006/relationships" name="NHL_GP_OVERENIE_V10" sheetId="12" r:id="Ra9d2a170c68f49b7"/>
  </x:sheets>
</x:workbook>
</file>

<file path=xl/sharedStrings.xml><?xml version="1.0" encoding="utf-8"?>
<x:sst xmlns:x="http://schemas.openxmlformats.org/spreadsheetml/2006/main">
  <x:si>
    <x:t xml:space="preserve">Krok</x:t>
  </x:si>
  <x:si>
    <x:t xml:space="preserve">List</x:t>
  </x:si>
  <x:si>
    <x:t xml:space="preserve">Účel</x:t>
  </x:si>
  <x:si>
    <x:t xml:space="preserve">Aktuálne</x:t>
  </x:si>
  <x:si>
    <x:t xml:space="preserve">1</x:t>
  </x:si>
  <x:si>
    <x:t xml:space="preserve">UPDATE_LIVE_V8</x:t>
  </x:si>
  <x:si>
    <x:t xml:space="preserve">Ako spustiť live update</x:t>
  </x:si>
  <x:si>
    <x:t xml:space="preserve">Read first</x:t>
  </x:si>
  <x:si>
    <x:t xml:space="preserve">2</x:t>
  </x:si>
  <x:si>
    <x:t xml:space="preserve">CONFIG_V8</x:t>
  </x:si>
  <x:si>
    <x:t xml:space="preserve">Thresholds, 80/20, NHLe, farm weights</x:t>
  </x:si>
  <x:si>
    <x:t xml:space="preserve">Editable</x:t>
  </x:si>
  <x:si>
    <x:t xml:space="preserve">3</x:t>
  </x:si>
  <x:si>
    <x:t xml:space="preserve">FORMULAS_V8</x:t>
  </x:si>
  <x:si>
    <x:t xml:space="preserve">Presne čo sa ráta</x:t>
  </x:si>
  <x:si>
    <x:t xml:space="preserve">Model spec</x:t>
  </x:si>
  <x:si>
    <x:t xml:space="preserve">Klasifikačné pravidlo</x:t>
  </x:si>
  <x:si>
    <x:t xml:space="preserve">NHL = latest NHL GP &gt;= 10 ALEBO previous NHL GP &gt; 10. Inak AHL/FARM. Latest exactly 10 = NHL; previous exactly 10 nestačí.</x:t>
  </x:si>
  <x:si>
    <x:t xml:space="preserve">AHL produkcia sa nikdy neberie 1:1 s NHL. 40/70 AHL goals = 0.571 G/GP; ×0.446 ≈0.255 NHL-equivalent G/GP. Až ekvivalent vstupuje do STHS SC kalibrácie.</x:t>
  </x:si>
  <x:si>
    <x:t xml:space="preserve">STHS LIVE UPDATER V8 — NHL + AHL, bez Power Query</x:t>
  </x:si>
  <x:si>
    <x:t xml:space="preserve">Po update sa všetkých hráčov z master listu znovu klasifikuje do NHL_PLAYERS / AHL_PLAYERS.</x:t>
  </x:si>
  <x:si>
    <x:t xml:space="preserve">Akcia</x:t>
  </x:si>
  <x:si>
    <x:t xml:space="preserve">Čo sa deje</x:t>
  </x:si>
  <x:si>
    <x:t xml:space="preserve">Odporúčanie</x:t>
  </x:si>
  <x:si>
    <x:t xml:space="preserve">LIVE STATUS</x:t>
  </x:si>
  <x:si>
    <x:t xml:space="preserve">Value</x:t>
  </x:si>
  <x:si>
    <x:t xml:space="preserve">Zavri Excel</x:t>
  </x:si>
  <x:si>
    <x:t xml:space="preserve">Updater zapisuje do XLSX</x:t>
  </x:si>
  <x:si>
    <x:t xml:space="preserve">vždy</x:t>
  </x:si>
  <x:si>
    <x:t xml:space="preserve">Last update</x:t>
  </x:si>
  <x:si>
    <x:t xml:space="preserve">Not run yet</x:t>
  </x:si>
  <x:si>
    <x:t xml:space="preserve">Dvojklik UPDATE_STHS_V8.command</x:t>
  </x:si>
  <x:si>
    <x:t xml:space="preserve">externý updater</x:t>
  </x:si>
  <x:si>
    <x:t xml:space="preserve">Mac</x:t>
  </x:si>
  <x:si>
    <x:t xml:space="preserve">Mode</x:t>
  </x:si>
  <x:si>
    <x:t xml:space="preserve">-</x:t>
  </x:si>
  <x:si>
    <x:t xml:space="preserve">FAST</x:t>
  </x:si>
  <x:si>
    <x:t xml:space="preserve">MoneyPuck latest+prev + AHL bootstrap + AHL latest+prev</x:t>
  </x:si>
  <x:si>
    <x:t xml:space="preserve">denne</x:t>
  </x:si>
  <x:si>
    <x:t xml:space="preserve">NHL players</x:t>
  </x:si>
  <x:si>
    <x:t xml:space="preserve">4</x:t>
  </x:si>
  <x:si>
    <x:t xml:space="preserve">FULL</x:t>
  </x:si>
  <x:si>
    <x:t xml:space="preserve">FAST + NHL profiles + EDGE cache</x:t>
  </x:si>
  <x:si>
    <x:t xml:space="preserve">1× týždenne</x:t>
  </x:si>
  <x:si>
    <x:t xml:space="preserve">AHL/Farm players</x:t>
  </x:si>
  <x:si>
    <x:t xml:space="preserve">5</x:t>
  </x:si>
  <x:si>
    <x:t xml:space="preserve">Klasifikácia</x:t>
  </x:si>
  <x:si>
    <x:t xml:space="preserve">latest NHL GP&gt;=10 OR prev NHL GP&gt;10 =&gt; NHL; else AHL</x:t>
  </x:si>
  <x:si>
    <x:t xml:space="preserve">automatic</x:t>
  </x:si>
  <x:si>
    <x:t xml:space="preserve">AHL matched</x:t>
  </x:si>
  <x:si>
    <x:t xml:space="preserve">6</x:t>
  </x:si>
  <x:si>
    <x:t xml:space="preserve">AHL matching</x:t>
  </x:si>
  <x:si>
    <x:t xml:space="preserve">normalized name; ambiguous -&gt; AHL_MATCHING</x:t>
  </x:si>
  <x:si>
    <x:t xml:space="preserve">check exceptions</x:t>
  </x:si>
  <x:si>
    <x:t xml:space="preserve">AHL unmatched</x:t>
  </x:si>
  <x:si>
    <x:t xml:space="preserve">7</x:t>
  </x:si>
  <x:si>
    <x:t xml:space="preserve">Výstup</x:t>
  </x:si>
  <x:si>
    <x:t xml:space="preserve">NHL_PLAYERS + AHL_PLAYERS</x:t>
  </x:si>
  <x:si>
    <x:t xml:space="preserve">main output</x:t>
  </x:si>
  <x:si>
    <x:t xml:space="preserve">Status</x:t>
  </x:si>
  <x:si>
    <x:t xml:space="preserve">Prepared</x:t>
  </x:si>
  <x:si>
    <x:t xml:space="preserve">8</x:t>
  </x:si>
  <x:si>
    <x:t xml:space="preserve">Backup</x:t>
  </x:si>
  <x:si>
    <x:t xml:space="preserve">timestamp backup before save</x:t>
  </x:si>
  <x:si>
    <x:t xml:space="preserve">CONFIG V8 — live NHL + AHL / farm model</x:t>
  </x:si>
  <x:si>
    <x:t xml:space="preserve">Yellow values are editable updater/model inputs.</x:t>
  </x:si>
  <x:si>
    <x:t xml:space="preserve">Key</x:t>
  </x:si>
  <x:si>
    <x:t xml:space="preserve">Meaning</x:t>
  </x:si>
  <x:si>
    <x:t xml:space="preserve">Used by</x:t>
  </x:si>
  <x:si>
    <x:t xml:space="preserve">Notes</x:t>
  </x:si>
  <x:si>
    <x:t xml:space="preserve">LatestNHLSeason</x:t>
  </x:si>
  <x:si>
    <x:t xml:space="preserve">20252026</x:t>
  </x:si>
  <x:si>
    <x:t xml:space="preserve">NHL season latest</x:t>
  </x:si>
  <x:si>
    <x:t xml:space="preserve">NHL updater</x:t>
  </x:si>
  <x:si>
    <x:t xml:space="preserve">2025-26</x:t>
  </x:si>
  <x:si>
    <x:t xml:space="preserve">PreviousNHLSeason</x:t>
  </x:si>
  <x:si>
    <x:t xml:space="preserve">20242025</x:t>
  </x:si>
  <x:si>
    <x:t xml:space="preserve">NHL season previous</x:t>
  </x:si>
  <x:si>
    <x:t xml:space="preserve">2024-25</x:t>
  </x:si>
  <x:si>
    <x:t xml:space="preserve">LatestMPYear</x:t>
  </x:si>
  <x:si>
    <x:t xml:space="preserve">MoneyPuck folder</x:t>
  </x:si>
  <x:si>
    <x:t xml:space="preserve">season start year</x:t>
  </x:si>
  <x:si>
    <x:t xml:space="preserve">PreviousMPYear</x:t>
  </x:si>
  <x:si>
    <x:t xml:space="preserve">LatestWeight</x:t>
  </x:si>
  <x:si>
    <x:t xml:space="preserve">Latest season weight</x:t>
  </x:si>
  <x:si>
    <x:t xml:space="preserve">All</x:t>
  </x:si>
  <x:si>
    <x:t xml:space="preserve">80%</x:t>
  </x:si>
  <x:si>
    <x:t xml:space="preserve">PreviousWeight</x:t>
  </x:si>
  <x:si>
    <x:t xml:space="preserve">Previous season weight</x:t>
  </x:si>
  <x:si>
    <x:t xml:space="preserve">20%</x:t>
  </x:si>
  <x:si>
    <x:t xml:space="preserve">NHL_GP_Latest_Min</x:t>
  </x:si>
  <x:si>
    <x:t xml:space="preserve">NHL if latest GP &gt;= this</x:t>
  </x:si>
  <x:si>
    <x:t xml:space="preserve">Classification</x:t>
  </x:si>
  <x:si>
    <x:t xml:space="preserve">Exactly 10=NHL</x:t>
  </x:si>
  <x:si>
    <x:t xml:space="preserve">NHL_GP_Previous_MinExclusive</x:t>
  </x:si>
  <x:si>
    <x:t xml:space="preserve">NHL if previous GP &gt; this</x:t>
  </x:si>
  <x:si>
    <x:t xml:space="preserve">11+=NHL</x:t>
  </x:si>
  <x:si>
    <x:t xml:space="preserve">AHL_NHLe_Latest</x:t>
  </x:si>
  <x:si>
    <x:t xml:space="preserve">AHL-&gt;NHL equivalency latest</x:t>
  </x:si>
  <x:si>
    <x:t xml:space="preserve">AHL PA/SC</x:t>
  </x:si>
  <x:si>
    <x:t xml:space="preserve">editable</x:t>
  </x:si>
  <x:si>
    <x:t xml:space="preserve">AHL_NHLe_Previous</x:t>
  </x:si>
  <x:si>
    <x:t xml:space="preserve">AHL-&gt;NHL equivalency previous</x:t>
  </x:si>
  <x:si>
    <x:t xml:space="preserve">AHL_SC_EqGPG_Weight</x:t>
  </x:si>
  <x:si>
    <x:t xml:space="preserve">NHL-equivalent G/GP</x:t>
  </x:si>
  <x:si>
    <x:t xml:space="preserve">AHL SC</x:t>
  </x:si>
  <x:si>
    <x:t xml:space="preserve">vs NHL G/GP</x:t>
  </x:si>
  <x:si>
    <x:t xml:space="preserve">AHL_SC_Shots_Weight</x:t>
  </x:si>
  <x:si>
    <x:t xml:space="preserve">AHL shots/GP rank</x:t>
  </x:si>
  <x:si>
    <x:t xml:space="preserve">within AHL</x:t>
  </x:si>
  <x:si>
    <x:t xml:space="preserve">AHL_SC_ShPct_Weight</x:t>
  </x:si>
  <x:si>
    <x:t xml:space="preserve">AHL shooting% rank</x:t>
  </x:si>
  <x:si>
    <x:t xml:space="preserve">AHL_PA_EqAPG_Weight</x:t>
  </x:si>
  <x:si>
    <x:t xml:space="preserve">NHL-equivalent A/GP</x:t>
  </x:si>
  <x:si>
    <x:t xml:space="preserve">AHL PA</x:t>
  </x:si>
  <x:si>
    <x:t xml:space="preserve">vs NHL A/GP</x:t>
  </x:si>
  <x:si>
    <x:t xml:space="preserve">AHL_PA_AHLRank_Weight</x:t>
  </x:si>
  <x:si>
    <x:t xml:space="preserve">AHL A/GP rank</x:t>
  </x:si>
  <x:si>
    <x:t xml:space="preserve">AHL_DF_OldPrior_Weight</x:t>
  </x:si>
  <x:si>
    <x:t xml:space="preserve">OLD DF prior</x:t>
  </x:si>
  <x:si>
    <x:t xml:space="preserve">AHL DF</x:t>
  </x:si>
  <x:si>
    <x:t xml:space="preserve">conservative</x:t>
  </x:si>
  <x:si>
    <x:t xml:space="preserve">AHL_DF_PlusMinus_Weight</x:t>
  </x:si>
  <x:si>
    <x:t xml:space="preserve">AHL +/-/GP rank</x:t>
  </x:si>
  <x:si>
    <x:t xml:space="preserve">position-specific</x:t>
  </x:si>
  <x:si>
    <x:t xml:space="preserve">AHL_DF_DI_Weight</x:t>
  </x:si>
  <x:si>
    <x:t xml:space="preserve">inverse PIM/GP</x:t>
  </x:si>
  <x:si>
    <x:t xml:space="preserve">small signal</x:t>
  </x:si>
  <x:si>
    <x:t xml:space="preserve">AHL_DF_SH_Weight</x:t>
  </x:si>
  <x:si>
    <x:t xml:space="preserve">SH points/GP</x:t>
  </x:si>
  <x:si>
    <x:t xml:space="preserve">PK proxy</x:t>
  </x:si>
  <x:si>
    <x:t xml:space="preserve">AHL_DI_OldPrior_Weight</x:t>
  </x:si>
  <x:si>
    <x:t xml:space="preserve">OLD DI prior</x:t>
  </x:si>
  <x:si>
    <x:t xml:space="preserve">AHL DI</x:t>
  </x:si>
  <x:si>
    <x:t xml:space="preserve">AHL_DI_PIM_Weight</x:t>
  </x:si>
  <x:si>
    <x:t xml:space="preserve">AHL_CK_Mode</x:t>
  </x:si>
  <x:si>
    <x:t xml:space="preserve">BASELINE</x:t>
  </x:si>
  <x:si>
    <x:t xml:space="preserve">AHL CK</x:t>
  </x:si>
  <x:si>
    <x:t xml:space="preserve">until reliable bulk hits</x:t>
  </x:si>
  <x:si>
    <x:t xml:space="preserve">AHL_SK_Mode</x:t>
  </x:si>
  <x:si>
    <x:t xml:space="preserve">AHL SK</x:t>
  </x:si>
  <x:si>
    <x:t xml:space="preserve">no EDGE for AHL games</x:t>
  </x:si>
  <x:si>
    <x:t xml:space="preserve">LIVE SOURCES V8 — čo sťahujeme, odkiaľ a načo</x:t>
  </x:si>
  <x:si>
    <x:t xml:space="preserve">Updater beží mimo Excelu; Excel nerobí webové volania.</x:t>
  </x:si>
  <x:si>
    <x:t xml:space="preserve">Dataset / source</x:t>
  </x:si>
  <x:si>
    <x:t xml:space="preserve">Raw fields</x:t>
  </x:si>
  <x:si>
    <x:t xml:space="preserve">Used for</x:t>
  </x:si>
  <x:si>
    <x:t xml:space="preserve">URL / endpoint</x:t>
  </x:si>
  <x:si>
    <x:t xml:space="preserve">Why</x:t>
  </x:si>
  <x:si>
    <x:t xml:space="preserve">MoneyPuck season-summary</x:t>
  </x:si>
  <x:si>
    <x:t xml:space="preserve">GP,TOI,G,A,xG,hits,penalties,blocks,on/off-ice xG/GA,4v5 icetime</x:t>
  </x:si>
  <x:si>
    <x:t xml:space="preserve">NHL PA/SC/DF/CK/DI + classification</x:t>
  </x:si>
  <x:si>
    <x:t xml:space="preserve">https://moneypuck.com/moneypuck/playerData/seasonSummary/{year}/regular/skaters.csv</x:t>
  </x:si>
  <x:si>
    <x:t xml:space="preserve">2 bulk files</x:t>
  </x:si>
  <x:si>
    <x:t xml:space="preserve">latest+previous</x:t>
  </x:si>
  <x:si>
    <x:t xml:space="preserve">NHL player profile</x:t>
  </x:si>
  <x:si>
    <x:t xml:space="preserve">weight,career GP,position/team</x:t>
  </x:si>
  <x:si>
    <x:t xml:space="preserve">ST,EX,identity</x:t>
  </x:si>
  <x:si>
    <x:t xml:space="preserve">FULL/PROFILE</x:t>
  </x:si>
  <x:si>
    <x:t xml:space="preserve">https://api-web.nhle.com/v1/player/{NHL_ID}/landing</x:t>
  </x:si>
  <x:si>
    <x:t xml:space="preserve">profile data</x:t>
  </x:si>
  <x:si>
    <x:t xml:space="preserve">cache 7d</x:t>
  </x:si>
  <x:si>
    <x:t xml:space="preserve">NHL EDGE</x:t>
  </x:si>
  <x:si>
    <x:t xml:space="preserve">22+/20-22/18-20 mph bursts</x:t>
  </x:si>
  <x:si>
    <x:t xml:space="preserve">SK</x:t>
  </x:si>
  <x:si>
    <x:t xml:space="preserve">FULL/EDGE</x:t>
  </x:si>
  <x:si>
    <x:t xml:space="preserve">https://api-web.nhle.com/v1/edge/skater-comparison/{NHL_ID}/{season}/2</x:t>
  </x:si>
  <x:si>
    <x:t xml:space="preserve">speed tracking</x:t>
  </x:si>
  <x:si>
    <x:t xml:space="preserve">cache 12h</x:t>
  </x:si>
  <x:si>
    <x:t xml:space="preserve">AHL HockeyTech players</x:t>
  </x:si>
  <x:si>
    <x:t xml:space="preserve">GP,G,A,P,+/-,PIM,PP/SH,shots,shooting%</x:t>
  </x:si>
  <x:si>
    <x:t xml:space="preserve">AHL PA/SC/DI/DF proxy + match</x:t>
  </x:si>
  <x:si>
    <x:t xml:space="preserve">https://lscluster.hockeytech.com/feed/index.php?feed=statviewfeed&amp;view=players&amp;season={season_id}&amp;team=all&amp;position=skaters&amp;...</x:t>
  </x:si>
  <x:si>
    <x:t xml:space="preserve">bulk all skaters</x:t>
  </x:si>
  <x:si>
    <x:t xml:space="preserve">JSON/JSONP</x:t>
  </x:si>
  <x:si>
    <x:t xml:space="preserve">AHL HockeyTech bootstrap</x:t>
  </x:si>
  <x:si>
    <x:t xml:space="preserve">regularSeasons,teams</x:t>
  </x:si>
  <x:si>
    <x:t xml:space="preserve">discover season IDs</x:t>
  </x:si>
  <x:si>
    <x:t xml:space="preserve">https://lscluster.hockeytech.com/feed/index.php?feed=statviewfeed&amp;view=bootstrap&amp;season=latest&amp;pageName=scorebar&amp;...</x:t>
  </x:si>
  <x:si>
    <x:t xml:space="preserve">no hardcode</x:t>
  </x:si>
  <x:si>
    <x:t xml:space="preserve">current default documented as 90</x:t>
  </x:si>
  <x:si>
    <x:t xml:space="preserve">BASELINE_OLD</x:t>
  </x:si>
  <x:si>
    <x:t xml:space="preserve">all STHS ratings</x:t>
  </x:si>
  <x:si>
    <x:t xml:space="preserve">calibration + fallback</x:t>
  </x:si>
  <x:si>
    <x:t xml:space="preserve">LOCAL</x:t>
  </x:si>
  <x:si>
    <x:t xml:space="preserve">Workbook sheet BASELINE_OLD</x:t>
  </x:si>
  <x:si>
    <x:t xml:space="preserve">league scale</x:t>
  </x:si>
  <x:si>
    <x:t xml:space="preserve">authoritative local</x:t>
  </x:si>
  <x:si>
    <x:t xml:space="preserve">AHL equivalency reference</x:t>
  </x:si>
  <x:si>
    <x:t xml:space="preserve">AHL NHLe 2025-26 ~0.446</x:t>
  </x:si>
  <x:si>
    <x:t xml:space="preserve">default factor</x:t>
  </x:si>
  <x:si>
    <x:t xml:space="preserve">REFERENCE</x:t>
  </x:si>
  <x:si>
    <x:t xml:space="preserve">https://paretohockey.com/</x:t>
  </x:si>
  <x:si>
    <x:t xml:space="preserve">cross-league scale</x:t>
  </x:si>
  <x:si>
    <x:t xml:space="preserve">NHLe methodology</x:t>
  </x:si>
  <x:si>
    <x:t xml:space="preserve">league equivalency concept</x:t>
  </x:si>
  <x:si>
    <x:t xml:space="preserve">normalization</x:t>
  </x:si>
  <x:si>
    <x:t xml:space="preserve">https://hockeystats.com/methodology/nhle</x:t>
  </x:si>
  <x:si>
    <x:t xml:space="preserve">background</x:t>
  </x:si>
  <x:si>
    <x:t xml:space="preserve">UNHL</x:t>
  </x:si>
  <x:si>
    <x:t xml:space="preserve">existing STHS parameters</x:t>
  </x:si>
  <x:si>
    <x:t xml:space="preserve">manual spot checks</x:t>
  </x:si>
  <x:si>
    <x:t xml:space="preserve">MANUAL</x:t>
  </x:si>
  <x:si>
    <x:t xml:space="preserve">https://www.unhl.eu/</x:t>
  </x:si>
  <x:si>
    <x:t xml:space="preserve">sanity check</x:t>
  </x:si>
  <x:si>
    <x:t xml:space="preserve">specific pages may be non-indexable</x:t>
  </x:si>
  <x:si>
    <x:t xml:space="preserve">FORMULAS V8 — presne čo sa počíta</x:t>
  </x:si>
  <x:si>
    <x:t xml:space="preserve">NHL = V7 logic with real G/GP,A/GP,PK TOI/GP,xGF%. AHL/Farm = translated production.</x:t>
  </x:si>
  <x:si>
    <x:t xml:space="preserve">Parameter</x:t>
  </x:si>
  <x:si>
    <x:t xml:space="preserve">Bucket</x:t>
  </x:si>
  <x:si>
    <x:t xml:space="preserve">Formula / components</x:t>
  </x:si>
  <x:si>
    <x:t xml:space="preserve">Weights</x:t>
  </x:si>
  <x:si>
    <x:t xml:space="preserve">Calibration</x:t>
  </x:si>
  <x:si>
    <x:t xml:space="preserve">Fallback</x:t>
  </x:si>
  <x:si>
    <x:t xml:space="preserve">Source</x:t>
  </x:si>
  <x:si>
    <x:t xml:space="preserve">CLASS</x:t>
  </x:si>
  <x:si>
    <x:t xml:space="preserve">ALL</x:t>
  </x:si>
  <x:si>
    <x:t xml:space="preserve">NHL if latest NHL GP&gt;=10 OR previous NHL GP&gt;10; else AHL/FARM</x:t>
  </x:si>
  <x:si>
    <x:t xml:space="preserve">rule</x:t>
  </x:si>
  <x:si>
    <x:t xml:space="preserve">every update</x:t>
  </x:si>
  <x:si>
    <x:t xml:space="preserve">no NHL ID=&gt;AHL provisional</x:t>
  </x:si>
  <x:si>
    <x:t xml:space="preserve">MoneyPuck</x:t>
  </x:si>
  <x:si>
    <x:t xml:space="preserve">10 latest=NHL</x:t>
  </x:si>
  <x:si>
    <x:t xml:space="preserve">PA</x:t>
  </x:si>
  <x:si>
    <x:t xml:space="preserve">NHL</x:t>
  </x:si>
  <x:si>
    <x:t xml:space="preserve">A/GP + A/60 all + A/60 5v5</x:t>
  </x:si>
  <x:si>
    <x:t xml:space="preserve">45+30+25</x:t>
  </x:si>
  <x:si>
    <x:t xml:space="preserve">F/D-&gt;BASELINE_OLD PA</x:t>
  </x:si>
  <x:si>
    <x:t xml:space="preserve">neutral</x:t>
  </x:si>
  <x:si>
    <x:t xml:space="preserve">80/20 first</x:t>
  </x:si>
  <x:si>
    <x:t xml:space="preserve">SC</x:t>
  </x:si>
  <x:si>
    <x:t xml:space="preserve">G/GP + G/60 + xG/60 + (G-xG)/60</x:t>
  </x:si>
  <x:si>
    <x:t xml:space="preserve">45+25+20+10</x:t>
  </x:si>
  <x:si>
    <x:t xml:space="preserve">F/D-&gt;BASELINE_OLD SC</x:t>
  </x:si>
  <x:si>
    <x:t xml:space="preserve">real goals dominate</x:t>
  </x:si>
  <x:si>
    <x:t xml:space="preserve">DF</x:t>
  </x:si>
  <x:si>
    <x:t xml:space="preserve">NHL D</x:t>
  </x:si>
  <x:si>
    <x:t xml:space="preserve">PK TOI/GP + inv xGA5 + inv RelxGA5 + inv GA5 + inv RelxGA PK + Blocks60 + xGF%</x:t>
  </x:si>
  <x:si>
    <x:t xml:space="preserve">25+15+10+20+10+10+10</x:t>
  </x:si>
  <x:si>
    <x:t xml:space="preserve">D-&gt;BASELINE DF ~85 elite</x:t>
  </x:si>
  <x:si>
    <x:t xml:space="preserve">PK explicit</x:t>
  </x:si>
  <x:si>
    <x:t xml:space="preserve">NHL F</x:t>
  </x:si>
  <x:si>
    <x:t xml:space="preserve">PK TOI/GP + inv RelxGA PK + inv RelxGA5 + inv xGA5 + inv GA5 + xGF% + Blocks60</x:t>
  </x:si>
  <x:si>
    <x:t xml:space="preserve">30+15+15+15+10+10+5</x:t>
  </x:si>
  <x:si>
    <x:t xml:space="preserve">F-&gt;BASELINE DF ~76 elite</x:t>
  </x:si>
  <x:si>
    <x:t xml:space="preserve">PK more weight</x:t>
  </x:si>
  <x:si>
    <x:t xml:space="preserve">CK</x:t>
  </x:si>
  <x:si>
    <x:t xml:space="preserve">Hits/60 + Hits/GP</x:t>
  </x:si>
  <x:si>
    <x:t xml:space="preserve">60+40</x:t>
  </x:si>
  <x:si>
    <x:t xml:space="preserve">BASELINE CK; can reach 99</x:t>
  </x:si>
  <x:si>
    <x:t xml:space="preserve">DI</x:t>
  </x:si>
  <x:si>
    <x:t xml:space="preserve">Penalty balance/60 + inverse penalties taken/60</x:t>
  </x:si>
  <x:si>
    <x:t xml:space="preserve">BASELINE DI</x:t>
  </x:si>
  <x:si>
    <x:t xml:space="preserve">EDGE bursts 22+ +20-22 +18-20 per60</x:t>
  </x:si>
  <x:si>
    <x:t xml:space="preserve">60+30+10</x:t>
  </x:si>
  <x:si>
    <x:t xml:space="preserve">BASELINE SK</x:t>
  </x:si>
  <x:si>
    <x:t xml:space="preserve">old if no EDGE</x:t>
  </x:si>
  <x:si>
    <x:t xml:space="preserve">ST</x:t>
  </x:si>
  <x:si>
    <x:t xml:space="preserve">Weight percentile</x:t>
  </x:si>
  <x:si>
    <x:t xml:space="preserve">100</x:t>
  </x:si>
  <x:si>
    <x:t xml:space="preserve">BASELINE ST</x:t>
  </x:si>
  <x:si>
    <x:t xml:space="preserve">old</x:t>
  </x:si>
  <x:si>
    <x:t xml:space="preserve">NHL profile</x:t>
  </x:si>
  <x:si>
    <x:t xml:space="preserve">EX</x:t>
  </x:si>
  <x:si>
    <x:t xml:space="preserve">Career GP regular + playoffs</x:t>
  </x:si>
  <x:si>
    <x:t xml:space="preserve">70+30</x:t>
  </x:si>
  <x:si>
    <x:t xml:space="preserve">BASELINE EX</x:t>
  </x:si>
  <x:si>
    <x:t xml:space="preserve">AHL/FARM</x:t>
  </x:si>
  <x:si>
    <x:t xml:space="preserve">NHL-equivalent A/GP + AHL A/GP rank</x:t>
  </x:si>
  <x:si>
    <x:t xml:space="preserve">85+15</x:t>
  </x:si>
  <x:si>
    <x:t xml:space="preserve">Eq rate vs NHL A/GP curve</x:t>
  </x:si>
  <x:si>
    <x:t xml:space="preserve">old if no match</x:t>
  </x:si>
  <x:si>
    <x:t xml:space="preserve">AHL+NHLe</x:t>
  </x:si>
  <x:si>
    <x:t xml:space="preserve">NHL-equivalent G/GP + AHL shots/GP rank + shooting% rank</x:t>
  </x:si>
  <x:si>
    <x:t xml:space="preserve">80+10+10</x:t>
  </x:si>
  <x:si>
    <x:t xml:space="preserve">Eq rate vs NHL G/GP curve</x:t>
  </x:si>
  <x:si>
    <x:t xml:space="preserve">OLD DF prior + +/-/GP rank + inverse PIM/GP + SH points/GP</x:t>
  </x:si>
  <x:si>
    <x:t xml:space="preserve">60+25+10+5</x:t>
  </x:si>
  <x:si>
    <x:t xml:space="preserve">farm position-specific</x:t>
  </x:si>
  <x:si>
    <x:t xml:space="preserve">old DF</x:t>
  </x:si>
  <x:si>
    <x:t xml:space="preserve">AHL+BASELINE</x:t>
  </x:si>
  <x:si>
    <x:t xml:space="preserve">OLD DI prior + inverse PIM/GP</x:t>
  </x:si>
  <x:si>
    <x:t xml:space="preserve">farm distribution</x:t>
  </x:si>
  <x:si>
    <x:t xml:space="preserve">old DI</x:t>
  </x:si>
  <x:si>
    <x:t xml:space="preserve">BASELINE_OLD CK</x:t>
  </x:si>
  <x:si>
    <x:t xml:space="preserve">100 old</x:t>
  </x:si>
  <x:si>
    <x:t xml:space="preserve">farm</x:t>
  </x:si>
  <x:si>
    <x:t xml:space="preserve">until bulk hits</x:t>
  </x:si>
  <x:si>
    <x:t xml:space="preserve">BASELINE_OLD SK</x:t>
  </x:si>
  <x:si>
    <x:t xml:space="preserve">no AHL EDGE</x:t>
  </x:si>
  <x:si>
    <x:t xml:space="preserve">FG/EN/DU/PH/FO/PS/LD/MO</x:t>
  </x:si>
  <x:si>
    <x:t xml:space="preserve">legacy</x:t>
  </x:si>
  <x:si>
    <x:t xml:space="preserve">OV</x:t>
  </x:si>
  <x:si>
    <x:t xml:space="preserve">revisit later</x:t>
  </x:si>
  <x:si>
    <x:t xml:space="preserve">AHL EXAMPLE — Arthur Kaliyev sanity check</x:t>
  </x:si>
  <x:si>
    <x:t xml:space="preserve">Input</x:t>
  </x:si>
  <x:si>
    <x:t xml:space="preserve">Formula</x:t>
  </x:si>
  <x:si>
    <x:t xml:space="preserve">Result</x:t>
  </x:si>
  <x:si>
    <x:t xml:space="preserve">Interpretation</x:t>
  </x:si>
  <x:si>
    <x:t xml:space="preserve">AHL goals/games</x:t>
  </x:si>
  <x:si>
    <x:t xml:space="preserve">40/70</x:t>
  </x:si>
  <x:si>
    <x:t xml:space="preserve">G/GP</x:t>
  </x:si>
  <x:si>
    <x:t xml:space="preserve">0.571 AHL G/GP</x:t>
  </x:si>
  <x:si>
    <x:t xml:space="preserve">NHLe</x:t>
  </x:si>
  <x:si>
    <x:t xml:space="preserve">0.446</x:t>
  </x:si>
  <x:si>
    <x:t xml:space="preserve">0.571×0.446</x:t>
  </x:si>
  <x:si>
    <x:t xml:space="preserve">~0.255 NHL-equivalent G/GP</x:t>
  </x:si>
  <x:si>
    <x:t xml:space="preserve">Baseline example</x:t>
  </x:si>
  <x:si>
    <x:t xml:space="preserve">SC 55</x:t>
  </x:si>
  <x:si>
    <x:t xml:space="preserve">Eq rate -&gt; NHL scoring curve + small AHL modifiers</x:t>
  </x:si>
  <x:si>
    <x:t xml:space="preserve">mid-50s neighborhood</x:t>
  </x:si>
  <x:si>
    <x:t xml:space="preserve">AHL elite below NHL elite</x:t>
  </x:si>
  <x:si>
    <x:t xml:space="preserve">PLAYERS MASTER — all players</x:t>
  </x:si>
  <x:si>
    <x:t xml:space="preserve">NHL_ID</x:t>
  </x:si>
  <x:si>
    <x:t xml:space="preserve">Active</x:t>
  </x:si>
  <x:si>
    <x:t xml:space="preserve">Player</x:t>
  </x:si>
  <x:si>
    <x:t xml:space="preserve">Pos</x:t>
  </x:si>
  <x:si>
    <x:t xml:space="preserve">Team</x:t>
  </x:si>
  <x:si>
    <x:t xml:space="preserve">Connor McDavid</x:t>
  </x:si>
  <x:si>
    <x:t xml:space="preserve">C</x:t>
  </x:si>
  <x:si>
    <x:t xml:space="preserve">EDM</x:t>
  </x:si>
  <x:si>
    <x:t xml:space="preserve">V8 all-player master</x:t>
  </x:si>
  <x:si>
    <x:t xml:space="preserve">Nathan MacKinnon</x:t>
  </x:si>
  <x:si>
    <x:t xml:space="preserve">C/RW</x:t>
  </x:si>
  <x:si>
    <x:t xml:space="preserve">COL</x:t>
  </x:si>
  <x:si>
    <x:t xml:space="preserve">Nikita Kucherov</x:t>
  </x:si>
  <x:si>
    <x:t xml:space="preserve">RW</x:t>
  </x:si>
  <x:si>
    <x:t xml:space="preserve">TBL</x:t>
  </x:si>
  <x:si>
    <x:t xml:space="preserve">Leon Draisaitl</x:t>
  </x:si>
  <x:si>
    <x:t xml:space="preserve">C/LW/RW</x:t>
  </x:si>
  <x:si>
    <x:t xml:space="preserve">Cale Makar</x:t>
  </x:si>
  <x:si>
    <x:t xml:space="preserve">D</x:t>
  </x:si>
  <x:si>
    <x:t xml:space="preserve">David Pastrnak</x:t>
  </x:si>
  <x:si>
    <x:t xml:space="preserve">LW/RW</x:t>
  </x:si>
  <x:si>
    <x:t xml:space="preserve">BOS</x:t>
  </x:si>
  <x:si>
    <x:t xml:space="preserve">Evan Bouchard</x:t>
  </x:si>
  <x:si>
    <x:t xml:space="preserve">Zach Werenski</x:t>
  </x:si>
  <x:si>
    <x:t xml:space="preserve">CBJ</x:t>
  </x:si>
  <x:si>
    <x:t xml:space="preserve">Macklin Celebrini</x:t>
  </x:si>
  <x:si>
    <x:t xml:space="preserve">C/LW</x:t>
  </x:si>
  <x:si>
    <x:t xml:space="preserve">SJS</x:t>
  </x:si>
  <x:si>
    <x:t xml:space="preserve">John Carlson</x:t>
  </x:si>
  <x:si>
    <x:t xml:space="preserve">Mikko Rantanen</x:t>
  </x:si>
  <x:si>
    <x:t xml:space="preserve">DAL</x:t>
  </x:si>
  <x:si>
    <x:t xml:space="preserve">Quinn Hughes</x:t>
  </x:si>
  <x:si>
    <x:t xml:space="preserve">MIN</x:t>
  </x:si>
  <x:si>
    <x:t xml:space="preserve">Martin Necas</x:t>
  </x:si>
  <x:si>
    <x:t xml:space="preserve">Mark Scheifele</x:t>
  </x:si>
  <x:si>
    <x:t xml:space="preserve">WPG</x:t>
  </x:si>
  <x:si>
    <x:t xml:space="preserve">Sidney Crosby</x:t>
  </x:si>
  <x:si>
    <x:t xml:space="preserve">PIT</x:t>
  </x:si>
  <x:si>
    <x:t xml:space="preserve">William Nylander</x:t>
  </x:si>
  <x:si>
    <x:t xml:space="preserve">TOR</x:t>
  </x:si>
  <x:si>
    <x:t xml:space="preserve">Mark Stone</x:t>
  </x:si>
  <x:si>
    <x:t xml:space="preserve">VGK</x:t>
  </x:si>
  <x:si>
    <x:t xml:space="preserve">Nick Suzuki</x:t>
  </x:si>
  <x:si>
    <x:t xml:space="preserve">MTL</x:t>
  </x:si>
  <x:si>
    <x:t xml:space="preserve">Kirill Kaprizov</x:t>
  </x:si>
  <x:si>
    <x:t xml:space="preserve">LW</x:t>
  </x:si>
  <x:si>
    <x:t xml:space="preserve">Charlie McAvoy</x:t>
  </x:si>
  <x:si>
    <x:t xml:space="preserve">Rasmus Dahlin</x:t>
  </x:si>
  <x:si>
    <x:t xml:space="preserve">BUF</x:t>
  </x:si>
  <x:si>
    <x:t xml:space="preserve">Jack Eichel</x:t>
  </x:si>
  <x:si>
    <x:t xml:space="preserve">Mikhail Sergachev</x:t>
  </x:si>
  <x:si>
    <x:t xml:space="preserve">UTA</x:t>
  </x:si>
  <x:si>
    <x:t xml:space="preserve">Jack Hughes</x:t>
  </x:si>
  <x:si>
    <x:t xml:space="preserve">NJD</x:t>
  </x:si>
  <x:si>
    <x:t xml:space="preserve">Moritz Seider</x:t>
  </x:si>
  <x:si>
    <x:t xml:space="preserve">DET</x:t>
  </x:si>
  <x:si>
    <x:t xml:space="preserve">Jake Sanderson</x:t>
  </x:si>
  <x:si>
    <x:t xml:space="preserve">OTT</x:t>
  </x:si>
  <x:si>
    <x:t xml:space="preserve">Roman Josi</x:t>
  </x:si>
  <x:si>
    <x:t xml:space="preserve">NSH</x:t>
  </x:si>
  <x:si>
    <x:t xml:space="preserve">Erik Karlsson</x:t>
  </x:si>
  <x:si>
    <x:t xml:space="preserve">Kyle Connor</x:t>
  </x:si>
  <x:si>
    <x:t xml:space="preserve">Brandon Hagel</x:t>
  </x:si>
  <x:si>
    <x:t xml:space="preserve">Darren Raddysh</x:t>
  </x:si>
  <x:si>
    <x:t xml:space="preserve">Jason Robertson</x:t>
  </x:si>
  <x:si>
    <x:t xml:space="preserve">Artemi Panarin</x:t>
  </x:si>
  <x:si>
    <x:t xml:space="preserve">LAK</x:t>
  </x:si>
  <x:si>
    <x:t xml:space="preserve">Tage Thompson</x:t>
  </x:si>
  <x:si>
    <x:t xml:space="preserve">Matt Boldy</x:t>
  </x:si>
  <x:si>
    <x:t xml:space="preserve">Adam Fox</x:t>
  </x:si>
  <x:si>
    <x:t xml:space="preserve">NYR</x:t>
  </x:si>
  <x:si>
    <x:t xml:space="preserve">Adrian Kempe</x:t>
  </x:si>
  <x:si>
    <x:t xml:space="preserve">Shayne Gostisbehere</x:t>
  </x:si>
  <x:si>
    <x:t xml:space="preserve">CAR</x:t>
  </x:si>
  <x:si>
    <x:t xml:space="preserve">Dylan Larkin</x:t>
  </x:si>
  <x:si>
    <x:t xml:space="preserve">Alex DeBrincat</x:t>
  </x:si>
  <x:si>
    <x:t xml:space="preserve">Tim Stutzle</x:t>
  </x:si>
  <x:si>
    <x:t xml:space="preserve">Lane Hutson</x:t>
  </x:si>
  <x:si>
    <x:t xml:space="preserve">Mitchell Marner</x:t>
  </x:si>
  <x:si>
    <x:t xml:space="preserve">Jackson LaCombe</x:t>
  </x:si>
  <x:si>
    <x:t xml:space="preserve">ANA</x:t>
  </x:si>
  <x:si>
    <x:t xml:space="preserve">Cole Caufield</x:t>
  </x:si>
  <x:si>
    <x:t xml:space="preserve">Robert Thomas</x:t>
  </x:si>
  <x:si>
    <x:t xml:space="preserve">STL</x:t>
  </x:si>
  <x:si>
    <x:t xml:space="preserve">Jake Guentzel</x:t>
  </x:si>
  <x:si>
    <x:t xml:space="preserve">Josh Morrissey</x:t>
  </x:si>
  <x:si>
    <x:t xml:space="preserve">Sam Reinhart</x:t>
  </x:si>
  <x:si>
    <x:t xml:space="preserve">FLA</x:t>
  </x:si>
  <x:si>
    <x:t xml:space="preserve">Alex Ovechkin</x:t>
  </x:si>
  <x:si>
    <x:t xml:space="preserve">WSH</x:t>
  </x:si>
  <x:si>
    <x:t xml:space="preserve">Auston Matthews</x:t>
  </x:si>
  <x:si>
    <x:t xml:space="preserve">Matthew Tkachuk</x:t>
  </x:si>
  <x:si>
    <x:t xml:space="preserve">Evgeni Malkin</x:t>
  </x:si>
  <x:si>
    <x:t xml:space="preserve">Sebastian Aho</x:t>
  </x:si>
  <x:si>
    <x:t xml:space="preserve">Filip Forsberg</x:t>
  </x:si>
  <x:si>
    <x:t xml:space="preserve">Wyatt Johnston</x:t>
  </x:si>
  <x:si>
    <x:t xml:space="preserve">Clayton Keller</x:t>
  </x:si>
  <x:si>
    <x:t xml:space="preserve">Jakob Chychrun</x:t>
  </x:si>
  <x:si>
    <x:t xml:space="preserve">John Tavares</x:t>
  </x:si>
  <x:si>
    <x:t xml:space="preserve">Mika Zibanejad</x:t>
  </x:si>
  <x:si>
    <x:t xml:space="preserve">Brad Marchand</x:t>
  </x:si>
  <x:si>
    <x:t xml:space="preserve">Tom Wilson</x:t>
  </x:si>
  <x:si>
    <x:t xml:space="preserve">Miro Heiskanen</x:t>
  </x:si>
  <x:si>
    <x:t xml:space="preserve">Nico Hischier</x:t>
  </x:si>
  <x:si>
    <x:t xml:space="preserve">Dougie Hamilton</x:t>
  </x:si>
  <x:si>
    <x:t xml:space="preserve">Lucas Raymond</x:t>
  </x:si>
  <x:si>
    <x:t xml:space="preserve">Filip Hronek</x:t>
  </x:si>
  <x:si>
    <x:t xml:space="preserve">VAN</x:t>
  </x:si>
  <x:si>
    <x:t xml:space="preserve">Rasmus Andersson</x:t>
  </x:si>
  <x:si>
    <x:t xml:space="preserve">Seth Jones</x:t>
  </x:si>
  <x:si>
    <x:t xml:space="preserve">Brady Tkachuk</x:t>
  </x:si>
  <x:si>
    <x:t xml:space="preserve">Noah Dobson</x:t>
  </x:si>
  <x:si>
    <x:t xml:space="preserve">Bryan Rust</x:t>
  </x:si>
  <x:si>
    <x:t xml:space="preserve">Travis Konecny</x:t>
  </x:si>
  <x:si>
    <x:t xml:space="preserve">PHI</x:t>
  </x:si>
  <x:si>
    <x:t xml:space="preserve">Shea Theodore</x:t>
  </x:si>
  <x:si>
    <x:t xml:space="preserve">Steven Stamkos</x:t>
  </x:si>
  <x:si>
    <x:t xml:space="preserve">Brock Faber</x:t>
  </x:si>
  <x:si>
    <x:t xml:space="preserve">J.T. Miller</x:t>
  </x:si>
  <x:si>
    <x:t xml:space="preserve">Ryan O'Reilly</x:t>
  </x:si>
  <x:si>
    <x:t xml:space="preserve">Drake Batherson</x:t>
  </x:si>
  <x:si>
    <x:t xml:space="preserve">Seth Jarvis</x:t>
  </x:si>
  <x:si>
    <x:t xml:space="preserve">Connor Bedard</x:t>
  </x:si>
  <x:si>
    <x:t xml:space="preserve">CHI</x:t>
  </x:si>
  <x:si>
    <x:t xml:space="preserve">Dylan Guenther</x:t>
  </x:si>
  <x:si>
    <x:t xml:space="preserve">Matthew Schaefer (R)</x:t>
  </x:si>
  <x:si>
    <x:t xml:space="preserve">NYI</x:t>
  </x:si>
  <x:si>
    <x:t xml:space="preserve">Mattias Samuelsson</x:t>
  </x:si>
  <x:si>
    <x:t xml:space="preserve">Brayden Point</x:t>
  </x:si>
  <x:si>
    <x:t xml:space="preserve">K'Andre Miller</x:t>
  </x:si>
  <x:si>
    <x:t xml:space="preserve">Dylan Holloway</x:t>
  </x:si>
  <x:si>
    <x:t xml:space="preserve">Kris Letang</x:t>
  </x:si>
  <x:si>
    <x:t xml:space="preserve">Anze Kopitar</x:t>
  </x:si>
  <x:si>
    <x:t xml:space="preserve">Mattias Ekholm</x:t>
  </x:si>
  <x:si>
    <x:t xml:space="preserve">Kirill Marchenko</x:t>
  </x:si>
  <x:si>
    <x:t xml:space="preserve">Justin Faulk</x:t>
  </x:si>
  <x:si>
    <x:t xml:space="preserve">Juraj Slafkovsky</x:t>
  </x:si>
  <x:si>
    <x:t xml:space="preserve">Thomas Harley</x:t>
  </x:si>
  <x:si>
    <x:t xml:space="preserve">Nick Schmaltz</x:t>
  </x:si>
  <x:si>
    <x:t xml:space="preserve">Vincent Trocheck</x:t>
  </x:si>
  <x:si>
    <x:t xml:space="preserve">Tomas Hertl</x:t>
  </x:si>
  <x:si>
    <x:t xml:space="preserve">Morgan Geekie</x:t>
  </x:si>
  <x:si>
    <x:t xml:space="preserve">Andrei Svechnikov</x:t>
  </x:si>
  <x:si>
    <x:t xml:space="preserve">Thomas Chabot</x:t>
  </x:si>
  <x:si>
    <x:t xml:space="preserve">Bo Horvat</x:t>
  </x:si>
  <x:si>
    <x:t xml:space="preserve">Aaron Ekblad</x:t>
  </x:si>
  <x:si>
    <x:t xml:space="preserve">Mike Matheson</x:t>
  </x:si>
  <x:si>
    <x:t xml:space="preserve">Zach Hyman</x:t>
  </x:si>
  <x:si>
    <x:t xml:space="preserve">Jacob Trouba</x:t>
  </x:si>
  <x:si>
    <x:t xml:space="preserve">Nikolaj Ehlers</x:t>
  </x:si>
  <x:si>
    <x:t xml:space="preserve">Leo Carlsson</x:t>
  </x:si>
  <x:si>
    <x:t xml:space="preserve">MacKenzie Weegar</x:t>
  </x:si>
  <x:si>
    <x:t xml:space="preserve">Brent Burns</x:t>
  </x:si>
  <x:si>
    <x:t xml:space="preserve">Brock Nelson</x:t>
  </x:si>
  <x:si>
    <x:t xml:space="preserve">Matthew Knies</x:t>
  </x:si>
  <x:si>
    <x:t xml:space="preserve">Patrick Kane</x:t>
  </x:si>
  <x:si>
    <x:t xml:space="preserve">Jesper Bratt</x:t>
  </x:si>
  <x:si>
    <x:t xml:space="preserve">Victor Hedman</x:t>
  </x:si>
  <x:si>
    <x:t xml:space="preserve">Roope Hintz</x:t>
  </x:si>
  <x:si>
    <x:t xml:space="preserve">Travis Sanheim</x:t>
  </x:si>
  <x:si>
    <x:t xml:space="preserve">Bowen Byram</x:t>
  </x:si>
  <x:si>
    <x:t xml:space="preserve">Logan Cooley</x:t>
  </x:si>
  <x:si>
    <x:t xml:space="preserve">Colton Parayko</x:t>
  </x:si>
  <x:si>
    <x:t xml:space="preserve">Boone Jenner</x:t>
  </x:si>
  <x:si>
    <x:t xml:space="preserve">Ivan Barbashev</x:t>
  </x:si>
  <x:si>
    <x:t xml:space="preserve">Mikael Granlund</x:t>
  </x:si>
  <x:si>
    <x:t xml:space="preserve">Mathew Barzal</x:t>
  </x:si>
  <x:si>
    <x:t xml:space="preserve">Brandon Montour</x:t>
  </x:si>
  <x:si>
    <x:t xml:space="preserve">SEA</x:t>
  </x:si>
  <x:si>
    <x:t xml:space="preserve">Dmitry Orlov</x:t>
  </x:si>
  <x:si>
    <x:t xml:space="preserve">Gabriel Vilardi</x:t>
  </x:si>
  <x:si>
    <x:t xml:space="preserve">Esa Lindell</x:t>
  </x:si>
  <x:si>
    <x:t xml:space="preserve">Morgan Rielly</x:t>
  </x:si>
  <x:si>
    <x:t xml:space="preserve">Devon Toews</x:t>
  </x:si>
  <x:si>
    <x:t xml:space="preserve">Matt Duchene</x:t>
  </x:si>
  <x:si>
    <x:t xml:space="preserve">Vladislav Gavrikov</x:t>
  </x:si>
  <x:si>
    <x:t xml:space="preserve">Elias Lindholm</x:t>
  </x:si>
  <x:si>
    <x:t xml:space="preserve">Pavel Zacha</x:t>
  </x:si>
  <x:si>
    <x:t xml:space="preserve">Mats Zuccarello</x:t>
  </x:si>
  <x:si>
    <x:t xml:space="preserve">Ivan Provorov</x:t>
  </x:si>
  <x:si>
    <x:t xml:space="preserve">Valeri Nichushkin</x:t>
  </x:si>
  <x:si>
    <x:t xml:space="preserve">Troy Terry</x:t>
  </x:si>
  <x:si>
    <x:t xml:space="preserve">Adam Larsson</x:t>
  </x:si>
  <x:si>
    <x:t xml:space="preserve">Aliaksei Protas</x:t>
  </x:si>
  <x:si>
    <x:t xml:space="preserve">Sam Bennett</x:t>
  </x:si>
  <x:si>
    <x:t xml:space="preserve">Ryan Pulock</x:t>
  </x:si>
  <x:si>
    <x:t xml:space="preserve">Jason Zucker</x:t>
  </x:si>
  <x:si>
    <x:t xml:space="preserve">Anthony Cirelli</x:t>
  </x:si>
  <x:si>
    <x:t xml:space="preserve">Vince Dunn</x:t>
  </x:si>
  <x:si>
    <x:t xml:space="preserve">Luke Hughes</x:t>
  </x:si>
  <x:si>
    <x:t xml:space="preserve">Jared Spurgeon</x:t>
  </x:si>
  <x:si>
    <x:t xml:space="preserve">Ryan McDonagh</x:t>
  </x:si>
  <x:si>
    <x:t xml:space="preserve">Darnell Nurse</x:t>
  </x:si>
  <x:si>
    <x:t xml:space="preserve">Oliver Ekman-Larsson</x:t>
  </x:si>
  <x:si>
    <x:t xml:space="preserve">Trevor Zegras</x:t>
  </x:si>
  <x:si>
    <x:t xml:space="preserve">Jake McCabe</x:t>
  </x:si>
  <x:si>
    <x:t xml:space="preserve">Joel Eriksson Ek</x:t>
  </x:si>
  <x:si>
    <x:t xml:space="preserve">Josh Manson</x:t>
  </x:si>
  <x:si>
    <x:t xml:space="preserve">Rickard Rakell</x:t>
  </x:si>
  <x:si>
    <x:t xml:space="preserve">Cutter Gauthier</x:t>
  </x:si>
  <x:si>
    <x:t xml:space="preserve">Ryan Nugent-Hopkins</x:t>
  </x:si>
  <x:si>
    <x:t xml:space="preserve">Brenden Dillon</x:t>
  </x:si>
  <x:si>
    <x:t xml:space="preserve">Sean Walker</x:t>
  </x:si>
  <x:si>
    <x:t xml:space="preserve">Viktor Arvidsson</x:t>
  </x:si>
  <x:si>
    <x:t xml:space="preserve">Simon Edvinsson</x:t>
  </x:si>
  <x:si>
    <x:t xml:space="preserve">Philip Broberg</x:t>
  </x:si>
  <x:si>
    <x:t xml:space="preserve">Charlie Coyle</x:t>
  </x:si>
  <x:si>
    <x:t xml:space="preserve">Jamie Benn</x:t>
  </x:si>
  <x:si>
    <x:t xml:space="preserve">Tyler Bertuzzi</x:t>
  </x:si>
  <x:si>
    <x:t xml:space="preserve">Mason Marchment</x:t>
  </x:si>
  <x:si>
    <x:t xml:space="preserve">Noah Hanifin</x:t>
  </x:si>
  <x:si>
    <x:t xml:space="preserve">Brayden McNabb</x:t>
  </x:si>
  <x:si>
    <x:t xml:space="preserve">Claude Giroux</x:t>
  </x:si>
  <x:si>
    <x:t xml:space="preserve">Matt Roy</x:t>
  </x:si>
  <x:si>
    <x:t xml:space="preserve">Cam Fowler</x:t>
  </x:si>
  <x:si>
    <x:t xml:space="preserve">Tony DeAngelo</x:t>
  </x:si>
  <x:si>
    <x:t xml:space="preserve">Dylan Strome</x:t>
  </x:si>
  <x:si>
    <x:t xml:space="preserve">Jordan Eberle</x:t>
  </x:si>
  <x:si>
    <x:t xml:space="preserve">Marcus Pettersson</x:t>
  </x:si>
  <x:si>
    <x:t xml:space="preserve">Chandler Stephenson</x:t>
  </x:si>
  <x:si>
    <x:t xml:space="preserve">Hampus Lindholm</x:t>
  </x:si>
  <x:si>
    <x:t xml:space="preserve">Nikita Zadorov</x:t>
  </x:si>
  <x:si>
    <x:t xml:space="preserve">Gustav Forsling</x:t>
  </x:si>
  <x:si>
    <x:t xml:space="preserve">Brady Skjei</x:t>
  </x:si>
  <x:si>
    <x:t xml:space="preserve">Radko Gudas</x:t>
  </x:si>
  <x:si>
    <x:t xml:space="preserve">Elias Pettersson</x:t>
  </x:si>
  <x:si>
    <x:t xml:space="preserve">Ian Cole</x:t>
  </x:si>
  <x:si>
    <x:t xml:space="preserve">Drew Doughty</x:t>
  </x:si>
  <x:si>
    <x:t xml:space="preserve">Quinton Byfield</x:t>
  </x:si>
  <x:si>
    <x:t xml:space="preserve">Kevin Fiala</x:t>
  </x:si>
  <x:si>
    <x:t xml:space="preserve">Sean Monahan</x:t>
  </x:si>
  <x:si>
    <x:t xml:space="preserve">Mario Ferraro</x:t>
  </x:si>
  <x:si>
    <x:t xml:space="preserve">Adam Fantilli</x:t>
  </x:si>
  <x:si>
    <x:t xml:space="preserve">Damon Severson</x:t>
  </x:si>
  <x:si>
    <x:t xml:space="preserve">John Marino</x:t>
  </x:si>
  <x:si>
    <x:t xml:space="preserve">Pavel Dorofeyev</x:t>
  </x:si>
  <x:si>
    <x:t xml:space="preserve">Brayden Schenn</x:t>
  </x:si>
  <x:si>
    <x:t xml:space="preserve">Nazem Kadri</x:t>
  </x:si>
  <x:si>
    <x:t xml:space="preserve">Jeremy Lauzon</x:t>
  </x:si>
  <x:si>
    <x:t xml:space="preserve">Dylan Cozens</x:t>
  </x:si>
  <x:si>
    <x:t xml:space="preserve">Chris Kreider</x:t>
  </x:si>
  <x:si>
    <x:t xml:space="preserve">Neal Pionk</x:t>
  </x:si>
  <x:si>
    <x:t xml:space="preserve">Jared McCann</x:t>
  </x:si>
  <x:si>
    <x:t xml:space="preserve">Joel Edmundson</x:t>
  </x:si>
  <x:si>
    <x:t xml:space="preserve">Alexandre Carrier</x:t>
  </x:si>
  <x:si>
    <x:t xml:space="preserve">Artturi Lehkonen</x:t>
  </x:si>
  <x:si>
    <x:t xml:space="preserve">Timo Meier</x:t>
  </x:si>
  <x:si>
    <x:t xml:space="preserve">Jonas Brodin</x:t>
  </x:si>
  <x:si>
    <x:t xml:space="preserve">Martin Fehervary</x:t>
  </x:si>
  <x:si>
    <x:t xml:space="preserve">Anton Lundell</x:t>
  </x:si>
  <x:si>
    <x:t xml:space="preserve">Rasmus Sandin</x:t>
  </x:si>
  <x:si>
    <x:t xml:space="preserve">Anthony Mantha</x:t>
  </x:si>
  <x:si>
    <x:t xml:space="preserve">Josh Norris</x:t>
  </x:si>
  <x:si>
    <x:t xml:space="preserve">Carter Verhaeghe</x:t>
  </x:si>
  <x:si>
    <x:t xml:space="preserve">Will Smith</x:t>
  </x:si>
  <x:si>
    <x:t xml:space="preserve">Alex Tuch</x:t>
  </x:si>
  <x:si>
    <x:t xml:space="preserve">Alex Wennberg</x:t>
  </x:si>
  <x:si>
    <x:t xml:space="preserve">Artem Zub</x:t>
  </x:si>
  <x:si>
    <x:t xml:space="preserve">Alexander Nikishin (R)</x:t>
  </x:si>
  <x:si>
    <x:t xml:space="preserve">Jordan Staal</x:t>
  </x:si>
  <x:si>
    <x:t xml:space="preserve">J.J. Moser</x:t>
  </x:si>
  <x:si>
    <x:t xml:space="preserve">Cam York</x:t>
  </x:si>
  <x:si>
    <x:t xml:space="preserve">Zach Whitecloud</x:t>
  </x:si>
  <x:si>
    <x:t xml:space="preserve">CGY</x:t>
  </x:si>
  <x:si>
    <x:t xml:space="preserve">Taylor Hall</x:t>
  </x:si>
  <x:si>
    <x:t xml:space="preserve">Mikael Backlund</x:t>
  </x:si>
  <x:si>
    <x:t xml:space="preserve">Charle-Edouard D'Astous</x:t>
  </x:si>
  <x:si>
    <x:t xml:space="preserve">Marcus Johansson</x:t>
  </x:si>
  <x:si>
    <x:t xml:space="preserve">Adam Pelech</x:t>
  </x:si>
  <x:si>
    <x:t xml:space="preserve">Ben Chiarot</x:t>
  </x:si>
  <x:si>
    <x:t xml:space="preserve">John Klingberg</x:t>
  </x:si>
  <x:si>
    <x:t xml:space="preserve">FA</x:t>
  </x:si>
  <x:si>
    <x:t xml:space="preserve">Connor Murphy</x:t>
  </x:si>
  <x:si>
    <x:t xml:space="preserve">Logan Stanley</x:t>
  </x:si>
  <x:si>
    <x:t xml:space="preserve">Pavel Buchnevich</x:t>
  </x:si>
  <x:si>
    <x:t xml:space="preserve">Jimmy Snuggerud (R)</x:t>
  </x:si>
  <x:si>
    <x:t xml:space="preserve">Matvei Michkov</x:t>
  </x:si>
  <x:si>
    <x:t xml:space="preserve">Alexis Lafreniere</x:t>
  </x:si>
  <x:si>
    <x:t xml:space="preserve">Bobby McMann</x:t>
  </x:si>
  <x:si>
    <x:t xml:space="preserve">Nate Schmidt</x:t>
  </x:si>
  <x:si>
    <x:t xml:space="preserve">Jamie Oleksiak</x:t>
  </x:si>
  <x:si>
    <x:t xml:space="preserve">Parker Wotherspoon</x:t>
  </x:si>
  <x:si>
    <x:t xml:space="preserve">Corey Perry</x:t>
  </x:si>
  <x:si>
    <x:t xml:space="preserve">Kyle Palmieri</x:t>
  </x:si>
  <x:si>
    <x:t xml:space="preserve">Anders Lee</x:t>
  </x:si>
  <x:si>
    <x:t xml:space="preserve">Kiefer Sherwood</x:t>
  </x:si>
  <x:si>
    <x:t xml:space="preserve">Sean Couturier</x:t>
  </x:si>
  <x:si>
    <x:t xml:space="preserve">Blake Coleman</x:t>
  </x:si>
  <x:si>
    <x:t xml:space="preserve">Jonathan Marchessault</x:t>
  </x:si>
  <x:si>
    <x:t xml:space="preserve">Gabriel Landeskog</x:t>
  </x:si>
  <x:si>
    <x:t xml:space="preserve">Tyler Myers</x:t>
  </x:si>
  <x:si>
    <x:t xml:space="preserve">Tyler Seguin</x:t>
  </x:si>
  <x:si>
    <x:t xml:space="preserve">Jordan Kyrou</x:t>
  </x:si>
  <x:si>
    <x:t xml:space="preserve">Braden Schneider</x:t>
  </x:si>
  <x:si>
    <x:t xml:space="preserve">Tyler Toffoli</x:t>
  </x:si>
  <x:si>
    <x:t xml:space="preserve">Sam Malinski</x:t>
  </x:si>
  <x:si>
    <x:t xml:space="preserve">Ryan McLeod</x:t>
  </x:si>
  <x:si>
    <x:t xml:space="preserve">Owen Power</x:t>
  </x:si>
  <x:si>
    <x:t xml:space="preserve">Ryan Shea</x:t>
  </x:si>
  <x:si>
    <x:t xml:space="preserve">Mikey Anderson</x:t>
  </x:si>
  <x:si>
    <x:t xml:space="preserve">Jaccob Slavin</x:t>
  </x:si>
  <x:si>
    <x:t xml:space="preserve">Connor Clifton</x:t>
  </x:si>
  <x:si>
    <x:t xml:space="preserve">Owen Tippett</x:t>
  </x:si>
  <x:si>
    <x:t xml:space="preserve">Lawson Crouse</x:t>
  </x:si>
  <x:si>
    <x:t xml:space="preserve">Ivan Demidov (R)</x:t>
  </x:si>
  <x:si>
    <x:t xml:space="preserve">Dylan DeMelo</x:t>
  </x:si>
  <x:si>
    <x:t xml:space="preserve">Brock Boeser</x:t>
  </x:si>
  <x:si>
    <x:t xml:space="preserve">Jacob Middleton</x:t>
  </x:si>
  <x:si>
    <x:t xml:space="preserve">Alex Laferriere</x:t>
  </x:si>
  <x:si>
    <x:t xml:space="preserve">Louis Crevier</x:t>
  </x:si>
  <x:si>
    <x:t xml:space="preserve">Nick Seeler</x:t>
  </x:si>
  <x:si>
    <x:t xml:space="preserve">Jake Walman</x:t>
  </x:si>
  <x:si>
    <x:t xml:space="preserve">Shane Pinto</x:t>
  </x:si>
  <x:si>
    <x:t xml:space="preserve">Jean-Gabriel Pageau</x:t>
  </x:si>
  <x:si>
    <x:t xml:space="preserve">Marco Rossi</x:t>
  </x:si>
  <x:si>
    <x:t xml:space="preserve">Denton Mateychuk</x:t>
  </x:si>
  <x:si>
    <x:t xml:space="preserve">Connor McMichael</x:t>
  </x:si>
  <x:si>
    <x:t xml:space="preserve">Rasmus Ristolainen</x:t>
  </x:si>
  <x:si>
    <x:t xml:space="preserve">Sean Durzi</x:t>
  </x:si>
  <x:si>
    <x:t xml:space="preserve">Alex Vlasic</x:t>
  </x:si>
  <x:si>
    <x:t xml:space="preserve">Vladimir Tarasenko</x:t>
  </x:si>
  <x:si>
    <x:t xml:space="preserve">Christian Dvorak</x:t>
  </x:si>
  <x:si>
    <x:t xml:space="preserve">William Eklund</x:t>
  </x:si>
  <x:si>
    <x:t xml:space="preserve">Beckett Sennecke (R)</x:t>
  </x:si>
  <x:si>
    <x:t xml:space="preserve">Kevin Bahl</x:t>
  </x:si>
  <x:si>
    <x:t xml:space="preserve">Will Borgen</x:t>
  </x:si>
  <x:si>
    <x:t xml:space="preserve">Luke Schenn</x:t>
  </x:si>
  <x:si>
    <x:t xml:space="preserve">Will Cuylle</x:t>
  </x:si>
  <x:si>
    <x:t xml:space="preserve">Jordan Spence</x:t>
  </x:si>
  <x:si>
    <x:t xml:space="preserve">Erik Cernak</x:t>
  </x:si>
  <x:si>
    <x:t xml:space="preserve">Noah Cates</x:t>
  </x:si>
  <x:si>
    <x:t xml:space="preserve">Jordan Martinook</x:t>
  </x:si>
  <x:si>
    <x:t xml:space="preserve">Jonathan Huberdeau</x:t>
  </x:si>
  <x:si>
    <x:t xml:space="preserve">Josh Doan</x:t>
  </x:si>
  <x:si>
    <x:t xml:space="preserve">Connor Brown</x:t>
  </x:si>
  <x:si>
    <x:t xml:space="preserve">Frank Nazar</x:t>
  </x:si>
  <x:si>
    <x:t xml:space="preserve">David Perron</x:t>
  </x:si>
  <x:si>
    <x:t xml:space="preserve">Mason Lohrei</x:t>
  </x:si>
  <x:si>
    <x:t xml:space="preserve">Teuvo Teravainen</x:t>
  </x:si>
  <x:si>
    <x:t xml:space="preserve">Mason McTavish</x:t>
  </x:si>
  <x:si>
    <x:t xml:space="preserve">Jake Neighbours</x:t>
  </x:si>
  <x:si>
    <x:t xml:space="preserve">Trevor van Riemsdyk</x:t>
  </x:si>
  <x:si>
    <x:t xml:space="preserve">Yegor Chinakhov</x:t>
  </x:si>
  <x:si>
    <x:t xml:space="preserve">Samuel Girard</x:t>
  </x:si>
  <x:si>
    <x:t xml:space="preserve">Jeff Petry</x:t>
  </x:si>
  <x:si>
    <x:t xml:space="preserve">Erik Gudbranson</x:t>
  </x:si>
  <x:si>
    <x:t xml:space="preserve">Andrew Copp</x:t>
  </x:si>
  <x:si>
    <x:t xml:space="preserve">Tyler Tucker</x:t>
  </x:si>
  <x:si>
    <x:t xml:space="preserve">Brandt Clarke</x:t>
  </x:si>
  <x:si>
    <x:t xml:space="preserve">Jake DeBrusk</x:t>
  </x:si>
  <x:si>
    <x:t xml:space="preserve">Ilya Lyubushkin</x:t>
  </x:si>
  <x:si>
    <x:t xml:space="preserve">Pavel Mintyukov</x:t>
  </x:si>
  <x:si>
    <x:t xml:space="preserve">Ryan Lindgren</x:t>
  </x:si>
  <x:si>
    <x:t xml:space="preserve">Pierre-Luc Dubois</x:t>
  </x:si>
  <x:si>
    <x:t xml:space="preserve">Yanni Gourde</x:t>
  </x:si>
  <x:si>
    <x:t xml:space="preserve">Andrew Peeke</x:t>
  </x:si>
  <x:si>
    <x:t xml:space="preserve">Olen Zellweger</x:t>
  </x:si>
  <x:si>
    <x:t xml:space="preserve">Jack Quinn</x:t>
  </x:si>
  <x:si>
    <x:t xml:space="preserve">Jaden Schwartz</x:t>
  </x:si>
  <x:si>
    <x:t xml:space="preserve">Brett Pesce</x:t>
  </x:si>
  <x:si>
    <x:t xml:space="preserve">Dawson Mercer</x:t>
  </x:si>
  <x:si>
    <x:t xml:space="preserve">Jonas Siegenthaler</x:t>
  </x:si>
  <x:si>
    <x:t xml:space="preserve">Dmitri Voronkov</x:t>
  </x:si>
  <x:si>
    <x:t xml:space="preserve">Niko Mikkola</x:t>
  </x:si>
  <x:si>
    <x:t xml:space="preserve">Trevor Moore</x:t>
  </x:si>
  <x:si>
    <x:t xml:space="preserve">Zach Benson</x:t>
  </x:si>
  <x:si>
    <x:t xml:space="preserve">Kaapo Kakko</x:t>
  </x:si>
  <x:si>
    <x:t xml:space="preserve">Eeli Tolvanen</x:t>
  </x:si>
  <x:si>
    <x:t xml:space="preserve">Matt Grzelcyk</x:t>
  </x:si>
  <x:si>
    <x:t xml:space="preserve">Luke Evangelista</x:t>
  </x:si>
  <x:si>
    <x:t xml:space="preserve">Dylan Samberg</x:t>
  </x:si>
  <x:si>
    <x:t xml:space="preserve">Casey Mittelstadt</x:t>
  </x:si>
  <x:si>
    <x:t xml:space="preserve">Tyler Kleven</x:t>
  </x:si>
  <x:si>
    <x:t xml:space="preserve">Mathieu Olivier</x:t>
  </x:si>
  <x:si>
    <x:t xml:space="preserve">Dante Fabbro</x:t>
  </x:si>
  <x:si>
    <x:t xml:space="preserve">Carson Soucy</x:t>
  </x:si>
  <x:si>
    <x:t xml:space="preserve">Ryan Leonard (R)</x:t>
  </x:si>
  <x:si>
    <x:t xml:space="preserve">Collin Graf</x:t>
  </x:si>
  <x:si>
    <x:t xml:space="preserve">Ryker Evans</x:t>
  </x:si>
  <x:si>
    <x:t xml:space="preserve">Jack Roslovic</x:t>
  </x:si>
  <x:si>
    <x:t xml:space="preserve">Alex Killorn</x:t>
  </x:si>
  <x:si>
    <x:t xml:space="preserve">Matt Coronato</x:t>
  </x:si>
  <x:si>
    <x:t xml:space="preserve">Scott Mayfield</x:t>
  </x:si>
  <x:si>
    <x:t xml:space="preserve">Olli Maatta</x:t>
  </x:si>
  <x:si>
    <x:t xml:space="preserve">Simon Holmstrom</x:t>
  </x:si>
  <x:si>
    <x:t xml:space="preserve">Brian Dumoulin</x:t>
  </x:si>
  <x:si>
    <x:t xml:space="preserve">Jalen Chatfield</x:t>
  </x:si>
  <x:si>
    <x:t xml:space="preserve">Nicolas Hague</x:t>
  </x:si>
  <x:si>
    <x:t xml:space="preserve">Vincent Desharnais</x:t>
  </x:si>
  <x:si>
    <x:t xml:space="preserve">Kaiden Guhle</x:t>
  </x:si>
  <x:si>
    <x:t xml:space="preserve">Matthew Robertson (R)</x:t>
  </x:si>
  <x:si>
    <x:t xml:space="preserve">J.J. Peterka</x:t>
  </x:si>
  <x:si>
    <x:t xml:space="preserve">Brandon Carlo</x:t>
  </x:si>
  <x:si>
    <x:t xml:space="preserve">Justin Brazeau</x:t>
  </x:si>
  <x:si>
    <x:t xml:space="preserve">Artyom Levshunov</x:t>
  </x:si>
  <x:si>
    <x:t xml:space="preserve">Adam Lowry</x:t>
  </x:si>
  <x:si>
    <x:t xml:space="preserve">Cody Ceci</x:t>
  </x:si>
  <x:si>
    <x:t xml:space="preserve">Ryan Hartman</x:t>
  </x:si>
  <x:si>
    <x:t xml:space="preserve">Jackson Blake</x:t>
  </x:si>
  <x:si>
    <x:t xml:space="preserve">Nick Blankenburg</x:t>
  </x:si>
  <x:si>
    <x:t xml:space="preserve">Nick Jensen</x:t>
  </x:si>
  <x:si>
    <x:t xml:space="preserve">Troy Stecher</x:t>
  </x:si>
  <x:si>
    <x:t xml:space="preserve">Matty Beniers</x:t>
  </x:si>
  <x:si>
    <x:t xml:space="preserve">Scott Laughton</x:t>
  </x:si>
  <x:si>
    <x:t xml:space="preserve">Erik Haula</x:t>
  </x:si>
  <x:si>
    <x:t xml:space="preserve">Simon Nemec</x:t>
  </x:si>
  <x:si>
    <x:t xml:space="preserve">Jamie Drysdale</x:t>
  </x:si>
  <x:si>
    <x:t xml:space="preserve">Ilya Mikheyev</x:t>
  </x:si>
  <x:si>
    <x:t xml:space="preserve">Simon Benoit</x:t>
  </x:si>
  <x:si>
    <x:t xml:space="preserve">Nick Leddy</x:t>
  </x:si>
  <x:si>
    <x:t xml:space="preserve">Morgan Frost</x:t>
  </x:si>
  <x:si>
    <x:t xml:space="preserve">Jonathan Aspirot</x:t>
  </x:si>
  <x:si>
    <x:t xml:space="preserve">Jack McBain</x:t>
  </x:si>
  <x:si>
    <x:t xml:space="preserve">Alex Iafallo</x:t>
  </x:si>
  <x:si>
    <x:t xml:space="preserve">James van Riemsdyk</x:t>
  </x:si>
  <x:si>
    <x:t xml:space="preserve">Jacob Bernard-Docker</x:t>
  </x:si>
  <x:si>
    <x:t xml:space="preserve">Thomas Novak</x:t>
  </x:si>
  <x:si>
    <x:t xml:space="preserve">Ryan Poehling</x:t>
  </x:si>
  <x:si>
    <x:t xml:space="preserve">Pius Suter</x:t>
  </x:si>
  <x:si>
    <x:t xml:space="preserve">Axel Sandin-Pellikka (R)</x:t>
  </x:si>
  <x:si>
    <x:t xml:space="preserve">Warren Foegele</x:t>
  </x:si>
  <x:si>
    <x:t xml:space="preserve">Max Domi</x:t>
  </x:si>
  <x:si>
    <x:t xml:space="preserve">Fraser Minten (R)</x:t>
  </x:si>
  <x:si>
    <x:t xml:space="preserve">Matias Maccelli</x:t>
  </x:si>
  <x:si>
    <x:t xml:space="preserve">Nicolas Roy</x:t>
  </x:si>
  <x:si>
    <x:t xml:space="preserve">Conor Timmins</x:t>
  </x:si>
  <x:si>
    <x:t xml:space="preserve">Oliver Bjorkstrand</x:t>
  </x:si>
  <x:si>
    <x:t xml:space="preserve">Zach Bogosian</x:t>
  </x:si>
  <x:si>
    <x:t xml:space="preserve">Elias Pettersson II</x:t>
  </x:si>
  <x:si>
    <x:t xml:space="preserve">Christopher Tanev</x:t>
  </x:si>
  <x:si>
    <x:t xml:space="preserve">Parker Kelly</x:t>
  </x:si>
  <x:si>
    <x:t xml:space="preserve">Nick Paul</x:t>
  </x:si>
  <x:si>
    <x:t xml:space="preserve">Bobby Brink</x:t>
  </x:si>
  <x:si>
    <x:t xml:space="preserve">Marcus Foligno</x:t>
  </x:si>
  <x:si>
    <x:t xml:space="preserve">Dakota Joshua</x:t>
  </x:si>
  <x:si>
    <x:t xml:space="preserve">Brendan Gallagher</x:t>
  </x:si>
  <x:si>
    <x:t xml:space="preserve">Vasily Podkolzin</x:t>
  </x:si>
  <x:si>
    <x:t xml:space="preserve">Kaedan Korczak</x:t>
  </x:si>
  <x:si>
    <x:t xml:space="preserve">Fabian Zetterlund</x:t>
  </x:si>
  <x:si>
    <x:t xml:space="preserve">Emil Heineman</x:t>
  </x:si>
  <x:si>
    <x:t xml:space="preserve">Evan Rodrigues</x:t>
  </x:si>
  <x:si>
    <x:t xml:space="preserve">Brayden Pachal</x:t>
  </x:si>
  <x:si>
    <x:t xml:space="preserve">Tom Willander (R)</x:t>
  </x:si>
  <x:si>
    <x:t xml:space="preserve">Michael Amadio</x:t>
  </x:si>
  <x:si>
    <x:t xml:space="preserve">Zeev Buium (R)</x:t>
  </x:si>
  <x:si>
    <x:t xml:space="preserve">Alex Newhook</x:t>
  </x:si>
  <x:si>
    <x:t xml:space="preserve">Yegor Sharangovich</x:t>
  </x:si>
  <x:si>
    <x:t xml:space="preserve">Frederick Gaudreau</x:t>
  </x:si>
  <x:si>
    <x:t xml:space="preserve">Travis Hamonic</x:t>
  </x:si>
  <x:si>
    <x:t xml:space="preserve">Nick Perbix</x:t>
  </x:si>
  <x:si>
    <x:t xml:space="preserve">Drew Helleson</x:t>
  </x:si>
  <x:si>
    <x:t xml:space="preserve">Nino Niederreiter</x:t>
  </x:si>
  <x:si>
    <x:t xml:space="preserve">Mavrik Bourque</x:t>
  </x:si>
  <x:si>
    <x:t xml:space="preserve">Ryan Ufko (R)</x:t>
  </x:si>
  <x:si>
    <x:t xml:space="preserve">Ridly Greig</x:t>
  </x:si>
  <x:si>
    <x:t xml:space="preserve">Wyatt Kaiser</x:t>
  </x:si>
  <x:si>
    <x:t xml:space="preserve">Ross Colton</x:t>
  </x:si>
  <x:si>
    <x:t xml:space="preserve">Arber Xhekaj</x:t>
  </x:si>
  <x:si>
    <x:t xml:space="preserve">Conor Garland</x:t>
  </x:si>
  <x:si>
    <x:t xml:space="preserve">Cole Sillinger</x:t>
  </x:si>
  <x:si>
    <x:t xml:space="preserve">Brett Howden</x:t>
  </x:si>
  <x:si>
    <x:t xml:space="preserve">A.J. Greer</x:t>
  </x:si>
  <x:si>
    <x:t xml:space="preserve">Noel Acciari</x:t>
  </x:si>
  <x:si>
    <x:t xml:space="preserve">Mackie Samoskevich</x:t>
  </x:si>
  <x:si>
    <x:t xml:space="preserve">Eetu Luostarinen</x:t>
  </x:si>
  <x:si>
    <x:t xml:space="preserve">Emil Lilleberg</x:t>
  </x:si>
  <x:si>
    <x:t xml:space="preserve">Noah Juulsen</x:t>
  </x:si>
  <x:si>
    <x:t xml:space="preserve">Cole Perfetti</x:t>
  </x:si>
  <x:si>
    <x:t xml:space="preserve">Sam Steel</x:t>
  </x:si>
  <x:si>
    <x:t xml:space="preserve">Andre Burakovsky</x:t>
  </x:si>
  <x:si>
    <x:t xml:space="preserve">Joel Farabee</x:t>
  </x:si>
  <x:si>
    <x:t xml:space="preserve">Shakir Mukhamadullin</x:t>
  </x:si>
  <x:si>
    <x:t xml:space="preserve">Cole Hutson (R)</x:t>
  </x:si>
  <x:si>
    <x:t xml:space="preserve">William Karlsson</x:t>
  </x:si>
  <x:si>
    <x:t xml:space="preserve">Matt Dumba</x:t>
  </x:si>
  <x:si>
    <x:t xml:space="preserve">Tyson Foerster</x:t>
  </x:si>
  <x:si>
    <x:t xml:space="preserve">Jake Evans</x:t>
  </x:si>
  <x:si>
    <x:t xml:space="preserve">Nick Foligno</x:t>
  </x:si>
  <x:si>
    <x:t xml:space="preserve">Josh Anderson</x:t>
  </x:si>
  <x:si>
    <x:t xml:space="preserve">Logan Stankoven</x:t>
  </x:si>
  <x:si>
    <x:t xml:space="preserve">Ty Emberson</x:t>
  </x:si>
  <x:si>
    <x:t xml:space="preserve">Ryan Donato</x:t>
  </x:si>
  <x:si>
    <x:t xml:space="preserve">Zack Bolduc</x:t>
  </x:si>
  <x:si>
    <x:t xml:space="preserve">Albert Johansson</x:t>
  </x:si>
  <x:si>
    <x:t xml:space="preserve">Reilly Smith</x:t>
  </x:si>
  <x:si>
    <x:t xml:space="preserve">Peyton Krebs</x:t>
  </x:si>
  <x:si>
    <x:t xml:space="preserve">Joel Hanley</x:t>
  </x:si>
  <x:si>
    <x:t xml:space="preserve">Brett Kulak</x:t>
  </x:si>
  <x:si>
    <x:t xml:space="preserve">Joel Armia</x:t>
  </x:si>
  <x:si>
    <x:t xml:space="preserve">Jonathan Drouin</x:t>
  </x:si>
  <x:si>
    <x:t xml:space="preserve">Johnathan Kovacevic</x:t>
  </x:si>
  <x:si>
    <x:t xml:space="preserve">Timothy Liljegren</x:t>
  </x:si>
  <x:si>
    <x:t xml:space="preserve">Alexander Romanov</x:t>
  </x:si>
  <x:si>
    <x:t xml:space="preserve">Henri Jokiharju</x:t>
  </x:si>
  <x:si>
    <x:t xml:space="preserve">Ryan Strome</x:t>
  </x:si>
  <x:si>
    <x:t xml:space="preserve">Mark Jankowski</x:t>
  </x:si>
  <x:si>
    <x:t xml:space="preserve">Zemgus Girgensons</x:t>
  </x:si>
  <x:si>
    <x:t xml:space="preserve">Declan Chisholm</x:t>
  </x:si>
  <x:si>
    <x:t xml:space="preserve">William Carrier</x:t>
  </x:si>
  <x:si>
    <x:t xml:space="preserve">Keegan Kolesar</x:t>
  </x:si>
  <x:si>
    <x:t xml:space="preserve">Adam Wilsby</x:t>
  </x:si>
  <x:si>
    <x:t xml:space="preserve">Philipp Kurashev</x:t>
  </x:si>
  <x:si>
    <x:t xml:space="preserve">Yakov Trenin</x:t>
  </x:si>
  <x:si>
    <x:t xml:space="preserve">Ben Kindel (R)</x:t>
  </x:si>
  <x:si>
    <x:t xml:space="preserve">Adam Henrique</x:t>
  </x:si>
  <x:si>
    <x:t xml:space="preserve">Matt Savoie (R)</x:t>
  </x:si>
  <x:si>
    <x:t xml:space="preserve">Mark Kastelic</x:t>
  </x:si>
  <x:si>
    <x:t xml:space="preserve">Blake Lizotte</x:t>
  </x:si>
  <x:si>
    <x:t xml:space="preserve">Sean Kuraly</x:t>
  </x:si>
  <x:si>
    <x:t xml:space="preserve">Andrew Mangiapane</x:t>
  </x:si>
  <x:si>
    <x:t xml:space="preserve">Ethen Frank</x:t>
  </x:si>
  <x:si>
    <x:t xml:space="preserve">Lian Bichsel</x:t>
  </x:si>
  <x:si>
    <x:t xml:space="preserve">Nils Lundkvist</x:t>
  </x:si>
  <x:si>
    <x:t xml:space="preserve">Nathan Walker</x:t>
  </x:si>
  <x:si>
    <x:t xml:space="preserve">Dakota Mermis</x:t>
  </x:si>
  <x:si>
    <x:t xml:space="preserve">Cole Koepke</x:t>
  </x:si>
  <x:si>
    <x:t xml:space="preserve">Michael Carcone</x:t>
  </x:si>
  <x:si>
    <x:t xml:space="preserve">Alexander Petrovic</x:t>
  </x:si>
  <x:si>
    <x:t xml:space="preserve">Jeff Skinner</x:t>
  </x:si>
  <x:si>
    <x:t xml:space="preserve">J.T. Compher</x:t>
  </x:si>
  <x:si>
    <x:t xml:space="preserve">Ondrej Palat</x:t>
  </x:si>
  <x:si>
    <x:t xml:space="preserve">Justin Hryckowian</x:t>
  </x:si>
  <x:si>
    <x:t xml:space="preserve">Adam Gaudette</x:t>
  </x:si>
  <x:si>
    <x:t xml:space="preserve">Radek Faksa</x:t>
  </x:si>
  <x:si>
    <x:t xml:space="preserve">Calum Ritchie (R)</x:t>
  </x:si>
  <x:si>
    <x:t xml:space="preserve">Vladislav Namestnikov</x:t>
  </x:si>
  <x:si>
    <x:t xml:space="preserve">Jason Dickinson</x:t>
  </x:si>
  <x:si>
    <x:t xml:space="preserve">Phillip Danault</x:t>
  </x:si>
  <x:si>
    <x:t xml:space="preserve">Michael McCarron</x:t>
  </x:si>
  <x:si>
    <x:t xml:space="preserve">Jonathan Toews</x:t>
  </x:si>
  <x:si>
    <x:t xml:space="preserve">Drew O'Connor</x:t>
  </x:si>
  <x:si>
    <x:t xml:space="preserve">Colin Miller</x:t>
  </x:si>
  <x:si>
    <x:t xml:space="preserve">Alexander Kerfoot</x:t>
  </x:si>
  <x:si>
    <x:t xml:space="preserve">Justin Barron</x:t>
  </x:si>
  <x:si>
    <x:t xml:space="preserve">Oliver Kapanen (R)</x:t>
  </x:si>
  <x:si>
    <x:t xml:space="preserve">Jack St. Ivany</x:t>
  </x:si>
  <x:si>
    <x:t xml:space="preserve">Cole Smith</x:t>
  </x:si>
  <x:si>
    <x:t xml:space="preserve">Tanner Pearson</x:t>
  </x:si>
  <x:si>
    <x:t xml:space="preserve">Matthew Wood (R)</x:t>
  </x:si>
  <x:si>
    <x:t xml:space="preserve">Evander Kane</x:t>
  </x:si>
  <x:si>
    <x:t xml:space="preserve">Sammy Blais</x:t>
  </x:si>
  <x:si>
    <x:t xml:space="preserve">Gage Goncalves</x:t>
  </x:si>
  <x:si>
    <x:t xml:space="preserve">Barrett Hayton</x:t>
  </x:si>
  <x:si>
    <x:t xml:space="preserve">Justin Sourdif (R)</x:t>
  </x:si>
  <x:si>
    <x:t xml:space="preserve">Lars Eller</x:t>
  </x:si>
  <x:si>
    <x:t xml:space="preserve">Cody Glass</x:t>
  </x:si>
  <x:si>
    <x:t xml:space="preserve">Sam Dickinson (R)</x:t>
  </x:si>
  <x:si>
    <x:t xml:space="preserve">Arseny Gritsyuk (R)</x:t>
  </x:si>
  <x:si>
    <x:t xml:space="preserve">Garnet Hathaway</x:t>
  </x:si>
  <x:si>
    <x:t xml:space="preserve">Michael Kesselring</x:t>
  </x:si>
  <x:si>
    <x:t xml:space="preserve">Igor Chernyshov (R)</x:t>
  </x:si>
  <x:si>
    <x:t xml:space="preserve">Kirby Dach</x:t>
  </x:si>
  <x:si>
    <x:t xml:space="preserve">Eric Robinson</x:t>
  </x:si>
  <x:si>
    <x:t xml:space="preserve">Tye Kartye</x:t>
  </x:si>
  <x:si>
    <x:t xml:space="preserve">Casey Cizikas</x:t>
  </x:si>
  <x:si>
    <x:t xml:space="preserve">Marat Khusnutdinov</x:t>
  </x:si>
  <x:si>
    <x:t xml:space="preserve">Anton Frondell (R)</x:t>
  </x:si>
  <x:si>
    <x:t xml:space="preserve">Marco Kasper</x:t>
  </x:si>
  <x:si>
    <x:t xml:space="preserve">Kasperi Kapanen</x:t>
  </x:si>
  <x:si>
    <x:t xml:space="preserve">Mike Reilly</x:t>
  </x:si>
  <x:si>
    <x:t xml:space="preserve">Steven Lorentz</x:t>
  </x:si>
  <x:si>
    <x:t xml:space="preserve">Connor Zary</x:t>
  </x:si>
  <x:si>
    <x:t xml:space="preserve">Victor Olofsson</x:t>
  </x:si>
  <x:si>
    <x:t xml:space="preserve">Linus Karlsson</x:t>
  </x:si>
  <x:si>
    <x:t xml:space="preserve">Shane Wright</x:t>
  </x:si>
  <x:si>
    <x:t xml:space="preserve">Michael Bunting</x:t>
  </x:si>
  <x:si>
    <x:t xml:space="preserve">Ryan Graves</x:t>
  </x:si>
  <x:si>
    <x:t xml:space="preserve">Nic Dowd</x:t>
  </x:si>
  <x:si>
    <x:t xml:space="preserve">Andrei Kuzmenko</x:t>
  </x:si>
  <x:si>
    <x:t xml:space="preserve">Morgan Barron</x:t>
  </x:si>
  <x:si>
    <x:t xml:space="preserve">Adam Klapka</x:t>
  </x:si>
  <x:si>
    <x:t xml:space="preserve">Sam Carrick</x:t>
  </x:si>
  <x:si>
    <x:t xml:space="preserve">Anthony Beauvillier</x:t>
  </x:si>
  <x:si>
    <x:t xml:space="preserve">Teddy Blueger</x:t>
  </x:si>
  <x:si>
    <x:t xml:space="preserve">Nicholas Robertson</x:t>
  </x:si>
  <x:si>
    <x:t xml:space="preserve">Gabe Perreault (R)</x:t>
  </x:si>
  <x:si>
    <x:t xml:space="preserve">Josh Mahura</x:t>
  </x:si>
  <x:si>
    <x:t xml:space="preserve">Connor Dewar</x:t>
  </x:si>
  <x:si>
    <x:t xml:space="preserve">Frank Vatrano</x:t>
  </x:si>
  <x:si>
    <x:t xml:space="preserve">Nikolas Matinpalo</x:t>
  </x:si>
  <x:si>
    <x:t xml:space="preserve">Tanner Jeannot</x:t>
  </x:si>
  <x:si>
    <x:t xml:space="preserve">Anthony Duclair</x:t>
  </x:si>
  <x:si>
    <x:t xml:space="preserve">Nick Cousins</x:t>
  </x:si>
  <x:si>
    <x:t xml:space="preserve">Haydn Fleury</x:t>
  </x:si>
  <x:si>
    <x:t xml:space="preserve">Miles Wood</x:t>
  </x:si>
  <x:si>
    <x:t xml:space="preserve">Dennis Gilbert</x:t>
  </x:si>
  <x:si>
    <x:t xml:space="preserve">Beck Malenstyn</x:t>
  </x:si>
  <x:si>
    <x:t xml:space="preserve">Jiri Kulich</x:t>
  </x:si>
  <x:si>
    <x:t xml:space="preserve">Emmitt Finnie (R)</x:t>
  </x:si>
  <x:si>
    <x:t xml:space="preserve">Benoit-Olivier Groulx</x:t>
  </x:si>
  <x:si>
    <x:t xml:space="preserve">Mason Appleton</x:t>
  </x:si>
  <x:si>
    <x:t xml:space="preserve">Oskar Sundqvist</x:t>
  </x:si>
  <x:si>
    <x:t xml:space="preserve">Jonatan Berggren</x:t>
  </x:si>
  <x:si>
    <x:t xml:space="preserve">Kent Johnson</x:t>
  </x:si>
  <x:si>
    <x:t xml:space="preserve">Ben Hutton</x:t>
  </x:si>
  <x:si>
    <x:t xml:space="preserve">Taylor Raddysh</x:t>
  </x:si>
  <x:si>
    <x:t xml:space="preserve">Michael Misa (R)</x:t>
  </x:si>
  <x:si>
    <x:t xml:space="preserve">Calle Jarnkrok</x:t>
  </x:si>
  <x:si>
    <x:t xml:space="preserve">Daniil Miromanov</x:t>
  </x:si>
  <x:si>
    <x:t xml:space="preserve">Jonny Brodzinski</x:t>
  </x:si>
  <x:si>
    <x:t xml:space="preserve">Nico Sturm</x:t>
  </x:si>
  <x:si>
    <x:t xml:space="preserve">Jayden Struble</x:t>
  </x:si>
  <x:si>
    <x:t xml:space="preserve">Emil Andrae</x:t>
  </x:si>
  <x:si>
    <x:t xml:space="preserve">Gustav Nyquist</x:t>
  </x:si>
  <x:si>
    <x:t xml:space="preserve">Josh Brown</x:t>
  </x:si>
  <x:si>
    <x:t xml:space="preserve">Liam Ohgren</x:t>
  </x:si>
  <x:si>
    <x:t xml:space="preserve">Aatu Raty</x:t>
  </x:si>
  <x:si>
    <x:t xml:space="preserve">Carl Grundstrom</x:t>
  </x:si>
  <x:si>
    <x:t xml:space="preserve">Kyle Burroughs</x:t>
  </x:si>
  <x:si>
    <x:t xml:space="preserve">Ethan Bear</x:t>
  </x:si>
  <x:si>
    <x:t xml:space="preserve">Alexander Toropchenko</x:t>
  </x:si>
  <x:si>
    <x:t xml:space="preserve">Michael Rasmussen</x:t>
  </x:si>
  <x:si>
    <x:t xml:space="preserve">Danila Yurov (R)</x:t>
  </x:si>
  <x:si>
    <x:t xml:space="preserve">Luke Glendening</x:t>
  </x:si>
  <x:si>
    <x:t xml:space="preserve">Dominic James (R)</x:t>
  </x:si>
  <x:si>
    <x:t xml:space="preserve">Easton Cowan (R)</x:t>
  </x:si>
  <x:si>
    <x:t xml:space="preserve">Uvis Balinskis</x:t>
  </x:si>
  <x:si>
    <x:t xml:space="preserve">Barclay Goodrow</x:t>
  </x:si>
  <x:si>
    <x:t xml:space="preserve">Jake Bean</x:t>
  </x:si>
  <x:si>
    <x:t xml:space="preserve">Paul Cotter</x:t>
  </x:si>
  <x:si>
    <x:t xml:space="preserve">Kevin Hayes</x:t>
  </x:si>
  <x:si>
    <x:t xml:space="preserve">Jack Drury</x:t>
  </x:si>
  <x:si>
    <x:t xml:space="preserve">Yan Kuznetsov (R)</x:t>
  </x:si>
  <x:si>
    <x:t xml:space="preserve">Noah Laba (R)</x:t>
  </x:si>
  <x:si>
    <x:t xml:space="preserve">Scott Perunovich</x:t>
  </x:si>
  <x:si>
    <x:t xml:space="preserve">Adam Boqvist</x:t>
  </x:si>
  <x:si>
    <x:t xml:space="preserve">Pontus Holmberg</x:t>
  </x:si>
  <x:si>
    <x:t xml:space="preserve">Kailer Yamamoto</x:t>
  </x:si>
  <x:si>
    <x:t xml:space="preserve">Brandon Duhaime</x:t>
  </x:si>
  <x:si>
    <x:t xml:space="preserve">Luke Kunin</x:t>
  </x:si>
  <x:si>
    <x:t xml:space="preserve">Michael Eyssimont</x:t>
  </x:si>
  <x:si>
    <x:t xml:space="preserve">Urho Vaakanainen</x:t>
  </x:si>
  <x:si>
    <x:t xml:space="preserve">Justin Holl</x:t>
  </x:si>
  <x:si>
    <x:t xml:space="preserve">Donovan Sebrango</x:t>
  </x:si>
  <x:si>
    <x:t xml:space="preserve">Ty Dellandrea</x:t>
  </x:si>
  <x:si>
    <x:t xml:space="preserve">Ryan Greene (R)</x:t>
  </x:si>
  <x:si>
    <x:t xml:space="preserve">Dalibor Dvorsky (R)</x:t>
  </x:si>
  <x:si>
    <x:t xml:space="preserve">Adam Erne</x:t>
  </x:si>
  <x:si>
    <x:t xml:space="preserve">Jesper Boqvist</x:t>
  </x:si>
  <x:si>
    <x:t xml:space="preserve">Trent Frederic</x:t>
  </x:si>
  <x:si>
    <x:t xml:space="preserve">Logan Mailloux (R)</x:t>
  </x:si>
  <x:si>
    <x:t xml:space="preserve">Brandon Saad</x:t>
  </x:si>
  <x:si>
    <x:t xml:space="preserve">Sam Rinzel (R)</x:t>
  </x:si>
  <x:si>
    <x:t xml:space="preserve">Kyle Capobianco</x:t>
  </x:si>
  <x:si>
    <x:t xml:space="preserve">Danton Heinen</x:t>
  </x:si>
  <x:si>
    <x:t xml:space="preserve">Kevin Stenlund</x:t>
  </x:si>
  <x:si>
    <x:t xml:space="preserve">Colton Sissons</x:t>
  </x:si>
  <x:si>
    <x:t xml:space="preserve">Nick Lardis (R)</x:t>
  </x:si>
  <x:si>
    <x:t xml:space="preserve">Matvei Gridin (R)</x:t>
  </x:si>
  <x:si>
    <x:t xml:space="preserve">Tyson Jost</x:t>
  </x:si>
  <x:si>
    <x:t xml:space="preserve">Brendan Smith</x:t>
  </x:si>
  <x:si>
    <x:t xml:space="preserve">Alexandre Texier</x:t>
  </x:si>
  <x:si>
    <x:t xml:space="preserve">Colin Blackwell</x:t>
  </x:si>
  <x:si>
    <x:t xml:space="preserve">Ryan Reaves</x:t>
  </x:si>
  <x:si>
    <x:t xml:space="preserve">Conor Sheary</x:t>
  </x:si>
  <x:si>
    <x:t xml:space="preserve">Brandon Tanev</x:t>
  </x:si>
  <x:si>
    <x:t xml:space="preserve">Derek Forbort</x:t>
  </x:si>
  <x:si>
    <x:t xml:space="preserve">Ben Meyers</x:t>
  </x:si>
  <x:si>
    <x:t xml:space="preserve">Maxwell Crozier</x:t>
  </x:si>
  <x:si>
    <x:t xml:space="preserve">Juuso Valimaki</x:t>
  </x:si>
  <x:si>
    <x:t xml:space="preserve">Nick Bjugstad</x:t>
  </x:si>
  <x:si>
    <x:t xml:space="preserve">Cam Dineen</x:t>
  </x:si>
  <x:si>
    <x:t xml:space="preserve">Martin Pospisil</x:t>
  </x:si>
  <x:si>
    <x:t xml:space="preserve">Stefan Noesen</x:t>
  </x:si>
  <x:si>
    <x:t xml:space="preserve">Derrick Pouliot</x:t>
  </x:si>
  <x:si>
    <x:t xml:space="preserve">Patrik Laine</x:t>
  </x:si>
  <x:si>
    <x:t xml:space="preserve">Scott Harrington</x:t>
  </x:si>
  <x:si>
    <x:t xml:space="preserve">Otto Stenberg (R)</x:t>
  </x:si>
  <x:si>
    <x:t xml:space="preserve">Joel Kiviranta</x:t>
  </x:si>
  <x:si>
    <x:t xml:space="preserve">Mathieu Joseph</x:t>
  </x:si>
  <x:si>
    <x:t xml:space="preserve">Logan Shaw</x:t>
  </x:si>
  <x:si>
    <x:t xml:space="preserve">Riley Stillman</x:t>
  </x:si>
  <x:si>
    <x:t xml:space="preserve">William Lagesson</x:t>
  </x:si>
  <x:si>
    <x:t xml:space="preserve">Dylan Gambrell</x:t>
  </x:si>
  <x:si>
    <x:t xml:space="preserve">Hayden Hodgson</x:t>
  </x:si>
  <x:si>
    <x:t xml:space="preserve">Dylan Coghlan</x:t>
  </x:si>
  <x:si>
    <x:t xml:space="preserve">Curtis Lazar</x:t>
  </x:si>
  <x:si>
    <x:t xml:space="preserve">Zac Jones</x:t>
  </x:si>
  <x:si>
    <x:t xml:space="preserve">Nathan Bastian</x:t>
  </x:si>
  <x:si>
    <x:t xml:space="preserve">Keaton Middleton</x:t>
  </x:si>
  <x:si>
    <x:t xml:space="preserve">Daemon Hunt</x:t>
  </x:si>
  <x:si>
    <x:t xml:space="preserve">Denver Barkey (R)</x:t>
  </x:si>
  <x:si>
    <x:t xml:space="preserve">Jordan Greenway</x:t>
  </x:si>
  <x:si>
    <x:t xml:space="preserve">Tomas Nosek</x:t>
  </x:si>
  <x:si>
    <x:t xml:space="preserve">Ian Moore (R)</x:t>
  </x:si>
  <x:si>
    <x:t xml:space="preserve">RW/D</x:t>
  </x:si>
  <x:si>
    <x:t xml:space="preserve">Marc Gatcomb</x:t>
  </x:si>
  <x:si>
    <x:t xml:space="preserve">Tanner Laczynski</x:t>
  </x:si>
  <x:si>
    <x:t xml:space="preserve">Cale Fleury</x:t>
  </x:si>
  <x:si>
    <x:t xml:space="preserve">Dennis Cholowski</x:t>
  </x:si>
  <x:si>
    <x:t xml:space="preserve">Ryan Lomberg</x:t>
  </x:si>
  <x:si>
    <x:t xml:space="preserve">Dylan McIlrath</x:t>
  </x:si>
  <x:si>
    <x:t xml:space="preserve">David Kampf</x:t>
  </x:si>
  <x:si>
    <x:t xml:space="preserve">Brendan Gaunce</x:t>
  </x:si>
  <x:si>
    <x:t xml:space="preserve">Robby Fabbri</x:t>
  </x:si>
  <x:si>
    <x:t xml:space="preserve">Jordan Oesterle</x:t>
  </x:si>
  <x:si>
    <x:t xml:space="preserve">Ilya Solovyov</x:t>
  </x:si>
  <x:si>
    <x:t xml:space="preserve">Elias Salomonsson (R)</x:t>
  </x:si>
  <x:si>
    <x:t xml:space="preserve">Filip Chytil</x:t>
  </x:si>
  <x:si>
    <x:t xml:space="preserve">Jacob Moverare</x:t>
  </x:si>
  <x:si>
    <x:t xml:space="preserve">Tyler Pitlick</x:t>
  </x:si>
  <x:si>
    <x:t xml:space="preserve">Isac Lundestrom</x:t>
  </x:si>
  <x:si>
    <x:t xml:space="preserve">Victor Mancini</x:t>
  </x:si>
  <x:si>
    <x:t xml:space="preserve">Evgenii Dadonov</x:t>
  </x:si>
  <x:si>
    <x:t xml:space="preserve">Jack Thompson</x:t>
  </x:si>
  <x:si>
    <x:t xml:space="preserve">Ross Johnston</x:t>
  </x:si>
  <x:si>
    <x:t xml:space="preserve">Jonah Gadjovich</x:t>
  </x:si>
  <x:si>
    <x:t xml:space="preserve">Carter Yakemchuk (R)</x:t>
  </x:si>
  <x:si>
    <x:t xml:space="preserve">Scott Sabourin</x:t>
  </x:si>
  <x:si>
    <x:t xml:space="preserve">Calle Rosen</x:t>
  </x:si>
  <x:si>
    <x:t xml:space="preserve">Jacob MacDonald</x:t>
  </x:si>
  <x:si>
    <x:t xml:space="preserve">Jeff Malott</x:t>
  </x:si>
  <x:si>
    <x:t xml:space="preserve">Connor Mackey</x:t>
  </x:si>
  <x:si>
    <x:t xml:space="preserve">Colton Dach</x:t>
  </x:si>
  <x:si>
    <x:t xml:space="preserve">Alex Bump (R)</x:t>
  </x:si>
  <x:si>
    <x:t xml:space="preserve">Brett Leason</x:t>
  </x:si>
  <x:si>
    <x:t xml:space="preserve">Joe Veleno</x:t>
  </x:si>
  <x:si>
    <x:t xml:space="preserve">Jesperi Kotkaniemi</x:t>
  </x:si>
  <x:si>
    <x:t xml:space="preserve">Declan Carlile (R)</x:t>
  </x:si>
  <x:si>
    <x:t xml:space="preserve">Gustav Olofsson</x:t>
  </x:si>
  <x:si>
    <x:t xml:space="preserve">Nicolas Deslauriers</x:t>
  </x:si>
  <x:si>
    <x:t xml:space="preserve">Pierre-Olivier Joseph</x:t>
  </x:si>
  <x:si>
    <x:t xml:space="preserve">Philippe Myers</x:t>
  </x:si>
  <x:si>
    <x:t xml:space="preserve">Kevin Connauton</x:t>
  </x:si>
  <x:si>
    <x:t xml:space="preserve">Alex Steeves (R)</x:t>
  </x:si>
  <x:si>
    <x:t xml:space="preserve">Fyodor Svechkov</x:t>
  </x:si>
  <x:si>
    <x:t xml:space="preserve">Erik Gustafsson</x:t>
  </x:si>
  <x:si>
    <x:t xml:space="preserve">Liam O'Brien</x:t>
  </x:si>
  <x:si>
    <x:t xml:space="preserve">Jacob Bryson</x:t>
  </x:si>
  <x:si>
    <x:t xml:space="preserve">Spencer Stastney</x:t>
  </x:si>
  <x:si>
    <x:t xml:space="preserve">Lassi Thomson</x:t>
  </x:si>
  <x:si>
    <x:t xml:space="preserve">Scott Morrow</x:t>
  </x:si>
  <x:si>
    <x:t xml:space="preserve">Dryden Hunt</x:t>
  </x:si>
  <x:si>
    <x:t xml:space="preserve">Ben Gleason</x:t>
  </x:si>
  <x:si>
    <x:t xml:space="preserve">Andreas Englund</x:t>
  </x:si>
  <x:si>
    <x:t xml:space="preserve">Jarred Tinordi</x:t>
  </x:si>
  <x:si>
    <x:t xml:space="preserve">Matthew Peca</x:t>
  </x:si>
  <x:si>
    <x:t xml:space="preserve">Jeremy Davies</x:t>
  </x:si>
  <x:si>
    <x:t xml:space="preserve">Lucas Carlsson</x:t>
  </x:si>
  <x:si>
    <x:t xml:space="preserve">Logan O'Connor</x:t>
  </x:si>
  <x:si>
    <x:t xml:space="preserve">Nick DeSimone</x:t>
  </x:si>
  <x:si>
    <x:t xml:space="preserve">Maxim Tsyplakov</x:t>
  </x:si>
  <x:si>
    <x:t xml:space="preserve">Noah Ostlund (R)</x:t>
  </x:si>
  <x:si>
    <x:t xml:space="preserve">Mitchell Chaffee</x:t>
  </x:si>
  <x:si>
    <x:t xml:space="preserve">Vladislav Kolyachonok</x:t>
  </x:si>
  <x:si>
    <x:t xml:space="preserve">Charles Alexis Legault (R)</x:t>
  </x:si>
  <x:si>
    <x:t xml:space="preserve">Sheldon Dries</x:t>
  </x:si>
  <x:si>
    <x:t xml:space="preserve">Hunter Brzustewicz (R)</x:t>
  </x:si>
  <x:si>
    <x:t xml:space="preserve">Jake Christiansen</x:t>
  </x:si>
  <x:si>
    <x:t xml:space="preserve">Taylor Ward</x:t>
  </x:si>
  <x:si>
    <x:t xml:space="preserve">Lukas Reichel</x:t>
  </x:si>
  <x:si>
    <x:t xml:space="preserve">Kevin Rooney</x:t>
  </x:si>
  <x:si>
    <x:t xml:space="preserve">Tobias Bjornfot</x:t>
  </x:si>
  <x:si>
    <x:t xml:space="preserve">Kale Clague</x:t>
  </x:si>
  <x:si>
    <x:t xml:space="preserve">Zach Metsa (R)</x:t>
  </x:si>
  <x:si>
    <x:t xml:space="preserve">Dmitri Simashev (R)</x:t>
  </x:si>
  <x:si>
    <x:t xml:space="preserve">Joe Hicketts</x:t>
  </x:si>
  <x:si>
    <x:t xml:space="preserve">Ian Mitchell</x:t>
  </x:si>
  <x:si>
    <x:t xml:space="preserve">Justin Kirkland</x:t>
  </x:si>
  <x:si>
    <x:t xml:space="preserve">Matt Benning</x:t>
  </x:si>
  <x:si>
    <x:t xml:space="preserve">Lukas Cormier</x:t>
  </x:si>
  <x:si>
    <x:t xml:space="preserve">Braeden Bowman (R)</x:t>
  </x:si>
  <x:si>
    <x:t xml:space="preserve">Andrew Agozzino</x:t>
  </x:si>
  <x:si>
    <x:t xml:space="preserve">Isaak Phillips</x:t>
  </x:si>
  <x:si>
    <x:t xml:space="preserve">Jack Ahcan</x:t>
  </x:si>
  <x:si>
    <x:t xml:space="preserve">Sonny Milano</x:t>
  </x:si>
  <x:si>
    <x:t xml:space="preserve">Colin White</x:t>
  </x:si>
  <x:si>
    <x:t xml:space="preserve">Domenick Fensore</x:t>
  </x:si>
  <x:si>
    <x:t xml:space="preserve">Egor Zamula</x:t>
  </x:si>
  <x:si>
    <x:t xml:space="preserve">Matt Kiersted</x:t>
  </x:si>
  <x:si>
    <x:t xml:space="preserve">Dysin Mayo</x:t>
  </x:si>
  <x:si>
    <x:t xml:space="preserve">Joel Nystrom (R)</x:t>
  </x:si>
  <x:si>
    <x:t xml:space="preserve">Pavol Regenda</x:t>
  </x:si>
  <x:si>
    <x:t xml:space="preserve">Luca Del Bel Belluz</x:t>
  </x:si>
  <x:si>
    <x:t xml:space="preserve">Christian Wolanin</x:t>
  </x:si>
  <x:si>
    <x:t xml:space="preserve">Roland McKeown</x:t>
  </x:si>
  <x:si>
    <x:t xml:space="preserve">Trevor Carrick</x:t>
  </x:si>
  <x:si>
    <x:t xml:space="preserve">Alex Belzile</x:t>
  </x:si>
  <x:si>
    <x:t xml:space="preserve">Jake Lucchini</x:t>
  </x:si>
  <x:si>
    <x:t xml:space="preserve">Joona Koppanen</x:t>
  </x:si>
  <x:si>
    <x:t xml:space="preserve">Ethan Del Mastro (R)</x:t>
  </x:si>
  <x:si>
    <x:t xml:space="preserve">Lane Pederson</x:t>
  </x:si>
  <x:si>
    <x:t xml:space="preserve">Kevin Korchinski</x:t>
  </x:si>
  <x:si>
    <x:t xml:space="preserve">David Jiricek</x:t>
  </x:si>
  <x:si>
    <x:t xml:space="preserve">Tim Washe (R)</x:t>
  </x:si>
  <x:si>
    <x:t xml:space="preserve">Philip Tomasino</x:t>
  </x:si>
  <x:si>
    <x:t xml:space="preserve">Conor Geekie</x:t>
  </x:si>
  <x:si>
    <x:t xml:space="preserve">Alexander Alexeyev</x:t>
  </x:si>
  <x:si>
    <x:t xml:space="preserve">Marc Del Gaizo</x:t>
  </x:si>
  <x:si>
    <x:t xml:space="preserve">Colton White</x:t>
  </x:si>
  <x:si>
    <x:t xml:space="preserve">Caleb Jones</x:t>
  </x:si>
  <x:si>
    <x:t xml:space="preserve">Matthew Kessel</x:t>
  </x:si>
  <x:si>
    <x:t xml:space="preserve">Ryan Carpenter</x:t>
  </x:si>
  <x:si>
    <x:t xml:space="preserve">Zachary L'Heureux</x:t>
  </x:si>
  <x:si>
    <x:t xml:space="preserve">Mike Benning (R)</x:t>
  </x:si>
  <x:si>
    <x:t xml:space="preserve">Nikolai Knyzhov</x:t>
  </x:si>
  <x:si>
    <x:t xml:space="preserve">Elmer Soderblom</x:t>
  </x:si>
  <x:si>
    <x:t xml:space="preserve">Owen Pickering (R)</x:t>
  </x:si>
  <x:si>
    <x:t xml:space="preserve">Chris Harpur</x:t>
  </x:si>
  <x:si>
    <x:t xml:space="preserve">Max Sasson</x:t>
  </x:si>
  <x:si>
    <x:t xml:space="preserve">Vincent Iorio (R)</x:t>
  </x:si>
  <x:si>
    <x:t xml:space="preserve">Alec Regula (R)</x:t>
  </x:si>
  <x:si>
    <x:t xml:space="preserve">Kyle Marino</x:t>
  </x:si>
  <x:si>
    <x:t xml:space="preserve">Max Shabanov (R)</x:t>
  </x:si>
  <x:si>
    <x:t xml:space="preserve">Kurtis MacDermid</x:t>
  </x:si>
  <x:si>
    <x:t xml:space="preserve">Corey Schueneman</x:t>
  </x:si>
  <x:si>
    <x:t xml:space="preserve">Theo Lindstein (R)</x:t>
  </x:si>
  <x:si>
    <x:t xml:space="preserve">Steven Santini</x:t>
  </x:si>
  <x:si>
    <x:t xml:space="preserve">Justin Danforth</x:t>
  </x:si>
  <x:si>
    <x:t xml:space="preserve">Jared Wright (R)</x:t>
  </x:si>
  <x:si>
    <x:t xml:space="preserve">Zayne Parekh (R)</x:t>
  </x:si>
  <x:si>
    <x:t xml:space="preserve">Riley Tufte</x:t>
  </x:si>
  <x:si>
    <x:t xml:space="preserve">Zack Ostapchuk</x:t>
  </x:si>
  <x:si>
    <x:t xml:space="preserve">Chris Wagner</x:t>
  </x:si>
  <x:si>
    <x:t xml:space="preserve">Vinnie Hinostroza</x:t>
  </x:si>
  <x:si>
    <x:t xml:space="preserve">Noah Gregor</x:t>
  </x:si>
  <x:si>
    <x:t xml:space="preserve">Nils Hoglander</x:t>
  </x:si>
  <x:si>
    <x:t xml:space="preserve">Kyle MacLean</x:t>
  </x:si>
  <x:si>
    <x:t xml:space="preserve">Sam Lafferty</x:t>
  </x:si>
  <x:si>
    <x:t xml:space="preserve">Helge Grans</x:t>
  </x:si>
  <x:si>
    <x:t xml:space="preserve">Jackson Van De Leest</x:t>
  </x:si>
  <x:si>
    <x:t xml:space="preserve">Antti Tuomisto</x:t>
  </x:si>
  <x:si>
    <x:t xml:space="preserve">Victor Soderstrom</x:t>
  </x:si>
  <x:si>
    <x:t xml:space="preserve">Maveric Lamoureux (R)</x:t>
  </x:si>
  <x:si>
    <x:t xml:space="preserve">Michael Brandsegg-Nygard (R)</x:t>
  </x:si>
  <x:si>
    <x:t xml:space="preserve">Topias Vilen</x:t>
  </x:si>
  <x:si>
    <x:t xml:space="preserve">Oliver Moore (R)</x:t>
  </x:si>
  <x:si>
    <x:t xml:space="preserve">Boris Katchouk</x:t>
  </x:si>
  <x:si>
    <x:t xml:space="preserve">Avery Hayes (R)</x:t>
  </x:si>
  <x:si>
    <x:t xml:space="preserve">Filip Hallander (R)</x:t>
  </x:si>
  <x:si>
    <x:t xml:space="preserve">Hunter Drew</x:t>
  </x:si>
  <x:si>
    <x:t xml:space="preserve">Shai Buium</x:t>
  </x:si>
  <x:si>
    <x:t xml:space="preserve">Ronnie Attard</x:t>
  </x:si>
  <x:si>
    <x:t xml:space="preserve">Isaiah George (R)</x:t>
  </x:si>
  <x:si>
    <x:t xml:space="preserve">Adam Engstrom (R)</x:t>
  </x:si>
  <x:si>
    <x:t xml:space="preserve">David Reinbacher (R)</x:t>
  </x:si>
  <x:si>
    <x:t xml:space="preserve">Samuel Honzek (R)</x:t>
  </x:si>
  <x:si>
    <x:t xml:space="preserve">Casey Fitzgerald</x:t>
  </x:si>
  <x:si>
    <x:t xml:space="preserve">Jake Livingstone</x:t>
  </x:si>
  <x:si>
    <x:t xml:space="preserve">Ashton Sautner</x:t>
  </x:si>
  <x:si>
    <x:t xml:space="preserve">Cameron Hughes</x:t>
  </x:si>
  <x:si>
    <x:t xml:space="preserve">C.J. Smith</x:t>
  </x:si>
  <x:si>
    <x:t xml:space="preserve">Oskar Back</x:t>
  </x:si>
  <x:si>
    <x:t xml:space="preserve">Glenn Gawdin</x:t>
  </x:si>
  <x:si>
    <x:t xml:space="preserve">Mitch McLain</x:t>
  </x:si>
  <x:si>
    <x:t xml:space="preserve">Jacob Melanson (R)</x:t>
  </x:si>
  <x:si>
    <x:t xml:space="preserve">Adam Sykora (R)</x:t>
  </x:si>
  <x:si>
    <x:t xml:space="preserve">Justin Bailey</x:t>
  </x:si>
  <x:si>
    <x:t xml:space="preserve">Juuso Parssinen</x:t>
  </x:si>
  <x:si>
    <x:t xml:space="preserve">Phillip Di Giuseppe</x:t>
  </x:si>
  <x:si>
    <x:t xml:space="preserve">Tristan Luneau</x:t>
  </x:si>
  <x:si>
    <x:t xml:space="preserve">Alexander Holtz</x:t>
  </x:si>
  <x:si>
    <x:t xml:space="preserve">Nikita Nesterenko</x:t>
  </x:si>
  <x:si>
    <x:t xml:space="preserve">Stian Solberg (R)</x:t>
  </x:si>
  <x:si>
    <x:t xml:space="preserve">Laurent Dauphin</x:t>
  </x:si>
  <x:si>
    <x:t xml:space="preserve">Cam Allen (R)</x:t>
  </x:si>
  <x:si>
    <x:t xml:space="preserve">Andrej Sustr</x:t>
  </x:si>
  <x:si>
    <x:t xml:space="preserve">Berkly Catton (R)</x:t>
  </x:si>
  <x:si>
    <x:t xml:space="preserve">Tyson Jugnauth (R)</x:t>
  </x:si>
  <x:si>
    <x:t xml:space="preserve">Gerry Mayhew</x:t>
  </x:si>
  <x:si>
    <x:t xml:space="preserve">William Villeneuve</x:t>
  </x:si>
  <x:si>
    <x:t xml:space="preserve">Guillaume Brisebois</x:t>
  </x:si>
  <x:si>
    <x:t xml:space="preserve">Ilya Protas (R)</x:t>
  </x:si>
  <x:si>
    <x:t xml:space="preserve">Kyle Criscuolo</x:t>
  </x:si>
  <x:si>
    <x:t xml:space="preserve">Seth Griffith</x:t>
  </x:si>
  <x:si>
    <x:t xml:space="preserve">Raphael Lavoie</x:t>
  </x:si>
  <x:si>
    <x:t xml:space="preserve">Jaycob Megna</x:t>
  </x:si>
  <x:si>
    <x:t xml:space="preserve">Louie Belpedio</x:t>
  </x:si>
  <x:si>
    <x:t xml:space="preserve">Jani Nyman</x:t>
  </x:si>
  <x:si>
    <x:t xml:space="preserve">Kyle Looft</x:t>
  </x:si>
  <x:si>
    <x:t xml:space="preserve">John Leonard</x:t>
  </x:si>
  <x:si>
    <x:t xml:space="preserve">Jakob Pelletier</x:t>
  </x:si>
  <x:si>
    <x:t xml:space="preserve">Matthew Highmore</x:t>
  </x:si>
  <x:si>
    <x:t xml:space="preserve">Cole Schwindt</x:t>
  </x:si>
  <x:si>
    <x:t xml:space="preserve">Reid Schaefer (R)</x:t>
  </x:si>
  <x:si>
    <x:t xml:space="preserve">Seamus Casey (R)</x:t>
  </x:si>
  <x:si>
    <x:t xml:space="preserve">David Tomasek</x:t>
  </x:si>
  <x:si>
    <x:t xml:space="preserve">Ben Jones</x:t>
  </x:si>
  <x:si>
    <x:t xml:space="preserve">Nolan Allan</x:t>
  </x:si>
  <x:si>
    <x:t xml:space="preserve">Tyson Kozak</x:t>
  </x:si>
  <x:si>
    <x:t xml:space="preserve">Callan Foote</x:t>
  </x:si>
  <x:si>
    <x:t xml:space="preserve">Henry Thrun</x:t>
  </x:si>
  <x:si>
    <x:t xml:space="preserve">Atro Leppanen</x:t>
  </x:si>
  <x:si>
    <x:t xml:space="preserve">Samuel Helenius</x:t>
  </x:si>
  <x:si>
    <x:t xml:space="preserve">Jeffrey Viel</x:t>
  </x:si>
  <x:si>
    <x:t xml:space="preserve">John Hayden</x:t>
  </x:si>
  <x:si>
    <x:t xml:space="preserve">Hendrix Lapierre</x:t>
  </x:si>
  <x:si>
    <x:t xml:space="preserve">Mattias Janmark</x:t>
  </x:si>
  <x:si>
    <x:t xml:space="preserve">Joakim Kemell (R)</x:t>
  </x:si>
  <x:si>
    <x:t xml:space="preserve">Arttu Hyry (R)</x:t>
  </x:si>
  <x:si>
    <x:t xml:space="preserve">Samuel Bolduc</x:t>
  </x:si>
  <x:si>
    <x:t xml:space="preserve">Juho Lammikko</x:t>
  </x:si>
  <x:si>
    <x:t xml:space="preserve">Travis Howe</x:t>
  </x:si>
  <x:si>
    <x:t xml:space="preserve">Nick Cicek</x:t>
  </x:si>
  <x:si>
    <x:t xml:space="preserve">Cole Reinhardt</x:t>
  </x:si>
  <x:si>
    <x:t xml:space="preserve">Alex Nylander</x:t>
  </x:si>
  <x:si>
    <x:t xml:space="preserve">Dylan Anhorn</x:t>
  </x:si>
  <x:si>
    <x:t xml:space="preserve">Dominik Shine</x:t>
  </x:si>
  <x:si>
    <x:t xml:space="preserve">Luke Prokop</x:t>
  </x:si>
  <x:si>
    <x:t xml:space="preserve">Kevin Gravel</x:t>
  </x:si>
  <x:si>
    <x:t xml:space="preserve">Jaroslav Chmelar (R)</x:t>
  </x:si>
  <x:si>
    <x:t xml:space="preserve">Zach Aston-Reese</x:t>
  </x:si>
  <x:si>
    <x:t xml:space="preserve">Travis Boyd</x:t>
  </x:si>
  <x:si>
    <x:t xml:space="preserve">Austin Strand</x:t>
  </x:si>
  <x:si>
    <x:t xml:space="preserve">Ty Nelson (R)</x:t>
  </x:si>
  <x:si>
    <x:t xml:space="preserve">Stephen Halliday (R)</x:t>
  </x:si>
  <x:si>
    <x:t xml:space="preserve">Curtis McKenzie</x:t>
  </x:si>
  <x:si>
    <x:t xml:space="preserve">Max Jones</x:t>
  </x:si>
  <x:si>
    <x:t xml:space="preserve">Luca Cagnoni (R)</x:t>
  </x:si>
  <x:si>
    <x:t xml:space="preserve">Nikolas Brouillard</x:t>
  </x:si>
  <x:si>
    <x:t xml:space="preserve">Christian Kyrou</x:t>
  </x:si>
  <x:si>
    <x:t xml:space="preserve">Wyatt Newpower</x:t>
  </x:si>
  <x:si>
    <x:t xml:space="preserve">Artyom Duda (R)</x:t>
  </x:si>
  <x:si>
    <x:t xml:space="preserve">Jansen Harkins</x:t>
  </x:si>
  <x:si>
    <x:t xml:space="preserve">Kirill Kudryavtsev (R)</x:t>
  </x:si>
  <x:si>
    <x:t xml:space="preserve">Rutger McGroarty (R)</x:t>
  </x:si>
  <x:si>
    <x:t xml:space="preserve">Sebastien Aho</x:t>
  </x:si>
  <x:si>
    <x:t xml:space="preserve">Ryan Winterton</x:t>
  </x:si>
  <x:si>
    <x:t xml:space="preserve">Tobie Bisson</x:t>
  </x:si>
  <x:si>
    <x:t xml:space="preserve">Patrick Brown</x:t>
  </x:si>
  <x:si>
    <x:t xml:space="preserve">Aleksi Heimosalmi (R)</x:t>
  </x:si>
  <x:si>
    <x:t xml:space="preserve">Rodrigo Abols</x:t>
  </x:si>
  <x:si>
    <x:t xml:space="preserve">Arthur Kaliyev</x:t>
  </x:si>
  <x:si>
    <x:t xml:space="preserve">Maksymilian Szuber</x:t>
  </x:si>
  <x:si>
    <x:t xml:space="preserve">Nolan Foote</x:t>
  </x:si>
  <x:si>
    <x:t xml:space="preserve">Billy Sweezey</x:t>
  </x:si>
  <x:si>
    <x:t xml:space="preserve">Calen Addison</x:t>
  </x:si>
  <x:si>
    <x:t xml:space="preserve">Mikulas Hovorka</x:t>
  </x:si>
  <x:si>
    <x:t xml:space="preserve">Bradly Nadeau (R)</x:t>
  </x:si>
  <x:si>
    <x:t xml:space="preserve">Alex Turcotte</x:t>
  </x:si>
  <x:si>
    <x:t xml:space="preserve">Oliver Bonk (R)</x:t>
  </x:si>
  <x:si>
    <x:t xml:space="preserve">Montana Onyebuchi</x:t>
  </x:si>
  <x:si>
    <x:t xml:space="preserve">Austin Poganski</x:t>
  </x:si>
  <x:si>
    <x:t xml:space="preserve">Daniil But (R)</x:t>
  </x:si>
  <x:si>
    <x:t xml:space="preserve">Bryce Montgomery (R)</x:t>
  </x:si>
  <x:si>
    <x:t xml:space="preserve">Justin Robidas (R)</x:t>
  </x:si>
  <x:si>
    <x:t xml:space="preserve">Brian Halonen</x:t>
  </x:si>
  <x:si>
    <x:t xml:space="preserve">Nate Danielson (R)</x:t>
  </x:si>
  <x:si>
    <x:t xml:space="preserve">Brett Seney</x:t>
  </x:si>
  <x:si>
    <x:t xml:space="preserve">Scooter Brickey</x:t>
  </x:si>
  <x:si>
    <x:t xml:space="preserve">Jack Finley (R)</x:t>
  </x:si>
  <x:si>
    <x:t xml:space="preserve">Colin Felix</x:t>
  </x:si>
  <x:si>
    <x:t xml:space="preserve">Mikael Pyyhtia</x:t>
  </x:si>
  <x:si>
    <x:t xml:space="preserve">Owen Sillinger</x:t>
  </x:si>
  <x:si>
    <x:t xml:space="preserve">Luke Rowe</x:t>
  </x:si>
  <x:si>
    <x:t xml:space="preserve">Nick Abruzzese</x:t>
  </x:si>
  <x:si>
    <x:t xml:space="preserve">Matt Luff</x:t>
  </x:si>
  <x:si>
    <x:t xml:space="preserve">Ty Gallagher (R)</x:t>
  </x:si>
  <x:si>
    <x:t xml:space="preserve">Joseph LaBate</x:t>
  </x:si>
  <x:si>
    <x:t xml:space="preserve">Cole McWard</x:t>
  </x:si>
  <x:si>
    <x:t xml:space="preserve">Vinni Lettieri</x:t>
  </x:si>
  <x:si>
    <x:t xml:space="preserve">Ryan Schmelzer</x:t>
  </x:si>
  <x:si>
    <x:t xml:space="preserve">Travis Mitchell</x:t>
  </x:si>
  <x:si>
    <x:t xml:space="preserve">Jack Anderson (R)</x:t>
  </x:si>
  <x:si>
    <x:t xml:space="preserve">Wyatt Aamodt</x:t>
  </x:si>
  <x:si>
    <x:t xml:space="preserve">Jacob Quillan (R)</x:t>
  </x:si>
  <x:si>
    <x:t xml:space="preserve">Chris Terry</x:t>
  </x:si>
  <x:si>
    <x:t xml:space="preserve">Jayson Megna</x:t>
  </x:si>
  <x:si>
    <x:t xml:space="preserve">Brad Lambert (R)</x:t>
  </x:si>
  <x:si>
    <x:t xml:space="preserve">Aaron Ness</x:t>
  </x:si>
  <x:si>
    <x:t xml:space="preserve">Justin Dowling</x:t>
  </x:si>
  <x:si>
    <x:t xml:space="preserve">Luke Krys</x:t>
  </x:si>
  <x:si>
    <x:t xml:space="preserve">Lucas Johansen</x:t>
  </x:si>
  <x:si>
    <x:t xml:space="preserve">Trevor Connelly (R)</x:t>
  </x:si>
  <x:si>
    <x:t xml:space="preserve">Sam Colangelo</x:t>
  </x:si>
  <x:si>
    <x:t xml:space="preserve">Owen Beck</x:t>
  </x:si>
  <x:si>
    <x:t xml:space="preserve">Austin Watson</x:t>
  </x:si>
  <x:si>
    <x:t xml:space="preserve">Angus Booth (R)</x:t>
  </x:si>
  <x:si>
    <x:t xml:space="preserve">Gavin Brindley (R)</x:t>
  </x:si>
  <x:si>
    <x:t xml:space="preserve">Maxence Guenette</x:t>
  </x:si>
  <x:si>
    <x:t xml:space="preserve">Jeremy Poirier</x:t>
  </x:si>
  <x:si>
    <x:t xml:space="preserve">Mason Geertsen</x:t>
  </x:si>
  <x:si>
    <x:t xml:space="preserve">Lenni Hameenaho (R)</x:t>
  </x:si>
  <x:si>
    <x:t xml:space="preserve">Jonathan Lekkerimaki (R)</x:t>
  </x:si>
  <x:si>
    <x:t xml:space="preserve">Alex Gagne (R)</x:t>
  </x:si>
  <x:si>
    <x:t xml:space="preserve">Noah Philp (R)</x:t>
  </x:si>
  <x:si>
    <x:t xml:space="preserve">Taige Harding (R)</x:t>
  </x:si>
  <x:si>
    <x:t xml:space="preserve">Gavin Bayreuther</x:t>
  </x:si>
  <x:si>
    <x:t xml:space="preserve">Rory Kerins</x:t>
  </x:si>
  <x:si>
    <x:t xml:space="preserve">Will Zmolek</x:t>
  </x:si>
  <x:si>
    <x:t xml:space="preserve">Jack Rathbone</x:t>
  </x:si>
  <x:si>
    <x:t xml:space="preserve">Quinn Hutson</x:t>
  </x:si>
  <x:si>
    <x:t xml:space="preserve">Isaac Howard (R)</x:t>
  </x:si>
  <x:si>
    <x:t xml:space="preserve">John Beecher</x:t>
  </x:si>
  <x:si>
    <x:t xml:space="preserve">Sandis Vilmanis (R)</x:t>
  </x:si>
  <x:si>
    <x:t xml:space="preserve">Jimmy Schuldt</x:t>
  </x:si>
  <x:si>
    <x:t xml:space="preserve">Jackson Edward (R)</x:t>
  </x:si>
  <x:si>
    <x:t xml:space="preserve">Corson Ceulemans</x:t>
  </x:si>
  <x:si>
    <x:t xml:space="preserve">Nicolas Aube-Kubel</x:t>
  </x:si>
  <x:si>
    <x:t xml:space="preserve">Adam Ginning</x:t>
  </x:si>
  <x:si>
    <x:t xml:space="preserve">Nikita Chibrikov (R)</x:t>
  </x:si>
  <x:si>
    <x:t xml:space="preserve">MacKenzie MacEachern</x:t>
  </x:si>
  <x:si>
    <x:t xml:space="preserve">Noah Warren (R)</x:t>
  </x:si>
  <x:si>
    <x:t xml:space="preserve">Hudson Fasching</x:t>
  </x:si>
  <x:si>
    <x:t xml:space="preserve">Ozzy Wiesblatt (R)</x:t>
  </x:si>
  <x:si>
    <x:t xml:space="preserve">Michael Callahan</x:t>
  </x:si>
  <x:si>
    <x:t xml:space="preserve">David Spacek</x:t>
  </x:si>
  <x:si>
    <x:t xml:space="preserve">Mattias Havelid (R)</x:t>
  </x:si>
  <x:si>
    <x:t xml:space="preserve">Landon Slaggert</x:t>
  </x:si>
  <x:si>
    <x:t xml:space="preserve">Marc-Andre Gaudet (R)</x:t>
  </x:si>
  <x:si>
    <x:t xml:space="preserve">Taylor Makar (R)</x:t>
  </x:si>
  <x:si>
    <x:t xml:space="preserve">Ville Heinola</x:t>
  </x:si>
  <x:si>
    <x:t xml:space="preserve">Stanislav Svozil</x:t>
  </x:si>
  <x:si>
    <x:t xml:space="preserve">Garrett Wilson</x:t>
  </x:si>
  <x:si>
    <x:t xml:space="preserve">Ryan Johnson</x:t>
  </x:si>
  <x:si>
    <x:t xml:space="preserve">Samuel Johannesson (R)</x:t>
  </x:si>
  <x:si>
    <x:t xml:space="preserve">Mitchell Vande Sompel</x:t>
  </x:si>
  <x:si>
    <x:t xml:space="preserve">Julien Gauthier</x:t>
  </x:si>
  <x:si>
    <x:t xml:space="preserve">Caleb MacDonald (R)</x:t>
  </x:si>
  <x:si>
    <x:t xml:space="preserve">Georgii Merkulov</x:t>
  </x:si>
  <x:si>
    <x:t xml:space="preserve">T.J. Tynan</x:t>
  </x:si>
  <x:si>
    <x:t xml:space="preserve">Curtis Douglas (R)</x:t>
  </x:si>
  <x:si>
    <x:t xml:space="preserve">William Wallinder</x:t>
  </x:si>
  <x:si>
    <x:t xml:space="preserve">Noah Chadwick (R)</x:t>
  </x:si>
  <x:si>
    <x:t xml:space="preserve">Marshall Warren</x:t>
  </x:si>
  <x:si>
    <x:t xml:space="preserve">Marek Alscher (R)</x:t>
  </x:si>
  <x:si>
    <x:t xml:space="preserve">Josh Jacobs (R)</x:t>
  </x:si>
  <x:si>
    <x:t xml:space="preserve">Isak Rosen (R)</x:t>
  </x:si>
  <x:si>
    <x:t xml:space="preserve">Filip Bystedt</x:t>
  </x:si>
  <x:si>
    <x:t xml:space="preserve">Martin Frk</x:t>
  </x:si>
  <x:si>
    <x:t xml:space="preserve">Travis Dermott</x:t>
  </x:si>
  <x:si>
    <x:t xml:space="preserve">Anthony Richard</x:t>
  </x:si>
  <x:si>
    <x:t xml:space="preserve">Brett Berard</x:t>
  </x:si>
  <x:si>
    <x:t xml:space="preserve">Josh Dunne</x:t>
  </x:si>
  <x:si>
    <x:t xml:space="preserve">Joe Fleming (R)</x:t>
  </x:si>
  <x:si>
    <x:t xml:space="preserve">Adam Edstrom</x:t>
  </x:si>
  <x:si>
    <x:t xml:space="preserve">Parker Ford (R)</x:t>
  </x:si>
  <x:si>
    <x:t xml:space="preserve">Ludvig Jansson (R)</x:t>
  </x:si>
  <x:si>
    <x:t xml:space="preserve">Matteo Pietroniro</x:t>
  </x:si>
  <x:si>
    <x:t xml:space="preserve">Simon Lundmark</x:t>
  </x:si>
  <x:si>
    <x:t xml:space="preserve">Djibril Toure (R)</x:t>
  </x:si>
  <x:si>
    <x:t xml:space="preserve">David Breazeale (R)</x:t>
  </x:si>
  <x:si>
    <x:t xml:space="preserve">Dmitri Kuzmin</x:t>
  </x:si>
  <x:si>
    <x:t xml:space="preserve">Ryan Chesley (R)</x:t>
  </x:si>
  <x:si>
    <x:t xml:space="preserve">Jack Millar</x:t>
  </x:si>
  <x:si>
    <x:t xml:space="preserve">Michael Karow</x:t>
  </x:si>
  <x:si>
    <x:t xml:space="preserve">Josh Samanski (R)</x:t>
  </x:si>
  <x:si>
    <x:t xml:space="preserve">Luca Marrelli (R)</x:t>
  </x:si>
  <x:si>
    <x:t xml:space="preserve">Nikita Grebenkin (R)</x:t>
  </x:si>
  <x:si>
    <x:t xml:space="preserve">Tyson Hinds</x:t>
  </x:si>
  <x:si>
    <x:t xml:space="preserve">Michael Pezzetta</x:t>
  </x:si>
  <x:si>
    <x:t xml:space="preserve">Zakhar Bardakov (R)</x:t>
  </x:si>
  <x:si>
    <x:t xml:space="preserve">Dmitri Osipov</x:t>
  </x:si>
  <x:si>
    <x:t xml:space="preserve">Ivan Miroshnichenko</x:t>
  </x:si>
  <x:si>
    <x:t xml:space="preserve">Jared Davidson (R)</x:t>
  </x:si>
  <x:si>
    <x:t xml:space="preserve">Matt Rempe</x:t>
  </x:si>
  <x:si>
    <x:t xml:space="preserve">Robbie Russo</x:t>
  </x:si>
  <x:si>
    <x:t xml:space="preserve">Ryan Mast</x:t>
  </x:si>
  <x:si>
    <x:t xml:space="preserve">Jordan Harris</x:t>
  </x:si>
  <x:si>
    <x:t xml:space="preserve">Brennan Othmann</x:t>
  </x:si>
  <x:si>
    <x:t xml:space="preserve">Zack MacEwen</x:t>
  </x:si>
  <x:si>
    <x:t xml:space="preserve">Nikita Alexandrov</x:t>
  </x:si>
  <x:si>
    <x:t xml:space="preserve">Dominic Toninato</x:t>
  </x:si>
  <x:si>
    <x:t xml:space="preserve">Jon McDonald</x:t>
  </x:si>
  <x:si>
    <x:t xml:space="preserve">Jakub Dvorak (R)</x:t>
  </x:si>
  <x:si>
    <x:t xml:space="preserve">Brandon Scanlin</x:t>
  </x:si>
  <x:si>
    <x:t xml:space="preserve">Tim Rego</x:t>
  </x:si>
  <x:si>
    <x:t xml:space="preserve">Philip Waugh</x:t>
  </x:si>
  <x:si>
    <x:t xml:space="preserve">Jack Matier</x:t>
  </x:si>
  <x:si>
    <x:t xml:space="preserve">Ronan Seeley</x:t>
  </x:si>
  <x:si>
    <x:t xml:space="preserve">Cavan Fitzgerald</x:t>
  </x:si>
  <x:si>
    <x:t xml:space="preserve">Ville Ottavainen</x:t>
  </x:si>
  <x:si>
    <x:t xml:space="preserve">Alex Barre-Boulet</x:t>
  </x:si>
  <x:si>
    <x:t xml:space="preserve">Rem Pitlick</x:t>
  </x:si>
  <x:si>
    <x:t xml:space="preserve">Carson Meyer</x:t>
  </x:si>
  <x:si>
    <x:t xml:space="preserve">Jack Studnicka</x:t>
  </x:si>
  <x:si>
    <x:t xml:space="preserve">Tristan Bertucci (R)</x:t>
  </x:si>
  <x:si>
    <x:t xml:space="preserve">Carter Mazur</x:t>
  </x:si>
  <x:si>
    <x:t xml:space="preserve">Felix Unger Sorum (R)</x:t>
  </x:si>
  <x:si>
    <x:t xml:space="preserve">Olle Lycksell</x:t>
  </x:si>
  <x:si>
    <x:t xml:space="preserve">Ville Koivunen (R)</x:t>
  </x:si>
  <x:si>
    <x:t xml:space="preserve">Matthew Poitras</x:t>
  </x:si>
  <x:si>
    <x:t xml:space="preserve">Luca Pinelli (R)</x:t>
  </x:si>
  <x:si>
    <x:t xml:space="preserve">Jett Woo</x:t>
  </x:si>
  <x:si>
    <x:t xml:space="preserve">Zach Uens (R)</x:t>
  </x:si>
  <x:si>
    <x:t xml:space="preserve">Jarod Crespo (R)</x:t>
  </x:si>
  <x:si>
    <x:t xml:space="preserve">Nick Leivermann</x:t>
  </x:si>
  <x:si>
    <x:t xml:space="preserve">Alex Kannok Leipert</x:t>
  </x:si>
  <x:si>
    <x:t xml:space="preserve">Cameron Crotty</x:t>
  </x:si>
  <x:si>
    <x:t xml:space="preserve">Blake Hillman</x:t>
  </x:si>
  <x:si>
    <x:t xml:space="preserve">Jimmy Huntington</x:t>
  </x:si>
  <x:si>
    <x:t xml:space="preserve">Michael Buchinger (R)</x:t>
  </x:si>
  <x:si>
    <x:t xml:space="preserve">Sean Behrens (R)</x:t>
  </x:si>
  <x:si>
    <x:t xml:space="preserve">Daniel Laatsch (R)</x:t>
  </x:si>
  <x:si>
    <x:t xml:space="preserve">Cam Lund (R)</x:t>
  </x:si>
  <x:si>
    <x:t xml:space="preserve">Gavin White</x:t>
  </x:si>
  <x:si>
    <x:t xml:space="preserve">Joe Arntsen (R)</x:t>
  </x:si>
  <x:si>
    <x:t xml:space="preserve">Andrew Gibson (R)</x:t>
  </x:si>
  <x:si>
    <x:t xml:space="preserve">Eduards Tralmaks</x:t>
  </x:si>
  <x:si>
    <x:t xml:space="preserve">Tanner Molendyk (R)</x:t>
  </x:si>
  <x:si>
    <x:t xml:space="preserve">Roman Schmidt</x:t>
  </x:si>
  <x:si>
    <x:t xml:space="preserve">David Gustafsson</x:t>
  </x:si>
  <x:si>
    <x:t xml:space="preserve">Adam Beckman</x:t>
  </x:si>
  <x:si>
    <x:t xml:space="preserve">Guillaume Richard (R)</x:t>
  </x:si>
  <x:si>
    <x:t xml:space="preserve">Arshdeep Bains</x:t>
  </x:si>
  <x:si>
    <x:t xml:space="preserve">Akil Thomas</x:t>
  </x:si>
  <x:si>
    <x:t xml:space="preserve">Andre Lee</x:t>
  </x:si>
  <x:si>
    <x:t xml:space="preserve">Ben McCartney</x:t>
  </x:si>
  <x:si>
    <x:t xml:space="preserve">Fabian Lysell</x:t>
  </x:si>
  <x:si>
    <x:t xml:space="preserve">Liam Foudy</x:t>
  </x:si>
  <x:si>
    <x:t xml:space="preserve">Valtteri Puustinen</x:t>
  </x:si>
  <x:si>
    <x:t xml:space="preserve">Tyler Motte</x:t>
  </x:si>
  <x:si>
    <x:t xml:space="preserve">Viliam Kmec (R)</x:t>
  </x:si>
  <x:si>
    <x:t xml:space="preserve">Amadeus Lombardi</x:t>
  </x:si>
  <x:si>
    <x:t xml:space="preserve">Braden Hache (R)</x:t>
  </x:si>
  <x:si>
    <x:t xml:space="preserve">Xavier Bernard</x:t>
  </x:si>
  <x:si>
    <x:t xml:space="preserve">Jack Peart</x:t>
  </x:si>
  <x:si>
    <x:t xml:space="preserve">Tristan Broz (R)</x:t>
  </x:si>
  <x:si>
    <x:t xml:space="preserve">Tyson Feist</x:t>
  </x:si>
  <x:si>
    <x:t xml:space="preserve">Brandon Baddock</x:t>
  </x:si>
  <x:si>
    <x:t xml:space="preserve">Reilly Webb</x:t>
  </x:si>
  <x:si>
    <x:t xml:space="preserve">Quentin Musty (R)</x:t>
  </x:si>
  <x:si>
    <x:t xml:space="preserve">Matej Blumel (R)</x:t>
  </x:si>
  <x:si>
    <x:t xml:space="preserve">Vincent Arseneau</x:t>
  </x:si>
  <x:si>
    <x:t xml:space="preserve">Josiah Didier</x:t>
  </x:si>
  <x:si>
    <x:t xml:space="preserve">Kirill Kirsanov (R)</x:t>
  </x:si>
  <x:si>
    <x:t xml:space="preserve">Christopher Merisier-Ortiz (R)</x:t>
  </x:si>
  <x:si>
    <x:t xml:space="preserve">Ethan Edwards (R)</x:t>
  </x:si>
  <x:si>
    <x:t xml:space="preserve">Colton Huard (R)</x:t>
  </x:si>
  <x:si>
    <x:t xml:space="preserve">Kaden Hammell (R)</x:t>
  </x:si>
  <x:si>
    <x:t xml:space="preserve">Judd Caulfield</x:t>
  </x:si>
  <x:si>
    <x:t xml:space="preserve">Ty Murchison (R)</x:t>
  </x:si>
  <x:si>
    <x:t xml:space="preserve">Garrett Pyke (R)</x:t>
  </x:si>
  <x:si>
    <x:t xml:space="preserve">Jagger Firkus (R)</x:t>
  </x:si>
  <x:si>
    <x:t xml:space="preserve">Oliver Wahlstrom</x:t>
  </x:si>
  <x:si>
    <x:t xml:space="preserve">Nathan Smith</x:t>
  </x:si>
  <x:si>
    <x:t xml:space="preserve">Mikael Diotte (R)</x:t>
  </x:si>
  <x:si>
    <x:t xml:space="preserve">Eamon Powell (R)</x:t>
  </x:si>
  <x:si>
    <x:t xml:space="preserve">Marc McLaughlin</x:t>
  </x:si>
  <x:si>
    <x:t xml:space="preserve">Bryan Yoon</x:t>
  </x:si>
  <x:si>
    <x:t xml:space="preserve">Sawyer Mynio (R)</x:t>
  </x:si>
  <x:si>
    <x:t xml:space="preserve">Hunter Skinner</x:t>
  </x:si>
  <x:si>
    <x:t xml:space="preserve">Ethan Samson</x:t>
  </x:si>
  <x:si>
    <x:t xml:space="preserve">Jack Becker</x:t>
  </x:si>
  <x:si>
    <x:t xml:space="preserve">Chase Pietila (R)</x:t>
  </x:si>
  <x:si>
    <x:t xml:space="preserve">Ben Berard</x:t>
  </x:si>
  <x:si>
    <x:t xml:space="preserve">Cade Webber (R)</x:t>
  </x:si>
  <x:si>
    <x:t xml:space="preserve">Leon Muggli (R)</x:t>
  </x:si>
  <x:si>
    <x:t xml:space="preserve">Kenny Connors (R)</x:t>
  </x:si>
  <x:si>
    <x:t xml:space="preserve">Ty Mueller (R)</x:t>
  </x:si>
  <x:si>
    <x:t xml:space="preserve">Viljami Marjala (R)</x:t>
  </x:si>
  <x:si>
    <x:t xml:space="preserve">Trey Fix-Wolansky</x:t>
  </x:si>
  <x:si>
    <x:t xml:space="preserve">Sasha Pastujov</x:t>
  </x:si>
  <x:si>
    <x:t xml:space="preserve">Konsta Helenius (R)</x:t>
  </x:si>
  <x:si>
    <x:t xml:space="preserve">William Stromgren</x:t>
  </x:si>
  <x:si>
    <x:t xml:space="preserve">Marshall Rifai</x:t>
  </x:si>
  <x:si>
    <x:t xml:space="preserve">Vsevolod Komarov (R)</x:t>
  </x:si>
  <x:si>
    <x:t xml:space="preserve">Trey Taylor (R)</x:t>
  </x:si>
  <x:si>
    <x:t xml:space="preserve">Ole Julian Bjorgvik Holm</x:t>
  </x:si>
  <x:si>
    <x:t xml:space="preserve">Ryan O'Rourke</x:t>
  </x:si>
  <x:si>
    <x:t xml:space="preserve">Damien Carfagna (R)</x:t>
  </x:si>
  <x:si>
    <x:t xml:space="preserve">Jake Furlong (R)</x:t>
  </x:si>
  <x:si>
    <x:t xml:space="preserve">Cole Guttman</x:t>
  </x:si>
  <x:si>
    <x:t xml:space="preserve">Wojciech Stachowiak</x:t>
  </x:si>
  <x:si>
    <x:t xml:space="preserve">Cameron Hebig</x:t>
  </x:si>
  <x:si>
    <x:t xml:space="preserve">David Gucciardi (R)</x:t>
  </x:si>
  <x:si>
    <x:t xml:space="preserve">Tyson Gross (R)</x:t>
  </x:si>
  <x:si>
    <x:t xml:space="preserve">Jorian Donovan (R)</x:t>
  </x:si>
  <x:si>
    <x:t xml:space="preserve">Kai Uchacz (R)</x:t>
  </x:si>
  <x:si>
    <x:t xml:space="preserve">Isaac Belliveau</x:t>
  </x:si>
  <x:si>
    <x:t xml:space="preserve">Oscar Fisker Molgaard (R)</x:t>
  </x:si>
  <x:si>
    <x:t xml:space="preserve">William Trudeau</x:t>
  </x:si>
  <x:si>
    <x:t xml:space="preserve">Turner Ottenbreit</x:t>
  </x:si>
  <x:si>
    <x:t xml:space="preserve">Aiden Hansen-Bukata (R)</x:t>
  </x:si>
  <x:si>
    <x:t xml:space="preserve">D.J. King (R)</x:t>
  </x:si>
  <x:si>
    <x:t xml:space="preserve">Bogdan Trineyev</x:t>
  </x:si>
  <x:si>
    <x:t xml:space="preserve">Brendan Furry</x:t>
  </x:si>
  <x:si>
    <x:t xml:space="preserve">Artyom Grushnikov</x:t>
  </x:si>
  <x:si>
    <x:t xml:space="preserve">Beau Akey (R)</x:t>
  </x:si>
  <x:si>
    <x:t xml:space="preserve">Bokondji Imama</x:t>
  </x:si>
  <x:si>
    <x:t xml:space="preserve">Jaret Anderson-Dolan</x:t>
  </x:si>
  <x:si>
    <x:t xml:space="preserve">Hunter McDonald</x:t>
  </x:si>
  <x:si>
    <x:t xml:space="preserve">Martin Chromiak</x:t>
  </x:si>
  <x:si>
    <x:t xml:space="preserve">Xavier Bourgault</x:t>
  </x:si>
  <x:si>
    <x:t xml:space="preserve">Dominik Badinka (R)</x:t>
  </x:si>
  <x:si>
    <x:t xml:space="preserve">Cole Clayton</x:t>
  </x:si>
  <x:si>
    <x:t xml:space="preserve">Carson Lambos</x:t>
  </x:si>
  <x:si>
    <x:t xml:space="preserve">Aleksanteri Kaskimaki (R)</x:t>
  </x:si>
  <x:si>
    <x:t xml:space="preserve">Anton Wahlberg</x:t>
  </x:si>
  <x:si>
    <x:t xml:space="preserve">Nikita Novikov</x:t>
  </x:si>
  <x:si>
    <x:t xml:space="preserve">Dylan Duke</x:t>
  </x:si>
  <x:si>
    <x:t xml:space="preserve">Calle Odelius (R)</x:t>
  </x:si>
  <x:si>
    <x:t xml:space="preserve">Matt Basgall (R)</x:t>
  </x:si>
  <x:si>
    <x:t xml:space="preserve">Logan Morrison</x:t>
  </x:si>
  <x:si>
    <x:t xml:space="preserve">Matthew Phillips</x:t>
  </x:si>
  <x:si>
    <x:t xml:space="preserve">Joshua Roy</x:t>
  </x:si>
  <x:si>
    <x:t xml:space="preserve">Sean Farrell</x:t>
  </x:si>
  <x:si>
    <x:t xml:space="preserve">Aidan McDonough</x:t>
  </x:si>
  <x:si>
    <x:t xml:space="preserve">Gustav Stjernberg (R)</x:t>
  </x:si>
  <x:si>
    <x:t xml:space="preserve">Leo Loof</x:t>
  </x:si>
  <x:si>
    <x:t xml:space="preserve">Walker Duehr</x:t>
  </x:si>
  <x:si>
    <x:t xml:space="preserve">Cooper Moore</x:t>
  </x:si>
  <x:si>
    <x:t xml:space="preserve">Nils Aman</x:t>
  </x:si>
  <x:si>
    <x:t xml:space="preserve">Ryan Suzuki</x:t>
  </x:si>
  <x:si>
    <x:t xml:space="preserve">Brandon Hickey</x:t>
  </x:si>
  <x:si>
    <x:t xml:space="preserve">Sam Poulin</x:t>
  </x:si>
  <x:si>
    <x:t xml:space="preserve">Andrew Cristall (R)</x:t>
  </x:si>
  <x:si>
    <x:t xml:space="preserve">Cooper Marody</x:t>
  </x:si>
  <x:si>
    <x:t xml:space="preserve">Angus Crookshank</x:t>
  </x:si>
  <x:si>
    <x:t xml:space="preserve">Alex Gallant</x:t>
  </x:si>
  <x:si>
    <x:t xml:space="preserve">Samuel Walker</x:t>
  </x:si>
  <x:si>
    <x:t xml:space="preserve">Kevin Lombardi</x:t>
  </x:si>
  <x:si>
    <x:t xml:space="preserve">Tanner Howe (R)</x:t>
  </x:si>
  <x:si>
    <x:t xml:space="preserve">Sam Morton</x:t>
  </x:si>
  <x:si>
    <x:t xml:space="preserve">Ben Hemmerling (R)</x:t>
  </x:si>
  <x:si>
    <x:t xml:space="preserve">Mason Millman</x:t>
  </x:si>
  <x:si>
    <x:t xml:space="preserve">Alex Jefferies</x:t>
  </x:si>
  <x:si>
    <x:t xml:space="preserve">Dans Locmelis (R)</x:t>
  </x:si>
  <x:si>
    <x:t xml:space="preserve">Matthew Maggio</x:t>
  </x:si>
  <x:si>
    <x:t xml:space="preserve">Christian Felton (R)</x:t>
  </x:si>
  <x:si>
    <x:t xml:space="preserve">John Gormley (R)</x:t>
  </x:si>
  <x:si>
    <x:t xml:space="preserve">Ryan Tverberg</x:t>
  </x:si>
  <x:si>
    <x:t xml:space="preserve">Maximus Wanner</x:t>
  </x:si>
  <x:si>
    <x:t xml:space="preserve">Wilmer Skoog</x:t>
  </x:si>
  <x:si>
    <x:t xml:space="preserve">Riley McCourt (R)</x:t>
  </x:si>
  <x:si>
    <x:t xml:space="preserve">Frank Djurasevic (R)</x:t>
  </x:si>
  <x:si>
    <x:t xml:space="preserve">Nikita Prishchepov (R)</x:t>
  </x:si>
  <x:si>
    <x:t xml:space="preserve">Artem Shlaine (R)</x:t>
  </x:si>
  <x:si>
    <x:t xml:space="preserve">Case McCarthy</x:t>
  </x:si>
  <x:si>
    <x:t xml:space="preserve">John Prokop (R)</x:t>
  </x:si>
  <x:si>
    <x:t xml:space="preserve">Roman Kinal</x:t>
  </x:si>
  <x:si>
    <x:t xml:space="preserve">William Riedell</x:t>
  </x:si>
  <x:si>
    <x:t xml:space="preserve">Nikita Pavlychev</x:t>
  </x:si>
  <x:si>
    <x:t xml:space="preserve">Philippe Daoust</x:t>
  </x:si>
  <x:si>
    <x:t xml:space="preserve">Clark Bishop</x:t>
  </x:si>
  <x:si>
    <x:t xml:space="preserve">Drake Burgin (R)</x:t>
  </x:si>
  <x:si>
    <x:t xml:space="preserve">Robby Drazner (R)</x:t>
  </x:si>
  <x:si>
    <x:t xml:space="preserve">Lleyton Moore</x:t>
  </x:si>
  <x:si>
    <x:t xml:space="preserve">Brandon Holt (R)</x:t>
  </x:si>
  <x:si>
    <x:t xml:space="preserve">Isaac Ratcliffe</x:t>
  </x:si>
  <x:si>
    <x:t xml:space="preserve">Valtteri Piironen (R)</x:t>
  </x:si>
  <x:si>
    <x:t xml:space="preserve">Thomas Bergsland (R)</x:t>
  </x:si>
  <x:si>
    <x:t xml:space="preserve">Pierrick Dube</x:t>
  </x:si>
  <x:si>
    <x:t xml:space="preserve">Spencer Smallman</x:t>
  </x:si>
  <x:si>
    <x:t xml:space="preserve">Nathan Clurman</x:t>
  </x:si>
  <x:si>
    <x:t xml:space="preserve">Tye Felhaber</x:t>
  </x:si>
  <x:si>
    <x:t xml:space="preserve">Kale Kessy</x:t>
  </x:si>
  <x:si>
    <x:t xml:space="preserve">Gracyn Sawchyn (R)</x:t>
  </x:si>
  <x:si>
    <x:t xml:space="preserve">Chris Hedden (R)</x:t>
  </x:si>
  <x:si>
    <x:t xml:space="preserve">Ben Steeves</x:t>
  </x:si>
  <x:si>
    <x:t xml:space="preserve">Cole O'Hara (R)</x:t>
  </x:si>
  <x:si>
    <x:t xml:space="preserve">Simon Mack (R)</x:t>
  </x:si>
  <x:si>
    <x:t xml:space="preserve">Lucas Vanroboys</x:t>
  </x:si>
  <x:si>
    <x:t xml:space="preserve">Aidan Fulp</x:t>
  </x:si>
  <x:si>
    <x:t xml:space="preserve">Cross Hanas</x:t>
  </x:si>
  <x:si>
    <x:t xml:space="preserve">Christoffer Sedoff</x:t>
  </x:si>
  <x:si>
    <x:t xml:space="preserve">Nathan Gaucher</x:t>
  </x:si>
  <x:si>
    <x:t xml:space="preserve">Mike Hardman</x:t>
  </x:si>
  <x:si>
    <x:t xml:space="preserve">Matthew Strome</x:t>
  </x:si>
  <x:si>
    <x:t xml:space="preserve">Hugh McGing</x:t>
  </x:si>
  <x:si>
    <x:t xml:space="preserve">Jack Devine (R)</x:t>
  </x:si>
  <x:si>
    <x:t xml:space="preserve">Brett Chorske (R)</x:t>
  </x:si>
  <x:si>
    <x:t xml:space="preserve">Cole Krygier</x:t>
  </x:si>
  <x:si>
    <x:t xml:space="preserve">Darick Louis-Jean (R)</x:t>
  </x:si>
  <x:si>
    <x:t xml:space="preserve">Wyatte Wylie</x:t>
  </x:si>
  <x:si>
    <x:t xml:space="preserve">Jagger Joshua</x:t>
  </x:si>
  <x:si>
    <x:t xml:space="preserve">Garrett Pilon</x:t>
  </x:si>
  <x:si>
    <x:t xml:space="preserve">Skyler Brind'Amour</x:t>
  </x:si>
  <x:si>
    <x:t xml:space="preserve">Alexander Suzdalev (R)</x:t>
  </x:si>
  <x:si>
    <x:t xml:space="preserve">Tommy Miller</x:t>
  </x:si>
  <x:si>
    <x:t xml:space="preserve">Brendan Brisson</x:t>
  </x:si>
  <x:si>
    <x:t xml:space="preserve">Ethan Cardwell</x:t>
  </x:si>
  <x:si>
    <x:t xml:space="preserve">Andrew Perrott</x:t>
  </x:si>
  <x:si>
    <x:t xml:space="preserve">Mitchell Stephens</x:t>
  </x:si>
  <x:si>
    <x:t xml:space="preserve">Lleyton Roed (R)</x:t>
  </x:si>
  <x:si>
    <x:t xml:space="preserve">Graeme Clarke</x:t>
  </x:si>
  <x:si>
    <x:t xml:space="preserve">Mason Shaw</x:t>
  </x:si>
  <x:si>
    <x:t xml:space="preserve">Givani Smith</x:t>
  </x:si>
  <x:si>
    <x:t xml:space="preserve">Ryan McGregor</x:t>
  </x:si>
  <x:si>
    <x:t xml:space="preserve">Noah Beck (R)</x:t>
  </x:si>
  <x:si>
    <x:t xml:space="preserve">Joey Anderson</x:t>
  </x:si>
  <x:si>
    <x:t xml:space="preserve">Tomas Hamara (R)</x:t>
  </x:si>
  <x:si>
    <x:t xml:space="preserve">Ethan Frisch</x:t>
  </x:si>
  <x:si>
    <x:t xml:space="preserve">Dylan Roobroeck (R)</x:t>
  </x:si>
  <x:si>
    <x:t xml:space="preserve">Caden Price (R)</x:t>
  </x:si>
  <x:si>
    <x:t xml:space="preserve">Ondrej Becher (R)</x:t>
  </x:si>
  <x:si>
    <x:t xml:space="preserve">Jackson Cates</x:t>
  </x:si>
  <x:si>
    <x:t xml:space="preserve">Kole Lind</x:t>
  </x:si>
  <x:si>
    <x:t xml:space="preserve">Philip Kemp</x:t>
  </x:si>
  <x:si>
    <x:t xml:space="preserve">Dyllan Gill (R)</x:t>
  </x:si>
  <x:si>
    <x:t xml:space="preserve">Dylan Moulton (R)</x:t>
  </x:si>
  <x:si>
    <x:t xml:space="preserve">Juraj Pekarcik (R)</x:t>
  </x:si>
  <x:si>
    <x:t xml:space="preserve">Etienne Morin (R)</x:t>
  </x:si>
  <x:si>
    <x:t xml:space="preserve">Dennis Cesana</x:t>
  </x:si>
  <x:si>
    <x:t xml:space="preserve">Xavier Parent</x:t>
  </x:si>
  <x:si>
    <x:t xml:space="preserve">Anthony Vincent</x:t>
  </x:si>
  <x:si>
    <x:t xml:space="preserve">Gabe Klassen (R)</x:t>
  </x:si>
  <x:si>
    <x:t xml:space="preserve">Benjamin Zloty (R)</x:t>
  </x:si>
  <x:si>
    <x:t xml:space="preserve">Dawson Barteaux</x:t>
  </x:si>
  <x:si>
    <x:t xml:space="preserve">Tate Singleton</x:t>
  </x:si>
  <x:si>
    <x:t xml:space="preserve">Ben Dexheimer (R)</x:t>
  </x:si>
  <x:si>
    <x:t xml:space="preserve">Robert Mastrosimone</x:t>
  </x:si>
  <x:si>
    <x:t xml:space="preserve">Samu Tuomaala</x:t>
  </x:si>
  <x:si>
    <x:t xml:space="preserve">Zack Hayes</x:t>
  </x:si>
  <x:si>
    <x:t xml:space="preserve">Sean Larochelle (R)</x:t>
  </x:si>
  <x:si>
    <x:t xml:space="preserve">Quinton Burns (R)</x:t>
  </x:si>
  <x:si>
    <x:t xml:space="preserve">Brian Pinho</x:t>
  </x:si>
  <x:si>
    <x:t xml:space="preserve">Lukas Gustafsson (R)</x:t>
  </x:si>
  <x:si>
    <x:t xml:space="preserve">Chad Nychuk</x:t>
  </x:si>
  <x:si>
    <x:t xml:space="preserve">Colin Swoyer</x:t>
  </x:si>
  <x:si>
    <x:t xml:space="preserve">Tristen Nielsen</x:t>
  </x:si>
  <x:si>
    <x:t xml:space="preserve">Noah Laaouan</x:t>
  </x:si>
  <x:si>
    <x:t xml:space="preserve">Connor Punnett (R)</x:t>
  </x:si>
  <x:si>
    <x:t xml:space="preserve">Oasiz Wiesblatt (R)</x:t>
  </x:si>
  <x:si>
    <x:t xml:space="preserve">James Hamblin</x:t>
  </x:si>
  <x:si>
    <x:t xml:space="preserve">Samuel Fagemo</x:t>
  </x:si>
  <x:si>
    <x:t xml:space="preserve">Yegor Afanasyev</x:t>
  </x:si>
  <x:si>
    <x:t xml:space="preserve">Rafael Harvey-Pinard</x:t>
  </x:si>
  <x:si>
    <x:t xml:space="preserve">Troy Murray</x:t>
  </x:si>
  <x:si>
    <x:t xml:space="preserve">Ethan Gauthier (R)</x:t>
  </x:si>
  <x:si>
    <x:t xml:space="preserve">Tyrel Bauer</x:t>
  </x:si>
  <x:si>
    <x:t xml:space="preserve">Otto Salin (R)</x:t>
  </x:si>
  <x:si>
    <x:t xml:space="preserve">Hank Kempf (R)</x:t>
  </x:si>
  <x:si>
    <x:t xml:space="preserve">Patrick Giles</x:t>
  </x:si>
  <x:si>
    <x:t xml:space="preserve">William MacKinnon (R)</x:t>
  </x:si>
  <x:si>
    <x:t xml:space="preserve">Riley Fiddler-Schultz</x:t>
  </x:si>
  <x:si>
    <x:t xml:space="preserve">Jesse Pulkkinen (R)</x:t>
  </x:si>
  <x:si>
    <x:t xml:space="preserve">Daniil Gushchin</x:t>
  </x:si>
  <x:si>
    <x:t xml:space="preserve">Jonas Rondbjerg</x:t>
  </x:si>
  <x:si>
    <x:t xml:space="preserve">Lukas Dragicevic (R)</x:t>
  </x:si>
  <x:si>
    <x:t xml:space="preserve">Vincent Sevigny</x:t>
  </x:si>
  <x:si>
    <x:t xml:space="preserve">Jakub Brabenec</x:t>
  </x:si>
  <x:si>
    <x:t xml:space="preserve">Jacob Gaucher</x:t>
  </x:si>
  <x:si>
    <x:t xml:space="preserve">Trevor Kuntar</x:t>
  </x:si>
  <x:si>
    <x:t xml:space="preserve">Florian Xhekaj</x:t>
  </x:si>
  <x:si>
    <x:t xml:space="preserve">Yegor Sidorov (R)</x:t>
  </x:si>
  <x:si>
    <x:t xml:space="preserve">Evan Vierling (R)</x:t>
  </x:si>
  <x:si>
    <x:t xml:space="preserve">Viktor Neuchev</x:t>
  </x:si>
  <x:si>
    <x:t xml:space="preserve">Noel Gunler (R)</x:t>
  </x:si>
  <x:si>
    <x:t xml:space="preserve">Jakub Rychlovsky (R)</x:t>
  </x:si>
  <x:si>
    <x:t xml:space="preserve">Antonio Stranges</x:t>
  </x:si>
  <x:si>
    <x:t xml:space="preserve">Luke Tuch</x:t>
  </x:si>
  <x:si>
    <x:t xml:space="preserve">Justin Pearson</x:t>
  </x:si>
  <x:si>
    <x:t xml:space="preserve">Scott Reedy</x:t>
  </x:si>
  <x:si>
    <x:t xml:space="preserve">Tyler Angle (R)</x:t>
  </x:si>
  <x:si>
    <x:t xml:space="preserve">David Edstrom (R)</x:t>
  </x:si>
  <x:si>
    <x:t xml:space="preserve">Braiden Simmons-Fischer (R)</x:t>
  </x:si>
  <x:si>
    <x:t xml:space="preserve">Rhett Pitlick (R)</x:t>
  </x:si>
  <x:si>
    <x:t xml:space="preserve">Jan Jenik</x:t>
  </x:si>
  <x:si>
    <x:t xml:space="preserve">Joey Larson (R)</x:t>
  </x:si>
  <x:si>
    <x:t xml:space="preserve">Danila Klimovich</x:t>
  </x:si>
  <x:si>
    <x:t xml:space="preserve">Zayde Wisdom</x:t>
  </x:si>
  <x:si>
    <x:t xml:space="preserve">Jakub Stancl (R)</x:t>
  </x:si>
  <x:si>
    <x:t xml:space="preserve">Kyle McDonald</x:t>
  </x:si>
  <x:si>
    <x:t xml:space="preserve">Reese Johnson</x:t>
  </x:si>
  <x:si>
    <x:t xml:space="preserve">Luke Toporowski</x:t>
  </x:si>
  <x:si>
    <x:t xml:space="preserve">Michal Kunc (R)</x:t>
  </x:si>
  <x:si>
    <x:t xml:space="preserve">Johnny Gruden (R)</x:t>
  </x:si>
  <x:si>
    <x:t xml:space="preserve">Henry Rybinski (R)</x:t>
  </x:si>
  <x:si>
    <x:t xml:space="preserve">Francesco Pinelli</x:t>
  </x:si>
  <x:si>
    <x:t xml:space="preserve">Oscar Eklind</x:t>
  </x:si>
  <x:si>
    <x:t xml:space="preserve">Marc Johnstone</x:t>
  </x:si>
  <x:si>
    <x:t xml:space="preserve">Nathan Legare</x:t>
  </x:si>
  <x:si>
    <x:t xml:space="preserve">Alexis Gendron</x:t>
  </x:si>
  <x:si>
    <x:t xml:space="preserve">Derek Daschke</x:t>
  </x:si>
  <x:si>
    <x:t xml:space="preserve">Brendan Hoffmann (R)</x:t>
  </x:si>
  <x:si>
    <x:t xml:space="preserve">Jujhar Khaira</x:t>
  </x:si>
  <x:si>
    <x:t xml:space="preserve">Samuel Savoie (R)</x:t>
  </x:si>
  <x:si>
    <x:t xml:space="preserve">Matthew Seminoff</x:t>
  </x:si>
  <x:si>
    <x:t xml:space="preserve">Frederic Brunet</x:t>
  </x:si>
  <x:si>
    <x:t xml:space="preserve">Kasper Halttunen (R)</x:t>
  </x:si>
  <x:si>
    <x:t xml:space="preserve">Mack Oliphant (R)</x:t>
  </x:si>
  <x:si>
    <x:t xml:space="preserve">Riese Gaber (R)</x:t>
  </x:si>
  <x:si>
    <x:t xml:space="preserve">Jordan Dumais (R)</x:t>
  </x:si>
  <x:si>
    <x:t xml:space="preserve">Chase Wouters</x:t>
  </x:si>
  <x:si>
    <x:t xml:space="preserve">Jake Leschyshyn</x:t>
  </x:si>
  <x:si>
    <x:t xml:space="preserve">Tyler Tullio</x:t>
  </x:si>
  <x:si>
    <x:t xml:space="preserve">Dylan Peterson</x:t>
  </x:si>
  <x:si>
    <x:t xml:space="preserve">Oskar Olausson</x:t>
  </x:si>
  <x:si>
    <x:t xml:space="preserve">Aatu Jamsen</x:t>
  </x:si>
  <x:si>
    <x:t xml:space="preserve">Jamie Engelbert (R)</x:t>
  </x:si>
  <x:si>
    <x:t xml:space="preserve">Romain Rodzinski (R)</x:t>
  </x:si>
  <x:si>
    <x:t xml:space="preserve">Jayden Lee (R)</x:t>
  </x:si>
  <x:si>
    <x:t xml:space="preserve">James Malatesta</x:t>
  </x:si>
  <x:si>
    <x:t xml:space="preserve">Thomas Messineo (R)</x:t>
  </x:si>
  <x:si>
    <x:t xml:space="preserve">Ian McKinnon</x:t>
  </x:si>
  <x:si>
    <x:t xml:space="preserve">Gavin Hayes (R)</x:t>
  </x:si>
  <x:si>
    <x:t xml:space="preserve">Brayden Yager (R)</x:t>
  </x:si>
  <x:si>
    <x:t xml:space="preserve">Anton Blidh</x:t>
  </x:si>
  <x:si>
    <x:t xml:space="preserve">Olivier Nadeau (R)</x:t>
  </x:si>
  <x:si>
    <x:t xml:space="preserve">Tyler Boucher</x:t>
  </x:si>
  <x:si>
    <x:t xml:space="preserve">Anthony Kehrer (R)</x:t>
  </x:si>
  <x:si>
    <x:t xml:space="preserve">Matt Barbolini (R)</x:t>
  </x:si>
  <x:si>
    <x:t xml:space="preserve">Jan Mysak</x:t>
  </x:si>
  <x:si>
    <x:t xml:space="preserve">Riley McKay</x:t>
  </x:si>
  <x:si>
    <x:t xml:space="preserve">Brett Harrison</x:t>
  </x:si>
  <x:si>
    <x:t xml:space="preserve">Hunter Haight (R)</x:t>
  </x:si>
  <x:si>
    <x:t xml:space="preserve">Koehn Ziemmer (R)</x:t>
  </x:si>
  <x:si>
    <x:t xml:space="preserve">Broten Sabo (R)</x:t>
  </x:si>
  <x:si>
    <x:t xml:space="preserve">Lachlan Getz (R)</x:t>
  </x:si>
  <x:si>
    <x:t xml:space="preserve">Matyas Melovsky (R)</x:t>
  </x:si>
  <x:si>
    <x:t xml:space="preserve">Nicklas Andrews (R)</x:t>
  </x:si>
  <x:si>
    <x:t xml:space="preserve">John Farinacci</x:t>
  </x:si>
  <x:si>
    <x:t xml:space="preserve">Matyas Sapovaliv (R)</x:t>
  </x:si>
  <x:si>
    <x:t xml:space="preserve">Jason Polin</x:t>
  </x:si>
  <x:si>
    <x:t xml:space="preserve">Wyatt Bongiovanni</x:t>
  </x:si>
  <x:si>
    <x:t xml:space="preserve">Joey Abate</x:t>
  </x:si>
  <x:si>
    <x:t xml:space="preserve">Jack Williams (R)</x:t>
  </x:si>
  <x:si>
    <x:t xml:space="preserve">Dalton Smith</x:t>
  </x:si>
  <x:si>
    <x:t xml:space="preserve">Roby Jarventie</x:t>
  </x:si>
  <x:si>
    <x:t xml:space="preserve">Luke Haymes (R)</x:t>
  </x:si>
  <x:si>
    <x:t xml:space="preserve">Thomas Bordeleau</x:t>
  </x:si>
  <x:si>
    <x:t xml:space="preserve">Ivan Ivan (R)</x:t>
  </x:si>
  <x:si>
    <x:t xml:space="preserve">Jacob Doty</x:t>
  </x:si>
  <x:si>
    <x:t xml:space="preserve">Bryce McConnell-Barker (R)</x:t>
  </x:si>
  <x:si>
    <x:t xml:space="preserve">Eetu Liukas</x:t>
  </x:si>
  <x:si>
    <x:t xml:space="preserve">Cedric Pare</x:t>
  </x:si>
  <x:si>
    <x:t xml:space="preserve">Ryan McAllister</x:t>
  </x:si>
  <x:si>
    <x:t xml:space="preserve">Josiah Slavin</x:t>
  </x:si>
  <x:si>
    <x:t xml:space="preserve">Kyle Walker (R)</x:t>
  </x:si>
  <x:si>
    <x:t xml:space="preserve">Shane Lachance (R)</x:t>
  </x:si>
  <x:si>
    <x:t xml:space="preserve">Chad Hillebrand</x:t>
  </x:si>
  <x:si>
    <x:t xml:space="preserve">Cameron Berg (R)</x:t>
  </x:si>
  <x:si>
    <x:t xml:space="preserve">Simon Robertsson (R)</x:t>
  </x:si>
  <x:si>
    <x:t xml:space="preserve">Noel Nordh (R)</x:t>
  </x:si>
  <x:si>
    <x:t xml:space="preserve">Aydar Suniev (R)</x:t>
  </x:si>
  <x:si>
    <x:t xml:space="preserve">Harrison Scott (R)</x:t>
  </x:si>
  <x:si>
    <x:t xml:space="preserve">Drew Callin</x:t>
  </x:si>
  <x:si>
    <x:t xml:space="preserve">Jake Wise</x:t>
  </x:si>
  <x:si>
    <x:t xml:space="preserve">Chase Bradley (R)</x:t>
  </x:si>
  <x:si>
    <x:t xml:space="preserve">Gabriel Seger (R)</x:t>
  </x:si>
  <x:si>
    <x:t xml:space="preserve">Jake Schmaltz (R)</x:t>
  </x:si>
  <x:si>
    <x:t xml:space="preserve">Ellis Rickwood (R)</x:t>
  </x:si>
  <x:si>
    <x:t xml:space="preserve">Zach Dean</x:t>
  </x:si>
  <x:si>
    <x:t xml:space="preserve">Miko Matikka (R)</x:t>
  </x:si>
  <x:si>
    <x:t xml:space="preserve">Caedan Bankier</x:t>
  </x:si>
  <x:si>
    <x:t xml:space="preserve">Lucas Condotta</x:t>
  </x:si>
  <x:si>
    <x:t xml:space="preserve">Jalen Luypen</x:t>
  </x:si>
  <x:si>
    <x:t xml:space="preserve">Gleb Veremyev (R)</x:t>
  </x:si>
  <x:si>
    <x:t xml:space="preserve">Niko Huuhtanen (R)</x:t>
  </x:si>
  <x:si>
    <x:t xml:space="preserve">Grant Cruikshank</x:t>
  </x:si>
  <x:si>
    <x:t xml:space="preserve">Callahan Burke</x:t>
  </x:si>
  <x:si>
    <x:t xml:space="preserve">Connor Clattenburg (R)</x:t>
  </x:si>
  <x:si>
    <x:t xml:space="preserve">Colby Barlow (R)</x:t>
  </x:si>
  <x:si>
    <x:t xml:space="preserve">Nicholas Poisson (R)</x:t>
  </x:si>
  <x:si>
    <x:t xml:space="preserve">Jaxon Nelson</x:t>
  </x:si>
  <x:si>
    <x:t xml:space="preserve">Matt Stienburg</x:t>
  </x:si>
  <x:si>
    <x:t xml:space="preserve">Jack Malone</x:t>
  </x:si>
  <x:si>
    <x:t xml:space="preserve">Riley Bezeau (R)</x:t>
  </x:si>
  <x:si>
    <x:t xml:space="preserve">Kyle Crnkovic (R)</x:t>
  </x:si>
  <x:si>
    <x:t xml:space="preserve">Jack Hughes II (R)</x:t>
  </x:si>
  <x:si>
    <x:t xml:space="preserve">Neil Shea</x:t>
  </x:si>
  <x:si>
    <x:t xml:space="preserve">Xavier Simoneau</x:t>
  </x:si>
  <x:si>
    <x:t xml:space="preserve">Eriks Mateiko (R)</x:t>
  </x:si>
  <x:si>
    <x:t xml:space="preserve">Massimo Rizzo (R)</x:t>
  </x:si>
  <x:si>
    <x:t xml:space="preserve">Jon-Randall Avon</x:t>
  </x:si>
  <x:si>
    <x:t xml:space="preserve">Carson Rehkopf (R)</x:t>
  </x:si>
  <x:si>
    <x:t xml:space="preserve">Aidan Thompson (R)</x:t>
  </x:si>
  <x:si>
    <x:t xml:space="preserve">Carter King (R)</x:t>
  </x:si>
  <x:si>
    <x:t xml:space="preserve">Hunter McKown</x:t>
  </x:si>
  <x:si>
    <x:t xml:space="preserve">Noah Powell (R)</x:t>
  </x:si>
  <x:si>
    <x:t xml:space="preserve">Tristan Allard</x:t>
  </x:si>
  <x:si>
    <x:t xml:space="preserve">Tyler Thorpe (R)</x:t>
  </x:si>
  <x:si>
    <x:t xml:space="preserve">Kalan Lind (R)</x:t>
  </x:si>
  <x:si>
    <x:t xml:space="preserve">Ryder Rolston</x:t>
  </x:si>
  <x:si>
    <x:t xml:space="preserve">Matteo Costantini (R)</x:t>
  </x:si>
  <x:si>
    <x:t xml:space="preserve">Filip Mesar</x:t>
  </x:si>
  <x:si>
    <x:t xml:space="preserve">Kyler Kupka</x:t>
  </x:si>
  <x:si>
    <x:t xml:space="preserve">Vilmer Alriksson (R)</x:t>
  </x:si>
  <x:si>
    <x:t xml:space="preserve">Aaron Huglen (R)</x:t>
  </x:si>
  <x:si>
    <x:t xml:space="preserve">Ivan Ryabkin (R)</x:t>
  </x:si>
  <x:si>
    <x:t xml:space="preserve">Martin Misiak (R)</x:t>
  </x:si>
  <x:si>
    <x:t xml:space="preserve">Devin Kaplan (R)</x:t>
  </x:si>
  <x:si>
    <x:t xml:space="preserve">Jack Ricketts</x:t>
  </x:si>
  <x:si>
    <x:t xml:space="preserve">Constandino Kambeitz (R)</x:t>
  </x:si>
  <x:si>
    <x:t xml:space="preserve">Jackson Hallum (R)</x:t>
  </x:si>
  <x:si>
    <x:t xml:space="preserve">Austin Roest (R)</x:t>
  </x:si>
  <x:si>
    <x:t xml:space="preserve">Chase Stillman</x:t>
  </x:si>
  <x:si>
    <x:t xml:space="preserve">Camden Thiesing (R)</x:t>
  </x:si>
  <x:si>
    <x:t xml:space="preserve">Alexandre Doucet</x:t>
  </x:si>
  <x:si>
    <x:t xml:space="preserve">Samuel Bitten (R)</x:t>
  </x:si>
  <x:si>
    <x:t xml:space="preserve">Elliot Desnoyers</x:t>
  </x:si>
  <x:si>
    <x:t xml:space="preserve">Roman Ahcan</x:t>
  </x:si>
  <x:si>
    <x:t xml:space="preserve">Dalton Bancroft (R)</x:t>
  </x:si>
  <x:si>
    <x:t xml:space="preserve">Jamieson Rees</x:t>
  </x:si>
  <x:si>
    <x:t xml:space="preserve">Bradley Marek</x:t>
  </x:si>
  <x:si>
    <x:t xml:space="preserve">Lucas Mercuri (R)</x:t>
  </x:si>
  <x:si>
    <x:t xml:space="preserve">Eduard Sale (R)</x:t>
  </x:si>
  <x:si>
    <x:t xml:space="preserve">Ben King</x:t>
  </x:si>
  <x:si>
    <x:t xml:space="preserve">Spencer Kersten (R)</x:t>
  </x:si>
  <x:si>
    <x:t xml:space="preserve">Reece Newkirk</x:t>
  </x:si>
  <x:si>
    <x:t xml:space="preserve">Gleb Trikozov (R)</x:t>
  </x:si>
  <x:si>
    <x:t xml:space="preserve">Oskar Pettersson</x:t>
  </x:si>
  <x:si>
    <x:t xml:space="preserve">Milo Roelens (R)</x:t>
  </x:si>
  <x:si>
    <x:t xml:space="preserve">Jackson Kunz (R)</x:t>
  </x:si>
  <x:si>
    <x:t xml:space="preserve">Keean Washkurak</x:t>
  </x:si>
  <x:si>
    <x:t xml:space="preserve">Gabriel Szturc (R)</x:t>
  </x:si>
  <x:si>
    <x:t xml:space="preserve">Tyson Empey</x:t>
  </x:si>
  <x:si>
    <x:t xml:space="preserve">Owen Allard (R)</x:t>
  </x:si>
  <x:si>
    <x:t xml:space="preserve">Danny Zhilkin</x:t>
  </x:si>
  <x:si>
    <x:t xml:space="preserve">Jakov Novak (R)</x:t>
  </x:si>
  <x:si>
    <x:t xml:space="preserve">Lucas Ciona</x:t>
  </x:si>
  <x:si>
    <x:t xml:space="preserve">Mark Senden</x:t>
  </x:si>
  <x:si>
    <x:t xml:space="preserve">Marcel Marcel</x:t>
  </x:si>
  <x:si>
    <x:t xml:space="preserve">Matvei Petrov</x:t>
  </x:si>
  <x:si>
    <x:t xml:space="preserve">Shawn Element</x:t>
  </x:si>
  <x:si>
    <x:t xml:space="preserve">Max Dorrington (R)</x:t>
  </x:si>
  <x:si>
    <x:t xml:space="preserve">Joey Willis (R)</x:t>
  </x:si>
  <x:si>
    <x:t xml:space="preserve">Maxim Groshev</x:t>
  </x:si>
  <x:si>
    <x:t xml:space="preserve">Karsen Dorwart</x:t>
  </x:si>
  <x:si>
    <x:t xml:space="preserve">Max McCue (R)</x:t>
  </x:si>
  <x:si>
    <x:t xml:space="preserve">Shane Bowers</x:t>
  </x:si>
  <x:si>
    <x:t xml:space="preserve">MacKenzie Entwistle</x:t>
  </x:si>
  <x:si>
    <x:t xml:space="preserve">Tyler Kopff (R)</x:t>
  </x:si>
  <x:si>
    <x:t xml:space="preserve">Daniel D'Amato</x:t>
  </x:si>
  <x:si>
    <x:t xml:space="preserve">Justin Ertel (R)</x:t>
  </x:si>
  <x:si>
    <x:t xml:space="preserve">Brendan Warren</x:t>
  </x:si>
  <x:si>
    <x:t xml:space="preserve">Tucker Robertson</x:t>
  </x:si>
  <x:si>
    <x:t xml:space="preserve">Tuomas Uronen (R)</x:t>
  </x:si>
  <x:si>
    <x:t xml:space="preserve">Maros Jedlicka (R)</x:t>
  </x:si>
  <x:si>
    <x:t xml:space="preserve">Donavan Villeneuve-Houle</x:t>
  </x:si>
  <x:si>
    <x:t xml:space="preserve">Carey Terrance (R)</x:t>
  </x:si>
  <x:si>
    <x:t xml:space="preserve">Donavan Houle</x:t>
  </x:si>
  <x:si>
    <x:t xml:space="preserve">Jacob Perreault</x:t>
  </x:si>
  <x:si>
    <x:t xml:space="preserve">Mathieu De St. Phalle</x:t>
  </x:si>
  <x:si>
    <x:t xml:space="preserve">Dillon Boucher</x:t>
  </x:si>
  <x:si>
    <x:t xml:space="preserve">Lucas Wahlin (R)</x:t>
  </x:si>
  <x:si>
    <x:t xml:space="preserve">Blake Biondi (R)</x:t>
  </x:si>
  <x:si>
    <x:t xml:space="preserve">Michael Milne</x:t>
  </x:si>
  <x:si>
    <x:t xml:space="preserve">Samuel Laberge</x:t>
  </x:si>
  <x:si>
    <x:t xml:space="preserve">Julian Lutz (R)</x:t>
  </x:si>
  <x:si>
    <x:t xml:space="preserve">Kyle Jackson (R)</x:t>
  </x:si>
  <x:si>
    <x:t xml:space="preserve">Coulson Pitre (R)</x:t>
  </x:si>
  <x:si>
    <x:t xml:space="preserve">Jackson Jutting (R)</x:t>
  </x:si>
  <x:si>
    <x:t xml:space="preserve">Chase Yoder (R)</x:t>
  </x:si>
  <x:si>
    <x:t xml:space="preserve">Braden Birnie (R)</x:t>
  </x:si>
  <x:si>
    <x:t xml:space="preserve">Fabian Wagner (R)</x:t>
  </x:si>
  <x:si>
    <x:t xml:space="preserve">Matthew Sop (R)</x:t>
  </x:si>
  <x:si>
    <x:t xml:space="preserve">Reece Vitelli</x:t>
  </x:si>
  <x:si>
    <x:t xml:space="preserve">Josh Filmon (R)</x:t>
  </x:si>
  <x:si>
    <x:t xml:space="preserve">Daniel Walcott</x:t>
  </x:si>
  <x:si>
    <x:t xml:space="preserve">Josh Lopina</x:t>
  </x:si>
  <x:si>
    <x:t xml:space="preserve">Sam Stange (R)</x:t>
  </x:si>
  <x:si>
    <x:t xml:space="preserve">Mathieu Cataford (R)</x:t>
  </x:si>
  <x:si>
    <x:t xml:space="preserve">Hunter Johannes</x:t>
  </x:si>
  <x:si>
    <x:t xml:space="preserve">Cam Squires (R)</x:t>
  </x:si>
  <x:si>
    <x:t xml:space="preserve">Jake Chiasson</x:t>
  </x:si>
  <x:si>
    <x:t xml:space="preserve">Mark Duarte</x:t>
  </x:si>
  <x:si>
    <x:t xml:space="preserve">Dylan Wendt</x:t>
  </x:si>
  <x:si>
    <x:t xml:space="preserve">Riley Duran</x:t>
  </x:si>
  <x:si>
    <x:t xml:space="preserve">Kaden Bohlsen (R)</x:t>
  </x:si>
  <x:si>
    <x:t xml:space="preserve">Arnaud Durandeau</x:t>
  </x:si>
  <x:si>
    <x:t xml:space="preserve">Carson Bantle (R)</x:t>
  </x:si>
  <x:si>
    <x:t xml:space="preserve">Jett Jones (R)</x:t>
  </x:si>
  <x:si>
    <x:t xml:space="preserve">Cameron Butler</x:t>
  </x:si>
  <x:si>
    <x:t xml:space="preserve">David Goyette</x:t>
  </x:si>
  <x:si>
    <x:t xml:space="preserve">Jacob Hudson (R)</x:t>
  </x:si>
  <x:si>
    <x:t xml:space="preserve">Jean-Luc Foudy</x:t>
  </x:si>
  <x:si>
    <x:t xml:space="preserve">Danny Katic (R)</x:t>
  </x:si>
  <x:si>
    <x:t xml:space="preserve">Nolan Moyle</x:t>
  </x:si>
  <x:si>
    <x:t xml:space="preserve">Hunter St. Martin (R)</x:t>
  </x:si>
  <x:si>
    <x:t xml:space="preserve">Tag Bertuzzi</x:t>
  </x:si>
  <x:si>
    <x:t xml:space="preserve">Ethan Keppen</x:t>
  </x:si>
  <x:si>
    <x:t xml:space="preserve">Connor Mylymok (R)</x:t>
  </x:si>
  <x:si>
    <x:t xml:space="preserve">Justin Nachbaur (R)</x:t>
  </x:si>
  <x:si>
    <x:t xml:space="preserve">Harrison Israels</x:t>
  </x:si>
  <x:si>
    <x:t xml:space="preserve">Ryan Kirwan (R)</x:t>
  </x:si>
  <x:si>
    <x:t xml:space="preserve">Kevin Conley</x:t>
  </x:si>
  <x:si>
    <x:t xml:space="preserve">Max Andreyev</x:t>
  </x:si>
  <x:si>
    <x:t xml:space="preserve">Brandon Buhr (R)</x:t>
  </x:si>
  <x:si>
    <x:t xml:space="preserve">Liam McLinskey (R)</x:t>
  </x:si>
  <x:si>
    <x:t xml:space="preserve">Sam Lipkin</x:t>
  </x:si>
  <x:si>
    <x:t xml:space="preserve">Chris Douglas</x:t>
  </x:si>
  <x:si>
    <x:t xml:space="preserve">Jayden Grubbe</x:t>
  </x:si>
  <x:si>
    <x:t xml:space="preserve">Ryan Gagnier (R)</x:t>
  </x:si>
  <x:si>
    <x:t xml:space="preserve">Josh Bloom (R)</x:t>
  </x:si>
  <x:si>
    <x:t xml:space="preserve">Andrei Loshko (R)</x:t>
  </x:si>
  <x:si>
    <x:t xml:space="preserve">Navrin Mutter</x:t>
  </x:si>
  <x:si>
    <x:t xml:space="preserve">Chase Dafoe (R)</x:t>
  </x:si>
  <x:si>
    <x:t xml:space="preserve">Zach Gallant (R)</x:t>
  </x:si>
  <x:si>
    <x:t xml:space="preserve">Will Dineen (R)</x:t>
  </x:si>
  <x:si>
    <x:t xml:space="preserve">Maxime Grondin (R)</x:t>
  </x:si>
  <x:si>
    <x:t xml:space="preserve">Nolan Renwick (R)</x:t>
  </x:si>
  <x:si>
    <x:t xml:space="preserve">Paul Ludwinski</x:t>
  </x:si>
  <x:si>
    <x:t xml:space="preserve">Nico Myatovic</x:t>
  </x:si>
  <x:si>
    <x:t xml:space="preserve">Riley Kidney</x:t>
  </x:si>
  <x:si>
    <x:t xml:space="preserve">Nikita Susuyev (R)</x:t>
  </x:si>
  <x:si>
    <x:t xml:space="preserve">Kaleb Pearson (R)</x:t>
  </x:si>
  <x:si>
    <x:t xml:space="preserve">Jacob Julien (R)</x:t>
  </x:si>
  <x:si>
    <x:t xml:space="preserve">David Gagnon</x:t>
  </x:si>
  <x:si>
    <x:t xml:space="preserve">Daniel Russell (R)</x:t>
  </x:si>
  <x:si>
    <x:t xml:space="preserve">Parker Bell</x:t>
  </x:si>
  <x:si>
    <x:t xml:space="preserve">Anri Ravinskis (R)</x:t>
  </x:si>
  <x:si>
    <x:t xml:space="preserve">Cooper Walker (R)</x:t>
  </x:si>
  <x:si>
    <x:t xml:space="preserve">Josh Davies (R)</x:t>
  </x:si>
  <x:si>
    <x:t xml:space="preserve">William Dufour</x:t>
  </x:si>
  <x:si>
    <x:t xml:space="preserve">Kenta Isogai (R)</x:t>
  </x:si>
  <x:si>
    <x:t xml:space="preserve">Sean Chisholm (R)</x:t>
  </x:si>
  <x:si>
    <x:t xml:space="preserve">Reilly Connors (R)</x:t>
  </x:si>
  <x:si>
    <x:t xml:space="preserve">Mark Liwiski (R)</x:t>
  </x:si>
  <x:si>
    <x:t xml:space="preserve">Ryan Sandelin</x:t>
  </x:si>
  <x:si>
    <x:t xml:space="preserve">Raivis Ansons</x:t>
  </x:si>
  <x:si>
    <x:t xml:space="preserve">Jakub Demek</x:t>
  </x:si>
  <x:si>
    <x:t xml:space="preserve">Felix Trudeau (R)</x:t>
  </x:si>
  <x:si>
    <x:t xml:space="preserve">David Silye</x:t>
  </x:si>
  <x:si>
    <x:t xml:space="preserve">Joseph Dunlap</x:t>
  </x:si>
  <x:si>
    <x:t xml:space="preserve">Cooper Gay (R)</x:t>
  </x:si>
  <x:si>
    <x:t xml:space="preserve">Austin Brimmer (R)</x:t>
  </x:si>
  <x:si>
    <x:t xml:space="preserve">Yannick Turcotte</x:t>
  </x:si>
  <x:si>
    <x:t xml:space="preserve">Riley Heidt (R)</x:t>
  </x:si>
  <x:si>
    <x:t xml:space="preserve">Redmond Savage (R)</x:t>
  </x:si>
  <x:si>
    <x:t xml:space="preserve">Andrew Basha (R)</x:t>
  </x:si>
  <x:si>
    <x:t xml:space="preserve">Ayrton Martino (R)</x:t>
  </x:si>
  <x:si>
    <x:t xml:space="preserve">Dillan Bentley (R)</x:t>
  </x:si>
  <x:si>
    <x:t xml:space="preserve">Tarun Fizer</x:t>
  </x:si>
  <x:si>
    <x:t xml:space="preserve">Matt Brown</x:t>
  </x:si>
  <x:si>
    <x:t xml:space="preserve">Kienan Draper (R)</x:t>
  </x:si>
  <x:si>
    <x:t xml:space="preserve">Chong Min Lee</x:t>
  </x:si>
  <x:si>
    <x:t xml:space="preserve">Ben Strinden (R)</x:t>
  </x:si>
  <x:si>
    <x:t xml:space="preserve">Ethan Leyh (R)</x:t>
  </x:si>
  <x:si>
    <x:t xml:space="preserve">Owen Lindmark (R)</x:t>
  </x:si>
  <x:si>
    <x:t xml:space="preserve">Alex Gaffney (R)</x:t>
  </x:si>
  <x:si>
    <x:t xml:space="preserve">Anton Lundmark (R)</x:t>
  </x:si>
  <x:si>
    <x:t xml:space="preserve">Mason McCormick (R)</x:t>
  </x:si>
  <x:si>
    <x:t xml:space="preserve">Anthony Romano</x:t>
  </x:si>
  <x:si>
    <x:t xml:space="preserve">Ryan Tattle (R)</x:t>
  </x:si>
  <x:si>
    <x:t xml:space="preserve">Sullivan Mack (R)</x:t>
  </x:si>
  <x:si>
    <x:t xml:space="preserve">Zach Urdahl</x:t>
  </x:si>
  <x:si>
    <x:t xml:space="preserve">Joshua Eernisse (R)</x:t>
  </x:si>
  <x:si>
    <x:t xml:space="preserve">Simon Pinard</x:t>
  </x:si>
  <x:si>
    <x:t xml:space="preserve">Brooklyn Kalmikov (R)</x:t>
  </x:si>
  <x:si>
    <x:t xml:space="preserve">Sam Stevens</x:t>
  </x:si>
  <x:si>
    <x:t xml:space="preserve">Rasmus Kumpulainen (R)</x:t>
  </x:si>
  <x:si>
    <x:t xml:space="preserve">Ryan Hofer</x:t>
  </x:si>
  <x:si>
    <x:t xml:space="preserve">Kevin Wall</x:t>
  </x:si>
  <x:si>
    <x:t xml:space="preserve">Antonio Venuto (R)</x:t>
  </x:si>
  <x:si>
    <x:t xml:space="preserve">Matt Copponi (R)</x:t>
  </x:si>
  <x:si>
    <x:t xml:space="preserve">Erik Bargholtz (R)</x:t>
  </x:si>
  <x:si>
    <x:t xml:space="preserve">Carter Wilkie (R)</x:t>
  </x:si>
  <x:si>
    <x:t xml:space="preserve">Caige Sterzer (R)</x:t>
  </x:si>
  <x:si>
    <x:t xml:space="preserve">Chase Wheatcroft</x:t>
  </x:si>
  <x:si>
    <x:t xml:space="preserve">Gavin Hain</x:t>
  </x:si>
  <x:si>
    <x:t xml:space="preserve">Christian Fitzgerald (R)</x:t>
  </x:si>
  <x:si>
    <x:t xml:space="preserve">Ryan McGuire (R)</x:t>
  </x:si>
  <x:si>
    <x:t xml:space="preserve">Keaton Mastrodonato</x:t>
  </x:si>
  <x:si>
    <x:t xml:space="preserve">Kalle Vaisanen (R)</x:t>
  </x:si>
  <x:si>
    <x:t xml:space="preserve">Ryan Bottrill (R)</x:t>
  </x:si>
  <x:si>
    <x:t xml:space="preserve">Jackson Berezowski (R)</x:t>
  </x:si>
  <x:si>
    <x:t xml:space="preserve">Carson Golder (R)</x:t>
  </x:si>
  <x:si>
    <x:t xml:space="preserve">Cooper Flinton</x:t>
  </x:si>
  <x:si>
    <x:t xml:space="preserve">Finn Harding</x:t>
  </x:si>
  <x:si>
    <x:t xml:space="preserve">Daylan Kuefler</x:t>
  </x:si>
  <x:si>
    <x:t xml:space="preserve">Atley Calvert</x:t>
  </x:si>
  <x:si>
    <x:t xml:space="preserve">Jackson Dorrington</x:t>
  </x:si>
  <x:si>
    <x:t xml:space="preserve">Blake Smith</x:t>
  </x:si>
  <x:si>
    <x:t xml:space="preserve">Borya Valis</x:t>
  </x:si>
  <x:si>
    <x:t xml:space="preserve">Kaleb Lawrence</x:t>
  </x:si>
  <x:si>
    <x:t xml:space="preserve">Henrik Rybinski</x:t>
  </x:si>
  <x:si>
    <x:t xml:space="preserve">Braeden Kressler</x:t>
  </x:si>
  <x:si>
    <x:t xml:space="preserve">Brody Lamb</x:t>
  </x:si>
  <x:si>
    <x:t xml:space="preserve">Artem Guryev</x:t>
  </x:si>
  <x:si>
    <x:t xml:space="preserve">Jaxsen Wiebe</x:t>
  </x:si>
  <x:si>
    <x:t xml:space="preserve">Logan Brown</x:t>
  </x:si>
  <x:si>
    <x:t xml:space="preserve">Sheldon Rempal</x:t>
  </x:si>
  <x:si>
    <x:t xml:space="preserve">Noah Philip</x:t>
  </x:si>
  <x:si>
    <x:t xml:space="preserve">Evan Nause</x:t>
  </x:si>
  <x:si>
    <x:t xml:space="preserve">Kai Schwindt</x:t>
  </x:si>
  <x:si>
    <x:t xml:space="preserve">Kyle Masters</x:t>
  </x:si>
  <x:si>
    <x:t xml:space="preserve">Jonathan Gruden</x:t>
  </x:si>
  <x:si>
    <x:t xml:space="preserve">Vitali Kravtsov</x:t>
  </x:si>
  <x:si>
    <x:t xml:space="preserve">Gannon Laroque</x:t>
  </x:si>
  <x:si>
    <x:t xml:space="preserve">Francesco Arcuri</x:t>
  </x:si>
  <x:si>
    <x:t xml:space="preserve">NHL ID</x:t>
  </x:si>
  <x:si>
    <x:t xml:space="preserve">FG</x:t>
  </x:si>
  <x:si>
    <x:t xml:space="preserve">EN</x:t>
  </x:si>
  <x:si>
    <x:t xml:space="preserve">DU</x:t>
  </x:si>
  <x:si>
    <x:t xml:space="preserve">PH</x:t>
  </x:si>
  <x:si>
    <x:t xml:space="preserve">FO</x:t>
  </x:si>
  <x:si>
    <x:t xml:space="preserve">PS</x:t>
  </x:si>
  <x:si>
    <x:t xml:space="preserve">LD</x:t>
  </x:si>
  <x:si>
    <x:t xml:space="preserve">MO</x:t>
  </x:si>
  <x:si>
    <x:t xml:space="preserve">NHL PLAYERS — V8 live model</x:t>
  </x:si>
  <x:si>
    <x:t xml:space="preserve">NHL bucket = latest NHL GP &gt;=10 OR previous NHL GP &gt;10. Initial values use V7 where available.</x:t>
  </x:si>
  <x:si>
    <x:t xml:space="preserve">League bucket</x:t>
  </x:si>
  <x:si>
    <x:t xml:space="preserve">NHL GP latest</x:t>
  </x:si>
  <x:si>
    <x:t xml:space="preserve">NHL GP previous</x:t>
  </x:si>
  <x:si>
    <x:t xml:space="preserve">AHL GP latest</x:t>
  </x:si>
  <x:si>
    <x:t xml:space="preserve">AHL GP previous</x:t>
  </x:si>
  <x:si>
    <x:t xml:space="preserve">Data status</x:t>
  </x:si>
  <x:si>
    <x:t xml:space="preserve">NHL rule: latest=82, previous=82</x:t>
  </x:si>
  <x:si>
    <x:t xml:space="preserve">NHL rule: latest=67, previous=80</x:t>
  </x:si>
  <x:si>
    <x:t xml:space="preserve">NHL rule: latest=82, previous=80</x:t>
  </x:si>
  <x:si>
    <x:t xml:space="preserve">NHL rule: latest=62, previous=50</x:t>
  </x:si>
  <x:si>
    <x:t xml:space="preserve">NHL rule: latest=53, previous=51</x:t>
  </x:si>
  <x:si>
    <x:t xml:space="preserve">NHL rule: latest=77, previous=50</x:t>
  </x:si>
  <x:si>
    <x:t xml:space="preserve">NHL rule: latest=79, previous=66</x:t>
  </x:si>
  <x:si>
    <x:t xml:space="preserve">NHL rule: latest=48, previous=82</x:t>
  </x:si>
  <x:si>
    <x:t xml:space="preserve">NHL rule: latest=63, previous=82</x:t>
  </x:si>
  <x:si>
    <x:t xml:space="preserve">NHL rule: latest=81, previous=56</x:t>
  </x:si>
  <x:si>
    <x:t xml:space="preserve">NHL rule: latest=80, previous=68</x:t>
  </x:si>
  <x:si>
    <x:t xml:space="preserve">NHL rule: latest=80, previous=77</x:t>
  </x:si>
  <x:si>
    <x:t xml:space="preserve">NHL rule: latest=11, previous=75</x:t>
  </x:si>
  <x:si>
    <x:t xml:space="preserve">NHL rule: latest=77, previous=64</x:t>
  </x:si>
  <x:si>
    <x:t xml:space="preserve">NHL rule: latest=72, previous=78</x:t>
  </x:si>
  <x:si>
    <x:t xml:space="preserve">NHL rule: latest=81, previous=68</x:t>
  </x:si>
  <x:si>
    <x:t xml:space="preserve">NHL rule: latest=82, previous=60</x:t>
  </x:si>
  <x:si>
    <x:t xml:space="preserve">NHL rule: latest=66, previous=60</x:t>
  </x:si>
  <x:si>
    <x:t xml:space="preserve">NHL rule: latest=70, previous=67</x:t>
  </x:si>
  <x:si>
    <x:t xml:space="preserve">NHL rule: latest=81, previous=82</x:t>
  </x:si>
  <x:si>
    <x:t xml:space="preserve">NHL rule: latest=79, previous=69</x:t>
  </x:si>
  <x:si>
    <x:t xml:space="preserve">NHL rule: latest=74, previous=66</x:t>
  </x:si>
  <x:si>
    <x:t xml:space="preserve">NHL rule: latest=82, previous=76</x:t>
  </x:si>
  <x:si>
    <x:t xml:space="preserve">NHL rule: latest=75, previous=80</x:t>
  </x:si>
  <x:si>
    <x:t xml:space="preserve">NHL rule: latest=68, previous=76</x:t>
  </x:si>
  <x:si>
    <x:t xml:space="preserve">NHL rule: latest=76, previous=74</x:t>
  </x:si>
  <x:si>
    <x:t xml:space="preserve">NHL rule: latest=80, previous=66</x:t>
  </x:si>
  <x:si>
    <x:t xml:space="preserve">NHL rule: latest=78, previous=82</x:t>
  </x:si>
  <x:si>
    <x:t xml:space="preserve">NHL rule: latest=75, previous=67</x:t>
  </x:si>
  <x:si>
    <x:t xml:space="preserve">NHL rule: latest=72, previous=76</x:t>
  </x:si>
  <x:si>
    <x:t xml:space="preserve">NHL rule: latest=55, previous=74</x:t>
  </x:si>
  <x:si>
    <x:t xml:space="preserve">NHL rule: latest=63, previous=40</x:t>
  </x:si>
  <x:si>
    <x:t xml:space="preserve">NHL rule: latest=23, previous=64</x:t>
  </x:si>
  <x:si>
    <x:t xml:space="preserve">NHL rule: latest=77, previous=73</x:t>
  </x:si>
  <x:si>
    <x:t xml:space="preserve">NHL rule: latest=77, previous=80</x:t>
  </x:si>
  <x:si>
    <x:t xml:space="preserve">NHL rule: latest=80, previous=78</x:t>
  </x:si>
  <x:si>
    <x:t xml:space="preserve">NHL rule: latest=78, previous=62</x:t>
  </x:si>
  <x:si>
    <x:t xml:space="preserve">NHL rule: latest=79, previous=48</x:t>
  </x:si>
  <x:si>
    <x:t xml:space="preserve">NHL rule: latest=71, previous=80</x:t>
  </x:si>
  <x:si>
    <x:t xml:space="preserve">NHL rule: latest=67, previous=17</x:t>
  </x:si>
  <x:si>
    <x:t xml:space="preserve">NHL rule: latest=82, previous=78</x:t>
  </x:si>
  <x:si>
    <x:t xml:space="preserve">NHL rule: latest=68, previous=28</x:t>
  </x:si>
  <x:si>
    <x:t xml:space="preserve">NHL rule: latest=82, previous=73</x:t>
  </x:si>
  <x:si>
    <x:t xml:space="preserve">NHL rule: latest=81, previous=81</x:t>
  </x:si>
  <x:si>
    <x:t xml:space="preserve">NHL rule: latest=79, previous=54</x:t>
  </x:si>
  <x:si>
    <x:t xml:space="preserve">NHL rule: latest=39, previous=80</x:t>
  </x:si>
  <x:si>
    <x:t xml:space="preserve">NHL rule: latest=50, previous=73</x:t>
  </x:si>
  <x:si>
    <x:t xml:space="preserve">NHL rule: latest=73, previous=79</x:t>
  </x:si>
  <x:si>
    <x:t xml:space="preserve">NHL rule: latest=53, previous=80</x:t>
  </x:si>
  <x:si>
    <x:t xml:space="preserve">NHL rule: latest=76, previous=72</x:t>
  </x:si>
  <x:si>
    <x:t xml:space="preserve">NHL rule: latest=37, previous=72</x:t>
  </x:si>
  <x:si>
    <x:t xml:space="preserve">NHL rule: latest=68, previous=53</x:t>
  </x:si>
  <x:si>
    <x:t xml:space="preserve">NHL rule: latest=8, previous=29</x:t>
  </x:si>
  <x:si>
    <x:t xml:space="preserve">NHL rule: latest=23, previous=14</x:t>
  </x:si>
  <x:si>
    <x:t xml:space="preserve">NHL rule: latest=75, previous=81</x:t>
  </x:si>
  <x:si>
    <x:t xml:space="preserve">NHL rule: latest=71, previous=79</x:t>
  </x:si>
  <x:si>
    <x:t xml:space="preserve">NHL rule: latest=69, previous=50</x:t>
  </x:si>
  <x:si>
    <x:t xml:space="preserve">NHL rule: latest=78, previous=77</x:t>
  </x:si>
  <x:si>
    <x:t xml:space="preserve">NHL rule: latest=80, previous=71</x:t>
  </x:si>
  <x:si>
    <x:t xml:space="preserve">NHL rule: latest=72, previous=74</x:t>
  </x:si>
  <x:si>
    <x:t xml:space="preserve">NHL rule: latest=70, previous=78</x:t>
  </x:si>
  <x:si>
    <x:t xml:space="preserve">NHL rule: latest=56, previous=81</x:t>
  </x:si>
  <x:si>
    <x:t xml:space="preserve">NHL rule: latest=72, previous=30</x:t>
  </x:si>
  <x:si>
    <x:t xml:space="preserve">NHL rule: latest=71, previous=70</x:t>
  </x:si>
  <x:si>
    <x:t xml:space="preserve">NHL rule: latest=80, previous=35</x:t>
  </x:si>
  <x:si>
    <x:t xml:space="preserve">NHL rule: latest=51, previous=69</x:t>
  </x:si>
  <x:si>
    <x:t xml:space="preserve">NHL rule: latest=73, previous=82</x:t>
  </x:si>
  <x:si>
    <x:t xml:space="preserve">NHL rule: latest=80, previous=55</x:t>
  </x:si>
  <x:si>
    <x:t xml:space="preserve">NHL rule: latest=44, previous=63</x:t>
  </x:si>
  <x:si>
    <x:t xml:space="preserve">NHL rule: latest=75, previous=84</x:t>
  </x:si>
  <x:si>
    <x:t xml:space="preserve">NHL rule: latest=61, previous=76</x:t>
  </x:si>
  <x:si>
    <x:t xml:space="preserve">NHL rule: latest=68, previous=82</x:t>
  </x:si>
  <x:si>
    <x:t xml:space="preserve">NHL rule: latest=60, previous=73</x:t>
  </x:si>
  <x:si>
    <x:t xml:space="preserve">NHL rule: latest=82, previous=55</x:t>
  </x:si>
  <x:si>
    <x:t xml:space="preserve">NHL rule: latest=70, previous=79</x:t>
  </x:si>
  <x:si>
    <x:t xml:space="preserve">NHL rule: latest=67, previous=73</x:t>
  </x:si>
  <x:si>
    <x:t xml:space="preserve">NHL rule: latest=82, previous=85</x:t>
  </x:si>
  <x:si>
    <x:t xml:space="preserve">NHL rule: latest=78, previous=40</x:t>
  </x:si>
  <x:si>
    <x:t xml:space="preserve">NHL rule: latest=20, previous=19</x:t>
  </x:si>
  <x:si>
    <x:t xml:space="preserve">NHL rule: latest=42, previous=18</x:t>
  </x:si>
  <x:si>
    <x:t xml:space="preserve">NHL rule: latest=61, previous=42</x:t>
  </x:si>
  <x:si>
    <x:t xml:space="preserve">NHL rule: latest=5, previous=18</x:t>
  </x:si>
  <x:si>
    <x:t xml:space="preserve">NHL rule: latest=55, previous=70</x:t>
  </x:si>
  <x:si>
    <x:t xml:space="preserve">NHL rule: latest=80, previous=74</x:t>
  </x:si>
  <x:si>
    <x:t xml:space="preserve">NHL rule: latest=82, previous=61</x:t>
  </x:si>
  <x:si>
    <x:t xml:space="preserve">NHL rule: latest=52, previous=63</x:t>
  </x:si>
  <x:si>
    <x:t xml:space="preserve">NHL rule: latest=82, previous=None</x:t>
  </x:si>
  <x:si>
    <x:t xml:space="preserve">NHL rule: latest=82, previous=65</x:t>
  </x:si>
  <x:si>
    <x:t xml:space="preserve">NHL rule: latest=78, previous=80</x:t>
  </x:si>
  <x:si>
    <x:t xml:space="preserve">NHL rule: latest=81, previous=77</x:t>
  </x:si>
  <x:si>
    <x:t xml:space="preserve">NHL rule: latest=79, previous=81</x:t>
  </x:si>
  <x:si>
    <x:t xml:space="preserve">NHL rule: latest=80, previous=80</x:t>
  </x:si>
  <x:si>
    <x:t xml:space="preserve">NHL rule: latest=81, previous=None</x:t>
  </x:si>
  <x:si>
    <x:t xml:space="preserve">NHL rule: latest=78, previous=74</x:t>
  </x:si>
  <x:si>
    <x:t xml:space="preserve">NHL rule: latest=76, previous=75</x:t>
  </x:si>
  <x:si>
    <x:t xml:space="preserve">NHL rule: latest=39, previous=76</x:t>
  </x:si>
  <x:si>
    <x:t xml:space="preserve">NHL rule: latest=83, previous=82</x:t>
  </x:si>
  <x:si>
    <x:t xml:space="preserve">NHL rule: latest=52, previous=39</x:t>
  </x:si>
  <x:si>
    <x:t xml:space="preserve">NHL rule: latest=22, previous=61</x:t>
  </x:si>
  <x:si>
    <x:t xml:space="preserve">NHL rule: latest=34, previous=51</x:t>
  </x:si>
  <x:si>
    <x:t xml:space="preserve">NHL rule: latest=35, previous=5</x:t>
  </x:si>
  <x:si>
    <x:t xml:space="preserve">NHL rule: latest=1, previous=37</x:t>
  </x:si>
  <x:si>
    <x:t xml:space="preserve">NHL rule: latest=33, previous=63</x:t>
  </x:si>
  <x:si>
    <x:t xml:space="preserve">NHL rule: latest=37, previous=1</x:t>
  </x:si>
  <x:si>
    <x:t xml:space="preserve">NHL rule: latest=75, previous=82</x:t>
  </x:si>
  <x:si>
    <x:t xml:space="preserve">NHL rule: latest=73, previous=73</x:t>
  </x:si>
  <x:si>
    <x:t xml:space="preserve">NHL rule: latest=82, previous=75</x:t>
  </x:si>
  <x:si>
    <x:t xml:space="preserve">NHL rule: latest=78, previous=78</x:t>
  </x:si>
  <x:si>
    <x:t xml:space="preserve">NHL rule: latest=57, previous=80</x:t>
  </x:si>
  <x:si>
    <x:t xml:space="preserve">NHL rule: latest=33, previous=79</x:t>
  </x:si>
  <x:si>
    <x:t xml:space="preserve">NHL rule: latest=82, previous=81</x:t>
  </x:si>
  <x:si>
    <x:t xml:space="preserve">NHL rule: latest=76, previous=63</x:t>
  </x:si>
  <x:si>
    <x:t xml:space="preserve">NHL rule: latest=81, previous=79</x:t>
  </x:si>
  <x:si>
    <x:t xml:space="preserve">NHL rule: latest=80, previous=39</x:t>
  </x:si>
  <x:si>
    <x:t xml:space="preserve">NHL rule: latest=75, previous=45</x:t>
  </x:si>
  <x:si>
    <x:t xml:space="preserve">NHL rule: latest=76, previous=73</x:t>
  </x:si>
  <x:si>
    <x:t xml:space="preserve">NHL rule: latest=37, previous=16</x:t>
  </x:si>
  <x:si>
    <x:t xml:space="preserve">NHL rule: latest=77, previous=76</x:t>
  </x:si>
  <x:si>
    <x:t xml:space="preserve">NHL rule: latest=74, previous=68</x:t>
  </x:si>
  <x:si>
    <x:t xml:space="preserve">NHL rule: latest=43, previous=77</x:t>
  </x:si>
  <x:si>
    <x:t xml:space="preserve">NHL rule: latest=39, previous=55</x:t>
  </x:si>
  <x:si>
    <x:t xml:space="preserve">NHL rule: latest=55, previous=83</x:t>
  </x:si>
  <x:si>
    <x:t xml:space="preserve">NHL rule: latest=61, previous=60</x:t>
  </x:si>
  <x:si>
    <x:t xml:space="preserve">NHL rule: latest=50, previous=30</x:t>
  </x:si>
  <x:si>
    <x:t xml:space="preserve">NHL rule: latest=34, previous=81</x:t>
  </x:si>
  <x:si>
    <x:t xml:space="preserve">NHL rule: latest=58, previous=23</x:t>
  </x:si>
  <x:si>
    <x:t xml:space="preserve">NHL rule: latest=34, previous=82</x:t>
  </x:si>
  <x:si>
    <x:t xml:space="preserve">NHL rule: latest=50, previous=41</x:t>
  </x:si>
  <x:si>
    <x:t xml:space="preserve">NHL rule: latest=None, previous=33</x:t>
  </x:si>
  <x:si>
    <x:t xml:space="preserve">NHL rule: latest=15, previous=49</x:t>
  </x:si>
  <x:si>
    <x:t xml:space="preserve">NHL rule: latest=40, previous=20</x:t>
  </x:si>
  <x:si>
    <x:t xml:space="preserve">NHL rule: latest=74, previous=74</x:t>
  </x:si>
  <x:si>
    <x:t xml:space="preserve">NHL rule: latest=72, previous=56</x:t>
  </x:si>
  <x:si>
    <x:t xml:space="preserve">NHL rule: latest=64, previous=81</x:t>
  </x:si>
  <x:si>
    <x:t xml:space="preserve">NHL rule: latest=68, previous=71</x:t>
  </x:si>
  <x:si>
    <x:t xml:space="preserve">NHL rule: latest=70, previous=None</x:t>
  </x:si>
  <x:si>
    <x:t xml:space="preserve">NHL rule: latest=73, previous=71</x:t>
  </x:si>
  <x:si>
    <x:t xml:space="preserve">NHL rule: latest=80, previous=82</x:t>
  </x:si>
  <x:si>
    <x:t xml:space="preserve">NHL rule: latest=73, previous=77</x:t>
  </x:si>
  <x:si>
    <x:t xml:space="preserve">NHL rule: latest=67, previous=44</x:t>
  </x:si>
  <x:si>
    <x:t xml:space="preserve">NHL rule: latest=73, previous=68</x:t>
  </x:si>
  <x:si>
    <x:t xml:space="preserve">NHL rule: latest=76, previous=62</x:t>
  </x:si>
  <x:si>
    <x:t xml:space="preserve">NHL rule: latest=72, previous=79</x:t>
  </x:si>
  <x:si>
    <x:t xml:space="preserve">NHL rule: latest=72, previous=2</x:t>
  </x:si>
  <x:si>
    <x:t xml:space="preserve">NHL rule: latest=73, previous=78</x:t>
  </x:si>
  <x:si>
    <x:t xml:space="preserve">NHL rule: latest=39, previous=68</x:t>
  </x:si>
  <x:si>
    <x:t xml:space="preserve">NHL rule: latest=41, previous=81</x:t>
  </x:si>
  <x:si>
    <x:t xml:space="preserve">NHL rule: latest=26, previous=59</x:t>
  </x:si>
  <x:si>
    <x:t xml:space="preserve">NHL rule: latest=77, previous=57</x:t>
  </x:si>
  <x:si>
    <x:t xml:space="preserve">NHL rule: latest=50, previous=76</x:t>
  </x:si>
  <x:si>
    <x:t xml:space="preserve">NHL rule: latest=52, previous=35</x:t>
  </x:si>
  <x:si>
    <x:t xml:space="preserve">NHL rule: latest=11, previous=63</x:t>
  </x:si>
  <x:si>
    <x:t xml:space="preserve">NHL rule: latest=47, previous=68</x:t>
  </x:si>
  <x:si>
    <x:t xml:space="preserve">NHL rule: latest=15, previous=64</x:t>
  </x:si>
  <x:si>
    <x:t xml:space="preserve">NHL rule: latest=52, previous=62</x:t>
  </x:si>
  <x:si>
    <x:t xml:space="preserve">NHL rule: latest=81, previous=76</x:t>
  </x:si>
  <x:si>
    <x:t xml:space="preserve">NHL rule: latest=16, previous=64</x:t>
  </x:si>
  <x:si>
    <x:t xml:space="preserve">NHL rule: latest=66, previous=23</x:t>
  </x:si>
  <x:si>
    <x:t xml:space="preserve">NHL rule: latest=82, previous=68</x:t>
  </x:si>
  <x:si>
    <x:t xml:space="preserve">NHL rule: latest=53, previous=65</x:t>
  </x:si>
  <x:si>
    <x:t xml:space="preserve">NHL rule: latest=69, previous=38</x:t>
  </x:si>
  <x:si>
    <x:t xml:space="preserve">NHL rule: latest=78, previous=70</x:t>
  </x:si>
  <x:si>
    <x:t xml:space="preserve">NHL rule: latest=79, previous=74</x:t>
  </x:si>
  <x:si>
    <x:t xml:space="preserve">NHL rule: latest=60, previous=56</x:t>
  </x:si>
  <x:si>
    <x:t xml:space="preserve">NHL rule: latest=65, previous=70</x:t>
  </x:si>
  <x:si>
    <x:t xml:space="preserve">NHL rule: latest=14, previous=None</x:t>
  </x:si>
  <x:si>
    <x:t xml:space="preserve">NHL rule: latest=68, previous=60</x:t>
  </x:si>
  <x:si>
    <x:t xml:space="preserve">NHL rule: latest=65, previous=81</x:t>
  </x:si>
  <x:si>
    <x:t xml:space="preserve">NHL rule: latest=58, previous=70</x:t>
  </x:si>
  <x:si>
    <x:t xml:space="preserve">NHL rule: latest=66, previous=67</x:t>
  </x:si>
  <x:si>
    <x:t xml:space="preserve">NHL rule: latest=55, previous=11</x:t>
  </x:si>
  <x:si>
    <x:t xml:space="preserve">NHL rule: latest=82, previous=72</x:t>
  </x:si>
  <x:si>
    <x:t xml:space="preserve">NHL rule: latest=None, previous=35</x:t>
  </x:si>
  <x:si>
    <x:t xml:space="preserve">NHL rule: latest=15, previous=32</x:t>
  </x:si>
  <x:si>
    <x:t xml:space="preserve">NHL rule: latest=68, previous=79</x:t>
  </x:si>
  <x:si>
    <x:t xml:space="preserve">NHL rule: latest=29, previous=None</x:t>
  </x:si>
  <x:si>
    <x:t xml:space="preserve">NHL rule: latest=77, previous=32</x:t>
  </x:si>
  <x:si>
    <x:t xml:space="preserve">NHL rule: latest=62, previous=68</x:t>
  </x:si>
  <x:si>
    <x:t xml:space="preserve">NHL rule: latest=64, previous=66</x:t>
  </x:si>
  <x:si>
    <x:t xml:space="preserve">NHL rule: latest=67, previous=79</x:t>
  </x:si>
  <x:si>
    <x:t xml:space="preserve">NHL rule: latest=67, previous=3</x:t>
  </x:si>
  <x:si>
    <x:t xml:space="preserve">NHL rule: latest=60, previous=66</x:t>
  </x:si>
  <x:si>
    <x:t xml:space="preserve">NHL rule: latest=81, previous=80</x:t>
  </x:si>
  <x:si>
    <x:t xml:space="preserve">NHL rule: latest=69, previous=82</x:t>
  </x:si>
  <x:si>
    <x:t xml:space="preserve">NHL rule: latest=72, previous=70</x:t>
  </x:si>
  <x:si>
    <x:t xml:space="preserve">NHL rule: latest=82, previous=57</x:t>
  </x:si>
  <x:si>
    <x:t xml:space="preserve">NHL rule: latest=73, previous=80</x:t>
  </x:si>
  <x:si>
    <x:t xml:space="preserve">NHL rule: latest=29, previous=81</x:t>
  </x:si>
  <x:si>
    <x:t xml:space="preserve">NHL rule: latest=74, previous=82</x:t>
  </x:si>
  <x:si>
    <x:t xml:space="preserve">NHL rule: latest=78, previous=48</x:t>
  </x:si>
  <x:si>
    <x:t xml:space="preserve">NHL rule: latest=70, previous=63</x:t>
  </x:si>
  <x:si>
    <x:t xml:space="preserve">NHL rule: latest=2, previous=54</x:t>
  </x:si>
  <x:si>
    <x:t xml:space="preserve">NHL rule: latest=72, previous=81</x:t>
  </x:si>
  <x:si>
    <x:t xml:space="preserve">NHL rule: latest=70, previous=46</x:t>
  </x:si>
  <x:si>
    <x:t xml:space="preserve">NHL rule: latest=82, previous=83</x:t>
  </x:si>
  <x:si>
    <x:t xml:space="preserve">NHL rule: latest=79, previous=82</x:t>
  </x:si>
  <x:si>
    <x:t xml:space="preserve">NHL rule: latest=70, previous=73</x:t>
  </x:si>
  <x:si>
    <x:t xml:space="preserve">NHL rule: latest=64, previous=80</x:t>
  </x:si>
  <x:si>
    <x:t xml:space="preserve">NHL rule: latest=70, previous=28</x:t>
  </x:si>
  <x:si>
    <x:t xml:space="preserve">NHL rule: latest=56, previous=77</x:t>
  </x:si>
  <x:si>
    <x:t xml:space="preserve">NHL rule: latest=67, previous=81</x:t>
  </x:si>
  <x:si>
    <x:t xml:space="preserve">NHL rule: latest=55, previous=59</x:t>
  </x:si>
  <x:si>
    <x:t xml:space="preserve">NHL rule: latest=81, previous=5</x:t>
  </x:si>
  <x:si>
    <x:t xml:space="preserve">NHL rule: latest=63, previous=59</x:t>
  </x:si>
  <x:si>
    <x:t xml:space="preserve">NHL rule: latest=65, previous=74</x:t>
  </x:si>
  <x:si>
    <x:t xml:space="preserve">NHL rule: latest=54, previous=76</x:t>
  </x:si>
  <x:si>
    <x:t xml:space="preserve">NHL rule: latest=46, previous=79</x:t>
  </x:si>
  <x:si>
    <x:t xml:space="preserve">NHL rule: latest=66, previous=72</x:t>
  </x:si>
  <x:si>
    <x:t xml:space="preserve">NHL rule: latest=51, previous=60</x:t>
  </x:si>
  <x:si>
    <x:t xml:space="preserve">NHL rule: latest=13, previous=80</x:t>
  </x:si>
  <x:si>
    <x:t xml:space="preserve">NHL rule: latest=74, previous=77</x:t>
  </x:si>
  <x:si>
    <x:t xml:space="preserve">NHL rule: latest=71, previous=82</x:t>
  </x:si>
  <x:si>
    <x:t xml:space="preserve">NHL rule: latest=76, previous=82</x:t>
  </x:si>
  <x:si>
    <x:t xml:space="preserve">NHL rule: latest=64, previous=79</x:t>
  </x:si>
  <x:si>
    <x:t xml:space="preserve">NHL rule: latest=75, previous=75</x:t>
  </x:si>
  <x:si>
    <x:t xml:space="preserve">NHL rule: latest=78, previous=79</x:t>
  </x:si>
  <x:si>
    <x:t xml:space="preserve">NHL rule: latest=82, previous=77</x:t>
  </x:si>
  <x:si>
    <x:t xml:space="preserve">NHL rule: latest=60, previous=30</x:t>
  </x:si>
  <x:si>
    <x:t xml:space="preserve">NHL rule: latest=77, previous=79</x:t>
  </x:si>
  <x:si>
    <x:t xml:space="preserve">NHL rule: latest=79, previous=56</x:t>
  </x:si>
  <x:si>
    <x:t xml:space="preserve">NHL rule: latest=61, previous=82</x:t>
  </x:si>
  <x:si>
    <x:t xml:space="preserve">NHL rule: latest=81, previous=33</x:t>
  </x:si>
  <x:si>
    <x:t xml:space="preserve">NHL rule: latest=82, previous=21</x:t>
  </x:si>
  <x:si>
    <x:t xml:space="preserve">NHL rule: latest=81, previous=72</x:t>
  </x:si>
  <x:si>
    <x:t xml:space="preserve">NHL rule: latest=14, previous=53</x:t>
  </x:si>
  <x:si>
    <x:t xml:space="preserve">NHL rule: latest=53, previous=78</x:t>
  </x:si>
  <x:si>
    <x:t xml:space="preserve">NHL rule: latest=78, previous=1</x:t>
  </x:si>
  <x:si>
    <x:t xml:space="preserve">NHL rule: latest=65, previous=80</x:t>
  </x:si>
  <x:si>
    <x:t xml:space="preserve">NHL rule: latest=64, previous=77</x:t>
  </x:si>
  <x:si>
    <x:t xml:space="preserve">NHL rule: latest=70, previous=68</x:t>
  </x:si>
  <x:si>
    <x:t xml:space="preserve">NHL rule: latest=61, previous=74</x:t>
  </x:si>
  <x:si>
    <x:t xml:space="preserve">NHL rule: latest=43, previous=7</x:t>
  </x:si>
  <x:si>
    <x:t xml:space="preserve">NHL rule: latest=1, previous=70</x:t>
  </x:si>
  <x:si>
    <x:t xml:space="preserve">NHL rule: latest=9, previous=61</x:t>
  </x:si>
  <x:si>
    <x:t xml:space="preserve">NHL rule: latest=23, previous=None</x:t>
  </x:si>
  <x:si>
    <x:t xml:space="preserve">NHL rule: latest=59, previous=56</x:t>
  </x:si>
  <x:si>
    <x:t xml:space="preserve">NHL rule: latest=71, previous=73</x:t>
  </x:si>
  <x:si>
    <x:t xml:space="preserve">NHL rule: latest=53, previous=76</x:t>
  </x:si>
  <x:si>
    <x:t xml:space="preserve">NHL rule: latest=81, previous=62</x:t>
  </x:si>
  <x:si>
    <x:t xml:space="preserve">NHL rule: latest=69, previous=71</x:t>
  </x:si>
  <x:si>
    <x:t xml:space="preserve">NHL rule: latest=65, previous=75</x:t>
  </x:si>
  <x:si>
    <x:t xml:space="preserve">NHL rule: latest=79, previous=75</x:t>
  </x:si>
  <x:si>
    <x:t xml:space="preserve">NHL rule: latest=61, previous=71</x:t>
  </x:si>
  <x:si>
    <x:t xml:space="preserve">NHL rule: latest=75, previous=68</x:t>
  </x:si>
  <x:si>
    <x:t xml:space="preserve">NHL rule: latest=77, previous=78</x:t>
  </x:si>
  <x:si>
    <x:t xml:space="preserve">NHL rule: latest=62, previous=24</x:t>
  </x:si>
  <x:si>
    <x:t xml:space="preserve">NHL rule: latest=60, previous=78</x:t>
  </x:si>
  <x:si>
    <x:t xml:space="preserve">NHL rule: latest=63, previous=71</x:t>
  </x:si>
  <x:si>
    <x:t xml:space="preserve">NHL rule: latest=67, previous=82</x:t>
  </x:si>
  <x:si>
    <x:t xml:space="preserve">NHL rule: latest=70, previous=65</x:t>
  </x:si>
  <x:si>
    <x:t xml:space="preserve">NHL rule: latest=74, previous=79</x:t>
  </x:si>
  <x:si>
    <x:t xml:space="preserve">NHL rule: latest=38, previous=39</x:t>
  </x:si>
  <x:si>
    <x:t xml:space="preserve">NHL rule: latest=74, previous=None</x:t>
  </x:si>
  <x:si>
    <x:t xml:space="preserve">NHL rule: latest=49, previous=39</x:t>
  </x:si>
  <x:si>
    <x:t xml:space="preserve">NHL rule: latest=39, previous=2</x:t>
  </x:si>
  <x:si>
    <x:t xml:space="preserve">NHL rule: latest=29, previous=42</x:t>
  </x:si>
  <x:si>
    <x:t xml:space="preserve">NHL rule: latest=64, previous=70</x:t>
  </x:si>
  <x:si>
    <x:t xml:space="preserve">NHL rule: latest=60, previous=67</x:t>
  </x:si>
  <x:si>
    <x:t xml:space="preserve">NHL rule: latest=59, previous=77</x:t>
  </x:si>
  <x:si>
    <x:t xml:space="preserve">NHL rule: latest=72, previous=43</x:t>
  </x:si>
  <x:si>
    <x:t xml:space="preserve">NHL rule: latest=52, previous=82</x:t>
  </x:si>
  <x:si>
    <x:t xml:space="preserve">NHL rule: latest=70, previous=69</x:t>
  </x:si>
  <x:si>
    <x:t xml:space="preserve">NHL rule: latest=44, previous=56</x:t>
  </x:si>
  <x:si>
    <x:t xml:space="preserve">NHL rule: latest=75, previous=72</x:t>
  </x:si>
  <x:si>
    <x:t xml:space="preserve">NHL rule: latest=50, previous=81</x:t>
  </x:si>
  <x:si>
    <x:t xml:space="preserve">NHL rule: latest=76, previous=80</x:t>
  </x:si>
  <x:si>
    <x:t xml:space="preserve">NHL rule: latest=74, previous=71</x:t>
  </x:si>
  <x:si>
    <x:t xml:space="preserve">NHL rule: latest=78, previous=81</x:t>
  </x:si>
  <x:si>
    <x:t xml:space="preserve">NHL rule: latest=77, previous=None</x:t>
  </x:si>
  <x:si>
    <x:t xml:space="preserve">NHL rule: latest=46, previous=73</x:t>
  </x:si>
  <x:si>
    <x:t xml:space="preserve">NHL rule: latest=21, previous=None</x:t>
  </x:si>
  <x:si>
    <x:t xml:space="preserve">NHL rule: latest=68, previous=80</x:t>
  </x:si>
  <x:si>
    <x:t xml:space="preserve">NHL rule: latest=41, previous=67</x:t>
  </x:si>
  <x:si>
    <x:t xml:space="preserve">NHL rule: latest=77, previous=67</x:t>
  </x:si>
  <x:si>
    <x:t xml:space="preserve">NHL rule: latest=81, previous=50</x:t>
  </x:si>
  <x:si>
    <x:t xml:space="preserve">NHL rule: latest=49, previous=62</x:t>
  </x:si>
  <x:si>
    <x:t xml:space="preserve">NHL rule: latest=47, previous=56</x:t>
  </x:si>
  <x:si>
    <x:t xml:space="preserve">NHL rule: latest=62, previous=75</x:t>
  </x:si>
  <x:si>
    <x:t xml:space="preserve">NHL rule: latest=40, previous=34</x:t>
  </x:si>
  <x:si>
    <x:t xml:space="preserve">NHL rule: latest=16, previous=2</x:t>
  </x:si>
  <x:si>
    <x:t xml:space="preserve">NHL rule: latest=6, previous=22</x:t>
  </x:si>
  <x:si>
    <x:t xml:space="preserve">NHL rule: latest=None, previous=43</x:t>
  </x:si>
  <x:si>
    <x:t xml:space="preserve">NHL rule: latest=79, previous=79</x:t>
  </x:si>
  <x:si>
    <x:t xml:space="preserve">NHL rule: latest=81, previous=30</x:t>
  </x:si>
  <x:si>
    <x:t xml:space="preserve">NHL rule: latest=76, previous=76</x:t>
  </x:si>
  <x:si>
    <x:t xml:space="preserve">NHL rule: latest=80, previous=42</x:t>
  </x:si>
  <x:si>
    <x:t xml:space="preserve">NHL rule: latest=74, previous=64</x:t>
  </x:si>
  <x:si>
    <x:t xml:space="preserve">NHL rule: latest=72, previous=82</x:t>
  </x:si>
  <x:si>
    <x:t xml:space="preserve">NHL rule: latest=76, previous=69</x:t>
  </x:si>
  <x:si>
    <x:t xml:space="preserve">NHL rule: latest=81, previous=69</x:t>
  </x:si>
  <x:si>
    <x:t xml:space="preserve">NHL rule: latest=68, previous=27</x:t>
  </x:si>
  <x:si>
    <x:t xml:space="preserve">NHL rule: latest=77, previous=72</x:t>
  </x:si>
  <x:si>
    <x:t xml:space="preserve">NHL rule: latest=41, previous=60</x:t>
  </x:si>
  <x:si>
    <x:t xml:space="preserve">NHL rule: latest=64, previous=63</x:t>
  </x:si>
  <x:si>
    <x:t xml:space="preserve">NHL rule: latest=65, previous=71</x:t>
  </x:si>
  <x:si>
    <x:t xml:space="preserve">NHL rule: latest=73, previous=None</x:t>
  </x:si>
  <x:si>
    <x:t xml:space="preserve">NHL rule: latest=70, previous=77</x:t>
  </x:si>
  <x:si>
    <x:t xml:space="preserve">NHL rule: latest=53, previous=9</x:t>
  </x:si>
  <x:si>
    <x:t xml:space="preserve">NHL rule: latest=45, previous=48</x:t>
  </x:si>
  <x:si>
    <x:t xml:space="preserve">NHL rule: latest=10, previous=42</x:t>
  </x:si>
  <x:si>
    <x:t xml:space="preserve">NHL rule: latest=42, previous=78</x:t>
  </x:si>
  <x:si>
    <x:t xml:space="preserve">NHL rule: latest=13, previous=16</x:t>
  </x:si>
  <x:si>
    <x:t xml:space="preserve">NHL rule: latest=58, previous=83</x:t>
  </x:si>
  <x:si>
    <x:t xml:space="preserve">NHL rule: latest=78, previous=54</x:t>
  </x:si>
  <x:si>
    <x:t xml:space="preserve">NHL rule: latest=55, previous=57</x:t>
  </x:si>
  <x:si>
    <x:t xml:space="preserve">NHL rule: latest=73, previous=61</x:t>
  </x:si>
  <x:si>
    <x:t xml:space="preserve">NHL rule: latest=81, previous=66</x:t>
  </x:si>
  <x:si>
    <x:t xml:space="preserve">NHL rule: latest=26, previous=66</x:t>
  </x:si>
  <x:si>
    <x:t xml:space="preserve">NHL rule: latest=66, previous=73</x:t>
  </x:si>
  <x:si>
    <x:t xml:space="preserve">NHL rule: latest=56, previous=78</x:t>
  </x:si>
  <x:si>
    <x:t xml:space="preserve">NHL rule: latest=74, previous=60</x:t>
  </x:si>
  <x:si>
    <x:t xml:space="preserve">NHL rule: latest=72, previous=None</x:t>
  </x:si>
  <x:si>
    <x:t xml:space="preserve">NHL rule: latest=79, previous=31</x:t>
  </x:si>
  <x:si>
    <x:t xml:space="preserve">NHL rule: latest=52, previous=67</x:t>
  </x:si>
  <x:si>
    <x:t xml:space="preserve">NHL rule: latest=69, previous=39</x:t>
  </x:si>
  <x:si>
    <x:t xml:space="preserve">NHL rule: latest=56, previous=79</x:t>
  </x:si>
  <x:si>
    <x:t xml:space="preserve">NHL rule: latest=61, previous=66</x:t>
  </x:si>
  <x:si>
    <x:t xml:space="preserve">NHL rule: latest=26, previous=12</x:t>
  </x:si>
  <x:si>
    <x:t xml:space="preserve">NHL rule: latest=4, previous=61</x:t>
  </x:si>
  <x:si>
    <x:t xml:space="preserve">NHL rule: latest=29, previous=20</x:t>
  </x:si>
  <x:si>
    <x:t xml:space="preserve">NHL rule: latest=70, previous=76</x:t>
  </x:si>
  <x:si>
    <x:t xml:space="preserve">NHL rule: latest=67, previous=26</x:t>
  </x:si>
  <x:si>
    <x:t xml:space="preserve">NHL rule: latest=32, previous=31</x:t>
  </x:si>
  <x:si>
    <x:t xml:space="preserve">NHL rule: latest=58, previous=80</x:t>
  </x:si>
  <x:si>
    <x:t xml:space="preserve">NHL rule: latest=66, previous=81</x:t>
  </x:si>
  <x:si>
    <x:t xml:space="preserve">NHL rule: latest=18, previous=60</x:t>
  </x:si>
  <x:si>
    <x:t xml:space="preserve">NHL rule: latest=59, previous=12</x:t>
  </x:si>
  <x:si>
    <x:t xml:space="preserve">NHL rule: latest=45, previous=None</x:t>
  </x:si>
  <x:si>
    <x:t xml:space="preserve">NHL rule: latest=52, previous=8</x:t>
  </x:si>
  <x:si>
    <x:t xml:space="preserve">NHL rule: latest=31, previous=31</x:t>
  </x:si>
  <x:si>
    <x:t xml:space="preserve">NHL rule: latest=29, previous=60</x:t>
  </x:si>
  <x:si>
    <x:t xml:space="preserve">NHL rule: latest=42, previous=22</x:t>
  </x:si>
  <x:si>
    <x:t xml:space="preserve">NHL rule: latest=64, previous=82</x:t>
  </x:si>
  <x:si>
    <x:t xml:space="preserve">NHL rule: latest=61, previous=62</x:t>
  </x:si>
  <x:si>
    <x:t xml:space="preserve">NHL rule: latest=60, previous=72</x:t>
  </x:si>
  <x:si>
    <x:t xml:space="preserve">NHL rule: latest=68, previous=72</x:t>
  </x:si>
  <x:si>
    <x:t xml:space="preserve">NHL rule: latest=68, previous=81</x:t>
  </x:si>
  <x:si>
    <x:t xml:space="preserve">NHL rule: latest=82, previous=69</x:t>
  </x:si>
  <x:si>
    <x:t xml:space="preserve">NHL rule: latest=76, previous=35</x:t>
  </x:si>
  <x:si>
    <x:t xml:space="preserve">NHL rule: latest=82, previous=51</x:t>
  </x:si>
  <x:si>
    <x:t xml:space="preserve">NHL rule: latest=29, previous=82</x:t>
  </x:si>
  <x:si>
    <x:t xml:space="preserve">NHL rule: latest=80, previous=79</x:t>
  </x:si>
  <x:si>
    <x:t xml:space="preserve">NHL rule: latest=51, previous=76</x:t>
  </x:si>
  <x:si>
    <x:t xml:space="preserve">NHL rule: latest=82, previous=62</x:t>
  </x:si>
  <x:si>
    <x:t xml:space="preserve">NHL rule: latest=76, previous=None</x:t>
  </x:si>
  <x:si>
    <x:t xml:space="preserve">NHL rule: latest=62, previous=81</x:t>
  </x:si>
  <x:si>
    <x:t xml:space="preserve">NHL rule: latest=82, previous=84</x:t>
  </x:si>
  <x:si>
    <x:t xml:space="preserve">NHL rule: latest=78, previous=56</x:t>
  </x:si>
  <x:si>
    <x:t xml:space="preserve">NHL rule: latest=12, previous=62</x:t>
  </x:si>
  <x:si>
    <x:t xml:space="preserve">NHL rule: latest=49, previous=72</x:t>
  </x:si>
  <x:si>
    <x:t xml:space="preserve">NHL rule: latest=36, previous=59</x:t>
  </x:si>
  <x:si>
    <x:t xml:space="preserve">NHL rule: latest=28, previous=None</x:t>
  </x:si>
  <x:si>
    <x:t xml:space="preserve">NHL rule: latest=82, previous=67</x:t>
  </x:si>
  <x:si>
    <x:t xml:space="preserve">NHL rule: latest=78, previous=41</x:t>
  </x:si>
  <x:si>
    <x:t xml:space="preserve">NHL rule: latest=72, previous=71</x:t>
  </x:si>
  <x:si>
    <x:t xml:space="preserve">NHL rule: latest=77, previous=82</x:t>
  </x:si>
  <x:si>
    <x:t xml:space="preserve">NHL rule: latest=76, previous=79</x:t>
  </x:si>
  <x:si>
    <x:t xml:space="preserve">NHL rule: latest=82, previous=70</x:t>
  </x:si>
  <x:si>
    <x:t xml:space="preserve">NHL rule: latest=61, previous=77</x:t>
  </x:si>
  <x:si>
    <x:t xml:space="preserve">NHL rule: latest=60, previous=81</x:t>
  </x:si>
  <x:si>
    <x:t xml:space="preserve">NHL rule: latest=69, previous=67</x:t>
  </x:si>
  <x:si>
    <x:t xml:space="preserve">NHL rule: latest=60, previous=80</x:t>
  </x:si>
  <x:si>
    <x:t xml:space="preserve">NHL rule: latest=68, previous=62</x:t>
  </x:si>
  <x:si>
    <x:t xml:space="preserve">NHL rule: latest=25, previous=82</x:t>
  </x:si>
  <x:si>
    <x:t xml:space="preserve">NHL rule: latest=27, previous=20</x:t>
  </x:si>
  <x:si>
    <x:t xml:space="preserve">NHL rule: latest=65, previous=53</x:t>
  </x:si>
  <x:si>
    <x:t xml:space="preserve">NHL rule: latest=65, previous=43</x:t>
  </x:si>
  <x:si>
    <x:t xml:space="preserve">NHL rule: latest=63, previous=73</x:t>
  </x:si>
  <x:si>
    <x:t xml:space="preserve">NHL rule: latest=64, previous=76</x:t>
  </x:si>
  <x:si>
    <x:t xml:space="preserve">NHL rule: latest=82, previous=54</x:t>
  </x:si>
  <x:si>
    <x:t xml:space="preserve">NHL rule: latest=78, previous=73</x:t>
  </x:si>
  <x:si>
    <x:t xml:space="preserve">NHL rule: latest=71, previous=81</x:t>
  </x:si>
  <x:si>
    <x:t xml:space="preserve">NHL rule: latest=78, previous=72</x:t>
  </x:si>
  <x:si>
    <x:t xml:space="preserve">NHL rule: latest=69, previous=79</x:t>
  </x:si>
  <x:si>
    <x:t xml:space="preserve">NHL rule: latest=64, previous=43</x:t>
  </x:si>
  <x:si>
    <x:t xml:space="preserve">NHL rule: latest=70, previous=43</x:t>
  </x:si>
  <x:si>
    <x:t xml:space="preserve">NHL rule: latest=82, previous=18</x:t>
  </x:si>
  <x:si>
    <x:t xml:space="preserve">NHL rule: latest=37, previous=57</x:t>
  </x:si>
  <x:si>
    <x:t xml:space="preserve">NHL rule: latest=62, previous=44</x:t>
  </x:si>
  <x:si>
    <x:t xml:space="preserve">NHL rule: latest=51, previous=79</x:t>
  </x:si>
  <x:si>
    <x:t xml:space="preserve">NHL rule: latest=66, previous=33</x:t>
  </x:si>
  <x:si>
    <x:t xml:space="preserve">NHL rule: latest=28, previous=64</x:t>
  </x:si>
  <x:si>
    <x:t xml:space="preserve">NHL rule: latest=46, previous=68</x:t>
  </x:si>
  <x:si>
    <x:t xml:space="preserve">NHL rule: latest=80, previous=2</x:t>
  </x:si>
  <x:si>
    <x:t xml:space="preserve">NHL rule: latest=74, previous=58</x:t>
  </x:si>
  <x:si>
    <x:t xml:space="preserve">NHL rule: latest=51, previous=31</x:t>
  </x:si>
  <x:si>
    <x:t xml:space="preserve">NHL rule: latest=5, previous=52</x:t>
  </x:si>
  <x:si>
    <x:t xml:space="preserve">NHL rule: latest=43, previous=None</x:t>
  </x:si>
  <x:si>
    <x:t xml:space="preserve">NHL rule: latest=10, previous=8</x:t>
  </x:si>
  <x:si>
    <x:t xml:space="preserve">NHL rule: latest=58, previous=12</x:t>
  </x:si>
  <x:si>
    <x:t xml:space="preserve">NHL rule: latest=None, previous=13</x:t>
  </x:si>
  <x:si>
    <x:t xml:space="preserve">NHL rule: latest=36, previous=1</x:t>
  </x:si>
  <x:si>
    <x:t xml:space="preserve">NHL rule: latest=None, previous=28</x:t>
  </x:si>
  <x:si>
    <x:t xml:space="preserve">NHL rule: latest=24, previous=None</x:t>
  </x:si>
  <x:si>
    <x:t xml:space="preserve">NHL rule: latest=39, previous=8</x:t>
  </x:si>
  <x:si>
    <x:t xml:space="preserve">NHL rule: latest=82, previous=79</x:t>
  </x:si>
  <x:si>
    <x:t xml:space="preserve">NHL rule: latest=79, previous=78</x:t>
  </x:si>
  <x:si>
    <x:t xml:space="preserve">NHL rule: latest=67, previous=72</x:t>
  </x:si>
  <x:si>
    <x:t xml:space="preserve">NHL rule: latest=54, previous=75</x:t>
  </x:si>
  <x:si>
    <x:t xml:space="preserve">NHL rule: latest=59, previous=69</x:t>
  </x:si>
  <x:si>
    <x:t xml:space="preserve">NHL rule: latest=81, previous=57</x:t>
  </x:si>
  <x:si>
    <x:t xml:space="preserve">NHL rule: latest=81, previous=13</x:t>
  </x:si>
  <x:si>
    <x:t xml:space="preserve">NHL rule: latest=70, previous=7</x:t>
  </x:si>
  <x:si>
    <x:t xml:space="preserve">NHL rule: latest=60, previous=None</x:t>
  </x:si>
  <x:si>
    <x:t xml:space="preserve">NHL rule: latest=65, previous=79</x:t>
  </x:si>
  <x:si>
    <x:t xml:space="preserve">NHL rule: latest=81, previous=78</x:t>
  </x:si>
  <x:si>
    <x:t xml:space="preserve">NHL rule: latest=82, previous=4</x:t>
  </x:si>
  <x:si>
    <x:t xml:space="preserve">NHL rule: latest=74, previous=54</x:t>
  </x:si>
  <x:si>
    <x:t xml:space="preserve">NHL rule: latest=35, previous=82</x:t>
  </x:si>
  <x:si>
    <x:t xml:space="preserve">NHL rule: latest=54, previous=37</x:t>
  </x:si>
  <x:si>
    <x:t xml:space="preserve">NHL rule: latest=51, previous=75</x:t>
  </x:si>
  <x:si>
    <x:t xml:space="preserve">NHL rule: latest=76, previous=68</x:t>
  </x:si>
  <x:si>
    <x:t xml:space="preserve">NHL rule: latest=69, previous=24</x:t>
  </x:si>
  <x:si>
    <x:t xml:space="preserve">NHL rule: latest=38, previous=78</x:t>
  </x:si>
  <x:si>
    <x:t xml:space="preserve">NHL rule: latest=62, previous=43</x:t>
  </x:si>
  <x:si>
    <x:t xml:space="preserve">NHL rule: latest=61, previous=25</x:t>
  </x:si>
  <x:si>
    <x:t xml:space="preserve">NHL rule: latest=70, previous=52</x:t>
  </x:si>
  <x:si>
    <x:t xml:space="preserve">NHL rule: latest=49, previous=77</x:t>
  </x:si>
  <x:si>
    <x:t xml:space="preserve">NHL rule: latest=66, previous=29</x:t>
  </x:si>
  <x:si>
    <x:t xml:space="preserve">NHL rule: latest=38, previous=72</x:t>
  </x:si>
  <x:si>
    <x:t xml:space="preserve">NHL rule: latest=47, previous=None</x:t>
  </x:si>
  <x:si>
    <x:t xml:space="preserve">NHL rule: latest=74, previous=27</x:t>
  </x:si>
  <x:si>
    <x:t xml:space="preserve">NHL rule: latest=15, previous=3</x:t>
  </x:si>
  <x:si>
    <x:t xml:space="preserve">NHL rule: latest=65, previous=82</x:t>
  </x:si>
  <x:si>
    <x:t xml:space="preserve">NHL rule: latest=31, previous=52</x:t>
  </x:si>
  <x:si>
    <x:t xml:space="preserve">NHL rule: latest=52, previous=71</x:t>
  </x:si>
  <x:si>
    <x:t xml:space="preserve">NHL rule: latest=79, previous=70</x:t>
  </x:si>
  <x:si>
    <x:t xml:space="preserve">NHL rule: latest=63, previous=77</x:t>
  </x:si>
  <x:si>
    <x:t xml:space="preserve">NHL rule: latest=82, previous=71</x:t>
  </x:si>
  <x:si>
    <x:t xml:space="preserve">NHL rule: latest=57, previous=82</x:t>
  </x:si>
  <x:si>
    <x:t xml:space="preserve">NHL rule: latest=50, previous=82</x:t>
  </x:si>
  <x:si>
    <x:t xml:space="preserve">NHL rule: latest=42, previous=82</x:t>
  </x:si>
  <x:si>
    <x:t xml:space="preserve">NHL rule: latest=79, previous=53</x:t>
  </x:si>
  <x:si>
    <x:t xml:space="preserve">NHL rule: latest=66, previous=None</x:t>
  </x:si>
  <x:si>
    <x:t xml:space="preserve">NHL rule: latest=52, previous=66</x:t>
  </x:si>
  <x:si>
    <x:t xml:space="preserve">NHL rule: latest=78, previous=69</x:t>
  </x:si>
  <x:si>
    <x:t xml:space="preserve">NHL rule: latest=49, previous=5</x:t>
  </x:si>
  <x:si>
    <x:t xml:space="preserve">NHL rule: latest=50, previous=35</x:t>
  </x:si>
  <x:si>
    <x:t xml:space="preserve">NHL rule: latest=12, previous=56</x:t>
  </x:si>
  <x:si>
    <x:t xml:space="preserve">NHL rule: latest=24, previous=80</x:t>
  </x:si>
  <x:si>
    <x:t xml:space="preserve">NHL rule: latest=45, previous=5</x:t>
  </x:si>
  <x:si>
    <x:t xml:space="preserve">NHL rule: latest=1, previous=15</x:t>
  </x:si>
  <x:si>
    <x:t xml:space="preserve">NHL rule: latest=56, previous=68</x:t>
  </x:si>
  <x:si>
    <x:t xml:space="preserve">NHL rule: latest=77, previous=81</x:t>
  </x:si>
  <x:si>
    <x:t xml:space="preserve">NHL rule: latest=82, previous=74</x:t>
  </x:si>
  <x:si>
    <x:t xml:space="preserve">NHL rule: latest=71, previous=55</x:t>
  </x:si>
  <x:si>
    <x:t xml:space="preserve">NHL rule: latest=12, previous=None</x:t>
  </x:si>
  <x:si>
    <x:t xml:space="preserve">NHL rule: latest=76, previous=78</x:t>
  </x:si>
  <x:si>
    <x:t xml:space="preserve">NHL rule: latest=58, previous=73</x:t>
  </x:si>
  <x:si>
    <x:t xml:space="preserve">NHL rule: latest=69, previous=74</x:t>
  </x:si>
  <x:si>
    <x:t xml:space="preserve">NHL rule: latest=82, previous=2</x:t>
  </x:si>
  <x:si>
    <x:t xml:space="preserve">NHL rule: latest=75, previous=76</x:t>
  </x:si>
  <x:si>
    <x:t xml:space="preserve">NHL rule: latest=75, previous=9</x:t>
  </x:si>
  <x:si>
    <x:t xml:space="preserve">NHL rule: latest=69, previous=81</x:t>
  </x:si>
  <x:si>
    <x:t xml:space="preserve">NHL rule: latest=32, previous=72</x:t>
  </x:si>
  <x:si>
    <x:t xml:space="preserve">NHL rule: latest=71, previous=6</x:t>
  </x:si>
  <x:si>
    <x:t xml:space="preserve">NHL rule: latest=79, previous=23</x:t>
  </x:si>
  <x:si>
    <x:t xml:space="preserve">NHL rule: latest=74, previous=76</x:t>
  </x:si>
  <x:si>
    <x:t xml:space="preserve">NHL rule: latest=71, previous=2</x:t>
  </x:si>
  <x:si>
    <x:t xml:space="preserve">NHL rule: latest=37, previous=None</x:t>
  </x:si>
  <x:si>
    <x:t xml:space="preserve">NHL rule: latest=26, previous=1</x:t>
  </x:si>
  <x:si>
    <x:t xml:space="preserve">NHL rule: latest=54, previous=None</x:t>
  </x:si>
  <x:si>
    <x:t xml:space="preserve">NHL rule: latest=28, previous=12</x:t>
  </x:si>
  <x:si>
    <x:t xml:space="preserve">NHL rule: latest=28, previous=26</x:t>
  </x:si>
  <x:si>
    <x:t xml:space="preserve">NHL rule: latest=22, previous=81</x:t>
  </x:si>
  <x:si>
    <x:t xml:space="preserve">NHL rule: latest=14, previous=52</x:t>
  </x:si>
  <x:si>
    <x:t xml:space="preserve">NHL rule: latest=65, previous=38</x:t>
  </x:si>
  <x:si>
    <x:t xml:space="preserve">NHL rule: latest=13, previous=24</x:t>
  </x:si>
  <x:si>
    <x:t xml:space="preserve">NHL rule: latest=41, previous=None</x:t>
  </x:si>
  <x:si>
    <x:t xml:space="preserve">NHL rule: latest=25, previous=5</x:t>
  </x:si>
  <x:si>
    <x:t xml:space="preserve">NHL rule: latest=79, previous=72</x:t>
  </x:si>
  <x:si>
    <x:t xml:space="preserve">NHL rule: latest=56, previous=11</x:t>
  </x:si>
  <x:si>
    <x:t xml:space="preserve">NHL rule: latest=18, previous=1</x:t>
  </x:si>
  <x:si>
    <x:t xml:space="preserve">NHL rule: latest=3, previous=41</x:t>
  </x:si>
  <x:si>
    <x:t xml:space="preserve">NHL rule: latest=62, previous=73</x:t>
  </x:si>
  <x:si>
    <x:t xml:space="preserve">NHL rule: latest=67, previous=18</x:t>
  </x:si>
  <x:si>
    <x:t xml:space="preserve">NHL rule: latest=62, previous=78</x:t>
  </x:si>
  <x:si>
    <x:t xml:space="preserve">NHL rule: latest=71, previous=None</x:t>
  </x:si>
  <x:si>
    <x:t xml:space="preserve">NHL rule: latest=10, previous=2</x:t>
  </x:si>
  <x:si>
    <x:t xml:space="preserve">NHL rule: latest=31, previous=3</x:t>
  </x:si>
  <x:si>
    <x:t xml:space="preserve">NHL rule: latest=44, previous=None</x:t>
  </x:si>
  <x:si>
    <x:t xml:space="preserve">NHL rule: latest=19, previous=23</x:t>
  </x:si>
  <x:si>
    <x:t xml:space="preserve">Provisional AHL: no current NHL snapshot; updater will reclassify. | Baseline ratings until first V8 AHL refresh.</x:t>
  </x:si>
  <x:si>
    <x:t xml:space="preserve">NHL rule: latest=3, previous=6 | Baseline ratings until first V8 AHL refresh.</x:t>
  </x:si>
  <x:si>
    <x:t xml:space="preserve">NHL rule: latest=None, previous=None | Baseline ratings until first V8 AHL refresh.</x:t>
  </x:si>
  <x:si>
    <x:t xml:space="preserve">NHL rule: latest=1, previous=7 | Baseline ratings until first V8 AHL refresh.</x:t>
  </x:si>
  <x:si>
    <x:t xml:space="preserve">NHL rule: latest=6, previous=2 | Baseline ratings until first V8 AHL refresh.</x:t>
  </x:si>
  <x:si>
    <x:t xml:space="preserve">NHL rule: latest=None, previous=4 | Baseline ratings until first V8 AHL refresh.</x:t>
  </x:si>
  <x:si>
    <x:t xml:space="preserve">NHL rule: latest=3, previous=None | Baseline ratings until first V8 AHL refresh.</x:t>
  </x:si>
  <x:si>
    <x:t xml:space="preserve">NHL rule: latest=4, previous=None | Baseline ratings until first V8 AHL refresh.</x:t>
  </x:si>
  <x:si>
    <x:t xml:space="preserve">NHL rule: latest=None, previous=3 | Baseline ratings until first V8 AHL refresh.</x:t>
  </x:si>
  <x:si>
    <x:t xml:space="preserve">NHL rule: latest=1, previous=9 | Baseline ratings until first V8 AHL refresh.</x:t>
  </x:si>
  <x:si>
    <x:t xml:space="preserve">NHL rule: latest=6, previous=None | Baseline ratings until first V8 AHL refresh.</x:t>
  </x:si>
  <x:si>
    <x:t xml:space="preserve">NHL rule: latest=8, previous=8 | Baseline ratings until first V8 AHL refresh.</x:t>
  </x:si>
  <x:si>
    <x:t xml:space="preserve">NHL rule: latest=None, previous=6 | Baseline ratings until first V8 AHL refresh.</x:t>
  </x:si>
  <x:si>
    <x:t xml:space="preserve">NHL rule: latest=None, previous=1 | Baseline ratings until first V8 AHL refresh.</x:t>
  </x:si>
  <x:si>
    <x:t xml:space="preserve">NHL rule: latest=None, previous=2 | Baseline ratings until first V8 AHL refresh.</x:t>
  </x:si>
  <x:si>
    <x:t xml:space="preserve">NHL rule: latest=1, previous=1 | Baseline ratings until first V8 AHL refresh.</x:t>
  </x:si>
  <x:si>
    <x:t xml:space="preserve">NHL rule: latest=None, previous=8 | Baseline ratings until first V8 AHL refresh.</x:t>
  </x:si>
  <x:si>
    <x:t xml:space="preserve">AHL MATCHING — populated by updater</x:t>
  </x:si>
  <x:si>
    <x:t xml:space="preserve">Master Player</x:t>
  </x:si>
  <x:si>
    <x:t xml:space="preserve">Normalized name</x:t>
  </x:si>
  <x:si>
    <x:t xml:space="preserve">AHL player ID</x:t>
  </x:si>
  <x:si>
    <x:t xml:space="preserve">AHL name</x:t>
  </x:si>
  <x:si>
    <x:t xml:space="preserve">Match status</x:t>
  </x:si>
  <x:si>
    <x:t xml:space="preserve">Latest AHL team</x:t>
  </x:si>
</x:sst>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5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04B"/>
      <x:name val="Carlito"/>
    </x:font>
    <x:font>
      <x:b/>
      <x:sz val="11"/>
      <x:color rgb="FF124262"/>
      <x:name val="Carlito"/>
    </x:font>
    <x:font>
      <x:b/>
      <x:sz val="11"/>
      <x:color rgb="FF8A341B"/>
      <x:name val="Carlito"/>
    </x:font>
    <x:font>
      <x:b/>
      <x:sz val="11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ED7D31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12304B"/>
      </x:patternFill>
    </x:fill>
    <x:fill>
      <x:patternFill patternType="solid">
        <x:fgColor rgb="FFDCEAF4"/>
      </x:patternFill>
    </x:fill>
    <x:fill>
      <x:patternFill patternType="solid">
        <x:fgColor rgb="FF163D59"/>
      </x:patternFill>
    </x:fill>
    <x:fill>
      <x:patternFill patternType="solid">
        <x:fgColor rgb="FFEFF6FB"/>
      </x:patternFill>
    </x:fill>
    <x:fill>
      <x:patternFill patternType="solid">
        <x:fgColor rgb="FFFFF4CC"/>
      </x:patternFill>
    </x:fill>
    <x:fill>
      <x:patternFill patternType="solid">
        <x:fgColor rgb="FFFDE8D7"/>
      </x:patternFill>
    </x:fill>
    <x:fill>
      <x:patternFill patternType="solid">
        <x:fgColor rgb="FF193B56"/>
      </x:patternFill>
    </x:fill>
    <x:fill>
      <x:patternFill patternType="solid">
        <x:fgColor rgb="FFF3F7FB"/>
      </x:patternFill>
    </x:fill>
    <x:fill>
      <x:patternFill patternType="solid">
        <x:fgColor rgb="FFFFF2C8"/>
      </x:patternFill>
    </x:fill>
    <x:fill>
      <x:patternFill patternType="solid">
        <x:fgColor rgb="FFE9F4F2"/>
      </x:patternFill>
    </x:fill>
    <x:fill>
      <x:patternFill patternType="solid">
        <x:fgColor rgb="FFE7F3E9"/>
      </x:patternFill>
    </x:fill>
    <x:fill>
      <x:patternFill patternType="solid">
        <x:fgColor rgb="FF174A63"/>
      </x:patternFill>
    </x:fill>
    <x:fill>
      <x:patternFill patternType="solid">
        <x:fgColor rgb="FF133B4B"/>
      </x:patternFill>
    </x:fill>
  </x:fills>
  <x:borders count="2">
    <x:border/>
    <x:border/>
  </x:borders>
  <x:cellStyleXfs count="2">
    <x:xf numFmtId="0" fontId="0" fillId="0" borderId="0"/>
    <x:xf numFmtId="0" fontId="4" fillId="0" borderId="0"/>
  </x:cellStyleXfs>
  <x:cellXfs count="82">
    <x:xf numFmtId="0" fontId="0" fillId="0" borderId="0" xfId="0"/>
    <x:xf numFmtId="0" fontId="3" fillId="4" borderId="0" xfId="1" applyFont="1" applyFill="1" applyAlignment="1">
      <x:alignment horizontal="center" wrapText="1"/>
    </x:xf>
    <x:xf numFmtId="0" fontId="0" fillId="0" borderId="0" xfId="1" applyFont="1" applyAlignment="1">
      <x:alignment wrapText="1"/>
    </x:xf>
    <x:xf numFmtId="0" fontId="0" fillId="9" borderId="0" xfId="1" applyFont="1" applyFill="1"/>
    <x:xf numFmtId="0" fontId="0" fillId="0" borderId="0" xfId="1" applyFont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1" applyFont="1" applyFill="1" applyAlignment="1">
      <x:alignment horizontal="left"/>
    </x:xf>
    <x:xf numFmtId="0" fontId="2" fillId="3" borderId="0" xfId="1" applyFont="1" applyFill="1" applyAlignment="1">
      <x:alignment wrapText="1"/>
    </x:xf>
    <x:xf numFmtId="0" fontId="3" fillId="5" borderId="0" xfId="1" applyFont="1" applyFill="1"/>
    <x:xf numFmtId="0" fontId="0" fillId="6" borderId="0" xfId="1" applyFont="1" applyFill="1" applyAlignment="1">
      <x:alignment wrapText="1"/>
    </x:xf>
    <x:xf numFmtId="0" fontId="3" fillId="7" borderId="0" xfId="1" applyFont="1" applyFill="1"/>
    <x:xf numFmtId="0" fontId="0" fillId="8" borderId="0" xfId="1" applyFont="1" applyFill="1" applyAlignment="1">
      <x:alignment wrapText="1"/>
    </x:xf>
    <x:xf numFmtId="0" fontId="1" fillId="2" borderId="0" xfId="1" applyFont="1" applyFill="1" applyAlignment="1">
      <x:alignment horizontal="left" wrapText="1"/>
    </x:xf>
    <x:xf numFmtId="0" fontId="0" fillId="0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0" fillId="10" borderId="1" xfId="0" applyNumberFormat="1" applyFont="1" applyFill="1" applyBorder="1"/>
    <x:xf numFmtId="0" fontId="5" fillId="10" borderId="1" xfId="0" applyNumberFormat="1" applyFont="1" applyFill="1" applyBorder="1"/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0" fillId="11" borderId="1" xfId="0" applyNumberFormat="1" applyFont="1" applyFill="1" applyBorder="1"/>
    <x:xf numFmtId="0" fontId="6" fillId="11" borderId="1" xfId="0" applyNumberFormat="1" applyFont="1" applyFill="1" applyBorder="1"/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0" fillId="12" borderId="1" xfId="0" applyNumberFormat="1" applyFont="1" applyFill="1" applyBorder="1"/>
    <x:xf numFmtId="0" fontId="3" fillId="12" borderId="1" xfId="0" applyNumberFormat="1" applyFont="1" applyFill="1" applyBorder="1"/>
    <x:xf numFmtId="0" fontId="0" fillId="13" borderId="0" xfId="0" applyNumberFormat="1" applyFont="1" applyFill="1" applyBorder="1"/>
    <x:xf numFmtId="0" fontId="7" fillId="13" borderId="0" xfId="0" applyNumberFormat="1" applyFont="1" applyFill="1" applyBorder="1"/>
    <x:xf numFmtId="0" fontId="0" fillId="13" borderId="1" xfId="0" applyNumberFormat="1" applyFont="1" applyFill="1" applyBorder="1"/>
    <x:xf numFmtId="0" fontId="7" fillId="13" borderId="1" xfId="0" applyNumberFormat="1" applyFont="1" applyFill="1" applyBorder="1"/>
    <x:xf numFmtId="0" fontId="0" fillId="14" borderId="0" xfId="0" applyNumberFormat="1" applyFont="1" applyFill="1" applyBorder="1"/>
    <x:xf numFmtId="0" fontId="0" fillId="14" borderId="0" xfId="0" applyNumberFormat="1" applyFont="1" applyFill="1" applyBorder="1" applyAlignment="1">
      <x:alignment horizontal="center"/>
    </x:xf>
    <x:xf numFmtId="0" fontId="0" fillId="14" borderId="1" xfId="0" applyNumberFormat="1" applyFont="1" applyFill="1" applyBorder="1"/>
    <x:xf numFmtId="0" fontId="0" fillId="14" borderId="1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8" fillId="15" borderId="0" xfId="0" applyNumberFormat="1" applyFont="1" applyFill="1" applyBorder="1"/>
    <x:xf numFmtId="0" fontId="0" fillId="15" borderId="1" xfId="0" applyNumberFormat="1" applyFont="1" applyFill="1" applyBorder="1"/>
    <x:xf numFmtId="0" fontId="8" fillId="15" borderId="1" xfId="0" applyNumberFormat="1" applyFont="1" applyFill="1" applyBorder="1"/>
    <x:xf numFmtId="0" fontId="9" fillId="13" borderId="0" xfId="0" applyNumberFormat="1" applyFont="1" applyFill="1" applyBorder="1"/>
    <x:xf numFmtId="0" fontId="9" fillId="1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0" fillId="16" borderId="1" xfId="0" applyNumberFormat="1" applyFont="1" applyFill="1" applyBorder="1"/>
    <x:xf numFmtId="0" fontId="3" fillId="16" borderId="1" xfId="0" applyNumberFormat="1" applyFont="1" applyFill="1" applyBorder="1"/>
    <x:xf numFmtId="0" fontId="3" fillId="16" borderId="1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0" fillId="17" borderId="1" xfId="0" applyNumberFormat="1" applyFont="1" applyFill="1" applyBorder="1"/>
    <x:xf numFmtId="0" fontId="0" fillId="18" borderId="0" xfId="0" applyNumberFormat="1" applyFont="1" applyFill="1" applyBorder="1"/>
    <x:xf numFmtId="0" fontId="0" fillId="18" borderId="1" xfId="0" applyNumberFormat="1" applyFont="1" applyFill="1" applyBorder="1"/>
    <x:xf numFmtId="0" fontId="0" fillId="19" borderId="0" xfId="0" applyNumberFormat="1" applyFont="1" applyFill="1" applyBorder="1"/>
    <x:xf numFmtId="0" fontId="0" fillId="19" borderId="1" xfId="0" applyNumberFormat="1" applyFont="1" applyFill="1" applyBorder="1"/>
    <x:xf numFmtId="0" fontId="0" fillId="20" borderId="0" xfId="0" applyNumberFormat="1" applyFont="1" applyFill="1" applyBorder="1"/>
    <x:xf numFmtId="0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0" fillId="21" borderId="0" xfId="0" applyNumberFormat="1" applyFont="1" applyFill="1" applyBorder="1"/>
    <x:xf numFmtId="0" fontId="3" fillId="21" borderId="0" xfId="0" applyNumberFormat="1" applyFont="1" applyFill="1" applyBorder="1"/>
    <x:xf numFmtId="0" fontId="3" fillId="21" borderId="0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wrapText="1"/>
    </x:xf>
    <x:xf numFmtId="0" fontId="5" fillId="22" borderId="0" xfId="0" applyNumberFormat="1" applyFont="1" applyFill="1" applyBorder="1"/>
    <x:xf numFmtId="0" fontId="0" fillId="21" borderId="0" xfId="0" applyNumberFormat="1" applyFont="1" applyFill="1" applyBorder="1" applyAlignment="1">
      <x:alignment wrapText="1"/>
    </x:xf>
    <x:xf numFmtId="0" fontId="9" fillId="21" borderId="0" xfId="0" applyNumberFormat="1" applyFont="1" applyFill="1" applyBorder="1"/>
  </x:cellXfs>
  <x:cellStyles count="2">
    <x:cellStyle name="Normal" xfId="1"/>
    <x:cellStyle name="Normálna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aea27e0bf94dc1" /><Relationship Type="http://schemas.openxmlformats.org/officeDocument/2006/relationships/theme" Target="/xl/theme/theme1.xml" Id="R9724ba45ae064391" /><Relationship Type="http://schemas.microsoft.com/office/2022/11/relationships/FeaturePropertyBag" Target="/xl/featurePropertyBag/featurePropertyBag.xml" Id="Re846fd4b745246a6" /><Relationship Type="http://schemas.openxmlformats.org/officeDocument/2006/relationships/sharedStrings" Target="/xl/sharedStrings.xml" Id="Rdc0674d839bd46d7" /><Relationship Type="http://schemas.openxmlformats.org/officeDocument/2006/relationships/worksheet" Target="/xl/worksheets/sheet1.xml" Id="Rf295b868d1d141b5" /><Relationship Type="http://schemas.openxmlformats.org/officeDocument/2006/relationships/worksheet" Target="/xl/worksheets/sheet2.xml" Id="Rbde30e5d681147a4" /><Relationship Type="http://schemas.openxmlformats.org/officeDocument/2006/relationships/worksheet" Target="/xl/worksheets/sheet3.xml" Id="R5ef103c671a2420f" /><Relationship Type="http://schemas.openxmlformats.org/officeDocument/2006/relationships/worksheet" Target="/xl/worksheets/sheet4.xml" Id="R9059940a313f4b7e" /><Relationship Type="http://schemas.openxmlformats.org/officeDocument/2006/relationships/worksheet" Target="/xl/worksheets/sheet5.xml" Id="Rba2dea41c0ff4fc2" /><Relationship Type="http://schemas.openxmlformats.org/officeDocument/2006/relationships/worksheet" Target="/xl/worksheets/sheet6.xml" Id="Rcecdf54e72d74544" /><Relationship Type="http://schemas.openxmlformats.org/officeDocument/2006/relationships/worksheet" Target="/xl/worksheets/sheet7.xml" Id="Rc8c37c4b4baa40ef" /><Relationship Type="http://schemas.openxmlformats.org/officeDocument/2006/relationships/worksheet" Target="/xl/worksheets/sheet8.xml" Id="R475de632a09842f3" /><Relationship Type="http://schemas.openxmlformats.org/officeDocument/2006/relationships/worksheet" Target="/xl/worksheets/sheet9.xml" Id="R6aea41629f504555" /><Relationship Type="http://schemas.openxmlformats.org/officeDocument/2006/relationships/worksheet" Target="/xl/worksheets/sheet10.xml" Id="Rf49a5ed2e40949e1" /><Relationship Type="http://schemas.openxmlformats.org/officeDocument/2006/relationships/worksheet" Target="/xl/worksheets/sheet11.xml" Id="Reed981c6c00248cb" /><Relationship Type="http://schemas.openxmlformats.org/officeDocument/2006/relationships/worksheet" Target="/xl/worksheets/sheet12.xml" Id="Ra9d2a170c68f49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10" customWidth="1"/>
    <x:col min="2" max="2" width="26" customWidth="1"/>
    <x:col min="3" max="3" width="72" customWidth="1"/>
    <x:col min="4" max="4" width="18" customWidth="1"/>
  </x:cols>
  <x:sheetData>
    <x:row r="1" ht="19">
      <x:c r="A1" s="5" t="str">
        <x:v>STHS Player Ratings — Live V8 NHL + AHL PA/SC V10</x:v>
      </x:c>
      <x:c r="B1" s="5"/>
      <x:c r="C1" s="5"/>
      <x:c r="D1" s="5"/>
      <x:c r="E1" s="5"/>
      <x:c r="F1" s="5"/>
    </x:row>
    <x:row r="2" ht="15">
      <x:c r="A2" s="6" t="str">
        <x:v>NHL ratingy V8 bez zmeny. AHL V10: chráni NHL hráčov podľa GP 2025/26 a 2024/25; prázdne GP neznamená nulu. Externý updater treba upraviť zvlášť.</x:v>
      </x:c>
      <x:c r="B2" s="6"/>
      <x:c r="C2" s="6"/>
      <x:c r="D2" s="6"/>
      <x:c r="E2" s="6"/>
      <x:c r="F2" s="6"/>
    </x:row>
    <x:row r="4" ht="16">
      <x:c r="A4" s="1" t="s">
        <x:v>0</x:v>
      </x:c>
      <x:c r="B4" s="1" t="s">
        <x:v>1</x:v>
      </x:c>
      <x:c r="C4" s="1" t="s">
        <x:v>2</x:v>
      </x:c>
      <x:c r="D4" s="1" t="s">
        <x:v>3</x:v>
      </x:c>
      <x:c r="E4" s="1"/>
      <x:c r="F4" s="1"/>
    </x:row>
    <x:row r="5">
      <x:c r="A5" t="s">
        <x:v>4</x:v>
      </x:c>
      <x:c r="B5" t="s">
        <x:v>5</x:v>
      </x:c>
      <x:c r="C5" t="s">
        <x:v>6</x:v>
      </x:c>
      <x:c r="D5" t="s">
        <x:v>7</x:v>
      </x:c>
    </x:row>
    <x:row r="6">
      <x:c r="A6" t="s">
        <x:v>8</x:v>
      </x:c>
      <x:c r="B6" t="s">
        <x:v>9</x:v>
      </x:c>
      <x:c r="C6" t="s">
        <x:v>10</x:v>
      </x:c>
      <x:c r="D6" t="s">
        <x:v>11</x:v>
      </x:c>
    </x:row>
    <x:row r="7">
      <x:c r="A7" t="s">
        <x:v>12</x:v>
      </x:c>
      <x:c r="B7" t="s">
        <x:v>13</x:v>
      </x:c>
      <x:c r="C7" t="s">
        <x:v>14</x:v>
      </x:c>
      <x:c r="D7" t="s">
        <x:v>15</x:v>
      </x:c>
    </x:row>
    <x:row r="8">
      <x:c r="A8" t="str">
        <x:v>5</x:v>
      </x:c>
      <x:c r="B8" t="str">
        <x:v>AHL_PLAYERS</x:v>
      </x:c>
      <x:c r="C8" t="str">
        <x:v>AHL rating; F/G NHL GP a AE = NHL protection V10</x:v>
      </x:c>
      <x:c r="D8" t="str">
        <x:v>947 hráčov</x:v>
      </x:c>
    </x:row>
    <x:row r="9">
      <x:c r="A9" t="str">
        <x:v>6</x:v>
      </x:c>
      <x:c r="B9" t="str">
        <x:v>NHL_GP_OVERENIE_V10</x:v>
      </x:c>
      <x:c r="C9" t="str">
        <x:v>6 individuálne overených profilov NHL GP a zdroje</x:v>
      </x:c>
      <x:c r="D9" t="str">
        <x:v>6 overených</x:v>
      </x:c>
    </x:row>
    <x:row r="10">
      <x:c r="A10" t="str">
        <x:v>7</x:v>
      </x:c>
      <x:c r="B10" t="str">
        <x:v>AHL_PA_SC_BALANCE</x:v>
      </x:c>
      <x:c r="C10" t="str">
        <x:v>Pravidlá NHL ochrany / overeného AHL zníženia</x:v>
      </x:c>
      <x:c r="D10" t="str">
        <x:v>V10</x:v>
      </x:c>
    </x:row>
    <x:row r="11">
      <x:c r="A11" t="str">
        <x:v>8</x:v>
      </x:c>
      <x:c r="B11" t="str">
        <x:v>AHL_MATCHING</x:v>
      </x:c>
      <x:c r="C11" t="str">
        <x:v>Identita hráčov AHL</x:v>
      </x:c>
      <x:c r="D11" t="str">
        <x:v>Reference</x:v>
      </x:c>
    </x:row>
    <x:row r="12">
      <x:c r="A12" t="str">
        <x:v>9</x:v>
      </x:c>
      <x:c r="B12" t="str">
        <x:v>FORMULAS_V8</x:v>
      </x:c>
      <x:c r="C12" t="str">
        <x:v>V8 model; V10 PA/SC ochrana je oddelená</x:v>
      </x:c>
      <x:c r="D12" t="str">
        <x:v>V8 + V10</x:v>
      </x:c>
    </x:row>
    <x:row r="13" ht="15">
      <x:c r="A13" s="7" t="s">
        <x:v>16</x:v>
      </x:c>
      <x:c r="B13" s="7"/>
      <x:c r="C13" s="7"/>
      <x:c r="D13" s="7"/>
      <x:c r="E13" s="7"/>
      <x:c r="F13" s="7"/>
    </x:row>
    <x:row r="14">
      <x:c r="A14" s="8" t="s">
        <x:v>17</x:v>
      </x:c>
      <x:c r="B14" s="8"/>
      <x:c r="C14" s="8"/>
      <x:c r="D14" s="8"/>
      <x:c r="E14" s="8"/>
      <x:c r="F14" s="8"/>
    </x:row>
    <x:row r="15">
      <x:c r="A15" s="8"/>
      <x:c r="B15" s="8"/>
      <x:c r="C15" s="8"/>
      <x:c r="D15" s="8"/>
      <x:c r="E15" s="8"/>
      <x:c r="F15" s="8"/>
    </x:row>
    <x:row r="17">
      <x:c r="A17" t="str">
        <x:v>Dôležitá AHL logika po úprave V9</x:v>
      </x:c>
    </x:row>
    <x:row r="18" ht="15">
      <x:c r="A18" s="9" t="str">
        <x:v>AHL PA/SC sa najprv prepočíta na NHL-equivalent (V8 po live update) a následne sa aplikuje konzervatívna GP korekcia V9 podľa AHL_PA_SC_BALANCE. Kým nebeží live update, vstupom sú pôvodné AHL hodnoty v AB/AC.</x:v>
      </x:c>
      <x:c r="B18" s="9"/>
      <x:c r="C18" s="9"/>
      <x:c r="D18" s="9"/>
      <x:c r="E18" s="9"/>
      <x:c r="F18" s="9"/>
    </x:row>
    <x:row r="19">
      <x:c r="A19" s="10" t="s">
        <x:v>18</x:v>
      </x:c>
      <x:c r="B19" s="10"/>
      <x:c r="C19" s="10"/>
      <x:c r="D19" s="10"/>
      <x:c r="E19" s="10"/>
      <x:c r="F19" s="10"/>
    </x:row>
    <x:row r="20">
      <x:c r="A20" s="10"/>
      <x:c r="B20" s="10"/>
      <x:c r="C20" s="10"/>
      <x:c r="D20" s="10"/>
      <x:c r="E20" s="10"/>
      <x:c r="F20" s="10"/>
    </x:row>
    <x:row r="21">
      <x:c r="A21" s="10"/>
      <x:c r="B21" s="10"/>
      <x:c r="C21" s="10"/>
      <x:c r="D21" s="10"/>
      <x:c r="E21" s="10"/>
      <x:c r="F21" s="10"/>
    </x:row>
    <x:row r="22">
      <x:c r="A22" s="10"/>
      <x:c r="B22" s="10"/>
      <x:c r="C22" s="10"/>
      <x:c r="D22" s="10"/>
      <x:c r="E22" s="10"/>
      <x:c r="F22" s="10"/>
    </x:row>
  </x:sheetData>
  <x:mergeCells>
    <x:mergeCell ref="A19:F22"/>
    <x:mergeCell ref="A1:F1"/>
    <x:mergeCell ref="A2:F2"/>
    <x:mergeCell ref="A13:F13"/>
    <x:mergeCell ref="A14:F15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10" customWidth="1"/>
    <x:col min="2" max="2" width="34" customWidth="1"/>
    <x:col min="3" max="3" width="66" customWidth="1"/>
    <x:col min="4" max="4" width="34" customWidth="1"/>
    <x:col min="8" max="8" width="22" customWidth="1"/>
    <x:col min="9" max="9" width="24" customWidth="1"/>
  </x:cols>
  <x:sheetData>
    <x:row r="1" ht="19">
      <x:c r="A1" s="11" t="s">
        <x:v>19</x:v>
      </x:c>
      <x:c r="B1" s="11"/>
      <x:c r="C1" s="11"/>
      <x:c r="D1" s="11"/>
      <x:c r="E1" s="11"/>
      <x:c r="F1" s="11"/>
      <x:c r="G1" s="2"/>
      <x:c r="H1" s="2"/>
      <x:c r="I1" s="2"/>
    </x:row>
    <x:row r="2" ht="15">
      <x:c r="A2" s="6" t="s">
        <x:v>20</x:v>
      </x:c>
      <x:c r="B2" s="6"/>
      <x:c r="C2" s="6"/>
      <x:c r="D2" s="6"/>
      <x:c r="E2" s="6"/>
      <x:c r="F2" s="6"/>
    </x:row>
    <x:row r="4" ht="16">
      <x:c r="A4" s="1" t="s">
        <x:v>0</x:v>
      </x:c>
      <x:c r="B4" s="1" t="s">
        <x:v>21</x:v>
      </x:c>
      <x:c r="C4" s="1" t="s">
        <x:v>22</x:v>
      </x:c>
      <x:c r="D4" s="1" t="s">
        <x:v>23</x:v>
      </x:c>
      <x:c r="E4" s="1"/>
      <x:c r="F4" s="1"/>
      <x:c r="H4" s="1" t="s">
        <x:v>24</x:v>
      </x:c>
      <x:c r="I4" s="1" t="s">
        <x:v>25</x:v>
      </x:c>
    </x:row>
    <x:row r="5">
      <x:c r="A5" t="s">
        <x:v>4</x:v>
      </x:c>
      <x:c r="B5" t="s">
        <x:v>26</x:v>
      </x:c>
      <x:c r="C5" t="s">
        <x:v>27</x:v>
      </x:c>
      <x:c r="D5" t="s">
        <x:v>28</x:v>
      </x:c>
      <x:c r="H5" t="s">
        <x:v>29</x:v>
      </x:c>
      <x:c r="I5" t="s">
        <x:v>30</x:v>
      </x:c>
    </x:row>
    <x:row r="6">
      <x:c r="A6" t="s">
        <x:v>8</x:v>
      </x:c>
      <x:c r="B6" t="s">
        <x:v>31</x:v>
      </x:c>
      <x:c r="C6" t="s">
        <x:v>32</x:v>
      </x:c>
      <x:c r="D6" t="s">
        <x:v>33</x:v>
      </x:c>
      <x:c r="H6" t="s">
        <x:v>34</x:v>
      </x:c>
      <x:c r="I6" t="s">
        <x:v>35</x:v>
      </x:c>
    </x:row>
    <x:row r="7">
      <x:c r="A7" t="s">
        <x:v>12</x:v>
      </x:c>
      <x:c r="B7" t="s">
        <x:v>36</x:v>
      </x:c>
      <x:c r="C7" t="s">
        <x:v>37</x:v>
      </x:c>
      <x:c r="D7" t="s">
        <x:v>38</x:v>
      </x:c>
      <x:c r="H7" t="s">
        <x:v>39</x:v>
      </x:c>
      <x:c r="I7">
        <x:v>667</x:v>
      </x:c>
    </x:row>
    <x:row r="8">
      <x:c r="A8" t="s">
        <x:v>40</x:v>
      </x:c>
      <x:c r="B8" t="s">
        <x:v>41</x:v>
      </x:c>
      <x:c r="C8" t="s">
        <x:v>42</x:v>
      </x:c>
      <x:c r="D8" t="s">
        <x:v>43</x:v>
      </x:c>
      <x:c r="H8" t="s">
        <x:v>44</x:v>
      </x:c>
      <x:c r="I8">
        <x:v>947</x:v>
      </x:c>
    </x:row>
    <x:row r="9">
      <x:c r="A9" t="s">
        <x:v>45</x:v>
      </x:c>
      <x:c r="B9" t="s">
        <x:v>46</x:v>
      </x:c>
      <x:c r="C9" t="s">
        <x:v>47</x:v>
      </x:c>
      <x:c r="D9" t="s">
        <x:v>48</x:v>
      </x:c>
      <x:c r="H9" t="s">
        <x:v>49</x:v>
      </x:c>
      <x:c r="I9" t="s">
        <x:v>35</x:v>
      </x:c>
    </x:row>
    <x:row r="10">
      <x:c r="A10" t="s">
        <x:v>50</x:v>
      </x:c>
      <x:c r="B10" t="s">
        <x:v>51</x:v>
      </x:c>
      <x:c r="C10" t="s">
        <x:v>52</x:v>
      </x:c>
      <x:c r="D10" t="s">
        <x:v>53</x:v>
      </x:c>
      <x:c r="H10" t="s">
        <x:v>54</x:v>
      </x:c>
      <x:c r="I10" t="s">
        <x:v>35</x:v>
      </x:c>
    </x:row>
    <x:row r="11">
      <x:c r="A11" t="s">
        <x:v>55</x:v>
      </x:c>
      <x:c r="B11" t="s">
        <x:v>56</x:v>
      </x:c>
      <x:c r="C11" t="s">
        <x:v>57</x:v>
      </x:c>
      <x:c r="D11" t="s">
        <x:v>58</x:v>
      </x:c>
      <x:c r="H11" t="s">
        <x:v>59</x:v>
      </x:c>
      <x:c r="I11" t="s">
        <x:v>60</x:v>
      </x:c>
    </x:row>
    <x:row r="12">
      <x:c r="A12" t="s">
        <x:v>61</x:v>
      </x:c>
      <x:c r="B12" t="s">
        <x:v>62</x:v>
      </x:c>
      <x:c r="C12" t="s">
        <x:v>63</x:v>
      </x:c>
      <x:c r="D12" t="s">
        <x:v>48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1" width="34" customWidth="1"/>
    <x:col min="2" max="2" width="18" customWidth="1"/>
    <x:col min="3" max="3" width="38" customWidth="1"/>
    <x:col min="4" max="4" width="18" customWidth="1"/>
    <x:col min="5" max="5" width="44" customWidth="1"/>
  </x:cols>
  <x:sheetData>
    <x:row r="1" ht="19">
      <x:c r="A1" s="5" t="s">
        <x:v>64</x:v>
      </x:c>
      <x:c r="B1" s="5"/>
      <x:c r="C1" s="5"/>
      <x:c r="D1" s="5"/>
      <x:c r="E1" s="5"/>
    </x:row>
    <x:row r="2" ht="15">
      <x:c r="A2" s="6" t="s">
        <x:v>65</x:v>
      </x:c>
      <x:c r="B2" s="6"/>
      <x:c r="C2" s="6"/>
      <x:c r="D2" s="6"/>
      <x:c r="E2" s="6"/>
    </x:row>
    <x:row r="4" ht="16">
      <x:c r="A4" s="1" t="s">
        <x:v>66</x:v>
      </x:c>
      <x:c r="B4" s="1" t="s">
        <x:v>25</x:v>
      </x:c>
      <x:c r="C4" s="1" t="s">
        <x:v>67</x:v>
      </x:c>
      <x:c r="D4" s="1" t="s">
        <x:v>68</x:v>
      </x:c>
      <x:c r="E4" s="1" t="s">
        <x:v>69</x:v>
      </x:c>
    </x:row>
    <x:row r="5">
      <x:c r="A5" t="s">
        <x:v>70</x:v>
      </x:c>
      <x:c r="B5" s="3" t="s">
        <x:v>71</x:v>
      </x:c>
      <x:c r="C5" t="s">
        <x:v>72</x:v>
      </x:c>
      <x:c r="D5" t="s">
        <x:v>73</x:v>
      </x:c>
      <x:c r="E5" t="s">
        <x:v>74</x:v>
      </x:c>
    </x:row>
    <x:row r="6">
      <x:c r="A6" t="s">
        <x:v>75</x:v>
      </x:c>
      <x:c r="B6" s="3" t="s">
        <x:v>76</x:v>
      </x:c>
      <x:c r="C6" t="s">
        <x:v>77</x:v>
      </x:c>
      <x:c r="D6" t="s">
        <x:v>73</x:v>
      </x:c>
      <x:c r="E6" t="s">
        <x:v>78</x:v>
      </x:c>
    </x:row>
    <x:row r="7">
      <x:c r="A7" t="s">
        <x:v>79</x:v>
      </x:c>
      <x:c r="B7" s="3">
        <x:v>2025</x:v>
      </x:c>
      <x:c r="C7" t="s">
        <x:v>80</x:v>
      </x:c>
      <x:c r="D7" t="s">
        <x:v>73</x:v>
      </x:c>
      <x:c r="E7" t="s">
        <x:v>81</x:v>
      </x:c>
    </x:row>
    <x:row r="8">
      <x:c r="A8" t="s">
        <x:v>82</x:v>
      </x:c>
      <x:c r="B8" s="3">
        <x:v>2024</x:v>
      </x:c>
      <x:c r="C8" t="s">
        <x:v>80</x:v>
      </x:c>
      <x:c r="D8" t="s">
        <x:v>73</x:v>
      </x:c>
      <x:c r="E8" t="s">
        <x:v>81</x:v>
      </x:c>
    </x:row>
    <x:row r="9">
      <x:c r="A9" t="s">
        <x:v>83</x:v>
      </x:c>
      <x:c r="B9" s="3">
        <x:v>0.8</x:v>
      </x:c>
      <x:c r="C9" t="s">
        <x:v>84</x:v>
      </x:c>
      <x:c r="D9" t="s">
        <x:v>85</x:v>
      </x:c>
      <x:c r="E9" t="s">
        <x:v>86</x:v>
      </x:c>
    </x:row>
    <x:row r="10">
      <x:c r="A10" t="s">
        <x:v>87</x:v>
      </x:c>
      <x:c r="B10" s="3">
        <x:v>0.2</x:v>
      </x:c>
      <x:c r="C10" t="s">
        <x:v>88</x:v>
      </x:c>
      <x:c r="D10" t="s">
        <x:v>85</x:v>
      </x:c>
      <x:c r="E10" t="s">
        <x:v>89</x:v>
      </x:c>
    </x:row>
    <x:row r="11">
      <x:c r="A11" t="s">
        <x:v>90</x:v>
      </x:c>
      <x:c r="B11" s="3">
        <x:v>10</x:v>
      </x:c>
      <x:c r="C11" t="s">
        <x:v>91</x:v>
      </x:c>
      <x:c r="D11" t="s">
        <x:v>92</x:v>
      </x:c>
      <x:c r="E11" t="s">
        <x:v>93</x:v>
      </x:c>
    </x:row>
    <x:row r="12">
      <x:c r="A12" t="s">
        <x:v>94</x:v>
      </x:c>
      <x:c r="B12" s="3">
        <x:v>10</x:v>
      </x:c>
      <x:c r="C12" t="s">
        <x:v>95</x:v>
      </x:c>
      <x:c r="D12" t="s">
        <x:v>92</x:v>
      </x:c>
      <x:c r="E12" t="s">
        <x:v>96</x:v>
      </x:c>
    </x:row>
    <x:row r="13">
      <x:c r="A13" t="s">
        <x:v>97</x:v>
      </x:c>
      <x:c r="B13" s="3">
        <x:v>0.44600000000000001</x:v>
      </x:c>
      <x:c r="C13" t="s">
        <x:v>98</x:v>
      </x:c>
      <x:c r="D13" t="s">
        <x:v>99</x:v>
      </x:c>
      <x:c r="E13" t="s">
        <x:v>100</x:v>
      </x:c>
    </x:row>
    <x:row r="14">
      <x:c r="A14" t="s">
        <x:v>101</x:v>
      </x:c>
      <x:c r="B14" s="3">
        <x:v>0.44800000000000001</x:v>
      </x:c>
      <x:c r="C14" t="s">
        <x:v>102</x:v>
      </x:c>
      <x:c r="D14" t="s">
        <x:v>99</x:v>
      </x:c>
      <x:c r="E14" t="s">
        <x:v>100</x:v>
      </x:c>
    </x:row>
    <x:row r="15">
      <x:c r="A15" t="s">
        <x:v>103</x:v>
      </x:c>
      <x:c r="B15" s="3">
        <x:v>0.8</x:v>
      </x:c>
      <x:c r="C15" t="s">
        <x:v>104</x:v>
      </x:c>
      <x:c r="D15" t="s">
        <x:v>105</x:v>
      </x:c>
      <x:c r="E15" t="s">
        <x:v>106</x:v>
      </x:c>
    </x:row>
    <x:row r="16">
      <x:c r="A16" t="s">
        <x:v>107</x:v>
      </x:c>
      <x:c r="B16" s="3">
        <x:v>0.1</x:v>
      </x:c>
      <x:c r="C16" t="s">
        <x:v>108</x:v>
      </x:c>
      <x:c r="D16" t="s">
        <x:v>105</x:v>
      </x:c>
      <x:c r="E16" t="s">
        <x:v>109</x:v>
      </x:c>
    </x:row>
    <x:row r="17">
      <x:c r="A17" t="s">
        <x:v>110</x:v>
      </x:c>
      <x:c r="B17" s="3">
        <x:v>0.1</x:v>
      </x:c>
      <x:c r="C17" t="s">
        <x:v>111</x:v>
      </x:c>
      <x:c r="D17" t="s">
        <x:v>105</x:v>
      </x:c>
      <x:c r="E17" t="s">
        <x:v>109</x:v>
      </x:c>
    </x:row>
    <x:row r="18">
      <x:c r="A18" t="s">
        <x:v>112</x:v>
      </x:c>
      <x:c r="B18" s="3">
        <x:v>0.85</x:v>
      </x:c>
      <x:c r="C18" t="s">
        <x:v>113</x:v>
      </x:c>
      <x:c r="D18" t="s">
        <x:v>114</x:v>
      </x:c>
      <x:c r="E18" t="s">
        <x:v>115</x:v>
      </x:c>
    </x:row>
    <x:row r="19">
      <x:c r="A19" t="s">
        <x:v>116</x:v>
      </x:c>
      <x:c r="B19" s="3">
        <x:v>0.15</x:v>
      </x:c>
      <x:c r="C19" t="s">
        <x:v>117</x:v>
      </x:c>
      <x:c r="D19" t="s">
        <x:v>114</x:v>
      </x:c>
      <x:c r="E19" t="s">
        <x:v>109</x:v>
      </x:c>
    </x:row>
    <x:row r="20">
      <x:c r="A20" t="s">
        <x:v>118</x:v>
      </x:c>
      <x:c r="B20" s="3">
        <x:v>0.6</x:v>
      </x:c>
      <x:c r="C20" t="s">
        <x:v>119</x:v>
      </x:c>
      <x:c r="D20" t="s">
        <x:v>120</x:v>
      </x:c>
      <x:c r="E20" t="s">
        <x:v>121</x:v>
      </x:c>
    </x:row>
    <x:row r="21">
      <x:c r="A21" t="s">
        <x:v>122</x:v>
      </x:c>
      <x:c r="B21" s="3">
        <x:v>0.25</x:v>
      </x:c>
      <x:c r="C21" t="s">
        <x:v>123</x:v>
      </x:c>
      <x:c r="D21" t="s">
        <x:v>120</x:v>
      </x:c>
      <x:c r="E21" t="s">
        <x:v>124</x:v>
      </x:c>
    </x:row>
    <x:row r="22">
      <x:c r="A22" t="s">
        <x:v>125</x:v>
      </x:c>
      <x:c r="B22" s="3">
        <x:v>0.1</x:v>
      </x:c>
      <x:c r="C22" t="s">
        <x:v>126</x:v>
      </x:c>
      <x:c r="D22" t="s">
        <x:v>120</x:v>
      </x:c>
      <x:c r="E22" t="s">
        <x:v>127</x:v>
      </x:c>
    </x:row>
    <x:row r="23">
      <x:c r="A23" t="s">
        <x:v>128</x:v>
      </x:c>
      <x:c r="B23" s="3">
        <x:v>0.05</x:v>
      </x:c>
      <x:c r="C23" t="s">
        <x:v>129</x:v>
      </x:c>
      <x:c r="D23" t="s">
        <x:v>120</x:v>
      </x:c>
      <x:c r="E23" t="s">
        <x:v>130</x:v>
      </x:c>
    </x:row>
    <x:row r="24">
      <x:c r="A24" t="s">
        <x:v>131</x:v>
      </x:c>
      <x:c r="B24" s="3">
        <x:v>0.6</x:v>
      </x:c>
      <x:c r="C24" t="s">
        <x:v>132</x:v>
      </x:c>
      <x:c r="D24" t="s">
        <x:v>133</x:v>
      </x:c>
    </x:row>
    <x:row r="25">
      <x:c r="A25" t="s">
        <x:v>134</x:v>
      </x:c>
      <x:c r="B25" s="3">
        <x:v>0.4</x:v>
      </x:c>
      <x:c r="C25" t="s">
        <x:v>126</x:v>
      </x:c>
      <x:c r="D25" t="s">
        <x:v>133</x:v>
      </x:c>
    </x:row>
    <x:row r="26">
      <x:c r="A26" t="s">
        <x:v>135</x:v>
      </x:c>
      <x:c r="B26" s="3" t="s">
        <x:v>136</x:v>
      </x:c>
      <x:c r="C26" t="s">
        <x:v>137</x:v>
      </x:c>
      <x:c r="D26" t="s">
        <x:v>137</x:v>
      </x:c>
      <x:c r="E26" t="s">
        <x:v>138</x:v>
      </x:c>
    </x:row>
    <x:row r="27">
      <x:c r="A27" t="s">
        <x:v>139</x:v>
      </x:c>
      <x:c r="B27" s="3" t="s">
        <x:v>136</x:v>
      </x:c>
      <x:c r="C27" t="s">
        <x:v>140</x:v>
      </x:c>
      <x:c r="D27" t="s">
        <x:v>140</x:v>
      </x:c>
      <x:c r="E27" t="s">
        <x:v>141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26" customWidth="1"/>
    <x:col min="2" max="2" width="44" customWidth="1"/>
    <x:col min="3" max="3" width="36" customWidth="1"/>
    <x:col min="4" max="4" width="16" customWidth="1"/>
    <x:col min="5" max="5" width="70" customWidth="1"/>
    <x:col min="6" max="6" width="36" customWidth="1"/>
    <x:col min="7" max="7" width="42" customWidth="1"/>
  </x:cols>
  <x:sheetData>
    <x:row r="1" ht="19">
      <x:c r="A1" s="11" t="s">
        <x:v>142</x:v>
      </x:c>
      <x:c r="B1" s="11"/>
      <x:c r="C1" s="11"/>
      <x:c r="D1" s="11"/>
      <x:c r="E1" s="11"/>
      <x:c r="F1" s="11"/>
      <x:c r="G1" s="11"/>
    </x:row>
    <x:row r="2" ht="15">
      <x:c r="A2" s="6" t="s">
        <x:v>143</x:v>
      </x:c>
      <x:c r="B2" s="6"/>
      <x:c r="C2" s="6"/>
      <x:c r="D2" s="6"/>
      <x:c r="E2" s="6"/>
      <x:c r="F2" s="6"/>
      <x:c r="G2" s="6"/>
    </x:row>
    <x:row r="4" ht="16">
      <x:c r="A4" s="1" t="s">
        <x:v>144</x:v>
      </x:c>
      <x:c r="B4" s="1" t="s">
        <x:v>145</x:v>
      </x:c>
      <x:c r="C4" s="1" t="s">
        <x:v>146</x:v>
      </x:c>
      <x:c r="D4" s="1" t="s">
        <x:v>34</x:v>
      </x:c>
      <x:c r="E4" s="1" t="s">
        <x:v>147</x:v>
      </x:c>
      <x:c r="F4" s="1" t="s">
        <x:v>148</x:v>
      </x:c>
      <x:c r="G4" s="1" t="s">
        <x:v>69</x:v>
      </x:c>
    </x:row>
    <x:row r="5">
      <x:c r="A5" t="s">
        <x:v>149</x:v>
      </x:c>
      <x:c r="B5" t="s">
        <x:v>150</x:v>
      </x:c>
      <x:c r="C5" t="s">
        <x:v>151</x:v>
      </x:c>
      <x:c r="D5" t="s">
        <x:v>36</x:v>
      </x:c>
      <x:c r="E5" t="s">
        <x:v>152</x:v>
      </x:c>
      <x:c r="F5" t="s">
        <x:v>153</x:v>
      </x:c>
      <x:c r="G5" t="s">
        <x:v>154</x:v>
      </x:c>
    </x:row>
    <x:row r="6">
      <x:c r="A6" t="s">
        <x:v>155</x:v>
      </x:c>
      <x:c r="B6" t="s">
        <x:v>156</x:v>
      </x:c>
      <x:c r="C6" t="s">
        <x:v>157</x:v>
      </x:c>
      <x:c r="D6" t="s">
        <x:v>158</x:v>
      </x:c>
      <x:c r="E6" t="s">
        <x:v>159</x:v>
      </x:c>
      <x:c r="F6" t="s">
        <x:v>160</x:v>
      </x:c>
      <x:c r="G6" t="s">
        <x:v>161</x:v>
      </x:c>
    </x:row>
    <x:row r="7">
      <x:c r="A7" t="s">
        <x:v>162</x:v>
      </x:c>
      <x:c r="B7" t="s">
        <x:v>163</x:v>
      </x:c>
      <x:c r="C7" t="s">
        <x:v>164</x:v>
      </x:c>
      <x:c r="D7" t="s">
        <x:v>165</x:v>
      </x:c>
      <x:c r="E7" t="s">
        <x:v>166</x:v>
      </x:c>
      <x:c r="F7" t="s">
        <x:v>167</x:v>
      </x:c>
      <x:c r="G7" t="s">
        <x:v>168</x:v>
      </x:c>
    </x:row>
    <x:row r="8">
      <x:c r="A8" t="s">
        <x:v>169</x:v>
      </x:c>
      <x:c r="B8" t="s">
        <x:v>170</x:v>
      </x:c>
      <x:c r="C8" t="s">
        <x:v>171</x:v>
      </x:c>
      <x:c r="D8" t="s">
        <x:v>36</x:v>
      </x:c>
      <x:c r="E8" t="s">
        <x:v>172</x:v>
      </x:c>
      <x:c r="F8" t="s">
        <x:v>173</x:v>
      </x:c>
      <x:c r="G8" t="s">
        <x:v>174</x:v>
      </x:c>
    </x:row>
    <x:row r="9">
      <x:c r="A9" t="s">
        <x:v>175</x:v>
      </x:c>
      <x:c r="B9" t="s">
        <x:v>176</x:v>
      </x:c>
      <x:c r="C9" t="s">
        <x:v>177</x:v>
      </x:c>
      <x:c r="D9" t="s">
        <x:v>36</x:v>
      </x:c>
      <x:c r="E9" t="s">
        <x:v>178</x:v>
      </x:c>
      <x:c r="F9" t="s">
        <x:v>179</x:v>
      </x:c>
      <x:c r="G9" t="s">
        <x:v>180</x:v>
      </x:c>
    </x:row>
    <x:row r="10">
      <x:c r="A10" t="s">
        <x:v>181</x:v>
      </x:c>
      <x:c r="B10" t="s">
        <x:v>182</x:v>
      </x:c>
      <x:c r="C10" t="s">
        <x:v>183</x:v>
      </x:c>
      <x:c r="D10" t="s">
        <x:v>184</x:v>
      </x:c>
      <x:c r="E10" t="s">
        <x:v>185</x:v>
      </x:c>
      <x:c r="F10" t="s">
        <x:v>186</x:v>
      </x:c>
      <x:c r="G10" t="s">
        <x:v>187</x:v>
      </x:c>
    </x:row>
    <x:row r="11">
      <x:c r="A11" t="s">
        <x:v>188</x:v>
      </x:c>
      <x:c r="B11" t="s">
        <x:v>189</x:v>
      </x:c>
      <x:c r="C11" t="s">
        <x:v>190</x:v>
      </x:c>
      <x:c r="D11" t="s">
        <x:v>191</x:v>
      </x:c>
      <x:c r="E11" t="s">
        <x:v>192</x:v>
      </x:c>
      <x:c r="F11" t="s">
        <x:v>193</x:v>
      </x:c>
      <x:c r="G11" t="s">
        <x:v>100</x:v>
      </x:c>
    </x:row>
    <x:row r="12">
      <x:c r="A12" t="s">
        <x:v>194</x:v>
      </x:c>
      <x:c r="B12" t="s">
        <x:v>195</x:v>
      </x:c>
      <x:c r="C12" t="s">
        <x:v>196</x:v>
      </x:c>
      <x:c r="D12" t="s">
        <x:v>191</x:v>
      </x:c>
      <x:c r="E12" t="s">
        <x:v>197</x:v>
      </x:c>
      <x:c r="F12" t="s">
        <x:v>198</x:v>
      </x:c>
    </x:row>
    <x:row r="13">
      <x:c r="A13" t="s">
        <x:v>199</x:v>
      </x:c>
      <x:c r="B13" t="s">
        <x:v>200</x:v>
      </x:c>
      <x:c r="C13" t="s">
        <x:v>201</x:v>
      </x:c>
      <x:c r="D13" t="s">
        <x:v>202</x:v>
      </x:c>
      <x:c r="E13" t="s">
        <x:v>203</x:v>
      </x:c>
      <x:c r="F13" t="s">
        <x:v>204</x:v>
      </x:c>
      <x:c r="G13" t="s">
        <x:v>205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4"/>
  <x:cols>
    <x:col min="1" max="1" width="18" customWidth="1"/>
    <x:col min="2" max="2" width="14" customWidth="1"/>
    <x:col min="3" max="3" width="68" customWidth="1"/>
    <x:col min="4" max="4" width="24" customWidth="1"/>
    <x:col min="5" max="5" width="48" customWidth="1"/>
    <x:col min="6" max="6" width="34" customWidth="1"/>
    <x:col min="7" max="7" width="28" customWidth="1"/>
    <x:col min="8" max="8" width="46" customWidth="1"/>
  </x:cols>
  <x:sheetData>
    <x:row r="1" ht="19">
      <x:c r="A1" s="11" t="s">
        <x:v>206</x:v>
      </x:c>
      <x:c r="B1" s="11"/>
      <x:c r="C1" s="11"/>
      <x:c r="D1" s="11"/>
      <x:c r="E1" s="11"/>
      <x:c r="F1" s="11"/>
      <x:c r="G1" s="11"/>
      <x:c r="H1" s="11"/>
    </x:row>
    <x:row r="2" ht="15">
      <x:c r="A2" s="6" t="s">
        <x:v>207</x:v>
      </x:c>
      <x:c r="B2" s="6"/>
      <x:c r="C2" s="6"/>
      <x:c r="D2" s="6"/>
      <x:c r="E2" s="6"/>
      <x:c r="F2" s="6"/>
      <x:c r="G2" s="6"/>
      <x:c r="H2" s="6"/>
    </x:row>
    <x:row r="4" ht="16">
      <x:c r="A4" s="1" t="s">
        <x:v>208</x:v>
      </x:c>
      <x:c r="B4" s="1" t="s">
        <x:v>209</x:v>
      </x:c>
      <x:c r="C4" s="1" t="s">
        <x:v>210</x:v>
      </x:c>
      <x:c r="D4" s="1" t="s">
        <x:v>211</x:v>
      </x:c>
      <x:c r="E4" s="1" t="s">
        <x:v>212</x:v>
      </x:c>
      <x:c r="F4" s="1" t="s">
        <x:v>213</x:v>
      </x:c>
      <x:c r="G4" s="1" t="s">
        <x:v>214</x:v>
      </x:c>
      <x:c r="H4" s="1" t="s">
        <x:v>69</x:v>
      </x:c>
    </x:row>
    <x:row r="5">
      <x:c r="A5" t="s">
        <x:v>215</x:v>
      </x:c>
      <x:c r="B5" t="s">
        <x:v>216</x:v>
      </x:c>
      <x:c r="C5" t="s">
        <x:v>217</x:v>
      </x:c>
      <x:c r="D5" t="s">
        <x:v>218</x:v>
      </x:c>
      <x:c r="E5" t="s">
        <x:v>219</x:v>
      </x:c>
      <x:c r="F5" t="s">
        <x:v>220</x:v>
      </x:c>
      <x:c r="G5" t="s">
        <x:v>221</x:v>
      </x:c>
      <x:c r="H5" t="s">
        <x:v>222</x:v>
      </x:c>
    </x:row>
    <x:row r="6">
      <x:c r="A6" t="s">
        <x:v>223</x:v>
      </x:c>
      <x:c r="B6" t="s">
        <x:v>224</x:v>
      </x:c>
      <x:c r="C6" t="s">
        <x:v>225</x:v>
      </x:c>
      <x:c r="D6" t="s">
        <x:v>226</x:v>
      </x:c>
      <x:c r="E6" t="s">
        <x:v>227</x:v>
      </x:c>
      <x:c r="F6" t="s">
        <x:v>228</x:v>
      </x:c>
      <x:c r="G6" t="s">
        <x:v>221</x:v>
      </x:c>
      <x:c r="H6" t="s">
        <x:v>229</x:v>
      </x:c>
    </x:row>
    <x:row r="7">
      <x:c r="A7" t="s">
        <x:v>230</x:v>
      </x:c>
      <x:c r="B7" t="s">
        <x:v>224</x:v>
      </x:c>
      <x:c r="C7" t="s">
        <x:v>231</x:v>
      </x:c>
      <x:c r="D7" t="s">
        <x:v>232</x:v>
      </x:c>
      <x:c r="E7" t="s">
        <x:v>233</x:v>
      </x:c>
      <x:c r="F7" t="s">
        <x:v>228</x:v>
      </x:c>
      <x:c r="G7" t="s">
        <x:v>221</x:v>
      </x:c>
      <x:c r="H7" t="s">
        <x:v>234</x:v>
      </x:c>
    </x:row>
    <x:row r="8">
      <x:c r="A8" t="s">
        <x:v>235</x:v>
      </x:c>
      <x:c r="B8" t="s">
        <x:v>236</x:v>
      </x:c>
      <x:c r="C8" t="s">
        <x:v>237</x:v>
      </x:c>
      <x:c r="D8" t="s">
        <x:v>238</x:v>
      </x:c>
      <x:c r="E8" t="s">
        <x:v>239</x:v>
      </x:c>
      <x:c r="F8" t="s">
        <x:v>228</x:v>
      </x:c>
      <x:c r="G8" t="s">
        <x:v>221</x:v>
      </x:c>
      <x:c r="H8" t="s">
        <x:v>240</x:v>
      </x:c>
    </x:row>
    <x:row r="9">
      <x:c r="A9" t="s">
        <x:v>235</x:v>
      </x:c>
      <x:c r="B9" t="s">
        <x:v>241</x:v>
      </x:c>
      <x:c r="C9" t="s">
        <x:v>242</x:v>
      </x:c>
      <x:c r="D9" t="s">
        <x:v>243</x:v>
      </x:c>
      <x:c r="E9" t="s">
        <x:v>244</x:v>
      </x:c>
      <x:c r="F9" t="s">
        <x:v>228</x:v>
      </x:c>
      <x:c r="G9" t="s">
        <x:v>221</x:v>
      </x:c>
      <x:c r="H9" t="s">
        <x:v>245</x:v>
      </x:c>
    </x:row>
    <x:row r="10">
      <x:c r="A10" t="s">
        <x:v>246</x:v>
      </x:c>
      <x:c r="B10" t="s">
        <x:v>224</x:v>
      </x:c>
      <x:c r="C10" t="s">
        <x:v>247</x:v>
      </x:c>
      <x:c r="D10" t="s">
        <x:v>248</x:v>
      </x:c>
      <x:c r="E10" t="s">
        <x:v>249</x:v>
      </x:c>
      <x:c r="F10" t="s">
        <x:v>228</x:v>
      </x:c>
      <x:c r="G10" t="s">
        <x:v>221</x:v>
      </x:c>
    </x:row>
    <x:row r="11">
      <x:c r="A11" t="s">
        <x:v>250</x:v>
      </x:c>
      <x:c r="B11" t="s">
        <x:v>224</x:v>
      </x:c>
      <x:c r="C11" t="s">
        <x:v>251</x:v>
      </x:c>
      <x:c r="D11" t="s">
        <x:v>248</x:v>
      </x:c>
      <x:c r="E11" t="s">
        <x:v>252</x:v>
      </x:c>
      <x:c r="F11" t="s">
        <x:v>228</x:v>
      </x:c>
      <x:c r="G11" t="s">
        <x:v>221</x:v>
      </x:c>
    </x:row>
    <x:row r="12">
      <x:c r="A12" t="s">
        <x:v>164</x:v>
      </x:c>
      <x:c r="B12" t="s">
        <x:v>224</x:v>
      </x:c>
      <x:c r="C12" t="s">
        <x:v>253</x:v>
      </x:c>
      <x:c r="D12" t="s">
        <x:v>254</x:v>
      </x:c>
      <x:c r="E12" t="s">
        <x:v>255</x:v>
      </x:c>
      <x:c r="F12" t="s">
        <x:v>256</x:v>
      </x:c>
      <x:c r="G12" t="s">
        <x:v>162</x:v>
      </x:c>
    </x:row>
    <x:row r="13">
      <x:c r="A13" t="s">
        <x:v>257</x:v>
      </x:c>
      <x:c r="B13" t="s">
        <x:v>216</x:v>
      </x:c>
      <x:c r="C13" t="s">
        <x:v>258</x:v>
      </x:c>
      <x:c r="D13" t="s">
        <x:v>259</x:v>
      </x:c>
      <x:c r="E13" t="s">
        <x:v>260</x:v>
      </x:c>
      <x:c r="F13" t="s">
        <x:v>261</x:v>
      </x:c>
      <x:c r="G13" t="s">
        <x:v>262</x:v>
      </x:c>
    </x:row>
    <x:row r="14">
      <x:c r="A14" t="s">
        <x:v>263</x:v>
      </x:c>
      <x:c r="B14" t="s">
        <x:v>216</x:v>
      </x:c>
      <x:c r="C14" t="s">
        <x:v>264</x:v>
      </x:c>
      <x:c r="D14" t="s">
        <x:v>265</x:v>
      </x:c>
      <x:c r="E14" t="s">
        <x:v>266</x:v>
      </x:c>
      <x:c r="F14" t="s">
        <x:v>261</x:v>
      </x:c>
      <x:c r="G14" t="s">
        <x:v>262</x:v>
      </x:c>
    </x:row>
    <x:row r="15">
      <x:c r="A15" t="s">
        <x:v>223</x:v>
      </x:c>
      <x:c r="B15" t="s">
        <x:v>267</x:v>
      </x:c>
      <x:c r="C15" t="s">
        <x:v>268</x:v>
      </x:c>
      <x:c r="D15" t="s">
        <x:v>269</x:v>
      </x:c>
      <x:c r="E15" t="s">
        <x:v>270</x:v>
      </x:c>
      <x:c r="F15" t="s">
        <x:v>271</x:v>
      </x:c>
      <x:c r="G15" t="s">
        <x:v>272</x:v>
      </x:c>
      <x:c r="H15" t="str">
        <x:v>Po AHL balansovaní V9 platí aj GP korekcia + PA limit podľa AHL_PA_SC_BALANCE; aktuálne XLSX používa pôvodné PA v AB.</x:v>
      </x:c>
    </x:row>
    <x:row r="16">
      <x:c r="A16" t="s">
        <x:v>230</x:v>
      </x:c>
      <x:c r="B16" t="s">
        <x:v>267</x:v>
      </x:c>
      <x:c r="C16" t="s">
        <x:v>273</x:v>
      </x:c>
      <x:c r="D16" t="s">
        <x:v>274</x:v>
      </x:c>
      <x:c r="E16" t="s">
        <x:v>275</x:v>
      </x:c>
      <x:c r="F16" t="s">
        <x:v>271</x:v>
      </x:c>
      <x:c r="G16" t="s">
        <x:v>272</x:v>
      </x:c>
      <x:c r="H16" t="str">
        <x:v>Po AHL balansovaní V9 platí aj GP korekcia + SC limit podľa AHL_PA_SC_BALANCE; aktuálne XLSX používa pôvodné SC v AC.</x:v>
      </x:c>
    </x:row>
    <x:row r="17">
      <x:c r="A17" t="s">
        <x:v>235</x:v>
      </x:c>
      <x:c r="B17" t="s">
        <x:v>267</x:v>
      </x:c>
      <x:c r="C17" t="s">
        <x:v>276</x:v>
      </x:c>
      <x:c r="D17" t="s">
        <x:v>277</x:v>
      </x:c>
      <x:c r="E17" t="s">
        <x:v>278</x:v>
      </x:c>
      <x:c r="F17" t="s">
        <x:v>279</x:v>
      </x:c>
      <x:c r="G17" t="s">
        <x:v>280</x:v>
      </x:c>
      <x:c r="H17" t="s">
        <x:v>121</x:v>
      </x:c>
    </x:row>
    <x:row r="18">
      <x:c r="A18" t="s">
        <x:v>250</x:v>
      </x:c>
      <x:c r="B18" t="s">
        <x:v>267</x:v>
      </x:c>
      <x:c r="C18" t="s">
        <x:v>281</x:v>
      </x:c>
      <x:c r="D18" t="s">
        <x:v>248</x:v>
      </x:c>
      <x:c r="E18" t="s">
        <x:v>282</x:v>
      </x:c>
      <x:c r="F18" t="s">
        <x:v>283</x:v>
      </x:c>
      <x:c r="G18" t="s">
        <x:v>280</x:v>
      </x:c>
    </x:row>
    <x:row r="19">
      <x:c r="A19" t="s">
        <x:v>246</x:v>
      </x:c>
      <x:c r="B19" t="s">
        <x:v>267</x:v>
      </x:c>
      <x:c r="C19" t="s">
        <x:v>284</x:v>
      </x:c>
      <x:c r="D19" t="s">
        <x:v>285</x:v>
      </x:c>
      <x:c r="E19" t="s">
        <x:v>286</x:v>
      </x:c>
      <x:c r="F19" t="s">
        <x:v>261</x:v>
      </x:c>
      <x:c r="G19" t="s">
        <x:v>136</x:v>
      </x:c>
      <x:c r="H19" t="s">
        <x:v>287</x:v>
      </x:c>
    </x:row>
    <x:row r="20">
      <x:c r="A20" t="s">
        <x:v>164</x:v>
      </x:c>
      <x:c r="B20" t="s">
        <x:v>267</x:v>
      </x:c>
      <x:c r="C20" t="s">
        <x:v>288</x:v>
      </x:c>
      <x:c r="D20" t="s">
        <x:v>285</x:v>
      </x:c>
      <x:c r="E20" t="s">
        <x:v>286</x:v>
      </x:c>
      <x:c r="F20" t="s">
        <x:v>261</x:v>
      </x:c>
      <x:c r="G20" t="s">
        <x:v>136</x:v>
      </x:c>
      <x:c r="H20" t="s">
        <x:v>289</x:v>
      </x:c>
    </x:row>
    <x:row r="21">
      <x:c r="A21" t="s">
        <x:v>290</x:v>
      </x:c>
      <x:c r="B21" t="s">
        <x:v>216</x:v>
      </x:c>
      <x:c r="C21" t="s">
        <x:v>181</x:v>
      </x:c>
      <x:c r="D21" t="s">
        <x:v>285</x:v>
      </x:c>
      <x:c r="E21" t="s">
        <x:v>291</x:v>
      </x:c>
      <x:c r="F21" t="s">
        <x:v>261</x:v>
      </x:c>
      <x:c r="G21" t="s">
        <x:v>136</x:v>
      </x:c>
    </x:row>
    <x:row r="22">
      <x:c r="A22" t="s">
        <x:v>292</x:v>
      </x:c>
      <x:c r="B22" t="s">
        <x:v>216</x:v>
      </x:c>
      <x:c r="C22" t="s">
        <x:v>181</x:v>
      </x:c>
      <x:c r="D22" t="s">
        <x:v>285</x:v>
      </x:c>
      <x:c r="E22" t="s">
        <x:v>291</x:v>
      </x:c>
      <x:c r="F22" t="s">
        <x:v>261</x:v>
      </x:c>
      <x:c r="G22" t="s">
        <x:v>136</x:v>
      </x:c>
      <x:c r="H22" t="s">
        <x:v>293</x:v>
      </x:c>
    </x:row>
    <x:row r="26" ht="15">
      <x:c r="A26" s="7" t="s">
        <x:v>294</x:v>
      </x:c>
      <x:c r="B26" s="7"/>
      <x:c r="C26" s="7"/>
      <x:c r="D26" s="7"/>
      <x:c r="E26" s="7"/>
      <x:c r="F26" s="7"/>
      <x:c r="G26" s="7"/>
      <x:c r="H26" s="7"/>
    </x:row>
    <x:row r="27" ht="16">
      <x:c r="A27" s="1" t="s">
        <x:v>295</x:v>
      </x:c>
      <x:c r="B27" s="1" t="s">
        <x:v>25</x:v>
      </x:c>
      <x:c r="C27" s="1" t="s">
        <x:v>296</x:v>
      </x:c>
      <x:c r="D27" s="1" t="s">
        <x:v>297</x:v>
      </x:c>
      <x:c r="E27" s="1" t="s">
        <x:v>298</x:v>
      </x:c>
      <x:c r="F27" s="1"/>
      <x:c r="G27" s="1"/>
      <x:c r="H27" s="1"/>
    </x:row>
    <x:row r="28">
      <x:c r="A28" t="s">
        <x:v>299</x:v>
      </x:c>
      <x:c r="B28" t="s">
        <x:v>300</x:v>
      </x:c>
      <x:c r="C28" t="s">
        <x:v>301</x:v>
      </x:c>
      <x:c r="D28">
        <x:v>0.5714285714285714</x:v>
      </x:c>
      <x:c r="E28" t="s">
        <x:v>302</x:v>
      </x:c>
    </x:row>
    <x:row r="29">
      <x:c r="A29" t="s">
        <x:v>303</x:v>
      </x:c>
      <x:c r="B29" t="s">
        <x:v>304</x:v>
      </x:c>
      <x:c r="C29" t="s">
        <x:v>305</x:v>
      </x:c>
      <x:c r="D29">
        <x:v>0.25485714285714284</x:v>
      </x:c>
      <x:c r="E29" t="s">
        <x:v>306</x:v>
      </x:c>
    </x:row>
    <x:row r="30">
      <x:c r="A30" t="s">
        <x:v>307</x:v>
      </x:c>
      <x:c r="B30" t="s">
        <x:v>308</x:v>
      </x:c>
      <x:c r="C30" t="s">
        <x:v>309</x:v>
      </x:c>
      <x:c r="D30" t="s">
        <x:v>310</x:v>
      </x:c>
      <x:c r="E30" t="s">
        <x:v>311</x:v>
      </x:c>
    </x:row>
    <x:row r="31">
      <x:c r="A31" t="str">
        <x:v>V9 doplnok: AHL PA/SC = MAX(30,MIN(pôvodná hodnota − GP redukcia, GP limit)); presné skupiny a výnimky sú na AHL_PA_SC_BALANCE.</x:v>
      </x:c>
    </x:row>
    <x:row r="32">
      <x:c r="A32" t="str">
        <x:v>AHL PA/SC V10</x:v>
      </x:c>
      <x:c r="B32" t="str">
        <x:v>AHL</x:v>
      </x:c>
      <x:c r="C32" t="str">
        <x:v>NHL PA/SC ak NHL GP 2025/26 &gt;=10 alebo (2025/26 1–9 a 2024/25 &gt;=1) alebo 2024/25 &gt;=10</x:v>
      </x:c>
      <x:c r="D32" t="str">
        <x:v>PA/SC reduction=0</x:v>
      </x:c>
      <x:c r="E32" t="str">
        <x:v>pôvodné AB/AC</x:v>
      </x:c>
      <x:c r="F32" t="str">
        <x:v>GP bez údajov ponechať</x:v>
      </x:c>
      <x:c r="G32" t="str">
        <x:v>NHL GP podľa NHL ID</x:v>
      </x:c>
      <x:c r="H32" t="str">
        <x:v>Excel výnimka; V8 externý updater nebol upravený</x:v>
      </x:c>
    </x:row>
    <x:row r="33">
      <x:c r="A33" t="str">
        <x:v>AHL PA/SC V10</x:v>
      </x:c>
      <x:c r="B33" t="str">
        <x:v>AHL</x:v>
      </x:c>
      <x:c r="C33" t="str">
        <x:v>Nedoložené NHL GP ≠ 0; až overené nízke GP oboch sezón alebo 0 kariérnych GP umožnia farm zníženie</x:v>
      </x:c>
      <x:c r="D33" t="str">
        <x:v>PA/SC tier podľa listu AHL_PA_SC_BALANCE</x:v>
      </x:c>
      <x:c r="E33" t="str">
        <x:v>PA/SC minimum 30</x:v>
      </x:c>
      <x:c r="F33" t="str">
        <x:v>pri GP neznámych PA/SC pôvodné</x:v>
      </x:c>
      <x:c r="G33" t="str">
        <x:v>NHL GP a história</x:v>
      </x:c>
      <x:c r="H33" t="str">
        <x:v>Prioritne nepoškodiť NHL veteránov bez snapshotu</x:v>
      </x:c>
    </x:row>
  </x:sheetData>
  <x:mergeCells>
    <x:mergeCell ref="A1:H1"/>
    <x:mergeCell ref="A2:H2"/>
    <x:mergeCell ref="A26:H2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4"/>
  <x:cols>
    <x:col min="1" max="1" width="14" customWidth="1"/>
    <x:col min="3" max="3" width="28" customWidth="1"/>
    <x:col min="4" max="6" width="16" customWidth="1"/>
  </x:cols>
  <x:sheetData>
    <x:row r="1" ht="19">
      <x:c r="A1" s="5" t="s">
        <x:v>312</x:v>
      </x:c>
      <x:c r="B1" s="5"/>
      <x:c r="C1" s="5"/>
      <x:c r="D1" s="5"/>
      <x:c r="E1" s="5"/>
      <x:c r="F1" s="5"/>
    </x:row>
    <x:row r="3" ht="16">
      <x:c r="A3" s="1" t="s">
        <x:v>313</x:v>
      </x:c>
      <x:c r="B3" s="1" t="s">
        <x:v>314</x:v>
      </x:c>
      <x:c r="C3" s="1" t="s">
        <x:v>315</x:v>
      </x:c>
      <x:c r="D3" s="1" t="s">
        <x:v>316</x:v>
      </x:c>
      <x:c r="E3" s="1" t="s">
        <x:v>317</x:v>
      </x:c>
      <x:c r="F3" s="1" t="s">
        <x:v>69</x:v>
      </x:c>
    </x:row>
    <x:row r="4">
      <x:c r="A4">
        <x:v>8478402</x:v>
      </x:c>
      <x:c r="B4" s="4" t="b">
        <x:v>1</x:v>
      </x:c>
      <x:c r="C4" t="s">
        <x:v>318</x:v>
      </x:c>
      <x:c r="D4" t="s">
        <x:v>319</x:v>
      </x:c>
      <x:c r="E4" t="s">
        <x:v>320</x:v>
      </x:c>
      <x:c r="F4" t="s">
        <x:v>321</x:v>
      </x:c>
    </x:row>
    <x:row r="5">
      <x:c r="A5">
        <x:v>8477492</x:v>
      </x:c>
      <x:c r="B5" s="4" t="b">
        <x:v>1</x:v>
      </x:c>
      <x:c r="C5" t="s">
        <x:v>322</x:v>
      </x:c>
      <x:c r="D5" t="s">
        <x:v>323</x:v>
      </x:c>
      <x:c r="E5" t="s">
        <x:v>324</x:v>
      </x:c>
      <x:c r="F5" t="s">
        <x:v>321</x:v>
      </x:c>
    </x:row>
    <x:row r="6">
      <x:c r="A6">
        <x:v>8476453</x:v>
      </x:c>
      <x:c r="B6" s="4" t="b">
        <x:v>1</x:v>
      </x:c>
      <x:c r="C6" t="s">
        <x:v>325</x:v>
      </x:c>
      <x:c r="D6" t="s">
        <x:v>326</x:v>
      </x:c>
      <x:c r="E6" t="s">
        <x:v>327</x:v>
      </x:c>
      <x:c r="F6" t="s">
        <x:v>321</x:v>
      </x:c>
    </x:row>
    <x:row r="7">
      <x:c r="A7">
        <x:v>8477934</x:v>
      </x:c>
      <x:c r="B7" s="4" t="b">
        <x:v>1</x:v>
      </x:c>
      <x:c r="C7" t="s">
        <x:v>328</x:v>
      </x:c>
      <x:c r="D7" t="s">
        <x:v>329</x:v>
      </x:c>
      <x:c r="E7" t="s">
        <x:v>320</x:v>
      </x:c>
      <x:c r="F7" t="s">
        <x:v>321</x:v>
      </x:c>
    </x:row>
    <x:row r="8">
      <x:c r="A8">
        <x:v>8480069</x:v>
      </x:c>
      <x:c r="B8" s="4" t="b">
        <x:v>1</x:v>
      </x:c>
      <x:c r="C8" t="s">
        <x:v>330</x:v>
      </x:c>
      <x:c r="D8" t="s">
        <x:v>331</x:v>
      </x:c>
      <x:c r="E8" t="s">
        <x:v>324</x:v>
      </x:c>
      <x:c r="F8" t="s">
        <x:v>321</x:v>
      </x:c>
    </x:row>
    <x:row r="9">
      <x:c r="A9">
        <x:v>8477956</x:v>
      </x:c>
      <x:c r="B9" s="4" t="b">
        <x:v>1</x:v>
      </x:c>
      <x:c r="C9" t="s">
        <x:v>332</x:v>
      </x:c>
      <x:c r="D9" t="s">
        <x:v>333</x:v>
      </x:c>
      <x:c r="E9" t="s">
        <x:v>334</x:v>
      </x:c>
      <x:c r="F9" t="s">
        <x:v>321</x:v>
      </x:c>
    </x:row>
    <x:row r="10">
      <x:c r="A10">
        <x:v>8480803</x:v>
      </x:c>
      <x:c r="B10" s="4" t="b">
        <x:v>1</x:v>
      </x:c>
      <x:c r="C10" t="s">
        <x:v>335</x:v>
      </x:c>
      <x:c r="D10" t="s">
        <x:v>331</x:v>
      </x:c>
      <x:c r="E10" t="s">
        <x:v>320</x:v>
      </x:c>
      <x:c r="F10" t="s">
        <x:v>321</x:v>
      </x:c>
    </x:row>
    <x:row r="11">
      <x:c r="A11">
        <x:v>8478460</x:v>
      </x:c>
      <x:c r="B11" s="4" t="b">
        <x:v>1</x:v>
      </x:c>
      <x:c r="C11" t="s">
        <x:v>336</x:v>
      </x:c>
      <x:c r="D11" t="s">
        <x:v>331</x:v>
      </x:c>
      <x:c r="E11" t="s">
        <x:v>337</x:v>
      </x:c>
      <x:c r="F11" t="s">
        <x:v>321</x:v>
      </x:c>
    </x:row>
    <x:row r="12">
      <x:c r="A12">
        <x:v>8484801</x:v>
      </x:c>
      <x:c r="B12" s="4" t="b">
        <x:v>1</x:v>
      </x:c>
      <x:c r="C12" t="s">
        <x:v>338</x:v>
      </x:c>
      <x:c r="D12" t="s">
        <x:v>339</x:v>
      </x:c>
      <x:c r="E12" t="s">
        <x:v>340</x:v>
      </x:c>
      <x:c r="F12" t="s">
        <x:v>321</x:v>
      </x:c>
    </x:row>
    <x:row r="13">
      <x:c r="A13">
        <x:v>8474590</x:v>
      </x:c>
      <x:c r="B13" s="4" t="b">
        <x:v>1</x:v>
      </x:c>
      <x:c r="C13" t="s">
        <x:v>341</x:v>
      </x:c>
      <x:c r="D13" t="s">
        <x:v>331</x:v>
      </x:c>
      <x:c r="E13" t="s">
        <x:v>327</x:v>
      </x:c>
      <x:c r="F13" t="s">
        <x:v>321</x:v>
      </x:c>
    </x:row>
    <x:row r="14">
      <x:c r="A14">
        <x:v>8478420</x:v>
      </x:c>
      <x:c r="B14" s="4" t="b">
        <x:v>1</x:v>
      </x:c>
      <x:c r="C14" t="s">
        <x:v>342</x:v>
      </x:c>
      <x:c r="D14" t="s">
        <x:v>326</x:v>
      </x:c>
      <x:c r="E14" t="s">
        <x:v>343</x:v>
      </x:c>
      <x:c r="F14" t="s">
        <x:v>321</x:v>
      </x:c>
    </x:row>
    <x:row r="15">
      <x:c r="A15">
        <x:v>8480800</x:v>
      </x:c>
      <x:c r="B15" s="4" t="b">
        <x:v>1</x:v>
      </x:c>
      <x:c r="C15" t="s">
        <x:v>344</x:v>
      </x:c>
      <x:c r="D15" t="s">
        <x:v>331</x:v>
      </x:c>
      <x:c r="E15" t="s">
        <x:v>345</x:v>
      </x:c>
      <x:c r="F15" t="s">
        <x:v>321</x:v>
      </x:c>
    </x:row>
    <x:row r="16">
      <x:c r="A16">
        <x:v>8480039</x:v>
      </x:c>
      <x:c r="B16" s="4" t="b">
        <x:v>1</x:v>
      </x:c>
      <x:c r="C16" t="s">
        <x:v>346</x:v>
      </x:c>
      <x:c r="D16" t="s">
        <x:v>323</x:v>
      </x:c>
      <x:c r="E16" t="s">
        <x:v>324</x:v>
      </x:c>
      <x:c r="F16" t="s">
        <x:v>321</x:v>
      </x:c>
    </x:row>
    <x:row r="17">
      <x:c r="A17">
        <x:v>8476460</x:v>
      </x:c>
      <x:c r="B17" s="4" t="b">
        <x:v>1</x:v>
      </x:c>
      <x:c r="C17" t="s">
        <x:v>347</x:v>
      </x:c>
      <x:c r="D17" t="s">
        <x:v>319</x:v>
      </x:c>
      <x:c r="E17" t="s">
        <x:v>348</x:v>
      </x:c>
      <x:c r="F17" t="s">
        <x:v>321</x:v>
      </x:c>
    </x:row>
    <x:row r="18">
      <x:c r="A18">
        <x:v>8471675</x:v>
      </x:c>
      <x:c r="B18" s="4" t="b">
        <x:v>1</x:v>
      </x:c>
      <x:c r="C18" t="s">
        <x:v>349</x:v>
      </x:c>
      <x:c r="D18" t="s">
        <x:v>319</x:v>
      </x:c>
      <x:c r="E18" t="s">
        <x:v>350</x:v>
      </x:c>
      <x:c r="F18" t="s">
        <x:v>321</x:v>
      </x:c>
    </x:row>
    <x:row r="19">
      <x:c r="A19">
        <x:v>8477939</x:v>
      </x:c>
      <x:c r="B19" s="4" t="b">
        <x:v>1</x:v>
      </x:c>
      <x:c r="C19" t="s">
        <x:v>351</x:v>
      </x:c>
      <x:c r="D19" t="s">
        <x:v>333</x:v>
      </x:c>
      <x:c r="E19" t="s">
        <x:v>352</x:v>
      </x:c>
      <x:c r="F19" t="s">
        <x:v>321</x:v>
      </x:c>
    </x:row>
    <x:row r="20">
      <x:c r="A20">
        <x:v>8475913</x:v>
      </x:c>
      <x:c r="B20" s="4" t="b">
        <x:v>1</x:v>
      </x:c>
      <x:c r="C20" t="s">
        <x:v>353</x:v>
      </x:c>
      <x:c r="D20" t="s">
        <x:v>326</x:v>
      </x:c>
      <x:c r="E20" t="s">
        <x:v>354</x:v>
      </x:c>
      <x:c r="F20" t="s">
        <x:v>321</x:v>
      </x:c>
    </x:row>
    <x:row r="21">
      <x:c r="A21">
        <x:v>8480018</x:v>
      </x:c>
      <x:c r="B21" s="4" t="b">
        <x:v>1</x:v>
      </x:c>
      <x:c r="C21" t="s">
        <x:v>355</x:v>
      </x:c>
      <x:c r="D21" t="s">
        <x:v>319</x:v>
      </x:c>
      <x:c r="E21" t="s">
        <x:v>356</x:v>
      </x:c>
      <x:c r="F21" t="s">
        <x:v>321</x:v>
      </x:c>
    </x:row>
    <x:row r="22">
      <x:c r="A22">
        <x:v>8478864</x:v>
      </x:c>
      <x:c r="B22" s="4" t="b">
        <x:v>1</x:v>
      </x:c>
      <x:c r="C22" t="s">
        <x:v>357</x:v>
      </x:c>
      <x:c r="D22" t="s">
        <x:v>358</x:v>
      </x:c>
      <x:c r="E22" t="s">
        <x:v>345</x:v>
      </x:c>
      <x:c r="F22" t="s">
        <x:v>321</x:v>
      </x:c>
    </x:row>
    <x:row r="23">
      <x:c r="A23">
        <x:v>8479325</x:v>
      </x:c>
      <x:c r="B23" s="4" t="b">
        <x:v>1</x:v>
      </x:c>
      <x:c r="C23" t="s">
        <x:v>359</x:v>
      </x:c>
      <x:c r="D23" t="s">
        <x:v>331</x:v>
      </x:c>
      <x:c r="E23" t="s">
        <x:v>334</x:v>
      </x:c>
      <x:c r="F23" t="s">
        <x:v>321</x:v>
      </x:c>
    </x:row>
    <x:row r="24">
      <x:c r="A24">
        <x:v>8480839</x:v>
      </x:c>
      <x:c r="B24" s="4" t="b">
        <x:v>1</x:v>
      </x:c>
      <x:c r="C24" t="s">
        <x:v>360</x:v>
      </x:c>
      <x:c r="D24" t="s">
        <x:v>331</x:v>
      </x:c>
      <x:c r="E24" t="s">
        <x:v>361</x:v>
      </x:c>
      <x:c r="F24" t="s">
        <x:v>321</x:v>
      </x:c>
    </x:row>
    <x:row r="25">
      <x:c r="A25">
        <x:v>8478403</x:v>
      </x:c>
      <x:c r="B25" s="4" t="b">
        <x:v>1</x:v>
      </x:c>
      <x:c r="C25" t="s">
        <x:v>362</x:v>
      </x:c>
      <x:c r="D25" t="s">
        <x:v>319</x:v>
      </x:c>
      <x:c r="E25" t="s">
        <x:v>354</x:v>
      </x:c>
      <x:c r="F25" t="s">
        <x:v>321</x:v>
      </x:c>
    </x:row>
    <x:row r="26">
      <x:c r="A26">
        <x:v>8479410</x:v>
      </x:c>
      <x:c r="B26" s="4" t="b">
        <x:v>1</x:v>
      </x:c>
      <x:c r="C26" t="s">
        <x:v>363</x:v>
      </x:c>
      <x:c r="D26" t="s">
        <x:v>331</x:v>
      </x:c>
      <x:c r="E26" t="s">
        <x:v>364</x:v>
      </x:c>
      <x:c r="F26" t="s">
        <x:v>321</x:v>
      </x:c>
    </x:row>
    <x:row r="27">
      <x:c r="A27">
        <x:v>8481559</x:v>
      </x:c>
      <x:c r="B27" s="4" t="b">
        <x:v>1</x:v>
      </x:c>
      <x:c r="C27" t="s">
        <x:v>365</x:v>
      </x:c>
      <x:c r="D27" t="s">
        <x:v>319</x:v>
      </x:c>
      <x:c r="E27" t="s">
        <x:v>366</x:v>
      </x:c>
      <x:c r="F27" t="s">
        <x:v>321</x:v>
      </x:c>
    </x:row>
    <x:row r="28">
      <x:c r="A28">
        <x:v>8481542</x:v>
      </x:c>
      <x:c r="B28" s="4" t="b">
        <x:v>1</x:v>
      </x:c>
      <x:c r="C28" t="s">
        <x:v>367</x:v>
      </x:c>
      <x:c r="D28" t="s">
        <x:v>331</x:v>
      </x:c>
      <x:c r="E28" t="s">
        <x:v>368</x:v>
      </x:c>
      <x:c r="F28" t="s">
        <x:v>321</x:v>
      </x:c>
    </x:row>
    <x:row r="29">
      <x:c r="A29">
        <x:v>8482105</x:v>
      </x:c>
      <x:c r="B29" s="4" t="b">
        <x:v>1</x:v>
      </x:c>
      <x:c r="C29" t="s">
        <x:v>369</x:v>
      </x:c>
      <x:c r="D29" t="s">
        <x:v>331</x:v>
      </x:c>
      <x:c r="E29" t="s">
        <x:v>370</x:v>
      </x:c>
      <x:c r="F29" t="s">
        <x:v>321</x:v>
      </x:c>
    </x:row>
    <x:row r="30">
      <x:c r="A30">
        <x:v>8474600</x:v>
      </x:c>
      <x:c r="B30" s="4" t="b">
        <x:v>1</x:v>
      </x:c>
      <x:c r="C30" t="s">
        <x:v>371</x:v>
      </x:c>
      <x:c r="D30" t="s">
        <x:v>331</x:v>
      </x:c>
      <x:c r="E30" t="s">
        <x:v>372</x:v>
      </x:c>
      <x:c r="F30" t="s">
        <x:v>321</x:v>
      </x:c>
    </x:row>
    <x:row r="31">
      <x:c r="A31">
        <x:v>8474578</x:v>
      </x:c>
      <x:c r="B31" s="4" t="b">
        <x:v>1</x:v>
      </x:c>
      <x:c r="C31" t="s">
        <x:v>373</x:v>
      </x:c>
      <x:c r="D31" t="s">
        <x:v>331</x:v>
      </x:c>
      <x:c r="E31" t="s">
        <x:v>350</x:v>
      </x:c>
      <x:c r="F31" t="s">
        <x:v>321</x:v>
      </x:c>
    </x:row>
    <x:row r="32">
      <x:c r="A32">
        <x:v>8478398</x:v>
      </x:c>
      <x:c r="B32" s="4" t="b">
        <x:v>1</x:v>
      </x:c>
      <x:c r="C32" t="s">
        <x:v>374</x:v>
      </x:c>
      <x:c r="D32" t="s">
        <x:v>358</x:v>
      </x:c>
      <x:c r="E32" t="s">
        <x:v>348</x:v>
      </x:c>
      <x:c r="F32" t="s">
        <x:v>321</x:v>
      </x:c>
    </x:row>
    <x:row r="33">
      <x:c r="A33">
        <x:v>8479542</x:v>
      </x:c>
      <x:c r="B33" s="4" t="b">
        <x:v>1</x:v>
      </x:c>
      <x:c r="C33" t="s">
        <x:v>375</x:v>
      </x:c>
      <x:c r="D33" t="s">
        <x:v>358</x:v>
      </x:c>
      <x:c r="E33" t="s">
        <x:v>327</x:v>
      </x:c>
      <x:c r="F33" t="s">
        <x:v>321</x:v>
      </x:c>
    </x:row>
    <x:row r="34">
      <x:c r="A34">
        <x:v>8478178</x:v>
      </x:c>
      <x:c r="B34" s="4" t="b">
        <x:v>1</x:v>
      </x:c>
      <x:c r="C34" t="s">
        <x:v>376</x:v>
      </x:c>
      <x:c r="D34" t="s">
        <x:v>331</x:v>
      </x:c>
      <x:c r="E34" t="s">
        <x:v>352</x:v>
      </x:c>
      <x:c r="F34" t="s">
        <x:v>321</x:v>
      </x:c>
    </x:row>
    <x:row r="35">
      <x:c r="A35">
        <x:v>8480027</x:v>
      </x:c>
      <x:c r="B35" s="4" t="b">
        <x:v>1</x:v>
      </x:c>
      <x:c r="C35" t="s">
        <x:v>377</x:v>
      </x:c>
      <x:c r="D35" t="s">
        <x:v>333</x:v>
      </x:c>
      <x:c r="E35" t="s">
        <x:v>343</x:v>
      </x:c>
      <x:c r="F35" t="s">
        <x:v>321</x:v>
      </x:c>
    </x:row>
    <x:row r="36">
      <x:c r="A36">
        <x:v>8478550</x:v>
      </x:c>
      <x:c r="B36" s="4" t="b">
        <x:v>1</x:v>
      </x:c>
      <x:c r="C36" t="s">
        <x:v>378</x:v>
      </x:c>
      <x:c r="D36" t="s">
        <x:v>358</x:v>
      </x:c>
      <x:c r="E36" t="s">
        <x:v>379</x:v>
      </x:c>
      <x:c r="F36" t="s">
        <x:v>321</x:v>
      </x:c>
    </x:row>
    <x:row r="37">
      <x:c r="A37">
        <x:v>8479420</x:v>
      </x:c>
      <x:c r="B37" s="4" t="b">
        <x:v>1</x:v>
      </x:c>
      <x:c r="C37" t="s">
        <x:v>380</x:v>
      </x:c>
      <x:c r="D37" t="s">
        <x:v>329</x:v>
      </x:c>
      <x:c r="E37" t="s">
        <x:v>361</x:v>
      </x:c>
      <x:c r="F37" t="s">
        <x:v>321</x:v>
      </x:c>
    </x:row>
    <x:row r="38">
      <x:c r="A38">
        <x:v>8481557</x:v>
      </x:c>
      <x:c r="B38" s="4" t="b">
        <x:v>1</x:v>
      </x:c>
      <x:c r="C38" t="s">
        <x:v>381</x:v>
      </x:c>
      <x:c r="D38" t="s">
        <x:v>358</x:v>
      </x:c>
      <x:c r="E38" t="s">
        <x:v>345</x:v>
      </x:c>
      <x:c r="F38" t="s">
        <x:v>321</x:v>
      </x:c>
    </x:row>
    <x:row r="39">
      <x:c r="A39">
        <x:v>8479323</x:v>
      </x:c>
      <x:c r="B39" s="4" t="b">
        <x:v>1</x:v>
      </x:c>
      <x:c r="C39" t="s">
        <x:v>382</x:v>
      </x:c>
      <x:c r="D39" t="s">
        <x:v>331</x:v>
      </x:c>
      <x:c r="E39" t="s">
        <x:v>383</x:v>
      </x:c>
      <x:c r="F39" t="s">
        <x:v>321</x:v>
      </x:c>
    </x:row>
    <x:row r="40">
      <x:c r="A40">
        <x:v>8477960</x:v>
      </x:c>
      <x:c r="B40" s="4" t="b">
        <x:v>1</x:v>
      </x:c>
      <x:c r="C40" t="s">
        <x:v>384</x:v>
      </x:c>
      <x:c r="D40" t="s">
        <x:v>333</x:v>
      </x:c>
      <x:c r="E40" t="s">
        <x:v>379</x:v>
      </x:c>
      <x:c r="F40" t="s">
        <x:v>321</x:v>
      </x:c>
    </x:row>
    <x:row r="41">
      <x:c r="A41">
        <x:v>8476906</x:v>
      </x:c>
      <x:c r="B41" s="4" t="b">
        <x:v>1</x:v>
      </x:c>
      <x:c r="C41" t="s">
        <x:v>385</x:v>
      </x:c>
      <x:c r="D41" t="s">
        <x:v>331</x:v>
      </x:c>
      <x:c r="E41" t="s">
        <x:v>386</x:v>
      </x:c>
      <x:c r="F41" t="s">
        <x:v>321</x:v>
      </x:c>
    </x:row>
    <x:row r="42">
      <x:c r="A42">
        <x:v>8477946</x:v>
      </x:c>
      <x:c r="B42" s="4" t="b">
        <x:v>1</x:v>
      </x:c>
      <x:c r="C42" t="s">
        <x:v>387</x:v>
      </x:c>
      <x:c r="D42" t="s">
        <x:v>319</x:v>
      </x:c>
      <x:c r="E42" t="s">
        <x:v>368</x:v>
      </x:c>
      <x:c r="F42" t="s">
        <x:v>321</x:v>
      </x:c>
    </x:row>
    <x:row r="43">
      <x:c r="A43">
        <x:v>8479337</x:v>
      </x:c>
      <x:c r="B43" s="4" t="b">
        <x:v>1</x:v>
      </x:c>
      <x:c r="C43" t="s">
        <x:v>388</x:v>
      </x:c>
      <x:c r="D43" t="s">
        <x:v>333</x:v>
      </x:c>
      <x:c r="E43" t="s">
        <x:v>368</x:v>
      </x:c>
      <x:c r="F43" t="s">
        <x:v>321</x:v>
      </x:c>
    </x:row>
    <x:row r="44">
      <x:c r="A44">
        <x:v>8482116</x:v>
      </x:c>
      <x:c r="B44" s="4" t="b">
        <x:v>1</x:v>
      </x:c>
      <x:c r="C44" t="s">
        <x:v>389</x:v>
      </x:c>
      <x:c r="D44" t="s">
        <x:v>339</x:v>
      </x:c>
      <x:c r="E44" t="s">
        <x:v>370</x:v>
      </x:c>
      <x:c r="F44" t="s">
        <x:v>321</x:v>
      </x:c>
    </x:row>
    <x:row r="45">
      <x:c r="A45">
        <x:v>8483457</x:v>
      </x:c>
      <x:c r="B45" s="4" t="b">
        <x:v>1</x:v>
      </x:c>
      <x:c r="C45" t="s">
        <x:v>390</x:v>
      </x:c>
      <x:c r="D45" t="s">
        <x:v>331</x:v>
      </x:c>
      <x:c r="E45" t="s">
        <x:v>356</x:v>
      </x:c>
      <x:c r="F45" t="s">
        <x:v>321</x:v>
      </x:c>
    </x:row>
    <x:row r="46">
      <x:c r="A46">
        <x:v>8478483</x:v>
      </x:c>
      <x:c r="B46" s="4" t="b">
        <x:v>1</x:v>
      </x:c>
      <x:c r="C46" t="s">
        <x:v>391</x:v>
      </x:c>
      <x:c r="D46" t="s">
        <x:v>323</x:v>
      </x:c>
      <x:c r="E46" t="s">
        <x:v>354</x:v>
      </x:c>
      <x:c r="F46" t="s">
        <x:v>321</x:v>
      </x:c>
    </x:row>
    <x:row r="47">
      <x:c r="A47">
        <x:v>8481605</x:v>
      </x:c>
      <x:c r="B47" s="4" t="b">
        <x:v>1</x:v>
      </x:c>
      <x:c r="C47" t="s">
        <x:v>392</x:v>
      </x:c>
      <x:c r="D47" t="s">
        <x:v>331</x:v>
      </x:c>
      <x:c r="E47" t="s">
        <x:v>393</x:v>
      </x:c>
      <x:c r="F47" t="s">
        <x:v>321</x:v>
      </x:c>
    </x:row>
    <x:row r="48">
      <x:c r="A48">
        <x:v>8481540</x:v>
      </x:c>
      <x:c r="B48" s="4" t="b">
        <x:v>1</x:v>
      </x:c>
      <x:c r="C48" t="s">
        <x:v>394</x:v>
      </x:c>
      <x:c r="D48" t="s">
        <x:v>333</x:v>
      </x:c>
      <x:c r="E48" t="s">
        <x:v>356</x:v>
      </x:c>
      <x:c r="F48" t="s">
        <x:v>321</x:v>
      </x:c>
    </x:row>
    <x:row r="49">
      <x:c r="A49">
        <x:v>8480023</x:v>
      </x:c>
      <x:c r="B49" s="4" t="b">
        <x:v>1</x:v>
      </x:c>
      <x:c r="C49" t="s">
        <x:v>395</x:v>
      </x:c>
      <x:c r="D49" t="s">
        <x:v>323</x:v>
      </x:c>
      <x:c r="E49" t="s">
        <x:v>396</x:v>
      </x:c>
      <x:c r="F49" t="s">
        <x:v>321</x:v>
      </x:c>
    </x:row>
    <x:row r="50">
      <x:c r="A50">
        <x:v>8477404</x:v>
      </x:c>
      <x:c r="B50" s="4" t="b">
        <x:v>1</x:v>
      </x:c>
      <x:c r="C50" t="s">
        <x:v>397</x:v>
      </x:c>
      <x:c r="D50" t="s">
        <x:v>358</x:v>
      </x:c>
      <x:c r="E50" t="s">
        <x:v>327</x:v>
      </x:c>
      <x:c r="F50" t="s">
        <x:v>321</x:v>
      </x:c>
    </x:row>
    <x:row r="51">
      <x:c r="A51">
        <x:v>8477504</x:v>
      </x:c>
      <x:c r="B51" s="4" t="b">
        <x:v>1</x:v>
      </x:c>
      <x:c r="C51" t="s">
        <x:v>398</x:v>
      </x:c>
      <x:c r="D51" t="s">
        <x:v>331</x:v>
      </x:c>
      <x:c r="E51" t="s">
        <x:v>348</x:v>
      </x:c>
      <x:c r="F51" t="s">
        <x:v>321</x:v>
      </x:c>
    </x:row>
    <x:row r="52">
      <x:c r="A52">
        <x:v>8477933</x:v>
      </x:c>
      <x:c r="B52" s="4" t="b">
        <x:v>1</x:v>
      </x:c>
      <x:c r="C52" t="s">
        <x:v>399</x:v>
      </x:c>
      <x:c r="D52" t="s">
        <x:v>323</x:v>
      </x:c>
      <x:c r="E52" t="s">
        <x:v>400</x:v>
      </x:c>
      <x:c r="F52" t="s">
        <x:v>321</x:v>
      </x:c>
    </x:row>
    <x:row r="53">
      <x:c r="A53">
        <x:v>8471214</x:v>
      </x:c>
      <x:c r="B53" s="4" t="b">
        <x:v>1</x:v>
      </x:c>
      <x:c r="C53" t="s">
        <x:v>401</x:v>
      </x:c>
      <x:c r="D53" t="s">
        <x:v>333</x:v>
      </x:c>
      <x:c r="E53" t="s">
        <x:v>402</x:v>
      </x:c>
      <x:c r="F53" t="s">
        <x:v>321</x:v>
      </x:c>
    </x:row>
    <x:row r="54">
      <x:c r="A54">
        <x:v>8479318</x:v>
      </x:c>
      <x:c r="B54" s="4" t="b">
        <x:v>1</x:v>
      </x:c>
      <x:c r="C54" t="s">
        <x:v>403</x:v>
      </x:c>
      <x:c r="D54" t="s">
        <x:v>339</x:v>
      </x:c>
      <x:c r="E54" t="s">
        <x:v>352</x:v>
      </x:c>
      <x:c r="F54" t="s">
        <x:v>321</x:v>
      </x:c>
    </x:row>
    <x:row r="55">
      <x:c r="A55">
        <x:v>8479314</x:v>
      </x:c>
      <x:c r="B55" s="4" t="b">
        <x:v>1</x:v>
      </x:c>
      <x:c r="C55" t="s">
        <x:v>404</x:v>
      </x:c>
      <x:c r="D55" t="s">
        <x:v>333</x:v>
      </x:c>
      <x:c r="E55" t="s">
        <x:v>400</x:v>
      </x:c>
      <x:c r="F55" t="s">
        <x:v>321</x:v>
      </x:c>
    </x:row>
    <x:row r="56">
      <x:c r="A56">
        <x:v>8471215</x:v>
      </x:c>
      <x:c r="B56" s="4" t="b">
        <x:v>1</x:v>
      </x:c>
      <x:c r="C56" t="s">
        <x:v>405</x:v>
      </x:c>
      <x:c r="D56" t="s">
        <x:v>319</x:v>
      </x:c>
      <x:c r="E56" t="s">
        <x:v>350</x:v>
      </x:c>
      <x:c r="F56" t="s">
        <x:v>321</x:v>
      </x:c>
    </x:row>
    <x:row r="57">
      <x:c r="A57">
        <x:v>8478427</x:v>
      </x:c>
      <x:c r="B57" s="4" t="b">
        <x:v>1</x:v>
      </x:c>
      <x:c r="C57" t="s">
        <x:v>406</x:v>
      </x:c>
      <x:c r="D57" t="s">
        <x:v>329</x:v>
      </x:c>
      <x:c r="E57" t="s">
        <x:v>386</x:v>
      </x:c>
      <x:c r="F57" t="s">
        <x:v>321</x:v>
      </x:c>
    </x:row>
    <x:row r="58">
      <x:c r="A58">
        <x:v>8476887</x:v>
      </x:c>
      <x:c r="B58" s="4" t="b">
        <x:v>1</x:v>
      </x:c>
      <x:c r="C58" t="s">
        <x:v>407</x:v>
      </x:c>
      <x:c r="D58" t="s">
        <x:v>333</x:v>
      </x:c>
      <x:c r="E58" t="s">
        <x:v>372</x:v>
      </x:c>
      <x:c r="F58" t="s">
        <x:v>321</x:v>
      </x:c>
    </x:row>
    <x:row r="59">
      <x:c r="A59">
        <x:v>8482740</x:v>
      </x:c>
      <x:c r="B59" s="4" t="b">
        <x:v>1</x:v>
      </x:c>
      <x:c r="C59" t="s">
        <x:v>408</x:v>
      </x:c>
      <x:c r="D59" t="s">
        <x:v>319</x:v>
      </x:c>
      <x:c r="E59" t="s">
        <x:v>343</x:v>
      </x:c>
      <x:c r="F59" t="s">
        <x:v>321</x:v>
      </x:c>
    </x:row>
    <x:row r="60">
      <x:c r="A60">
        <x:v>8479343</x:v>
      </x:c>
      <x:c r="B60" s="4" t="b">
        <x:v>1</x:v>
      </x:c>
      <x:c r="C60" t="s">
        <x:v>409</x:v>
      </x:c>
      <x:c r="D60" t="s">
        <x:v>333</x:v>
      </x:c>
      <x:c r="E60" t="s">
        <x:v>364</x:v>
      </x:c>
      <x:c r="F60" t="s">
        <x:v>321</x:v>
      </x:c>
    </x:row>
    <x:row r="61">
      <x:c r="A61">
        <x:v>8479345</x:v>
      </x:c>
      <x:c r="B61" s="4" t="b">
        <x:v>1</x:v>
      </x:c>
      <x:c r="C61" t="s">
        <x:v>410</x:v>
      </x:c>
      <x:c r="D61" t="s">
        <x:v>331</x:v>
      </x:c>
      <x:c r="E61" t="s">
        <x:v>402</x:v>
      </x:c>
      <x:c r="F61" t="s">
        <x:v>321</x:v>
      </x:c>
    </x:row>
    <x:row r="62">
      <x:c r="A62">
        <x:v>8475166</x:v>
      </x:c>
      <x:c r="B62" s="4" t="b">
        <x:v>1</x:v>
      </x:c>
      <x:c r="C62" t="s">
        <x:v>411</x:v>
      </x:c>
      <x:c r="D62" t="s">
        <x:v>339</x:v>
      </x:c>
      <x:c r="E62" t="s">
        <x:v>352</x:v>
      </x:c>
      <x:c r="F62" t="s">
        <x:v>321</x:v>
      </x:c>
    </x:row>
    <x:row r="63">
      <x:c r="A63">
        <x:v>8476459</x:v>
      </x:c>
      <x:c r="B63" s="4" t="b">
        <x:v>1</x:v>
      </x:c>
      <x:c r="C63" t="s">
        <x:v>412</x:v>
      </x:c>
      <x:c r="D63" t="s">
        <x:v>323</x:v>
      </x:c>
      <x:c r="E63" t="s">
        <x:v>383</x:v>
      </x:c>
      <x:c r="F63" t="s">
        <x:v>321</x:v>
      </x:c>
    </x:row>
    <x:row r="64">
      <x:c r="A64">
        <x:v>8473419</x:v>
      </x:c>
      <x:c r="B64" s="4" t="b">
        <x:v>1</x:v>
      </x:c>
      <x:c r="C64" t="s">
        <x:v>413</x:v>
      </x:c>
      <x:c r="D64" t="s">
        <x:v>333</x:v>
      </x:c>
      <x:c r="E64" t="s">
        <x:v>400</x:v>
      </x:c>
      <x:c r="F64" t="s">
        <x:v>321</x:v>
      </x:c>
    </x:row>
    <x:row r="65">
      <x:c r="A65">
        <x:v>8476880</x:v>
      </x:c>
      <x:c r="B65" s="4" t="b">
        <x:v>1</x:v>
      </x:c>
      <x:c r="C65" t="s">
        <x:v>414</x:v>
      </x:c>
      <x:c r="D65" t="s">
        <x:v>326</x:v>
      </x:c>
      <x:c r="E65" t="s">
        <x:v>402</x:v>
      </x:c>
      <x:c r="F65" t="s">
        <x:v>321</x:v>
      </x:c>
    </x:row>
    <x:row r="66">
      <x:c r="A66">
        <x:v>8480036</x:v>
      </x:c>
      <x:c r="B66" s="4" t="b">
        <x:v>1</x:v>
      </x:c>
      <x:c r="C66" t="s">
        <x:v>415</x:v>
      </x:c>
      <x:c r="D66" t="s">
        <x:v>331</x:v>
      </x:c>
      <x:c r="E66" t="s">
        <x:v>343</x:v>
      </x:c>
      <x:c r="F66" t="s">
        <x:v>321</x:v>
      </x:c>
    </x:row>
    <x:row r="67">
      <x:c r="A67">
        <x:v>8480002</x:v>
      </x:c>
      <x:c r="B67" s="4" t="b">
        <x:v>1</x:v>
      </x:c>
      <x:c r="C67" t="s">
        <x:v>416</x:v>
      </x:c>
      <x:c r="D67" t="s">
        <x:v>319</x:v>
      </x:c>
      <x:c r="E67" t="s">
        <x:v>366</x:v>
      </x:c>
      <x:c r="F67" t="s">
        <x:v>321</x:v>
      </x:c>
    </x:row>
    <x:row r="68">
      <x:c r="A68">
        <x:v>8476462</x:v>
      </x:c>
      <x:c r="B68" s="4" t="b">
        <x:v>1</x:v>
      </x:c>
      <x:c r="C68" t="s">
        <x:v>417</x:v>
      </x:c>
      <x:c r="D68" t="s">
        <x:v>331</x:v>
      </x:c>
      <x:c r="E68" t="s">
        <x:v>366</x:v>
      </x:c>
      <x:c r="F68" t="s">
        <x:v>321</x:v>
      </x:c>
    </x:row>
    <x:row r="69">
      <x:c r="A69">
        <x:v>8482078</x:v>
      </x:c>
      <x:c r="B69" s="4" t="b">
        <x:v>1</x:v>
      </x:c>
      <x:c r="C69" t="s">
        <x:v>418</x:v>
      </x:c>
      <x:c r="D69" t="s">
        <x:v>358</x:v>
      </x:c>
      <x:c r="E69" t="s">
        <x:v>368</x:v>
      </x:c>
      <x:c r="F69" t="s">
        <x:v>321</x:v>
      </x:c>
    </x:row>
    <x:row r="70">
      <x:c r="A70">
        <x:v>8479425</x:v>
      </x:c>
      <x:c r="B70" s="4" t="b">
        <x:v>1</x:v>
      </x:c>
      <x:c r="C70" t="s">
        <x:v>419</x:v>
      </x:c>
      <x:c r="D70" t="s">
        <x:v>331</x:v>
      </x:c>
      <x:c r="E70" t="s">
        <x:v>420</x:v>
      </x:c>
      <x:c r="F70" t="s">
        <x:v>321</x:v>
      </x:c>
    </x:row>
    <x:row r="71">
      <x:c r="A71">
        <x:v>8478397</x:v>
      </x:c>
      <x:c r="B71" s="4" t="b">
        <x:v>1</x:v>
      </x:c>
      <x:c r="C71" t="s">
        <x:v>421</x:v>
      </x:c>
      <x:c r="D71" t="s">
        <x:v>331</x:v>
      </x:c>
      <x:c r="E71" t="s">
        <x:v>354</x:v>
      </x:c>
      <x:c r="F71" t="s">
        <x:v>321</x:v>
      </x:c>
    </x:row>
    <x:row r="72">
      <x:c r="A72">
        <x:v>8477495</x:v>
      </x:c>
      <x:c r="B72" s="4" t="b">
        <x:v>1</x:v>
      </x:c>
      <x:c r="C72" t="s">
        <x:v>422</x:v>
      </x:c>
      <x:c r="D72" t="s">
        <x:v>331</x:v>
      </x:c>
      <x:c r="E72" t="s">
        <x:v>400</x:v>
      </x:c>
      <x:c r="F72" t="s">
        <x:v>321</x:v>
      </x:c>
    </x:row>
    <x:row r="73">
      <x:c r="A73">
        <x:v>8480801</x:v>
      </x:c>
      <x:c r="B73" s="4" t="b">
        <x:v>1</x:v>
      </x:c>
      <x:c r="C73" t="s">
        <x:v>423</x:v>
      </x:c>
      <x:c r="D73" t="s">
        <x:v>358</x:v>
      </x:c>
      <x:c r="E73" t="s">
        <x:v>400</x:v>
      </x:c>
      <x:c r="F73" t="s">
        <x:v>321</x:v>
      </x:c>
    </x:row>
    <x:row r="74">
      <x:c r="A74">
        <x:v>8480865</x:v>
      </x:c>
      <x:c r="B74" s="4" t="b">
        <x:v>1</x:v>
      </x:c>
      <x:c r="C74" t="s">
        <x:v>424</x:v>
      </x:c>
      <x:c r="D74" t="s">
        <x:v>331</x:v>
      </x:c>
      <x:c r="E74" t="s">
        <x:v>356</x:v>
      </x:c>
      <x:c r="F74" t="s">
        <x:v>321</x:v>
      </x:c>
    </x:row>
    <x:row r="75">
      <x:c r="A75">
        <x:v>8475810</x:v>
      </x:c>
      <x:c r="B75" s="4" t="b">
        <x:v>1</x:v>
      </x:c>
      <x:c r="C75" t="s">
        <x:v>425</x:v>
      </x:c>
      <x:c r="D75" t="s">
        <x:v>333</x:v>
      </x:c>
      <x:c r="E75" t="s">
        <x:v>345</x:v>
      </x:c>
      <x:c r="F75" t="s">
        <x:v>321</x:v>
      </x:c>
    </x:row>
    <x:row r="76">
      <x:c r="A76">
        <x:v>8478439</x:v>
      </x:c>
      <x:c r="B76" s="4" t="b">
        <x:v>1</x:v>
      </x:c>
      <x:c r="C76" t="s">
        <x:v>426</x:v>
      </x:c>
      <x:c r="D76" t="s">
        <x:v>333</x:v>
      </x:c>
      <x:c r="E76" t="s">
        <x:v>427</x:v>
      </x:c>
      <x:c r="F76" t="s">
        <x:v>321</x:v>
      </x:c>
    </x:row>
    <x:row r="77">
      <x:c r="A77">
        <x:v>8477447</x:v>
      </x:c>
      <x:c r="B77" s="4" t="b">
        <x:v>1</x:v>
      </x:c>
      <x:c r="C77" t="s">
        <x:v>428</x:v>
      </x:c>
      <x:c r="D77" t="s">
        <x:v>331</x:v>
      </x:c>
      <x:c r="E77" t="s">
        <x:v>354</x:v>
      </x:c>
      <x:c r="F77" t="s">
        <x:v>321</x:v>
      </x:c>
    </x:row>
    <x:row r="78">
      <x:c r="A78">
        <x:v>8474564</x:v>
      </x:c>
      <x:c r="B78" s="4" t="b">
        <x:v>1</x:v>
      </x:c>
      <x:c r="C78" t="s">
        <x:v>429</x:v>
      </x:c>
      <x:c r="D78" t="s">
        <x:v>329</x:v>
      </x:c>
      <x:c r="E78" t="s">
        <x:v>372</x:v>
      </x:c>
      <x:c r="F78" t="s">
        <x:v>321</x:v>
      </x:c>
    </x:row>
    <x:row r="79">
      <x:c r="A79">
        <x:v>8482122</x:v>
      </x:c>
      <x:c r="B79" s="4" t="b">
        <x:v>1</x:v>
      </x:c>
      <x:c r="C79" t="s">
        <x:v>430</x:v>
      </x:c>
      <x:c r="D79" t="s">
        <x:v>331</x:v>
      </x:c>
      <x:c r="E79" t="s">
        <x:v>345</x:v>
      </x:c>
      <x:c r="F79" t="s">
        <x:v>321</x:v>
      </x:c>
    </x:row>
    <x:row r="80">
      <x:c r="A80">
        <x:v>8476468</x:v>
      </x:c>
      <x:c r="B80" s="4" t="b">
        <x:v>1</x:v>
      </x:c>
      <x:c r="C80" t="s">
        <x:v>431</x:v>
      </x:c>
      <x:c r="D80" t="s">
        <x:v>329</x:v>
      </x:c>
      <x:c r="E80" t="s">
        <x:v>383</x:v>
      </x:c>
      <x:c r="F80" t="s">
        <x:v>321</x:v>
      </x:c>
    </x:row>
    <x:row r="81">
      <x:c r="A81">
        <x:v>8475158</x:v>
      </x:c>
      <x:c r="B81" s="4" t="b">
        <x:v>1</x:v>
      </x:c>
      <x:c r="C81" t="s">
        <x:v>432</x:v>
      </x:c>
      <x:c r="D81" t="s">
        <x:v>319</x:v>
      </x:c>
      <x:c r="E81" t="s">
        <x:v>345</x:v>
      </x:c>
      <x:c r="F81" t="s">
        <x:v>321</x:v>
      </x:c>
    </x:row>
    <x:row r="82">
      <x:c r="A82">
        <x:v>8480208</x:v>
      </x:c>
      <x:c r="B82" s="4" t="b">
        <x:v>1</x:v>
      </x:c>
      <x:c r="C82" t="s">
        <x:v>433</x:v>
      </x:c>
      <x:c r="D82" t="s">
        <x:v>326</x:v>
      </x:c>
      <x:c r="E82" t="s">
        <x:v>370</x:v>
      </x:c>
      <x:c r="F82" t="s">
        <x:v>321</x:v>
      </x:c>
    </x:row>
    <x:row r="83">
      <x:c r="A83">
        <x:v>8482093</x:v>
      </x:c>
      <x:c r="B83" s="4" t="b">
        <x:v>1</x:v>
      </x:c>
      <x:c r="C83" t="s">
        <x:v>434</x:v>
      </x:c>
      <x:c r="D83" t="s">
        <x:v>329</x:v>
      </x:c>
      <x:c r="E83" t="s">
        <x:v>386</x:v>
      </x:c>
      <x:c r="F83" t="s">
        <x:v>321</x:v>
      </x:c>
    </x:row>
    <x:row r="84">
      <x:c r="A84">
        <x:v>8484144</x:v>
      </x:c>
      <x:c r="B84" s="4" t="b">
        <x:v>1</x:v>
      </x:c>
      <x:c r="C84" t="s">
        <x:v>435</x:v>
      </x:c>
      <x:c r="D84" t="s">
        <x:v>339</x:v>
      </x:c>
      <x:c r="E84" t="s">
        <x:v>436</x:v>
      </x:c>
      <x:c r="F84" t="s">
        <x:v>321</x:v>
      </x:c>
    </x:row>
    <x:row r="85">
      <x:c r="A85">
        <x:v>8482699</x:v>
      </x:c>
      <x:c r="B85" s="4" t="b">
        <x:v>1</x:v>
      </x:c>
      <x:c r="C85" t="s">
        <x:v>437</x:v>
      </x:c>
      <x:c r="D85" t="s">
        <x:v>333</x:v>
      </x:c>
      <x:c r="E85" t="s">
        <x:v>364</x:v>
      </x:c>
      <x:c r="F85" t="s">
        <x:v>321</x:v>
      </x:c>
    </x:row>
    <x:row r="86">
      <x:c r="A86">
        <x:v>8485366</x:v>
      </x:c>
      <x:c r="B86" s="4" t="b">
        <x:v>1</x:v>
      </x:c>
      <x:c r="C86" t="s">
        <x:v>438</x:v>
      </x:c>
      <x:c r="D86" t="s">
        <x:v>331</x:v>
      </x:c>
      <x:c r="E86" t="s">
        <x:v>439</x:v>
      </x:c>
      <x:c r="F86" t="s">
        <x:v>321</x:v>
      </x:c>
    </x:row>
    <x:row r="87">
      <x:c r="A87">
        <x:v>8480807</x:v>
      </x:c>
      <x:c r="B87" s="4" t="b">
        <x:v>1</x:v>
      </x:c>
      <x:c r="C87" t="s">
        <x:v>440</x:v>
      </x:c>
      <x:c r="D87" t="s">
        <x:v>331</x:v>
      </x:c>
      <x:c r="E87" t="s">
        <x:v>361</x:v>
      </x:c>
      <x:c r="F87" t="s">
        <x:v>321</x:v>
      </x:c>
    </x:row>
    <x:row r="88">
      <x:c r="A88">
        <x:v>8478010</x:v>
      </x:c>
      <x:c r="B88" s="4" t="b">
        <x:v>1</x:v>
      </x:c>
      <x:c r="C88" t="s">
        <x:v>441</x:v>
      </x:c>
      <x:c r="D88" t="s">
        <x:v>319</x:v>
      </x:c>
      <x:c r="E88" t="s">
        <x:v>327</x:v>
      </x:c>
      <x:c r="F88" t="s">
        <x:v>321</x:v>
      </x:c>
    </x:row>
    <x:row r="89">
      <x:c r="A89">
        <x:v>8480817</x:v>
      </x:c>
      <x:c r="B89" s="4" t="b">
        <x:v>1</x:v>
      </x:c>
      <x:c r="C89" t="s">
        <x:v>442</x:v>
      </x:c>
      <x:c r="D89" t="s">
        <x:v>331</x:v>
      </x:c>
      <x:c r="E89" t="s">
        <x:v>386</x:v>
      </x:c>
      <x:c r="F89" t="s">
        <x:v>321</x:v>
      </x:c>
    </x:row>
    <x:row r="90">
      <x:c r="A90">
        <x:v>8482077</x:v>
      </x:c>
      <x:c r="B90" s="4" t="b">
        <x:v>1</x:v>
      </x:c>
      <x:c r="C90" t="s">
        <x:v>443</x:v>
      </x:c>
      <x:c r="D90" t="s">
        <x:v>333</x:v>
      </x:c>
      <x:c r="E90" t="s">
        <x:v>396</x:v>
      </x:c>
      <x:c r="F90" t="s">
        <x:v>321</x:v>
      </x:c>
    </x:row>
    <x:row r="91">
      <x:c r="A91">
        <x:v>8471724</x:v>
      </x:c>
      <x:c r="B91" s="4" t="b">
        <x:v>1</x:v>
      </x:c>
      <x:c r="C91" t="s">
        <x:v>444</x:v>
      </x:c>
      <x:c r="D91" t="s">
        <x:v>331</x:v>
      </x:c>
      <x:c r="E91" t="s">
        <x:v>350</x:v>
      </x:c>
      <x:c r="F91" t="s">
        <x:v>321</x:v>
      </x:c>
    </x:row>
    <x:row r="92">
      <x:c r="A92">
        <x:v>8471685</x:v>
      </x:c>
      <x:c r="B92" s="4" t="b">
        <x:v>1</x:v>
      </x:c>
      <x:c r="C92" t="s">
        <x:v>445</x:v>
      </x:c>
      <x:c r="D92" t="s">
        <x:v>319</x:v>
      </x:c>
      <x:c r="E92" t="s">
        <x:v>320</x:v>
      </x:c>
      <x:c r="F92" t="s">
        <x:v>321</x:v>
      </x:c>
    </x:row>
    <x:row r="93">
      <x:c r="A93">
        <x:v>8475218</x:v>
      </x:c>
      <x:c r="B93" s="4" t="b">
        <x:v>1</x:v>
      </x:c>
      <x:c r="C93" t="s">
        <x:v>446</x:v>
      </x:c>
      <x:c r="D93" t="s">
        <x:v>331</x:v>
      </x:c>
      <x:c r="E93" t="s">
        <x:v>320</x:v>
      </x:c>
      <x:c r="F93" t="s">
        <x:v>321</x:v>
      </x:c>
    </x:row>
    <x:row r="94">
      <x:c r="A94">
        <x:v>8480893</x:v>
      </x:c>
      <x:c r="B94" s="4" t="b">
        <x:v>1</x:v>
      </x:c>
      <x:c r="C94" t="s">
        <x:v>447</x:v>
      </x:c>
      <x:c r="D94" t="s">
        <x:v>333</x:v>
      </x:c>
      <x:c r="E94" t="s">
        <x:v>320</x:v>
      </x:c>
      <x:c r="F94" t="s">
        <x:v>321</x:v>
      </x:c>
    </x:row>
    <x:row r="95">
      <x:c r="A95">
        <x:v>8475753</x:v>
      </x:c>
      <x:c r="B95" s="4" t="b">
        <x:v>1</x:v>
      </x:c>
      <x:c r="C95" t="s">
        <x:v>448</x:v>
      </x:c>
      <x:c r="D95" t="s">
        <x:v>331</x:v>
      </x:c>
      <x:c r="E95" t="s">
        <x:v>368</x:v>
      </x:c>
      <x:c r="F95" t="s">
        <x:v>321</x:v>
      </x:c>
    </x:row>
    <x:row r="96">
      <x:c r="A96">
        <x:v>8483515</x:v>
      </x:c>
      <x:c r="B96" s="4" t="b">
        <x:v>1</x:v>
      </x:c>
      <x:c r="C96" t="s">
        <x:v>449</x:v>
      </x:c>
      <x:c r="D96" t="s">
        <x:v>333</x:v>
      </x:c>
      <x:c r="E96" t="s">
        <x:v>356</x:v>
      </x:c>
      <x:c r="F96" t="s">
        <x:v>321</x:v>
      </x:c>
    </x:row>
    <x:row r="97">
      <x:c r="A97">
        <x:v>8481581</x:v>
      </x:c>
      <x:c r="B97" s="4" t="b">
        <x:v>1</x:v>
      </x:c>
      <x:c r="C97" t="s">
        <x:v>450</x:v>
      </x:c>
      <x:c r="D97" t="s">
        <x:v>331</x:v>
      </x:c>
      <x:c r="E97" t="s">
        <x:v>343</x:v>
      </x:c>
      <x:c r="F97" t="s">
        <x:v>321</x:v>
      </x:c>
    </x:row>
    <x:row r="98">
      <x:c r="A98">
        <x:v>8477951</x:v>
      </x:c>
      <x:c r="B98" s="4" t="b">
        <x:v>1</x:v>
      </x:c>
      <x:c r="C98" t="s">
        <x:v>451</x:v>
      </x:c>
      <x:c r="D98" t="s">
        <x:v>323</x:v>
      </x:c>
      <x:c r="E98" t="s">
        <x:v>364</x:v>
      </x:c>
      <x:c r="F98" t="s">
        <x:v>321</x:v>
      </x:c>
    </x:row>
    <x:row r="99">
      <x:c r="A99">
        <x:v>8476389</x:v>
      </x:c>
      <x:c r="B99" s="4" t="b">
        <x:v>1</x:v>
      </x:c>
      <x:c r="C99" t="s">
        <x:v>452</x:v>
      </x:c>
      <x:c r="D99" t="s">
        <x:v>319</x:v>
      </x:c>
      <x:c r="E99" t="s">
        <x:v>364</x:v>
      </x:c>
      <x:c r="F99" t="s">
        <x:v>321</x:v>
      </x:c>
    </x:row>
    <x:row r="100">
      <x:c r="A100">
        <x:v>8476881</x:v>
      </x:c>
      <x:c r="B100" s="4" t="b">
        <x:v>1</x:v>
      </x:c>
      <x:c r="C100" t="s">
        <x:v>453</x:v>
      </x:c>
      <x:c r="D100" t="s">
        <x:v>339</x:v>
      </x:c>
      <x:c r="E100" t="s">
        <x:v>354</x:v>
      </x:c>
      <x:c r="F100" t="s">
        <x:v>321</x:v>
      </x:c>
    </x:row>
    <x:row r="101">
      <x:c r="A101">
        <x:v>8479987</x:v>
      </x:c>
      <x:c r="B101" s="4" t="b">
        <x:v>1</x:v>
      </x:c>
      <x:c r="C101" t="s">
        <x:v>454</x:v>
      </x:c>
      <x:c r="D101" t="s">
        <x:v>323</x:v>
      </x:c>
      <x:c r="E101" t="s">
        <x:v>334</x:v>
      </x:c>
      <x:c r="F101" t="s">
        <x:v>321</x:v>
      </x:c>
    </x:row>
    <x:row r="102">
      <x:c r="A102">
        <x:v>8480830</x:v>
      </x:c>
      <x:c r="B102" s="4" t="b">
        <x:v>1</x:v>
      </x:c>
      <x:c r="C102" t="s">
        <x:v>455</x:v>
      </x:c>
      <x:c r="D102" t="s">
        <x:v>333</x:v>
      </x:c>
      <x:c r="E102" t="s">
        <x:v>386</x:v>
      </x:c>
      <x:c r="F102" t="s">
        <x:v>321</x:v>
      </x:c>
    </x:row>
    <x:row r="103">
      <x:c r="A103">
        <x:v>8478469</x:v>
      </x:c>
      <x:c r="B103" s="4" t="b">
        <x:v>1</x:v>
      </x:c>
      <x:c r="C103" t="s">
        <x:v>456</x:v>
      </x:c>
      <x:c r="D103" t="s">
        <x:v>331</x:v>
      </x:c>
      <x:c r="E103" t="s">
        <x:v>370</x:v>
      </x:c>
      <x:c r="F103" t="s">
        <x:v>321</x:v>
      </x:c>
    </x:row>
    <x:row r="104">
      <x:c r="A104">
        <x:v>8477500</x:v>
      </x:c>
      <x:c r="B104" s="4" t="b">
        <x:v>1</x:v>
      </x:c>
      <x:c r="C104" t="s">
        <x:v>457</x:v>
      </x:c>
      <x:c r="D104" t="s">
        <x:v>319</x:v>
      </x:c>
      <x:c r="E104" t="s">
        <x:v>334</x:v>
      </x:c>
      <x:c r="F104" t="s">
        <x:v>321</x:v>
      </x:c>
    </x:row>
    <x:row r="105">
      <x:c r="A105">
        <x:v>8477932</x:v>
      </x:c>
      <x:c r="B105" s="4" t="b">
        <x:v>1</x:v>
      </x:c>
      <x:c r="C105" t="s">
        <x:v>458</x:v>
      </x:c>
      <x:c r="D105" t="s">
        <x:v>331</x:v>
      </x:c>
      <x:c r="E105" t="s">
        <x:v>400</x:v>
      </x:c>
      <x:c r="F105" t="s">
        <x:v>321</x:v>
      </x:c>
    </x:row>
    <x:row r="106">
      <x:c r="A106">
        <x:v>8476875</x:v>
      </x:c>
      <x:c r="B106" s="4" t="b">
        <x:v>1</x:v>
      </x:c>
      <x:c r="C106" t="s">
        <x:v>459</x:v>
      </x:c>
      <x:c r="D106" t="s">
        <x:v>331</x:v>
      </x:c>
      <x:c r="E106" t="s">
        <x:v>356</x:v>
      </x:c>
      <x:c r="F106" t="s">
        <x:v>321</x:v>
      </x:c>
    </x:row>
    <x:row r="107">
      <x:c r="A107">
        <x:v>8475786</x:v>
      </x:c>
      <x:c r="B107" s="4" t="b">
        <x:v>1</x:v>
      </x:c>
      <x:c r="C107" t="s">
        <x:v>460</x:v>
      </x:c>
      <x:c r="D107" t="s">
        <x:v>333</x:v>
      </x:c>
      <x:c r="E107" t="s">
        <x:v>320</x:v>
      </x:c>
      <x:c r="F107" t="s">
        <x:v>321</x:v>
      </x:c>
    </x:row>
    <x:row r="108">
      <x:c r="A108">
        <x:v>8476885</x:v>
      </x:c>
      <x:c r="B108" s="4" t="b">
        <x:v>1</x:v>
      </x:c>
      <x:c r="C108" t="s">
        <x:v>461</x:v>
      </x:c>
      <x:c r="D108" t="s">
        <x:v>331</x:v>
      </x:c>
      <x:c r="E108" t="s">
        <x:v>340</x:v>
      </x:c>
      <x:c r="F108" t="s">
        <x:v>321</x:v>
      </x:c>
    </x:row>
    <x:row r="109">
      <x:c r="A109">
        <x:v>8477940</x:v>
      </x:c>
      <x:c r="B109" s="4" t="b">
        <x:v>1</x:v>
      </x:c>
      <x:c r="C109" t="s">
        <x:v>462</x:v>
      </x:c>
      <x:c r="D109" t="s">
        <x:v>333</x:v>
      </x:c>
      <x:c r="E109" t="s">
        <x:v>386</x:v>
      </x:c>
      <x:c r="F109" t="s">
        <x:v>321</x:v>
      </x:c>
    </x:row>
    <x:row r="110">
      <x:c r="A110">
        <x:v>8484153</x:v>
      </x:c>
      <x:c r="B110" s="4" t="b">
        <x:v>1</x:v>
      </x:c>
      <x:c r="C110" t="s">
        <x:v>463</x:v>
      </x:c>
      <x:c r="D110" t="s">
        <x:v>323</x:v>
      </x:c>
      <x:c r="E110" t="s">
        <x:v>393</x:v>
      </x:c>
      <x:c r="F110" t="s">
        <x:v>321</x:v>
      </x:c>
    </x:row>
    <x:row r="111">
      <x:c r="A111">
        <x:v>8477346</x:v>
      </x:c>
      <x:c r="B111" s="4" t="b">
        <x:v>1</x:v>
      </x:c>
      <x:c r="C111" t="s">
        <x:v>464</x:v>
      </x:c>
      <x:c r="D111" t="s">
        <x:v>331</x:v>
      </x:c>
      <x:c r="E111" t="s">
        <x:v>364</x:v>
      </x:c>
      <x:c r="F111" t="s">
        <x:v>321</x:v>
      </x:c>
    </x:row>
    <x:row r="112">
      <x:c r="A112">
        <x:v>8470613</x:v>
      </x:c>
      <x:c r="B112" s="4" t="b">
        <x:v>1</x:v>
      </x:c>
      <x:c r="C112" t="s">
        <x:v>465</x:v>
      </x:c>
      <x:c r="D112" t="s">
        <x:v>331</x:v>
      </x:c>
      <x:c r="E112" t="s">
        <x:v>324</x:v>
      </x:c>
      <x:c r="F112" t="s">
        <x:v>321</x:v>
      </x:c>
    </x:row>
    <x:row r="113">
      <x:c r="A113">
        <x:v>8475754</x:v>
      </x:c>
      <x:c r="B113" s="4" t="b">
        <x:v>1</x:v>
      </x:c>
      <x:c r="C113" t="s">
        <x:v>466</x:v>
      </x:c>
      <x:c r="D113" t="s">
        <x:v>339</x:v>
      </x:c>
      <x:c r="E113" t="s">
        <x:v>324</x:v>
      </x:c>
      <x:c r="F113" t="s">
        <x:v>321</x:v>
      </x:c>
    </x:row>
    <x:row r="114">
      <x:c r="A114">
        <x:v>8482720</x:v>
      </x:c>
      <x:c r="B114" s="4" t="b">
        <x:v>1</x:v>
      </x:c>
      <x:c r="C114" t="s">
        <x:v>467</x:v>
      </x:c>
      <x:c r="D114" t="s">
        <x:v>333</x:v>
      </x:c>
      <x:c r="E114" t="s">
        <x:v>352</x:v>
      </x:c>
      <x:c r="F114" t="s">
        <x:v>321</x:v>
      </x:c>
    </x:row>
    <x:row r="115">
      <x:c r="A115">
        <x:v>8474141</x:v>
      </x:c>
      <x:c r="B115" s="4" t="b">
        <x:v>1</x:v>
      </x:c>
      <x:c r="C115" t="s">
        <x:v>468</x:v>
      </x:c>
      <x:c r="D115" t="s">
        <x:v>333</x:v>
      </x:c>
      <x:c r="E115" t="s">
        <x:v>436</x:v>
      </x:c>
      <x:c r="F115" t="s">
        <x:v>321</x:v>
      </x:c>
    </x:row>
    <x:row r="116">
      <x:c r="A116">
        <x:v>8479407</x:v>
      </x:c>
      <x:c r="B116" s="4" t="b">
        <x:v>1</x:v>
      </x:c>
      <x:c r="C116" t="s">
        <x:v>469</x:v>
      </x:c>
      <x:c r="D116" t="s">
        <x:v>333</x:v>
      </x:c>
      <x:c r="E116" t="s">
        <x:v>366</x:v>
      </x:c>
      <x:c r="F116" t="s">
        <x:v>321</x:v>
      </x:c>
    </x:row>
    <x:row r="117">
      <x:c r="A117">
        <x:v>8475167</x:v>
      </x:c>
      <x:c r="B117" s="4" t="b">
        <x:v>1</x:v>
      </x:c>
      <x:c r="C117" t="s">
        <x:v>470</x:v>
      </x:c>
      <x:c r="D117" t="s">
        <x:v>331</x:v>
      </x:c>
      <x:c r="E117" t="s">
        <x:v>327</x:v>
      </x:c>
      <x:c r="F117" t="s">
        <x:v>321</x:v>
      </x:c>
    </x:row>
    <x:row r="118">
      <x:c r="A118">
        <x:v>8478449</x:v>
      </x:c>
      <x:c r="B118" s="4" t="b">
        <x:v>1</x:v>
      </x:c>
      <x:c r="C118" t="s">
        <x:v>471</x:v>
      </x:c>
      <x:c r="D118" t="s">
        <x:v>339</x:v>
      </x:c>
      <x:c r="E118" t="s">
        <x:v>343</x:v>
      </x:c>
      <x:c r="F118" t="s">
        <x:v>321</x:v>
      </x:c>
    </x:row>
    <x:row r="119">
      <x:c r="A119">
        <x:v>8477948</x:v>
      </x:c>
      <x:c r="B119" s="4" t="b">
        <x:v>1</x:v>
      </x:c>
      <x:c r="C119" t="s">
        <x:v>472</x:v>
      </x:c>
      <x:c r="D119" t="s">
        <x:v>331</x:v>
      </x:c>
      <x:c r="E119" t="s">
        <x:v>427</x:v>
      </x:c>
      <x:c r="F119" t="s">
        <x:v>321</x:v>
      </x:c>
    </x:row>
    <x:row r="120">
      <x:c r="A120">
        <x:v>8481524</x:v>
      </x:c>
      <x:c r="B120" s="4" t="b">
        <x:v>1</x:v>
      </x:c>
      <x:c r="C120" t="s">
        <x:v>473</x:v>
      </x:c>
      <x:c r="D120" t="s">
        <x:v>331</x:v>
      </x:c>
      <x:c r="E120" t="s">
        <x:v>436</x:v>
      </x:c>
      <x:c r="F120" t="s">
        <x:v>321</x:v>
      </x:c>
    </x:row>
    <x:row r="121">
      <x:c r="A121">
        <x:v>8483431</x:v>
      </x:c>
      <x:c r="B121" s="4" t="b">
        <x:v>1</x:v>
      </x:c>
      <x:c r="C121" t="s">
        <x:v>474</x:v>
      </x:c>
      <x:c r="D121" t="s">
        <x:v>339</x:v>
      </x:c>
      <x:c r="E121" t="s">
        <x:v>364</x:v>
      </x:c>
      <x:c r="F121" t="s">
        <x:v>321</x:v>
      </x:c>
    </x:row>
    <x:row r="122">
      <x:c r="A122">
        <x:v>8476892</x:v>
      </x:c>
      <x:c r="B122" s="4" t="b">
        <x:v>1</x:v>
      </x:c>
      <x:c r="C122" t="s">
        <x:v>475</x:v>
      </x:c>
      <x:c r="D122" t="s">
        <x:v>331</x:v>
      </x:c>
      <x:c r="E122" t="s">
        <x:v>396</x:v>
      </x:c>
      <x:c r="F122" t="s">
        <x:v>321</x:v>
      </x:c>
    </x:row>
    <x:row r="123">
      <x:c r="A123">
        <x:v>8476432</x:v>
      </x:c>
      <x:c r="B123" s="4" t="b">
        <x:v>1</x:v>
      </x:c>
      <x:c r="C123" t="s">
        <x:v>476</x:v>
      </x:c>
      <x:c r="D123" t="s">
        <x:v>339</x:v>
      </x:c>
      <x:c r="E123" t="s">
        <x:v>402</x:v>
      </x:c>
      <x:c r="F123" t="s">
        <x:v>321</x:v>
      </x:c>
    </x:row>
    <x:row r="124">
      <x:c r="A124">
        <x:v>8477964</x:v>
      </x:c>
      <x:c r="B124" s="4" t="b">
        <x:v>1</x:v>
      </x:c>
      <x:c r="C124" t="s">
        <x:v>477</x:v>
      </x:c>
      <x:c r="D124" t="s">
        <x:v>329</x:v>
      </x:c>
      <x:c r="E124" t="s">
        <x:v>354</x:v>
      </x:c>
      <x:c r="F124" t="s">
        <x:v>321</x:v>
      </x:c>
    </x:row>
    <x:row r="125">
      <x:c r="A125">
        <x:v>8475798</x:v>
      </x:c>
      <x:c r="B125" s="4" t="b">
        <x:v>1</x:v>
      </x:c>
      <x:c r="C125" t="s">
        <x:v>478</x:v>
      </x:c>
      <x:c r="D125" t="s">
        <x:v>329</x:v>
      </x:c>
      <x:c r="E125" t="s">
        <x:v>356</x:v>
      </x:c>
      <x:c r="F125" t="s">
        <x:v>321</x:v>
      </x:c>
    </x:row>
    <x:row r="126">
      <x:c r="A126">
        <x:v>8478445</x:v>
      </x:c>
      <x:c r="B126" s="4" t="b">
        <x:v>1</x:v>
      </x:c>
      <x:c r="C126" t="s">
        <x:v>479</x:v>
      </x:c>
      <x:c r="D126" t="s">
        <x:v>323</x:v>
      </x:c>
      <x:c r="E126" t="s">
        <x:v>439</x:v>
      </x:c>
      <x:c r="F126" t="s">
        <x:v>321</x:v>
      </x:c>
    </x:row>
    <x:row r="127">
      <x:c r="A127">
        <x:v>8477986</x:v>
      </x:c>
      <x:c r="B127" s="4" t="b">
        <x:v>1</x:v>
      </x:c>
      <x:c r="C127" t="s">
        <x:v>480</x:v>
      </x:c>
      <x:c r="D127" t="s">
        <x:v>331</x:v>
      </x:c>
      <x:c r="E127" t="s">
        <x:v>481</x:v>
      </x:c>
      <x:c r="F127" t="s">
        <x:v>321</x:v>
      </x:c>
    </x:row>
    <x:row r="128">
      <x:c r="A128">
        <x:v>8475200</x:v>
      </x:c>
      <x:c r="B128" s="4" t="b">
        <x:v>1</x:v>
      </x:c>
      <x:c r="C128" t="s">
        <x:v>482</x:v>
      </x:c>
      <x:c r="D128" t="s">
        <x:v>331</x:v>
      </x:c>
      <x:c r="E128" t="s">
        <x:v>340</x:v>
      </x:c>
      <x:c r="F128" t="s">
        <x:v>321</x:v>
      </x:c>
    </x:row>
    <x:row r="129">
      <x:c r="A129">
        <x:v>8480014</x:v>
      </x:c>
      <x:c r="B129" s="4" t="b">
        <x:v>1</x:v>
      </x:c>
      <x:c r="C129" t="s">
        <x:v>483</x:v>
      </x:c>
      <x:c r="D129" t="s">
        <x:v>323</x:v>
      </x:c>
      <x:c r="E129" t="s">
        <x:v>348</x:v>
      </x:c>
      <x:c r="F129" t="s">
        <x:v>321</x:v>
      </x:c>
    </x:row>
    <x:row r="130">
      <x:c r="A130">
        <x:v>8476902</x:v>
      </x:c>
      <x:c r="B130" s="4" t="b">
        <x:v>1</x:v>
      </x:c>
      <x:c r="C130" t="s">
        <x:v>484</x:v>
      </x:c>
      <x:c r="D130" t="s">
        <x:v>331</x:v>
      </x:c>
      <x:c r="E130" t="s">
        <x:v>343</x:v>
      </x:c>
      <x:c r="F130" t="s">
        <x:v>321</x:v>
      </x:c>
    </x:row>
    <x:row r="131">
      <x:c r="A131">
        <x:v>8476853</x:v>
      </x:c>
      <x:c r="B131" s="4" t="b">
        <x:v>1</x:v>
      </x:c>
      <x:c r="C131" t="s">
        <x:v>485</x:v>
      </x:c>
      <x:c r="D131" t="s">
        <x:v>331</x:v>
      </x:c>
      <x:c r="E131" t="s">
        <x:v>352</x:v>
      </x:c>
      <x:c r="F131" t="s">
        <x:v>321</x:v>
      </x:c>
    </x:row>
    <x:row r="132">
      <x:c r="A132">
        <x:v>8478038</x:v>
      </x:c>
      <x:c r="B132" s="4" t="b">
        <x:v>1</x:v>
      </x:c>
      <x:c r="C132" t="s">
        <x:v>486</x:v>
      </x:c>
      <x:c r="D132" t="s">
        <x:v>331</x:v>
      </x:c>
      <x:c r="E132" t="s">
        <x:v>324</x:v>
      </x:c>
      <x:c r="F132" t="s">
        <x:v>321</x:v>
      </x:c>
    </x:row>
    <x:row r="133">
      <x:c r="A133">
        <x:v>8475168</x:v>
      </x:c>
      <x:c r="B133" s="4" t="b">
        <x:v>1</x:v>
      </x:c>
      <x:c r="C133" t="s">
        <x:v>487</x:v>
      </x:c>
      <x:c r="D133" t="s">
        <x:v>323</x:v>
      </x:c>
      <x:c r="E133" t="s">
        <x:v>343</x:v>
      </x:c>
      <x:c r="F133" t="s">
        <x:v>321</x:v>
      </x:c>
    </x:row>
    <x:row r="134">
      <x:c r="A134">
        <x:v>8478882</x:v>
      </x:c>
      <x:c r="B134" s="4" t="b">
        <x:v>1</x:v>
      </x:c>
      <x:c r="C134" t="s">
        <x:v>488</x:v>
      </x:c>
      <x:c r="D134" t="s">
        <x:v>331</x:v>
      </x:c>
      <x:c r="E134" t="s">
        <x:v>383</x:v>
      </x:c>
      <x:c r="F134" t="s">
        <x:v>321</x:v>
      </x:c>
    </x:row>
    <x:row r="135">
      <x:c r="A135">
        <x:v>8477496</x:v>
      </x:c>
      <x:c r="B135" s="4" t="b">
        <x:v>1</x:v>
      </x:c>
      <x:c r="C135" t="s">
        <x:v>489</x:v>
      </x:c>
      <x:c r="D135" t="s">
        <x:v>323</x:v>
      </x:c>
      <x:c r="E135" t="s">
        <x:v>334</x:v>
      </x:c>
      <x:c r="F135" t="s">
        <x:v>321</x:v>
      </x:c>
    </x:row>
    <x:row r="136">
      <x:c r="A136">
        <x:v>8478401</x:v>
      </x:c>
      <x:c r="B136" s="4" t="b">
        <x:v>1</x:v>
      </x:c>
      <x:c r="C136" t="s">
        <x:v>490</x:v>
      </x:c>
      <x:c r="D136" t="s">
        <x:v>339</x:v>
      </x:c>
      <x:c r="E136" t="s">
        <x:v>334</x:v>
      </x:c>
      <x:c r="F136" t="s">
        <x:v>321</x:v>
      </x:c>
    </x:row>
    <x:row r="137">
      <x:c r="A137">
        <x:v>8475692</x:v>
      </x:c>
      <x:c r="B137" s="4" t="b">
        <x:v>1</x:v>
      </x:c>
      <x:c r="C137" t="s">
        <x:v>491</x:v>
      </x:c>
      <x:c r="D137" t="s">
        <x:v>333</x:v>
      </x:c>
      <x:c r="E137" t="s">
        <x:v>379</x:v>
      </x:c>
      <x:c r="F137" t="s">
        <x:v>321</x:v>
      </x:c>
    </x:row>
    <x:row r="138">
      <x:c r="A138">
        <x:v>8478500</x:v>
      </x:c>
      <x:c r="B138" s="4" t="b">
        <x:v>1</x:v>
      </x:c>
      <x:c r="C138" t="s">
        <x:v>492</x:v>
      </x:c>
      <x:c r="D138" t="s">
        <x:v>331</x:v>
      </x:c>
      <x:c r="E138" t="s">
        <x:v>337</x:v>
      </x:c>
      <x:c r="F138" t="s">
        <x:v>321</x:v>
      </x:c>
    </x:row>
    <x:row r="139">
      <x:c r="A139">
        <x:v>8477501</x:v>
      </x:c>
      <x:c r="B139" s="4" t="b">
        <x:v>1</x:v>
      </x:c>
      <x:c r="C139" t="s">
        <x:v>493</x:v>
      </x:c>
      <x:c r="D139" t="s">
        <x:v>333</x:v>
      </x:c>
      <x:c r="E139" t="s">
        <x:v>337</x:v>
      </x:c>
      <x:c r="F139" t="s">
        <x:v>321</x:v>
      </x:c>
    </x:row>
    <x:row r="140">
      <x:c r="A140">
        <x:v>8478873</x:v>
      </x:c>
      <x:c r="B140" s="4" t="b">
        <x:v>1</x:v>
      </x:c>
      <x:c r="C140" t="s">
        <x:v>494</x:v>
      </x:c>
      <x:c r="D140" t="s">
        <x:v>333</x:v>
      </x:c>
      <x:c r="E140" t="s">
        <x:v>337</x:v>
      </x:c>
      <x:c r="F140" t="s">
        <x:v>321</x:v>
      </x:c>
    </x:row>
    <x:row r="141">
      <x:c r="A141">
        <x:v>8476457</x:v>
      </x:c>
      <x:c r="B141" s="4" t="b">
        <x:v>1</x:v>
      </x:c>
      <x:c r="C141" t="s">
        <x:v>495</x:v>
      </x:c>
      <x:c r="D141" t="s">
        <x:v>331</x:v>
      </x:c>
      <x:c r="E141" t="s">
        <x:v>481</x:v>
      </x:c>
      <x:c r="F141" t="s">
        <x:v>321</x:v>
      </x:c>
    </x:row>
    <x:row r="142">
      <x:c r="A142">
        <x:v>8481656</x:v>
      </x:c>
      <x:c r="B142" s="4" t="b">
        <x:v>1</x:v>
      </x:c>
      <x:c r="C142" t="s">
        <x:v>496</x:v>
      </x:c>
      <x:c r="D142" t="s">
        <x:v>339</x:v>
      </x:c>
      <x:c r="E142" t="s">
        <x:v>402</x:v>
      </x:c>
      <x:c r="F142" t="s">
        <x:v>321</x:v>
      </x:c>
    </x:row>
    <x:row r="143">
      <x:c r="A143">
        <x:v>8477935</x:v>
      </x:c>
      <x:c r="B143" s="4" t="b">
        <x:v>1</x:v>
      </x:c>
      <x:c r="C143" t="s">
        <x:v>497</x:v>
      </x:c>
      <x:c r="D143" t="s">
        <x:v>339</x:v>
      </x:c>
      <x:c r="E143" t="s">
        <x:v>400</x:v>
      </x:c>
      <x:c r="F143" t="s">
        <x:v>321</x:v>
      </x:c>
    </x:row>
    <x:row r="144">
      <x:c r="A144">
        <x:v>8477506</x:v>
      </x:c>
      <x:c r="B144" s="4" t="b">
        <x:v>1</x:v>
      </x:c>
      <x:c r="C144" t="s">
        <x:v>498</x:v>
      </x:c>
      <x:c r="D144" t="s">
        <x:v>331</x:v>
      </x:c>
      <x:c r="E144" t="s">
        <x:v>334</x:v>
      </x:c>
      <x:c r="F144" t="s">
        <x:v>321</x:v>
      </x:c>
    </x:row>
    <x:row r="145">
      <x:c r="A145">
        <x:v>8475722</x:v>
      </x:c>
      <x:c r="B145" s="4" t="b">
        <x:v>1</x:v>
      </x:c>
      <x:c r="C145" t="s">
        <x:v>499</x:v>
      </x:c>
      <x:c r="D145" t="s">
        <x:v>333</x:v>
      </x:c>
      <x:c r="E145" t="s">
        <x:v>361</x:v>
      </x:c>
      <x:c r="F145" t="s">
        <x:v>321</x:v>
      </x:c>
    </x:row>
    <x:row r="146">
      <x:c r="A146">
        <x:v>8478519</x:v>
      </x:c>
      <x:c r="B146" s="4" t="b">
        <x:v>1</x:v>
      </x:c>
      <x:c r="C146" t="s">
        <x:v>500</x:v>
      </x:c>
      <x:c r="D146" t="s">
        <x:v>329</x:v>
      </x:c>
      <x:c r="E146" t="s">
        <x:v>327</x:v>
      </x:c>
      <x:c r="F146" t="s">
        <x:v>321</x:v>
      </x:c>
    </x:row>
    <x:row r="147">
      <x:c r="A147">
        <x:v>8478407</x:v>
      </x:c>
      <x:c r="B147" s="4" t="b">
        <x:v>1</x:v>
      </x:c>
      <x:c r="C147" t="s">
        <x:v>501</x:v>
      </x:c>
      <x:c r="D147" t="s">
        <x:v>331</x:v>
      </x:c>
      <x:c r="E147" t="s">
        <x:v>481</x:v>
      </x:c>
      <x:c r="F147" t="s">
        <x:v>321</x:v>
      </x:c>
    </x:row>
    <x:row r="148">
      <x:c r="A148">
        <x:v>8482684</x:v>
      </x:c>
      <x:c r="B148" s="4" t="b">
        <x:v>1</x:v>
      </x:c>
      <x:c r="C148" t="s">
        <x:v>502</x:v>
      </x:c>
      <x:c r="D148" t="s">
        <x:v>331</x:v>
      </x:c>
      <x:c r="E148" t="s">
        <x:v>366</x:v>
      </x:c>
      <x:c r="F148" t="s">
        <x:v>321</x:v>
      </x:c>
    </x:row>
    <x:row r="149">
      <x:c r="A149">
        <x:v>8474716</x:v>
      </x:c>
      <x:c r="B149" s="4" t="b">
        <x:v>1</x:v>
      </x:c>
      <x:c r="C149" t="s">
        <x:v>503</x:v>
      </x:c>
      <x:c r="D149" t="s">
        <x:v>331</x:v>
      </x:c>
      <x:c r="E149" t="s">
        <x:v>345</x:v>
      </x:c>
      <x:c r="F149" t="s">
        <x:v>321</x:v>
      </x:c>
    </x:row>
    <x:row r="150">
      <x:c r="A150">
        <x:v>8474151</x:v>
      </x:c>
      <x:c r="B150" s="4" t="b">
        <x:v>1</x:v>
      </x:c>
      <x:c r="C150" t="s">
        <x:v>504</x:v>
      </x:c>
      <x:c r="D150" t="s">
        <x:v>331</x:v>
      </x:c>
      <x:c r="E150" t="s">
        <x:v>327</x:v>
      </x:c>
      <x:c r="F150" t="s">
        <x:v>321</x:v>
      </x:c>
    </x:row>
    <x:row r="151">
      <x:c r="A151">
        <x:v>8477498</x:v>
      </x:c>
      <x:c r="B151" s="4" t="b">
        <x:v>1</x:v>
      </x:c>
      <x:c r="C151" t="s">
        <x:v>505</x:v>
      </x:c>
      <x:c r="D151" t="s">
        <x:v>331</x:v>
      </x:c>
      <x:c r="E151" t="s">
        <x:v>340</x:v>
      </x:c>
      <x:c r="F151" t="s">
        <x:v>321</x:v>
      </x:c>
    </x:row>
    <x:row r="152">
      <x:c r="A152">
        <x:v>8475171</x:v>
      </x:c>
      <x:c r="B152" s="4" t="b">
        <x:v>1</x:v>
      </x:c>
      <x:c r="C152" t="s">
        <x:v>506</x:v>
      </x:c>
      <x:c r="D152" t="s">
        <x:v>331</x:v>
      </x:c>
      <x:c r="E152" t="s">
        <x:v>352</x:v>
      </x:c>
      <x:c r="F152" t="s">
        <x:v>321</x:v>
      </x:c>
    </x:row>
    <x:row r="153">
      <x:c r="A153">
        <x:v>8481533</x:v>
      </x:c>
      <x:c r="B153" s="4" t="b">
        <x:v>1</x:v>
      </x:c>
      <x:c r="C153" t="s">
        <x:v>507</x:v>
      </x:c>
      <x:c r="D153" t="s">
        <x:v>339</x:v>
      </x:c>
      <x:c r="E153" t="s">
        <x:v>427</x:v>
      </x:c>
      <x:c r="F153" t="s">
        <x:v>321</x:v>
      </x:c>
    </x:row>
    <x:row r="154">
      <x:c r="A154">
        <x:v>8476931</x:v>
      </x:c>
      <x:c r="B154" s="4" t="b">
        <x:v>1</x:v>
      </x:c>
      <x:c r="C154" t="s">
        <x:v>508</x:v>
      </x:c>
      <x:c r="D154" t="s">
        <x:v>331</x:v>
      </x:c>
      <x:c r="E154" t="s">
        <x:v>320</x:v>
      </x:c>
      <x:c r="F154" t="s">
        <x:v>321</x:v>
      </x:c>
    </x:row>
    <x:row r="155">
      <x:c r="A155">
        <x:v>8478493</x:v>
      </x:c>
      <x:c r="B155" s="4" t="b">
        <x:v>1</x:v>
      </x:c>
      <x:c r="C155" t="s">
        <x:v>509</x:v>
      </x:c>
      <x:c r="D155" t="s">
        <x:v>319</x:v>
      </x:c>
      <x:c r="E155" t="s">
        <x:v>345</x:v>
      </x:c>
      <x:c r="F155" t="s">
        <x:v>321</x:v>
      </x:c>
    </x:row>
    <x:row r="156">
      <x:c r="A156">
        <x:v>8476312</x:v>
      </x:c>
      <x:c r="B156" s="4" t="b">
        <x:v>1</x:v>
      </x:c>
      <x:c r="C156" t="s">
        <x:v>510</x:v>
      </x:c>
      <x:c r="D156" t="s">
        <x:v>331</x:v>
      </x:c>
      <x:c r="E156" t="s">
        <x:v>324</x:v>
      </x:c>
      <x:c r="F156" t="s">
        <x:v>321</x:v>
      </x:c>
    </x:row>
    <x:row r="157">
      <x:c r="A157">
        <x:v>8476483</x:v>
      </x:c>
      <x:c r="B157" s="4" t="b">
        <x:v>1</x:v>
      </x:c>
      <x:c r="C157" t="s">
        <x:v>511</x:v>
      </x:c>
      <x:c r="D157" t="s">
        <x:v>333</x:v>
      </x:c>
      <x:c r="E157" t="s">
        <x:v>350</x:v>
      </x:c>
      <x:c r="F157" t="s">
        <x:v>321</x:v>
      </x:c>
    </x:row>
    <x:row r="158">
      <x:c r="A158">
        <x:v>8483445</x:v>
      </x:c>
      <x:c r="B158" s="4" t="b">
        <x:v>1</x:v>
      </x:c>
      <x:c r="C158" t="s">
        <x:v>512</x:v>
      </x:c>
      <x:c r="D158" t="s">
        <x:v>339</x:v>
      </x:c>
      <x:c r="E158" t="s">
        <x:v>393</x:v>
      </x:c>
      <x:c r="F158" t="s">
        <x:v>321</x:v>
      </x:c>
    </x:row>
    <x:row r="159">
      <x:c r="A159">
        <x:v>8476454</x:v>
      </x:c>
      <x:c r="B159" s="4" t="b">
        <x:v>1</x:v>
      </x:c>
      <x:c r="C159" t="s">
        <x:v>513</x:v>
      </x:c>
      <x:c r="D159" t="s">
        <x:v>339</x:v>
      </x:c>
      <x:c r="E159" t="s">
        <x:v>320</x:v>
      </x:c>
      <x:c r="F159" t="s">
        <x:v>321</x:v>
      </x:c>
    </x:row>
    <x:row r="160">
      <x:c r="A160">
        <x:v>8475455</x:v>
      </x:c>
      <x:c r="B160" s="4" t="b">
        <x:v>1</x:v>
      </x:c>
      <x:c r="C160" t="s">
        <x:v>514</x:v>
      </x:c>
      <x:c r="D160" t="s">
        <x:v>331</x:v>
      </x:c>
      <x:c r="E160" t="s">
        <x:v>366</x:v>
      </x:c>
      <x:c r="F160" t="s">
        <x:v>321</x:v>
      </x:c>
    </x:row>
    <x:row r="161">
      <x:c r="A161">
        <x:v>8480336</x:v>
      </x:c>
      <x:c r="B161" s="4" t="b">
        <x:v>1</x:v>
      </x:c>
      <x:c r="C161" t="s">
        <x:v>515</x:v>
      </x:c>
      <x:c r="D161" t="s">
        <x:v>331</x:v>
      </x:c>
      <x:c r="E161" t="s">
        <x:v>386</x:v>
      </x:c>
      <x:c r="F161" t="s">
        <x:v>321</x:v>
      </x:c>
    </x:row>
    <x:row r="162">
      <x:c r="A162">
        <x:v>8478042</x:v>
      </x:c>
      <x:c r="B162" s="4" t="b">
        <x:v>1</x:v>
      </x:c>
      <x:c r="C162" t="s">
        <x:v>516</x:v>
      </x:c>
      <x:c r="D162" t="s">
        <x:v>333</x:v>
      </x:c>
      <x:c r="E162" t="s">
        <x:v>368</x:v>
      </x:c>
      <x:c r="F162" t="s">
        <x:v>321</x:v>
      </x:c>
    </x:row>
    <x:row r="163">
      <x:c r="A163">
        <x:v>8482762</x:v>
      </x:c>
      <x:c r="B163" s="4" t="b">
        <x:v>1</x:v>
      </x:c>
      <x:c r="C163" t="s">
        <x:v>517</x:v>
      </x:c>
      <x:c r="D163" t="s">
        <x:v>331</x:v>
      </x:c>
      <x:c r="E163" t="s">
        <x:v>368</x:v>
      </x:c>
      <x:c r="F163" t="s">
        <x:v>321</x:v>
      </x:c>
    </x:row>
    <x:row r="164">
      <x:c r="A164">
        <x:v>8481598</x:v>
      </x:c>
      <x:c r="B164" s="4" t="b">
        <x:v>1</x:v>
      </x:c>
      <x:c r="C164" t="s">
        <x:v>518</x:v>
      </x:c>
      <x:c r="D164" t="s">
        <x:v>331</x:v>
      </x:c>
      <x:c r="E164" t="s">
        <x:v>396</x:v>
      </x:c>
      <x:c r="F164" t="s">
        <x:v>321</x:v>
      </x:c>
    </x:row>
    <x:row r="165">
      <x:c r="A165">
        <x:v>8475745</x:v>
      </x:c>
      <x:c r="B165" s="4" t="b">
        <x:v>1</x:v>
      </x:c>
      <x:c r="C165" t="s">
        <x:v>519</x:v>
      </x:c>
      <x:c r="D165" t="s">
        <x:v>323</x:v>
      </x:c>
      <x:c r="E165" t="s">
        <x:v>337</x:v>
      </x:c>
      <x:c r="F165" t="s">
        <x:v>321</x:v>
      </x:c>
    </x:row>
    <x:row r="166">
      <x:c r="A166">
        <x:v>8473994</x:v>
      </x:c>
      <x:c r="B166" s="4" t="b">
        <x:v>1</x:v>
      </x:c>
      <x:c r="C166" t="s">
        <x:v>520</x:v>
      </x:c>
      <x:c r="D166" t="s">
        <x:v>339</x:v>
      </x:c>
      <x:c r="E166" t="s">
        <x:v>343</x:v>
      </x:c>
      <x:c r="F166" t="s">
        <x:v>321</x:v>
      </x:c>
    </x:row>
    <x:row r="167">
      <x:c r="A167">
        <x:v>8477479</x:v>
      </x:c>
      <x:c r="B167" s="4" t="b">
        <x:v>1</x:v>
      </x:c>
      <x:c r="C167" t="s">
        <x:v>521</x:v>
      </x:c>
      <x:c r="D167" t="s">
        <x:v>333</x:v>
      </x:c>
      <x:c r="E167" t="s">
        <x:v>348</x:v>
      </x:c>
      <x:c r="F167" t="s">
        <x:v>321</x:v>
      </x:c>
    </x:row>
    <x:row r="168">
      <x:c r="A168">
        <x:v>8478975</x:v>
      </x:c>
      <x:c r="B168" s="4" t="b">
        <x:v>1</x:v>
      </x:c>
      <x:c r="C168" t="s">
        <x:v>522</x:v>
      </x:c>
      <x:c r="D168" t="s">
        <x:v>358</x:v>
      </x:c>
      <x:c r="E168" t="s">
        <x:v>340</x:v>
      </x:c>
      <x:c r="F168" t="s">
        <x:v>321</x:v>
      </x:c>
    </x:row>
    <x:row r="169">
      <x:c r="A169">
        <x:v>8478396</x:v>
      </x:c>
      <x:c r="B169" s="4" t="b">
        <x:v>1</x:v>
      </x:c>
      <x:c r="C169" t="s">
        <x:v>523</x:v>
      </x:c>
      <x:c r="D169" t="s">
        <x:v>331</x:v>
      </x:c>
      <x:c r="E169" t="s">
        <x:v>354</x:v>
      </x:c>
      <x:c r="F169" t="s">
        <x:v>321</x:v>
      </x:c>
    </x:row>
    <x:row r="170">
      <x:c r="A170">
        <x:v>8475188</x:v>
      </x:c>
      <x:c r="B170" s="4" t="b">
        <x:v>1</x:v>
      </x:c>
      <x:c r="C170" t="s">
        <x:v>524</x:v>
      </x:c>
      <x:c r="D170" t="s">
        <x:v>331</x:v>
      </x:c>
      <x:c r="E170" t="s">
        <x:v>354</x:v>
      </x:c>
      <x:c r="F170" t="s">
        <x:v>321</x:v>
      </x:c>
    </x:row>
    <x:row r="171">
      <x:c r="A171">
        <x:v>8473512</x:v>
      </x:c>
      <x:c r="B171" s="4" t="b">
        <x:v>1</x:v>
      </x:c>
      <x:c r="C171" t="s">
        <x:v>525</x:v>
      </x:c>
      <x:c r="D171" t="s">
        <x:v>329</x:v>
      </x:c>
      <x:c r="E171" t="s">
        <x:v>370</x:v>
      </x:c>
      <x:c r="F171" t="s">
        <x:v>321</x:v>
      </x:c>
    </x:row>
    <x:row r="172">
      <x:c r="A172">
        <x:v>8478911</x:v>
      </x:c>
      <x:c r="B172" s="4" t="b">
        <x:v>1</x:v>
      </x:c>
      <x:c r="C172" t="s">
        <x:v>526</x:v>
      </x:c>
      <x:c r="D172" t="s">
        <x:v>331</x:v>
      </x:c>
      <x:c r="E172" t="s">
        <x:v>402</x:v>
      </x:c>
      <x:c r="F172" t="s">
        <x:v>321</x:v>
      </x:c>
    </x:row>
    <x:row r="173">
      <x:c r="A173">
        <x:v>8475764</x:v>
      </x:c>
      <x:c r="B173" s="4" t="b">
        <x:v>1</x:v>
      </x:c>
      <x:c r="C173" t="s">
        <x:v>527</x:v>
      </x:c>
      <x:c r="D173" t="s">
        <x:v>331</x:v>
      </x:c>
      <x:c r="E173" t="s">
        <x:v>396</x:v>
      </x:c>
      <x:c r="F173" t="s">
        <x:v>321</x:v>
      </x:c>
    </x:row>
    <x:row r="174">
      <x:c r="A174">
        <x:v>8477950</x:v>
      </x:c>
      <x:c r="B174" s="4" t="b">
        <x:v>1</x:v>
      </x:c>
      <x:c r="C174" t="s">
        <x:v>528</x:v>
      </x:c>
      <x:c r="D174" t="s">
        <x:v>331</x:v>
      </x:c>
      <x:c r="E174" t="s">
        <x:v>439</x:v>
      </x:c>
      <x:c r="F174" t="s">
        <x:v>321</x:v>
      </x:c>
    </x:row>
    <x:row r="175">
      <x:c r="A175">
        <x:v>8478440</x:v>
      </x:c>
      <x:c r="B175" s="4" t="b">
        <x:v>1</x:v>
      </x:c>
      <x:c r="C175" t="s">
        <x:v>529</x:v>
      </x:c>
      <x:c r="D175" t="s">
        <x:v>323</x:v>
      </x:c>
      <x:c r="E175" t="s">
        <x:v>402</x:v>
      </x:c>
      <x:c r="F175" t="s">
        <x:v>321</x:v>
      </x:c>
    </x:row>
    <x:row r="176">
      <x:c r="A176">
        <x:v>8474586</x:v>
      </x:c>
      <x:c r="B176" s="4" t="b">
        <x:v>1</x:v>
      </x:c>
      <x:c r="C176" t="s">
        <x:v>530</x:v>
      </x:c>
      <x:c r="D176" t="s">
        <x:v>326</x:v>
      </x:c>
      <x:c r="E176" t="s">
        <x:v>481</x:v>
      </x:c>
      <x:c r="F176" t="s">
        <x:v>321</x:v>
      </x:c>
    </x:row>
    <x:row r="177">
      <x:c r="A177">
        <x:v>8477969</x:v>
      </x:c>
      <x:c r="B177" s="4" t="b">
        <x:v>1</x:v>
      </x:c>
      <x:c r="C177" t="s">
        <x:v>531</x:v>
      </x:c>
      <x:c r="D177" t="s">
        <x:v>331</x:v>
      </x:c>
      <x:c r="E177" t="s">
        <x:v>383</x:v>
      </x:c>
      <x:c r="F177" t="s">
        <x:v>321</x:v>
      </x:c>
    </x:row>
    <x:row r="178">
      <x:c r="A178">
        <x:v>8476905</x:v>
      </x:c>
      <x:c r="B178" s="4" t="b">
        <x:v>1</x:v>
      </x:c>
      <x:c r="C178" t="s">
        <x:v>532</x:v>
      </x:c>
      <x:c r="D178" t="s">
        <x:v>329</x:v>
      </x:c>
      <x:c r="E178" t="s">
        <x:v>481</x:v>
      </x:c>
      <x:c r="F178" t="s">
        <x:v>321</x:v>
      </x:c>
    </x:row>
    <x:row r="179">
      <x:c r="A179">
        <x:v>8476854</x:v>
      </x:c>
      <x:c r="B179" s="4" t="b">
        <x:v>1</x:v>
      </x:c>
      <x:c r="C179" t="s">
        <x:v>533</x:v>
      </x:c>
      <x:c r="D179" t="s">
        <x:v>331</x:v>
      </x:c>
      <x:c r="E179" t="s">
        <x:v>334</x:v>
      </x:c>
      <x:c r="F179" t="s">
        <x:v>321</x:v>
      </x:c>
    </x:row>
    <x:row r="180">
      <x:c r="A180">
        <x:v>8477507</x:v>
      </x:c>
      <x:c r="B180" s="4" t="b">
        <x:v>1</x:v>
      </x:c>
      <x:c r="C180" t="s">
        <x:v>534</x:v>
      </x:c>
      <x:c r="D180" t="s">
        <x:v>331</x:v>
      </x:c>
      <x:c r="E180" t="s">
        <x:v>334</x:v>
      </x:c>
      <x:c r="F180" t="s">
        <x:v>321</x:v>
      </x:c>
    </x:row>
    <x:row r="181">
      <x:c r="A181">
        <x:v>8478055</x:v>
      </x:c>
      <x:c r="B181" s="4" t="b">
        <x:v>1</x:v>
      </x:c>
      <x:c r="C181" t="s">
        <x:v>535</x:v>
      </x:c>
      <x:c r="D181" t="s">
        <x:v>331</x:v>
      </x:c>
      <x:c r="E181" t="s">
        <x:v>400</x:v>
      </x:c>
      <x:c r="F181" t="s">
        <x:v>321</x:v>
      </x:c>
    </x:row>
    <x:row r="182">
      <x:c r="A182">
        <x:v>8476869</x:v>
      </x:c>
      <x:c r="B182" s="4" t="b">
        <x:v>1</x:v>
      </x:c>
      <x:c r="C182" t="s">
        <x:v>536</x:v>
      </x:c>
      <x:c r="D182" t="s">
        <x:v>331</x:v>
      </x:c>
      <x:c r="E182" t="s">
        <x:v>372</x:v>
      </x:c>
      <x:c r="F182" t="s">
        <x:v>321</x:v>
      </x:c>
    </x:row>
    <x:row r="183">
      <x:c r="A183">
        <x:v>8475462</x:v>
      </x:c>
      <x:c r="B183" s="4" t="b">
        <x:v>1</x:v>
      </x:c>
      <x:c r="C183" t="s">
        <x:v>537</x:v>
      </x:c>
      <x:c r="D183" t="s">
        <x:v>331</x:v>
      </x:c>
      <x:c r="E183" t="s">
        <x:v>400</x:v>
      </x:c>
      <x:c r="F183" t="s">
        <x:v>321</x:v>
      </x:c>
    </x:row>
    <x:row r="184">
      <x:c r="A184">
        <x:v>8480012</x:v>
      </x:c>
      <x:c r="B184" s="4" t="b">
        <x:v>1</x:v>
      </x:c>
      <x:c r="C184" t="s">
        <x:v>538</x:v>
      </x:c>
      <x:c r="D184" t="s">
        <x:v>329</x:v>
      </x:c>
      <x:c r="E184" t="s">
        <x:v>420</x:v>
      </x:c>
      <x:c r="F184" t="s">
        <x:v>321</x:v>
      </x:c>
    </x:row>
    <x:row r="185">
      <x:c r="A185">
        <x:v>8474013</x:v>
      </x:c>
      <x:c r="B185" s="4" t="b">
        <x:v>1</x:v>
      </x:c>
      <x:c r="C185" t="s">
        <x:v>539</x:v>
      </x:c>
      <x:c r="D185" t="s">
        <x:v>331</x:v>
      </x:c>
      <x:c r="E185" t="s">
        <x:v>436</x:v>
      </x:c>
      <x:c r="F185" t="s">
        <x:v>321</x:v>
      </x:c>
    </x:row>
    <x:row r="186">
      <x:c r="A186">
        <x:v>8474563</x:v>
      </x:c>
      <x:c r="B186" s="4" t="b">
        <x:v>1</x:v>
      </x:c>
      <x:c r="C186" t="s">
        <x:v>540</x:v>
      </x:c>
      <x:c r="D186" t="s">
        <x:v>331</x:v>
      </x:c>
      <x:c r="E186" t="s">
        <x:v>379</x:v>
      </x:c>
      <x:c r="F186" t="s">
        <x:v>321</x:v>
      </x:c>
    </x:row>
    <x:row r="187">
      <x:c r="A187">
        <x:v>8482124</x:v>
      </x:c>
      <x:c r="B187" s="4" t="b">
        <x:v>1</x:v>
      </x:c>
      <x:c r="C187" t="s">
        <x:v>541</x:v>
      </x:c>
      <x:c r="D187" t="s">
        <x:v>323</x:v>
      </x:c>
      <x:c r="E187" t="s">
        <x:v>379</x:v>
      </x:c>
      <x:c r="F187" t="s">
        <x:v>321</x:v>
      </x:c>
    </x:row>
    <x:row r="188">
      <x:c r="A188">
        <x:v>8477942</x:v>
      </x:c>
      <x:c r="B188" s="4" t="b">
        <x:v>1</x:v>
      </x:c>
      <x:c r="C188" t="s">
        <x:v>542</x:v>
      </x:c>
      <x:c r="D188" t="s">
        <x:v>333</x:v>
      </x:c>
      <x:c r="E188" t="s">
        <x:v>379</x:v>
      </x:c>
      <x:c r="F188" t="s">
        <x:v>321</x:v>
      </x:c>
    </x:row>
    <x:row r="189">
      <x:c r="A189">
        <x:v>8477497</x:v>
      </x:c>
      <x:c r="B189" s="4" t="b">
        <x:v>1</x:v>
      </x:c>
      <x:c r="C189" t="s">
        <x:v>543</x:v>
      </x:c>
      <x:c r="D189" t="s">
        <x:v>319</x:v>
      </x:c>
      <x:c r="E189" t="s">
        <x:v>337</x:v>
      </x:c>
      <x:c r="F189" t="s">
        <x:v>321</x:v>
      </x:c>
    </x:row>
    <x:row r="190">
      <x:c r="A190">
        <x:v>8479983</x:v>
      </x:c>
      <x:c r="B190" s="4" t="b">
        <x:v>1</x:v>
      </x:c>
      <x:c r="C190" t="s">
        <x:v>544</x:v>
      </x:c>
      <x:c r="D190" t="s">
        <x:v>331</x:v>
      </x:c>
      <x:c r="E190" t="s">
        <x:v>348</x:v>
      </x:c>
      <x:c r="F190" t="s">
        <x:v>321</x:v>
      </x:c>
    </x:row>
    <x:row r="191">
      <x:c r="A191">
        <x:v>8484166</x:v>
      </x:c>
      <x:c r="B191" s="4" t="b">
        <x:v>1</x:v>
      </x:c>
      <x:c r="C191" t="s">
        <x:v>545</x:v>
      </x:c>
      <x:c r="D191" t="s">
        <x:v>339</x:v>
      </x:c>
      <x:c r="E191" t="s">
        <x:v>337</x:v>
      </x:c>
      <x:c r="F191" t="s">
        <x:v>321</x:v>
      </x:c>
    </x:row>
    <x:row r="192">
      <x:c r="A192">
        <x:v>8476923</x:v>
      </x:c>
      <x:c r="B192" s="4" t="b">
        <x:v>1</x:v>
      </x:c>
      <x:c r="C192" t="s">
        <x:v>546</x:v>
      </x:c>
      <x:c r="D192" t="s">
        <x:v>331</x:v>
      </x:c>
      <x:c r="E192" t="s">
        <x:v>337</x:v>
      </x:c>
      <x:c r="F192" t="s">
        <x:v>321</x:v>
      </x:c>
    </x:row>
    <x:row r="193">
      <x:c r="A193">
        <x:v>8478507</x:v>
      </x:c>
      <x:c r="B193" s="4" t="b">
        <x:v>1</x:v>
      </x:c>
      <x:c r="C193" t="s">
        <x:v>547</x:v>
      </x:c>
      <x:c r="D193" t="s">
        <x:v>331</x:v>
      </x:c>
      <x:c r="E193" t="s">
        <x:v>364</x:v>
      </x:c>
      <x:c r="F193" t="s">
        <x:v>321</x:v>
      </x:c>
    </x:row>
    <x:row r="194">
      <x:c r="A194">
        <x:v>8481604</x:v>
      </x:c>
      <x:c r="B194" s="4" t="b">
        <x:v>1</x:v>
      </x:c>
      <x:c r="C194" t="s">
        <x:v>548</x:v>
      </x:c>
      <x:c r="D194" t="s">
        <x:v>333</x:v>
      </x:c>
      <x:c r="E194" t="s">
        <x:v>383</x:v>
      </x:c>
      <x:c r="F194" t="s">
        <x:v>321</x:v>
      </x:c>
    </x:row>
    <x:row r="195">
      <x:c r="A195">
        <x:v>8475170</x:v>
      </x:c>
      <x:c r="B195" s="4" t="b">
        <x:v>1</x:v>
      </x:c>
      <x:c r="C195" t="s">
        <x:v>549</x:v>
      </x:c>
      <x:c r="D195" t="s">
        <x:v>329</x:v>
      </x:c>
      <x:c r="E195" t="s">
        <x:v>439</x:v>
      </x:c>
      <x:c r="F195" t="s">
        <x:v>321</x:v>
      </x:c>
    </x:row>
    <x:row r="196">
      <x:c r="A196">
        <x:v>8475172</x:v>
      </x:c>
      <x:c r="B196" s="4" t="b">
        <x:v>1</x:v>
      </x:c>
      <x:c r="C196" t="s">
        <x:v>550</x:v>
      </x:c>
      <x:c r="D196" t="s">
        <x:v>339</x:v>
      </x:c>
      <x:c r="E196" t="s">
        <x:v>324</x:v>
      </x:c>
      <x:c r="F196" t="s">
        <x:v>321</x:v>
      </x:c>
    </x:row>
    <x:row r="197">
      <x:c r="A197">
        <x:v>8478468</x:v>
      </x:c>
      <x:c r="B197" s="4" t="b">
        <x:v>1</x:v>
      </x:c>
      <x:c r="C197" t="s">
        <x:v>551</x:v>
      </x:c>
      <x:c r="D197" t="s">
        <x:v>331</x:v>
      </x:c>
      <x:c r="E197" t="s">
        <x:v>354</x:v>
      </x:c>
      <x:c r="F197" t="s">
        <x:v>321</x:v>
      </x:c>
    </x:row>
    <x:row r="198">
      <x:c r="A198">
        <x:v>8481528</x:v>
      </x:c>
      <x:c r="B198" s="4" t="b">
        <x:v>1</x:v>
      </x:c>
      <x:c r="C198" t="s">
        <x:v>552</x:v>
      </x:c>
      <x:c r="D198" t="s">
        <x:v>323</x:v>
      </x:c>
      <x:c r="E198" t="s">
        <x:v>370</x:v>
      </x:c>
      <x:c r="F198" t="s">
        <x:v>321</x:v>
      </x:c>
    </x:row>
    <x:row r="199">
      <x:c r="A199">
        <x:v>8475184</x:v>
      </x:c>
      <x:c r="B199" s="4" t="b">
        <x:v>1</x:v>
      </x:c>
      <x:c r="C199" t="s">
        <x:v>553</x:v>
      </x:c>
      <x:c r="D199" t="s">
        <x:v>333</x:v>
      </x:c>
      <x:c r="E199" t="s">
        <x:v>393</x:v>
      </x:c>
      <x:c r="F199" t="s">
        <x:v>321</x:v>
      </x:c>
    </x:row>
    <x:row r="200">
      <x:c r="A200">
        <x:v>8480145</x:v>
      </x:c>
      <x:c r="B200" s="4" t="b">
        <x:v>1</x:v>
      </x:c>
      <x:c r="C200" t="s">
        <x:v>554</x:v>
      </x:c>
      <x:c r="D200" t="s">
        <x:v>331</x:v>
      </x:c>
      <x:c r="E200" t="s">
        <x:v>348</x:v>
      </x:c>
      <x:c r="F200" t="s">
        <x:v>321</x:v>
      </x:c>
    </x:row>
    <x:row r="201">
      <x:c r="A201">
        <x:v>8477955</x:v>
      </x:c>
      <x:c r="B201" s="4" t="b">
        <x:v>1</x:v>
      </x:c>
      <x:c r="C201" t="s">
        <x:v>555</x:v>
      </x:c>
      <x:c r="D201" t="s">
        <x:v>329</x:v>
      </x:c>
      <x:c r="E201" t="s">
        <x:v>481</x:v>
      </x:c>
      <x:c r="F201" t="s">
        <x:v>321</x:v>
      </x:c>
    </x:row>
    <x:row r="202">
      <x:c r="A202">
        <x:v>8476441</x:v>
      </x:c>
      <x:c r="B202" s="4" t="b">
        <x:v>1</x:v>
      </x:c>
      <x:c r="C202" t="s">
        <x:v>556</x:v>
      </x:c>
      <x:c r="D202" t="s">
        <x:v>331</x:v>
      </x:c>
      <x:c r="E202" t="s">
        <x:v>379</x:v>
      </x:c>
      <x:c r="F202" t="s">
        <x:v>321</x:v>
      </x:c>
    </x:row>
    <x:row r="203">
      <x:c r="A203">
        <x:v>8478851</x:v>
      </x:c>
      <x:c r="B203" s="4" t="b">
        <x:v>1</x:v>
      </x:c>
      <x:c r="C203" t="s">
        <x:v>557</x:v>
      </x:c>
      <x:c r="D203" t="s">
        <x:v>331</x:v>
      </x:c>
      <x:c r="E203" t="s">
        <x:v>356</x:v>
      </x:c>
      <x:c r="F203" t="s">
        <x:v>321</x:v>
      </x:c>
    </x:row>
    <x:row r="204">
      <x:c r="A204">
        <x:v>8477476</x:v>
      </x:c>
      <x:c r="B204" s="4" t="b">
        <x:v>1</x:v>
      </x:c>
      <x:c r="C204" t="s">
        <x:v>558</x:v>
      </x:c>
      <x:c r="D204" t="s">
        <x:v>333</x:v>
      </x:c>
      <x:c r="E204" t="s">
        <x:v>324</x:v>
      </x:c>
      <x:c r="F204" t="s">
        <x:v>321</x:v>
      </x:c>
    </x:row>
    <x:row r="205">
      <x:c r="A205">
        <x:v>8478414</x:v>
      </x:c>
      <x:c r="B205" s="4" t="b">
        <x:v>1</x:v>
      </x:c>
      <x:c r="C205" t="s">
        <x:v>559</x:v>
      </x:c>
      <x:c r="D205" t="s">
        <x:v>333</x:v>
      </x:c>
      <x:c r="E205" t="s">
        <x:v>366</x:v>
      </x:c>
      <x:c r="F205" t="s">
        <x:v>321</x:v>
      </x:c>
    </x:row>
    <x:row r="206">
      <x:c r="A206">
        <x:v>8476463</x:v>
      </x:c>
      <x:c r="B206" s="4" t="b">
        <x:v>1</x:v>
      </x:c>
      <x:c r="C206" t="s">
        <x:v>560</x:v>
      </x:c>
      <x:c r="D206" t="s">
        <x:v>331</x:v>
      </x:c>
      <x:c r="E206" t="s">
        <x:v>345</x:v>
      </x:c>
      <x:c r="F206" t="s">
        <x:v>321</x:v>
      </x:c>
    </x:row>
    <x:row r="207">
      <x:c r="A207">
        <x:v>8480796</x:v>
      </x:c>
      <x:c r="B207" s="4" t="b">
        <x:v>1</x:v>
      </x:c>
      <x:c r="C207" t="s">
        <x:v>561</x:v>
      </x:c>
      <x:c r="D207" t="s">
        <x:v>331</x:v>
      </x:c>
      <x:c r="E207" t="s">
        <x:v>402</x:v>
      </x:c>
      <x:c r="F207" t="s">
        <x:v>321</x:v>
      </x:c>
    </x:row>
    <x:row r="208">
      <x:c r="A208">
        <x:v>8482113</x:v>
      </x:c>
      <x:c r="B208" s="4" t="b">
        <x:v>1</x:v>
      </x:c>
      <x:c r="C208" t="s">
        <x:v>562</x:v>
      </x:c>
      <x:c r="D208" t="s">
        <x:v>319</x:v>
      </x:c>
      <x:c r="E208" t="s">
        <x:v>400</x:v>
      </x:c>
      <x:c r="F208" t="s">
        <x:v>321</x:v>
      </x:c>
    </x:row>
    <x:row r="209">
      <x:c r="A209">
        <x:v>8480873</x:v>
      </x:c>
      <x:c r="B209" s="4" t="b">
        <x:v>1</x:v>
      </x:c>
      <x:c r="C209" t="s">
        <x:v>563</x:v>
      </x:c>
      <x:c r="D209" t="s">
        <x:v>331</x:v>
      </x:c>
      <x:c r="E209" t="s">
        <x:v>402</x:v>
      </x:c>
      <x:c r="F209" t="s">
        <x:v>321</x:v>
      </x:c>
    </x:row>
    <x:row r="210">
      <x:c r="A210">
        <x:v>8477511</x:v>
      </x:c>
      <x:c r="B210" s="4" t="b">
        <x:v>1</x:v>
      </x:c>
      <x:c r="C210" t="s">
        <x:v>564</x:v>
      </x:c>
      <x:c r="D210" t="s">
        <x:v>333</x:v>
      </x:c>
      <x:c r="E210" t="s">
        <x:v>356</x:v>
      </x:c>
      <x:c r="F210" t="s">
        <x:v>321</x:v>
      </x:c>
    </x:row>
    <x:row r="211">
      <x:c r="A211">
        <x:v>8480064</x:v>
      </x:c>
      <x:c r="B211" s="4" t="b">
        <x:v>1</x:v>
      </x:c>
      <x:c r="C211" t="s">
        <x:v>565</x:v>
      </x:c>
      <x:c r="D211" t="s">
        <x:v>339</x:v>
      </x:c>
      <x:c r="E211" t="s">
        <x:v>361</x:v>
      </x:c>
      <x:c r="F211" t="s">
        <x:v>321</x:v>
      </x:c>
    </x:row>
    <x:row r="212">
      <x:c r="A212">
        <x:v>8477409</x:v>
      </x:c>
      <x:c r="B212" s="4" t="b">
        <x:v>1</x:v>
      </x:c>
      <x:c r="C212" t="s">
        <x:v>566</x:v>
      </x:c>
      <x:c r="D212" t="s">
        <x:v>333</x:v>
      </x:c>
      <x:c r="E212" t="s">
        <x:v>400</x:v>
      </x:c>
      <x:c r="F212" t="s">
        <x:v>321</x:v>
      </x:c>
    </x:row>
    <x:row r="213">
      <x:c r="A213">
        <x:v>8484227</x:v>
      </x:c>
      <x:c r="B213" s="4" t="b">
        <x:v>1</x:v>
      </x:c>
      <x:c r="C213" t="s">
        <x:v>567</x:v>
      </x:c>
      <x:c r="D213" t="s">
        <x:v>323</x:v>
      </x:c>
      <x:c r="E213" t="s">
        <x:v>340</x:v>
      </x:c>
      <x:c r="F213" t="s">
        <x:v>321</x:v>
      </x:c>
    </x:row>
    <x:row r="214">
      <x:c r="A214">
        <x:v>8477949</x:v>
      </x:c>
      <x:c r="B214" s="4" t="b">
        <x:v>1</x:v>
      </x:c>
      <x:c r="C214" t="s">
        <x:v>568</x:v>
      </x:c>
      <x:c r="D214" t="s">
        <x:v>326</x:v>
      </x:c>
      <x:c r="E214" t="s">
        <x:v>402</x:v>
      </x:c>
      <x:c r="F214" t="s">
        <x:v>321</x:v>
      </x:c>
    </x:row>
    <x:row r="215">
      <x:c r="A215">
        <x:v>8477505</x:v>
      </x:c>
      <x:c r="B215" s="4" t="b">
        <x:v>1</x:v>
      </x:c>
      <x:c r="C215" t="s">
        <x:v>569</x:v>
      </x:c>
      <x:c r="D215" t="s">
        <x:v>319</x:v>
      </x:c>
      <x:c r="E215" t="s">
        <x:v>340</x:v>
      </x:c>
      <x:c r="F215" t="s">
        <x:v>321</x:v>
      </x:c>
    </x:row>
    <x:row r="216">
      <x:c r="A216">
        <x:v>8482245</x:v>
      </x:c>
      <x:c r="B216" s="4" t="b">
        <x:v>1</x:v>
      </x:c>
      <x:c r="C216" t="s">
        <x:v>570</x:v>
      </x:c>
      <x:c r="D216" t="s">
        <x:v>331</x:v>
      </x:c>
      <x:c r="E216" t="s">
        <x:v>370</x:v>
      </x:c>
      <x:c r="F216" t="s">
        <x:v>321</x:v>
      </x:c>
    </x:row>
    <x:row r="217">
      <x:c r="A217">
        <x:v>8482100</x:v>
      </x:c>
      <x:c r="B217" s="4" t="b">
        <x:v>1</x:v>
      </x:c>
      <x:c r="C217" t="s">
        <x:v>571</x:v>
      </x:c>
      <x:c r="D217" t="s">
        <x:v>331</x:v>
      </x:c>
      <x:c r="E217" t="s">
        <x:v>386</x:v>
      </x:c>
      <x:c r="F217" t="s">
        <x:v>321</x:v>
      </x:c>
    </x:row>
    <x:row r="218">
      <x:c r="A218">
        <x:v>8473533</x:v>
      </x:c>
      <x:c r="B218" s="4" t="b">
        <x:v>1</x:v>
      </x:c>
      <x:c r="C218" t="s">
        <x:v>572</x:v>
      </x:c>
      <x:c r="D218" t="s">
        <x:v>339</x:v>
      </x:c>
      <x:c r="E218" t="s">
        <x:v>386</x:v>
      </x:c>
      <x:c r="F218" t="s">
        <x:v>321</x:v>
      </x:c>
    </x:row>
    <x:row r="219">
      <x:c r="A219">
        <x:v>8482655</x:v>
      </x:c>
      <x:c r="B219" s="4" t="b">
        <x:v>1</x:v>
      </x:c>
      <x:c r="C219" t="s">
        <x:v>573</x:v>
      </x:c>
      <x:c r="D219" t="s">
        <x:v>331</x:v>
      </x:c>
      <x:c r="E219" t="s">
        <x:v>327</x:v>
      </x:c>
      <x:c r="F219" t="s">
        <x:v>321</x:v>
      </x:c>
    </x:row>
    <x:row r="220">
      <x:c r="A220">
        <x:v>8481546</x:v>
      </x:c>
      <x:c r="B220" s="4" t="b">
        <x:v>1</x:v>
      </x:c>
      <x:c r="C220" t="s">
        <x:v>574</x:v>
      </x:c>
      <x:c r="D220" t="s">
        <x:v>331</x:v>
      </x:c>
      <x:c r="E220" t="s">
        <x:v>427</x:v>
      </x:c>
      <x:c r="F220" t="s">
        <x:v>321</x:v>
      </x:c>
    </x:row>
    <x:row r="221">
      <x:c r="A221">
        <x:v>8480727</x:v>
      </x:c>
      <x:c r="B221" s="4" t="b">
        <x:v>1</x:v>
      </x:c>
      <x:c r="C221" t="s">
        <x:v>575</x:v>
      </x:c>
      <x:c r="D221" t="s">
        <x:v>331</x:v>
      </x:c>
      <x:c r="E221" t="s">
        <x:v>576</x:v>
      </x:c>
      <x:c r="F221" t="s">
        <x:v>321</x:v>
      </x:c>
    </x:row>
    <x:row r="222">
      <x:c r="A222">
        <x:v>8475791</x:v>
      </x:c>
      <x:c r="B222" s="4" t="b">
        <x:v>1</x:v>
      </x:c>
      <x:c r="C222" t="s">
        <x:v>577</x:v>
      </x:c>
      <x:c r="D222" t="s">
        <x:v>358</x:v>
      </x:c>
      <x:c r="E222" t="s">
        <x:v>386</x:v>
      </x:c>
      <x:c r="F222" t="s">
        <x:v>321</x:v>
      </x:c>
    </x:row>
    <x:row r="223">
      <x:c r="A223">
        <x:v>8474150</x:v>
      </x:c>
      <x:c r="B223" s="4" t="b">
        <x:v>1</x:v>
      </x:c>
      <x:c r="C223" t="s">
        <x:v>578</x:v>
      </x:c>
      <x:c r="D223" t="s">
        <x:v>339</x:v>
      </x:c>
      <x:c r="E223" t="s">
        <x:v>368</x:v>
      </x:c>
      <x:c r="F223" t="s">
        <x:v>321</x:v>
      </x:c>
    </x:row>
    <x:row r="224">
      <x:c r="A224">
        <x:v>8480426</x:v>
      </x:c>
      <x:c r="B224" s="4" t="b">
        <x:v>1</x:v>
      </x:c>
      <x:c r="C224" t="s">
        <x:v>579</x:v>
      </x:c>
      <x:c r="D224" t="s">
        <x:v>331</x:v>
      </x:c>
      <x:c r="E224" t="s">
        <x:v>327</x:v>
      </x:c>
      <x:c r="F224" t="s">
        <x:v>321</x:v>
      </x:c>
    </x:row>
    <x:row r="225">
      <x:c r="A225">
        <x:v>8475149</x:v>
      </x:c>
      <x:c r="B225" s="4" t="b">
        <x:v>1</x:v>
      </x:c>
      <x:c r="C225" t="s">
        <x:v>580</x:v>
      </x:c>
      <x:c r="D225" t="s">
        <x:v>339</x:v>
      </x:c>
      <x:c r="E225" t="s">
        <x:v>366</x:v>
      </x:c>
      <x:c r="F225" t="s">
        <x:v>321</x:v>
      </x:c>
    </x:row>
    <x:row r="226">
      <x:c r="A226">
        <x:v>8476917</x:v>
      </x:c>
      <x:c r="B226" s="4" t="b">
        <x:v>1</x:v>
      </x:c>
      <x:c r="C226" t="s">
        <x:v>581</x:v>
      </x:c>
      <x:c r="D226" t="s">
        <x:v>331</x:v>
      </x:c>
      <x:c r="E226" t="s">
        <x:v>439</x:v>
      </x:c>
      <x:c r="F226" t="s">
        <x:v>321</x:v>
      </x:c>
    </x:row>
    <x:row r="227">
      <x:c r="A227">
        <x:v>8475279</x:v>
      </x:c>
      <x:c r="B227" s="4" t="b">
        <x:v>1</x:v>
      </x:c>
      <x:c r="C227" t="s">
        <x:v>582</x:v>
      </x:c>
      <x:c r="D227" t="s">
        <x:v>331</x:v>
      </x:c>
      <x:c r="E227" t="s">
        <x:v>334</x:v>
      </x:c>
      <x:c r="F227" t="s">
        <x:v>321</x:v>
      </x:c>
    </x:row>
    <x:row r="228">
      <x:c r="A228">
        <x:v>8475906</x:v>
      </x:c>
      <x:c r="B228" s="4" t="b">
        <x:v>1</x:v>
      </x:c>
      <x:c r="C228" t="s">
        <x:v>583</x:v>
      </x:c>
      <x:c r="D228" t="s">
        <x:v>331</x:v>
      </x:c>
      <x:c r="E228" t="s">
        <x:v>584</x:v>
      </x:c>
      <x:c r="F228" t="s">
        <x:v>321</x:v>
      </x:c>
    </x:row>
    <x:row r="229">
      <x:c r="A229">
        <x:v>8476473</x:v>
      </x:c>
      <x:c r="B229" s="4" t="b">
        <x:v>1</x:v>
      </x:c>
      <x:c r="C229" t="s">
        <x:v>585</x:v>
      </x:c>
      <x:c r="D229" t="s">
        <x:v>331</x:v>
      </x:c>
      <x:c r="E229" t="s">
        <x:v>320</x:v>
      </x:c>
      <x:c r="F229" t="s">
        <x:v>321</x:v>
      </x:c>
    </x:row>
    <x:row r="230">
      <x:c r="A230">
        <x:v>8479378</x:v>
      </x:c>
      <x:c r="B230" s="4" t="b">
        <x:v>1</x:v>
      </x:c>
      <x:c r="C230" t="s">
        <x:v>586</x:v>
      </x:c>
      <x:c r="D230" t="s">
        <x:v>331</x:v>
      </x:c>
      <x:c r="E230" t="s">
        <x:v>393</x:v>
      </x:c>
      <x:c r="F230" t="s">
        <x:v>321</x:v>
      </x:c>
    </x:row>
    <x:row r="231">
      <x:c r="A231">
        <x:v>8477402</x:v>
      </x:c>
      <x:c r="B231" s="4" t="b">
        <x:v>1</x:v>
      </x:c>
      <x:c r="C231" t="s">
        <x:v>587</x:v>
      </x:c>
      <x:c r="D231" t="s">
        <x:v>333</x:v>
      </x:c>
      <x:c r="E231" t="s">
        <x:v>396</x:v>
      </x:c>
      <x:c r="F231" t="s">
        <x:v>321</x:v>
      </x:c>
    </x:row>
    <x:row r="232">
      <x:c r="A232">
        <x:v>8483516</x:v>
      </x:c>
      <x:c r="B232" s="4" t="b">
        <x:v>1</x:v>
      </x:c>
      <x:c r="C232" t="s">
        <x:v>588</x:v>
      </x:c>
      <x:c r="D232" t="s">
        <x:v>326</x:v>
      </x:c>
      <x:c r="E232" t="s">
        <x:v>396</x:v>
      </x:c>
      <x:c r="F232" t="s">
        <x:v>321</x:v>
      </x:c>
    </x:row>
    <x:row r="233">
      <x:c r="A233">
        <x:v>8484387</x:v>
      </x:c>
      <x:c r="B233" s="4" t="b">
        <x:v>1</x:v>
      </x:c>
      <x:c r="C233" t="s">
        <x:v>589</x:v>
      </x:c>
      <x:c r="D233" t="s">
        <x:v>326</x:v>
      </x:c>
      <x:c r="E233" t="s">
        <x:v>427</x:v>
      </x:c>
      <x:c r="F233" t="s">
        <x:v>321</x:v>
      </x:c>
    </x:row>
    <x:row r="234">
      <x:c r="A234">
        <x:v>8482109</x:v>
      </x:c>
      <x:c r="B234" s="4" t="b">
        <x:v>1</x:v>
      </x:c>
      <x:c r="C234" t="s">
        <x:v>590</x:v>
      </x:c>
      <x:c r="D234" t="s">
        <x:v>333</x:v>
      </x:c>
      <x:c r="E234" t="s">
        <x:v>383</x:v>
      </x:c>
      <x:c r="F234" t="s">
        <x:v>321</x:v>
      </x:c>
    </x:row>
    <x:row r="235">
      <x:c r="A235">
        <x:v>8482259</x:v>
      </x:c>
      <x:c r="B235" s="4" t="b">
        <x:v>1</x:v>
      </x:c>
      <x:c r="C235" t="s">
        <x:v>591</x:v>
      </x:c>
      <x:c r="D235" t="s">
        <x:v>319</x:v>
      </x:c>
      <x:c r="E235" t="s">
        <x:v>481</x:v>
      </x:c>
      <x:c r="F235" t="s">
        <x:v>321</x:v>
      </x:c>
    </x:row>
    <x:row r="236">
      <x:c r="A236">
        <x:v>8477220</x:v>
      </x:c>
      <x:c r="B236" s="4" t="b">
        <x:v>1</x:v>
      </x:c>
      <x:c r="C236" t="s">
        <x:v>592</x:v>
      </x:c>
      <x:c r="D236" t="s">
        <x:v>331</x:v>
      </x:c>
      <x:c r="E236" t="s">
        <x:v>364</x:v>
      </x:c>
      <x:c r="F236" t="s">
        <x:v>321</x:v>
      </x:c>
    </x:row>
    <x:row r="237">
      <x:c r="A237">
        <x:v>8476467</x:v>
      </x:c>
      <x:c r="B237" s="4" t="b">
        <x:v>1</x:v>
      </x:c>
      <x:c r="C237" t="s">
        <x:v>593</x:v>
      </x:c>
      <x:c r="D237" t="s">
        <x:v>331</x:v>
      </x:c>
      <x:c r="E237" t="s">
        <x:v>420</x:v>
      </x:c>
      <x:c r="F237" t="s">
        <x:v>321</x:v>
      </x:c>
    </x:row>
    <x:row r="238">
      <x:c r="A238">
        <x:v>8478450</x:v>
      </x:c>
      <x:c r="B238" s="4" t="b">
        <x:v>1</x:v>
      </x:c>
      <x:c r="C238" t="s">
        <x:v>594</x:v>
      </x:c>
      <x:c r="D238" t="s">
        <x:v>331</x:v>
      </x:c>
      <x:c r="E238" t="s">
        <x:v>354</x:v>
      </x:c>
      <x:c r="F238" t="s">
        <x:v>321</x:v>
      </x:c>
    </x:row>
    <x:row r="239">
      <x:c r="A239">
        <x:v>8470621</x:v>
      </x:c>
      <x:c r="B239" s="4" t="b">
        <x:v>1</x:v>
      </x:c>
      <x:c r="C239" t="s">
        <x:v>595</x:v>
      </x:c>
      <x:c r="D239" t="s">
        <x:v>326</x:v>
      </x:c>
      <x:c r="E239" t="s">
        <x:v>379</x:v>
      </x:c>
      <x:c r="F239" t="s">
        <x:v>321</x:v>
      </x:c>
    </x:row>
    <x:row r="240">
      <x:c r="A240">
        <x:v>8475151</x:v>
      </x:c>
      <x:c r="B240" s="4" t="b">
        <x:v>1</x:v>
      </x:c>
      <x:c r="C240" t="s">
        <x:v>596</x:v>
      </x:c>
      <x:c r="D240" t="s">
        <x:v>323</x:v>
      </x:c>
      <x:c r="E240" t="s">
        <x:v>439</x:v>
      </x:c>
      <x:c r="F240" t="s">
        <x:v>321</x:v>
      </x:c>
    </x:row>
    <x:row r="241">
      <x:c r="A241">
        <x:v>8475314</x:v>
      </x:c>
      <x:c r="B241" s="4" t="b">
        <x:v>1</x:v>
      </x:c>
      <x:c r="C241" t="s">
        <x:v>597</x:v>
      </x:c>
      <x:c r="D241" t="s">
        <x:v>358</x:v>
      </x:c>
      <x:c r="E241" t="s">
        <x:v>364</x:v>
      </x:c>
      <x:c r="F241" t="s">
        <x:v>321</x:v>
      </x:c>
    </x:row>
    <x:row r="242">
      <x:c r="A242">
        <x:v>8480748</x:v>
      </x:c>
      <x:c r="B242" s="4" t="b">
        <x:v>1</x:v>
      </x:c>
      <x:c r="C242" t="s">
        <x:v>598</x:v>
      </x:c>
      <x:c r="D242" t="s">
        <x:v>333</x:v>
      </x:c>
      <x:c r="E242" t="s">
        <x:v>340</x:v>
      </x:c>
      <x:c r="F242" t="s">
        <x:v>321</x:v>
      </x:c>
    </x:row>
    <x:row r="243">
      <x:c r="A243">
        <x:v>8476461</x:v>
      </x:c>
      <x:c r="B243" s="4" t="b">
        <x:v>1</x:v>
      </x:c>
      <x:c r="C243" t="s">
        <x:v>599</x:v>
      </x:c>
      <x:c r="D243" t="s">
        <x:v>319</x:v>
      </x:c>
      <x:c r="E243" t="s">
        <x:v>439</x:v>
      </x:c>
      <x:c r="F243" t="s">
        <x:v>321</x:v>
      </x:c>
    </x:row>
    <x:row r="244">
      <x:c r="A244">
        <x:v>8476399</x:v>
      </x:c>
      <x:c r="B244" s="4" t="b">
        <x:v>1</x:v>
      </x:c>
      <x:c r="C244" t="s">
        <x:v>600</x:v>
      </x:c>
      <x:c r="D244" t="s">
        <x:v>333</x:v>
      </x:c>
      <x:c r="E244" t="s">
        <x:v>345</x:v>
      </x:c>
      <x:c r="F244" t="s">
        <x:v>321</x:v>
      </x:c>
    </x:row>
    <x:row r="245">
      <x:c r="A245">
        <x:v>8476539</x:v>
      </x:c>
      <x:c r="B245" s="4" t="b">
        <x:v>1</x:v>
      </x:c>
      <x:c r="C245" t="s">
        <x:v>601</x:v>
      </x:c>
      <x:c r="D245" t="s">
        <x:v>326</x:v>
      </x:c>
      <x:c r="E245" t="s">
        <x:v>372</x:v>
      </x:c>
      <x:c r="F245" t="s">
        <x:v>321</x:v>
      </x:c>
    </x:row>
    <x:row r="246">
      <x:c r="A246">
        <x:v>8476455</x:v>
      </x:c>
      <x:c r="B246" s="4" t="b">
        <x:v>1</x:v>
      </x:c>
      <x:c r="C246" t="s">
        <x:v>602</x:v>
      </x:c>
      <x:c r="D246" t="s">
        <x:v>333</x:v>
      </x:c>
      <x:c r="E246" t="s">
        <x:v>324</x:v>
      </x:c>
      <x:c r="F246" t="s">
        <x:v>321</x:v>
      </x:c>
    </x:row>
    <x:row r="247">
      <x:c r="A247">
        <x:v>8474574</x:v>
      </x:c>
      <x:c r="B247" s="4" t="b">
        <x:v>1</x:v>
      </x:c>
      <x:c r="C247" t="s">
        <x:v>603</x:v>
      </x:c>
      <x:c r="D247" t="s">
        <x:v>331</x:v>
      </x:c>
      <x:c r="E247" t="s">
        <x:v>343</x:v>
      </x:c>
      <x:c r="F247" t="s">
        <x:v>321</x:v>
      </x:c>
    </x:row>
    <x:row r="248">
      <x:c r="A248">
        <x:v>8475794</x:v>
      </x:c>
      <x:c r="B248" s="4" t="b">
        <x:v>1</x:v>
      </x:c>
      <x:c r="C248" t="s">
        <x:v>604</x:v>
      </x:c>
      <x:c r="D248" t="s">
        <x:v>323</x:v>
      </x:c>
      <x:c r="E248" t="s">
        <x:v>343</x:v>
      </x:c>
      <x:c r="F248" t="s">
        <x:v>321</x:v>
      </x:c>
    </x:row>
    <x:row r="249">
      <x:c r="A249">
        <x:v>8479385</x:v>
      </x:c>
      <x:c r="B249" s="4" t="b">
        <x:v>1</x:v>
      </x:c>
      <x:c r="C249" t="s">
        <x:v>605</x:v>
      </x:c>
      <x:c r="D249" t="s">
        <x:v>323</x:v>
      </x:c>
      <x:c r="E249" t="s">
        <x:v>402</x:v>
      </x:c>
      <x:c r="F249" t="s">
        <x:v>321</x:v>
      </x:c>
    </x:row>
    <x:row r="250">
      <x:c r="A250">
        <x:v>8482073</x:v>
      </x:c>
      <x:c r="B250" s="4" t="b">
        <x:v>1</x:v>
      </x:c>
      <x:c r="C250" t="s">
        <x:v>606</x:v>
      </x:c>
      <x:c r="D250" t="s">
        <x:v>331</x:v>
      </x:c>
      <x:c r="E250" t="s">
        <x:v>383</x:v>
      </x:c>
      <x:c r="F250" t="s">
        <x:v>321</x:v>
      </x:c>
    </x:row>
    <x:row r="251">
      <x:c r="A251">
        <x:v>8475726</x:v>
      </x:c>
      <x:c r="B251" s="4" t="b">
        <x:v>1</x:v>
      </x:c>
      <x:c r="C251" t="s">
        <x:v>607</x:v>
      </x:c>
      <x:c r="D251" t="s">
        <x:v>333</x:v>
      </x:c>
      <x:c r="E251" t="s">
        <x:v>340</x:v>
      </x:c>
      <x:c r="F251" t="s">
        <x:v>321</x:v>
      </x:c>
    </x:row>
    <x:row r="252">
      <x:c r="A252">
        <x:v>8484258</x:v>
      </x:c>
      <x:c r="B252" s="4" t="b">
        <x:v>1</x:v>
      </x:c>
      <x:c r="C252" t="s">
        <x:v>608</x:v>
      </x:c>
      <x:c r="D252" t="s">
        <x:v>331</x:v>
      </x:c>
      <x:c r="E252" t="s">
        <x:v>324</x:v>
      </x:c>
      <x:c r="F252" t="s">
        <x:v>321</x:v>
      </x:c>
    </x:row>
    <x:row r="253">
      <x:c r="A253">
        <x:v>8480802</x:v>
      </x:c>
      <x:c r="B253" s="4" t="b">
        <x:v>1</x:v>
      </x:c>
      <x:c r="C253" t="s">
        <x:v>609</x:v>
      </x:c>
      <x:c r="D253" t="s">
        <x:v>329</x:v>
      </x:c>
      <x:c r="E253" t="s">
        <x:v>361</x:v>
      </x:c>
      <x:c r="F253" t="s">
        <x:v>321</x:v>
      </x:c>
    </x:row>
    <x:row r="254">
      <x:c r="A254">
        <x:v>8482671</x:v>
      </x:c>
      <x:c r="B254" s="4" t="b">
        <x:v>1</x:v>
      </x:c>
      <x:c r="C254" t="s">
        <x:v>610</x:v>
      </x:c>
      <x:c r="D254" t="s">
        <x:v>331</x:v>
      </x:c>
      <x:c r="E254" t="s">
        <x:v>361</x:v>
      </x:c>
      <x:c r="F254" t="s">
        <x:v>321</x:v>
      </x:c>
    </x:row>
    <x:row r="255">
      <x:c r="A255">
        <x:v>8478854</x:v>
      </x:c>
      <x:c r="B255" s="4" t="b">
        <x:v>1</x:v>
      </x:c>
      <x:c r="C255" t="s">
        <x:v>611</x:v>
      </x:c>
      <x:c r="D255" t="s">
        <x:v>331</x:v>
      </x:c>
      <x:c r="E255" t="s">
        <x:v>352</x:v>
      </x:c>
      <x:c r="F255" t="s">
        <x:v>321</x:v>
      </x:c>
    </x:row>
    <x:row r="256">
      <x:c r="A256">
        <x:v>8479998</x:v>
      </x:c>
      <x:c r="B256" s="4" t="b">
        <x:v>1</x:v>
      </x:c>
      <x:c r="C256" t="s">
        <x:v>612</x:v>
      </x:c>
      <x:c r="D256" t="s">
        <x:v>331</x:v>
      </x:c>
      <x:c r="E256" t="s">
        <x:v>379</x:v>
      </x:c>
      <x:c r="F256" t="s">
        <x:v>321</x:v>
      </x:c>
    </x:row>
    <x:row r="257">
      <x:c r="A257">
        <x:v>8476958</x:v>
      </x:c>
      <x:c r="B257" s="4" t="b">
        <x:v>1</x:v>
      </x:c>
      <x:c r="C257" t="s">
        <x:v>613</x:v>
      </x:c>
      <x:c r="D257" t="s">
        <x:v>331</x:v>
      </x:c>
      <x:c r="E257" t="s">
        <x:v>386</x:v>
      </x:c>
      <x:c r="F257" t="s">
        <x:v>321</x:v>
      </x:c>
    </x:row>
    <x:row r="258">
      <x:c r="A258">
        <x:v>8477365</x:v>
      </x:c>
      <x:c r="B258" s="4" t="b">
        <x:v>1</x:v>
      </x:c>
      <x:c r="C258" t="s">
        <x:v>614</x:v>
      </x:c>
      <x:c r="D258" t="s">
        <x:v>331</x:v>
      </x:c>
      <x:c r="E258" t="s">
        <x:v>334</x:v>
      </x:c>
      <x:c r="F258" t="s">
        <x:v>321</x:v>
      </x:c>
    </x:row>
    <x:row r="259">
      <x:c r="A259">
        <x:v>8480015</x:v>
      </x:c>
      <x:c r="B259" s="4" t="b">
        <x:v>1</x:v>
      </x:c>
      <x:c r="C259" t="s">
        <x:v>615</x:v>
      </x:c>
      <x:c r="D259" t="s">
        <x:v>333</x:v>
      </x:c>
      <x:c r="E259" t="s">
        <x:v>427</x:v>
      </x:c>
      <x:c r="F259" t="s">
        <x:v>321</x:v>
      </x:c>
    </x:row>
    <x:row r="260">
      <x:c r="A260">
        <x:v>8478474</x:v>
      </x:c>
      <x:c r="B260" s="4" t="b">
        <x:v>1</x:v>
      </x:c>
      <x:c r="C260" t="s">
        <x:v>616</x:v>
      </x:c>
      <x:c r="D260" t="s">
        <x:v>333</x:v>
      </x:c>
      <x:c r="E260" t="s">
        <x:v>334</x:v>
      </x:c>
      <x:c r="F260" t="s">
        <x:v>321</x:v>
      </x:c>
    </x:row>
    <x:row r="261">
      <x:c r="A261">
        <x:v>8484984</x:v>
      </x:c>
      <x:c r="B261" s="4" t="b">
        <x:v>1</x:v>
      </x:c>
      <x:c r="C261" t="s">
        <x:v>617</x:v>
      </x:c>
      <x:c r="D261" t="s">
        <x:v>326</x:v>
      </x:c>
      <x:c r="E261" t="s">
        <x:v>356</x:v>
      </x:c>
      <x:c r="F261" t="s">
        <x:v>321</x:v>
      </x:c>
    </x:row>
    <x:row r="262">
      <x:c r="A262">
        <x:v>8476331</x:v>
      </x:c>
      <x:c r="B262" s="4" t="b">
        <x:v>1</x:v>
      </x:c>
      <x:c r="C262" t="s">
        <x:v>618</x:v>
      </x:c>
      <x:c r="D262" t="s">
        <x:v>331</x:v>
      </x:c>
      <x:c r="E262" t="s">
        <x:v>348</x:v>
      </x:c>
      <x:c r="F262" t="s">
        <x:v>321</x:v>
      </x:c>
    </x:row>
    <x:row r="263">
      <x:c r="A263">
        <x:v>8478444</x:v>
      </x:c>
      <x:c r="B263" s="4" t="b">
        <x:v>1</x:v>
      </x:c>
      <x:c r="C263" t="s">
        <x:v>619</x:v>
      </x:c>
      <x:c r="D263" t="s">
        <x:v>326</x:v>
      </x:c>
      <x:c r="E263" t="s">
        <x:v>420</x:v>
      </x:c>
      <x:c r="F263" t="s">
        <x:v>321</x:v>
      </x:c>
    </x:row>
    <x:row r="264">
      <x:c r="A264">
        <x:v>8478136</x:v>
      </x:c>
      <x:c r="B264" s="4" t="b">
        <x:v>1</x:v>
      </x:c>
      <x:c r="C264" t="s">
        <x:v>620</x:v>
      </x:c>
      <x:c r="D264" t="s">
        <x:v>331</x:v>
      </x:c>
      <x:c r="E264" t="s">
        <x:v>576</x:v>
      </x:c>
      <x:c r="F264" t="s">
        <x:v>321</x:v>
      </x:c>
    </x:row>
    <x:row r="265">
      <x:c r="A265">
        <x:v>8482155</x:v>
      </x:c>
      <x:c r="B265" s="4" t="b">
        <x:v>1</x:v>
      </x:c>
      <x:c r="C265" t="s">
        <x:v>621</x:v>
      </x:c>
      <x:c r="D265" t="s">
        <x:v>326</x:v>
      </x:c>
      <x:c r="E265" t="s">
        <x:v>379</x:v>
      </x:c>
      <x:c r="F265" t="s">
        <x:v>321</x:v>
      </x:c>
    </x:row>
    <x:row r="266">
      <x:c r="A266">
        <x:v>8481806</x:v>
      </x:c>
      <x:c r="B266" s="4" t="b">
        <x:v>1</x:v>
      </x:c>
      <x:c r="C266" t="s">
        <x:v>622</x:v>
      </x:c>
      <x:c r="D266" t="s">
        <x:v>331</x:v>
      </x:c>
      <x:c r="E266" t="s">
        <x:v>361</x:v>
      </x:c>
      <x:c r="F266" t="s">
        <x:v>321</x:v>
      </x:c>
    </x:row>
    <x:row r="267">
      <x:c r="A267">
        <x:v>8476372</x:v>
      </x:c>
      <x:c r="B267" s="4" t="b">
        <x:v>1</x:v>
      </x:c>
      <x:c r="C267" t="s">
        <x:v>623</x:v>
      </x:c>
      <x:c r="D267" t="s">
        <x:v>331</x:v>
      </x:c>
      <x:c r="E267" t="s">
        <x:v>427</x:v>
      </x:c>
      <x:c r="F267" t="s">
        <x:v>321</x:v>
      </x:c>
    </x:row>
    <x:row r="268">
      <x:c r="A268">
        <x:v>8478013</x:v>
      </x:c>
      <x:c r="B268" s="4" t="b">
        <x:v>1</x:v>
      </x:c>
      <x:c r="C268" t="s">
        <x:v>624</x:v>
      </x:c>
      <x:c r="D268" t="s">
        <x:v>331</x:v>
      </x:c>
      <x:c r="E268" t="s">
        <x:v>320</x:v>
      </x:c>
      <x:c r="F268" t="s">
        <x:v>321</x:v>
      </x:c>
    </x:row>
    <x:row r="269">
      <x:c r="A269">
        <x:v>8481596</x:v>
      </x:c>
      <x:c r="B269" s="4" t="b">
        <x:v>1</x:v>
      </x:c>
      <x:c r="C269" t="s">
        <x:v>625</x:v>
      </x:c>
      <x:c r="D269" t="s">
        <x:v>319</x:v>
      </x:c>
      <x:c r="E269" t="s">
        <x:v>370</x:v>
      </x:c>
      <x:c r="F269" t="s">
        <x:v>321</x:v>
      </x:c>
    </x:row>
    <x:row r="270">
      <x:c r="A270">
        <x:v>8476419</x:v>
      </x:c>
      <x:c r="B270" s="4" t="b">
        <x:v>1</x:v>
      </x:c>
      <x:c r="C270" t="s">
        <x:v>626</x:v>
      </x:c>
      <x:c r="D270" t="s">
        <x:v>319</x:v>
      </x:c>
      <x:c r="E270" t="s">
        <x:v>439</x:v>
      </x:c>
      <x:c r="F270" t="s">
        <x:v>321</x:v>
      </x:c>
    </x:row>
    <x:row r="271">
      <x:c r="A271">
        <x:v>8482079</x:v>
      </x:c>
      <x:c r="B271" s="4" t="b">
        <x:v>1</x:v>
      </x:c>
      <x:c r="C271" t="s">
        <x:v>627</x:v>
      </x:c>
      <x:c r="D271" t="s">
        <x:v>319</x:v>
      </x:c>
      <x:c r="E271" t="s">
        <x:v>420</x:v>
      </x:c>
      <x:c r="F271" t="s">
        <x:v>321</x:v>
      </x:c>
    </x:row>
    <x:row r="272">
      <x:c r="A272">
        <x:v>8483485</x:v>
      </x:c>
      <x:c r="B272" s="4" t="b">
        <x:v>1</x:v>
      </x:c>
      <x:c r="C272" t="s">
        <x:v>628</x:v>
      </x:c>
      <x:c r="D272" t="s">
        <x:v>331</x:v>
      </x:c>
      <x:c r="E272" t="s">
        <x:v>337</x:v>
      </x:c>
      <x:c r="F272" t="s">
        <x:v>321</x:v>
      </x:c>
    </x:row>
    <x:row r="273">
      <x:c r="A273">
        <x:v>8481580</x:v>
      </x:c>
      <x:c r="B273" s="4" t="b">
        <x:v>1</x:v>
      </x:c>
      <x:c r="C273" t="s">
        <x:v>629</x:v>
      </x:c>
      <x:c r="D273" t="s">
        <x:v>329</x:v>
      </x:c>
      <x:c r="E273" t="s">
        <x:v>396</x:v>
      </x:c>
      <x:c r="F273" t="s">
        <x:v>321</x:v>
      </x:c>
    </x:row>
    <x:row r="274">
      <x:c r="A274">
        <x:v>8477499</x:v>
      </x:c>
      <x:c r="B274" s="4" t="b">
        <x:v>1</x:v>
      </x:c>
      <x:c r="C274" t="s">
        <x:v>630</x:v>
      </x:c>
      <x:c r="D274" t="s">
        <x:v>331</x:v>
      </x:c>
      <x:c r="E274" t="s">
        <x:v>427</x:v>
      </x:c>
      <x:c r="F274" t="s">
        <x:v>321</x:v>
      </x:c>
    </x:row>
    <x:row r="275">
      <x:c r="A275">
        <x:v>8480434</x:v>
      </x:c>
      <x:c r="B275" s="4" t="b">
        <x:v>1</x:v>
      </x:c>
      <x:c r="C275" t="s">
        <x:v>631</x:v>
      </x:c>
      <x:c r="D275" t="s">
        <x:v>331</x:v>
      </x:c>
      <x:c r="E275" t="s">
        <x:v>383</x:v>
      </x:c>
      <x:c r="F275" t="s">
        <x:v>321</x:v>
      </x:c>
    </x:row>
    <x:row r="276">
      <x:c r="A276">
        <x:v>8481568</x:v>
      </x:c>
      <x:c r="B276" s="4" t="b">
        <x:v>1</x:v>
      </x:c>
      <x:c r="C276" t="s">
        <x:v>632</x:v>
      </x:c>
      <x:c r="D276" t="s">
        <x:v>331</x:v>
      </x:c>
      <x:c r="E276" t="s">
        <x:v>436</x:v>
      </x:c>
      <x:c r="F276" t="s">
        <x:v>321</x:v>
      </x:c>
    </x:row>
    <x:row r="277">
      <x:c r="A277">
        <x:v>8475765</x:v>
      </x:c>
      <x:c r="B277" s="4" t="b">
        <x:v>1</x:v>
      </x:c>
      <x:c r="C277" t="s">
        <x:v>633</x:v>
      </x:c>
      <x:c r="D277" t="s">
        <x:v>326</x:v>
      </x:c>
      <x:c r="E277" t="s">
        <x:v>400</x:v>
      </x:c>
      <x:c r="F277" t="s">
        <x:v>321</x:v>
      </x:c>
    </x:row>
    <x:row r="278">
      <x:c r="A278">
        <x:v>8477989</x:v>
      </x:c>
      <x:c r="B278" s="4" t="b">
        <x:v>1</x:v>
      </x:c>
      <x:c r="C278" t="s">
        <x:v>634</x:v>
      </x:c>
      <x:c r="D278" t="s">
        <x:v>339</x:v>
      </x:c>
      <x:c r="E278" t="s">
        <x:v>427</x:v>
      </x:c>
      <x:c r="F278" t="s">
        <x:v>321</x:v>
      </x:c>
    </x:row>
    <x:row r="279">
      <x:c r="A279">
        <x:v>8482667</x:v>
      </x:c>
      <x:c r="B279" s="4" t="b">
        <x:v>1</x:v>
      </x:c>
      <x:c r="C279" t="s">
        <x:v>635</x:v>
      </x:c>
      <x:c r="D279" t="s">
        <x:v>339</x:v>
      </x:c>
      <x:c r="E279" t="s">
        <x:v>370</x:v>
      </x:c>
      <x:c r="F279" t="s">
        <x:v>321</x:v>
      </x:c>
    </x:row>
    <x:row r="280">
      <x:c r="A280">
        <x:v>8484762</x:v>
      </x:c>
      <x:c r="B280" s="4" t="b">
        <x:v>1</x:v>
      </x:c>
      <x:c r="C280" t="s">
        <x:v>636</x:v>
      </x:c>
      <x:c r="D280" t="s">
        <x:v>326</x:v>
      </x:c>
      <x:c r="E280" t="s">
        <x:v>393</x:v>
      </x:c>
      <x:c r="F280" t="s">
        <x:v>321</x:v>
      </x:c>
    </x:row>
    <x:row r="281">
      <x:c r="A281">
        <x:v>8480860</x:v>
      </x:c>
      <x:c r="B281" s="4" t="b">
        <x:v>1</x:v>
      </x:c>
      <x:c r="C281" t="s">
        <x:v>637</x:v>
      </x:c>
      <x:c r="D281" t="s">
        <x:v>331</x:v>
      </x:c>
      <x:c r="E281" t="s">
        <x:v>576</x:v>
      </x:c>
      <x:c r="F281" t="s">
        <x:v>321</x:v>
      </x:c>
    </x:row>
    <x:row r="282">
      <x:c r="A282">
        <x:v>8478840</x:v>
      </x:c>
      <x:c r="B282" s="4" t="b">
        <x:v>1</x:v>
      </x:c>
      <x:c r="C282" t="s">
        <x:v>638</x:v>
      </x:c>
      <x:c r="D282" t="s">
        <x:v>331</x:v>
      </x:c>
      <x:c r="E282" t="s">
        <x:v>576</x:v>
      </x:c>
      <x:c r="F282" t="s">
        <x:v>321</x:v>
      </x:c>
    </x:row>
    <x:row r="283">
      <x:c r="A283">
        <x:v>8474568</x:v>
      </x:c>
      <x:c r="B283" s="4" t="b">
        <x:v>1</x:v>
      </x:c>
      <x:c r="C283" t="s">
        <x:v>639</x:v>
      </x:c>
      <x:c r="D283" t="s">
        <x:v>331</x:v>
      </x:c>
      <x:c r="E283" t="s">
        <x:v>420</x:v>
      </x:c>
      <x:c r="F283" t="s">
        <x:v>321</x:v>
      </x:c>
    </x:row>
    <x:row r="284">
      <x:c r="A284">
        <x:v>8482157</x:v>
      </x:c>
      <x:c r="B284" s="4" t="b">
        <x:v>1</x:v>
      </x:c>
      <x:c r="C284" t="s">
        <x:v>640</x:v>
      </x:c>
      <x:c r="D284" t="s">
        <x:v>333</x:v>
      </x:c>
      <x:c r="E284" t="s">
        <x:v>383</x:v>
      </x:c>
      <x:c r="F284" t="s">
        <x:v>321</x:v>
      </x:c>
    </x:row>
    <x:row r="285">
      <x:c r="A285">
        <x:v>8481606</x:v>
      </x:c>
      <x:c r="B285" s="4" t="b">
        <x:v>1</x:v>
      </x:c>
      <x:c r="C285" t="s">
        <x:v>641</x:v>
      </x:c>
      <x:c r="D285" t="s">
        <x:v>331</x:v>
      </x:c>
      <x:c r="E285" t="s">
        <x:v>370</x:v>
      </x:c>
      <x:c r="F285" t="s">
        <x:v>321</x:v>
      </x:c>
    </x:row>
    <x:row r="286">
      <x:c r="A286">
        <x:v>8478416</x:v>
      </x:c>
      <x:c r="B286" s="4" t="b">
        <x:v>1</x:v>
      </x:c>
      <x:c r="C286" t="s">
        <x:v>642</x:v>
      </x:c>
      <x:c r="D286" t="s">
        <x:v>331</x:v>
      </x:c>
      <x:c r="E286" t="s">
        <x:v>327</x:v>
      </x:c>
      <x:c r="F286" t="s">
        <x:v>321</x:v>
      </x:c>
    </x:row>
    <x:row r="287">
      <x:c r="A287">
        <x:v>8480220</x:v>
      </x:c>
      <x:c r="B287" s="4" t="b">
        <x:v>1</x:v>
      </x:c>
      <x:c r="C287" t="s">
        <x:v>643</x:v>
      </x:c>
      <x:c r="D287" t="s">
        <x:v>358</x:v>
      </x:c>
      <x:c r="E287" t="s">
        <x:v>427</x:v>
      </x:c>
      <x:c r="F287" t="s">
        <x:v>321</x:v>
      </x:c>
    </x:row>
    <x:row r="288">
      <x:c r="A288">
        <x:v>8476921</x:v>
      </x:c>
      <x:c r="B288" s="4" t="b">
        <x:v>1</x:v>
      </x:c>
      <x:c r="C288" t="s">
        <x:v>644</x:v>
      </x:c>
      <x:c r="D288" t="s">
        <x:v>329</x:v>
      </x:c>
      <x:c r="E288" t="s">
        <x:v>386</x:v>
      </x:c>
      <x:c r="F288" t="s">
        <x:v>321</x:v>
      </x:c>
    </x:row>
    <x:row r="289">
      <x:c r="A289">
        <x:v>8476456</x:v>
      </x:c>
      <x:c r="B289" s="4" t="b">
        <x:v>1</x:v>
      </x:c>
      <x:c r="C289" t="s">
        <x:v>645</x:v>
      </x:c>
      <x:c r="D289" t="s">
        <x:v>333</x:v>
      </x:c>
      <x:c r="E289" t="s">
        <x:v>576</x:v>
      </x:c>
      <x:c r="F289" t="s">
        <x:v>321</x:v>
      </x:c>
    </x:row>
    <x:row r="290">
      <x:c r="A290">
        <x:v>8482659</x:v>
      </x:c>
      <x:c r="B290" s="4" t="b">
        <x:v>1</x:v>
      </x:c>
      <x:c r="C290" t="s">
        <x:v>646</x:v>
      </x:c>
      <x:c r="D290" t="s">
        <x:v>329</x:v>
      </x:c>
      <x:c r="E290" t="s">
        <x:v>361</x:v>
      </x:c>
      <x:c r="F290" t="s">
        <x:v>321</x:v>
      </x:c>
    </x:row>
    <x:row r="291">
      <x:c r="A291">
        <x:v>8477015</x:v>
      </x:c>
      <x:c r="B291" s="4" t="b">
        <x:v>1</x:v>
      </x:c>
      <x:c r="C291" t="s">
        <x:v>647</x:v>
      </x:c>
      <x:c r="D291" t="s">
        <x:v>333</x:v>
      </x:c>
      <x:c r="E291" t="s">
        <x:v>366</x:v>
      </x:c>
      <x:c r="F291" t="s">
        <x:v>321</x:v>
      </x:c>
    </x:row>
    <x:row r="292">
      <x:c r="A292">
        <x:v>8483493</x:v>
      </x:c>
      <x:c r="B292" s="4" t="b">
        <x:v>1</x:v>
      </x:c>
      <x:c r="C292" t="s">
        <x:v>648</x:v>
      </x:c>
      <x:c r="D292" t="s">
        <x:v>323</x:v>
      </x:c>
      <x:c r="E292" t="s">
        <x:v>436</x:v>
      </x:c>
      <x:c r="F292" t="s">
        <x:v>321</x:v>
      </x:c>
    </x:row>
    <x:row r="293">
      <x:c r="A293">
        <x:v>8474102</x:v>
      </x:c>
      <x:c r="B293" s="4" t="b">
        <x:v>1</x:v>
      </x:c>
      <x:c r="C293" t="s">
        <x:v>649</x:v>
      </x:c>
      <x:c r="D293" t="s">
        <x:v>333</x:v>
      </x:c>
      <x:c r="E293" t="s">
        <x:v>368</x:v>
      </x:c>
      <x:c r="F293" t="s">
        <x:v>321</x:v>
      </x:c>
    </x:row>
    <x:row r="294">
      <x:c r="A294">
        <x:v>8482511</x:v>
      </x:c>
      <x:c r="B294" s="4" t="b">
        <x:v>1</x:v>
      </x:c>
      <x:c r="C294" t="s">
        <x:v>650</x:v>
      </x:c>
      <x:c r="D294" t="s">
        <x:v>331</x:v>
      </x:c>
      <x:c r="E294" t="s">
        <x:v>368</x:v>
      </x:c>
      <x:c r="F294" t="s">
        <x:v>321</x:v>
      </x:c>
    </x:row>
    <x:row r="295">
      <x:c r="A295">
        <x:v>8476882</x:v>
      </x:c>
      <x:c r="B295" s="4" t="b">
        <x:v>1</x:v>
      </x:c>
      <x:c r="C295" t="s">
        <x:v>651</x:v>
      </x:c>
      <x:c r="D295" t="s">
        <x:v>329</x:v>
      </x:c>
      <x:c r="E295" t="s">
        <x:v>334</x:v>
      </x:c>
      <x:c r="F295" t="s">
        <x:v>321</x:v>
      </x:c>
    </x:row>
    <x:row r="296">
      <x:c r="A296">
        <x:v>8482745</x:v>
      </x:c>
      <x:c r="B296" s="4" t="b">
        <x:v>1</x:v>
      </x:c>
      <x:c r="C296" t="s">
        <x:v>652</x:v>
      </x:c>
      <x:c r="D296" t="s">
        <x:v>339</x:v>
      </x:c>
      <x:c r="E296" t="s">
        <x:v>396</x:v>
      </x:c>
      <x:c r="F296" t="s">
        <x:v>321</x:v>
      </x:c>
    </x:row>
    <x:row r="297">
      <x:c r="A297">
        <x:v>8482089</x:v>
      </x:c>
      <x:c r="B297" s="4" t="b">
        <x:v>1</x:v>
      </x:c>
      <x:c r="C297" t="s">
        <x:v>653</x:v>
      </x:c>
      <x:c r="D297" t="s">
        <x:v>333</x:v>
      </x:c>
      <x:c r="E297" t="s">
        <x:v>396</x:v>
      </x:c>
      <x:c r="F297" t="s">
        <x:v>321</x:v>
      </x:c>
    </x:row>
    <x:row r="298">
      <x:c r="A298">
        <x:v>8477845</x:v>
      </x:c>
      <x:c r="B298" s="4" t="b">
        <x:v>1</x:v>
      </x:c>
      <x:c r="C298" t="s">
        <x:v>654</x:v>
      </x:c>
      <x:c r="D298" t="s">
        <x:v>331</x:v>
      </x:c>
      <x:c r="E298" t="s">
        <x:v>350</x:v>
      </x:c>
      <x:c r="F298" t="s">
        <x:v>321</x:v>
      </x:c>
    </x:row>
    <x:row r="299">
      <x:c r="A299">
        <x:v>8482475</x:v>
      </x:c>
      <x:c r="B299" s="4" t="b">
        <x:v>1</x:v>
      </x:c>
      <x:c r="C299" t="s">
        <x:v>655</x:v>
      </x:c>
      <x:c r="D299" t="s">
        <x:v>333</x:v>
      </x:c>
      <x:c r="E299" t="s">
        <x:v>350</x:v>
      </x:c>
      <x:c r="F299" t="s">
        <x:v>321</x:v>
      </x:c>
    </x:row>
    <x:row r="300">
      <x:c r="A300">
        <x:v>8479398</x:v>
      </x:c>
      <x:c r="B300" s="4" t="b">
        <x:v>1</x:v>
      </x:c>
      <x:c r="C300" t="s">
        <x:v>656</x:v>
      </x:c>
      <x:c r="D300" t="s">
        <x:v>331</x:v>
      </x:c>
      <x:c r="E300" t="s">
        <x:v>350</x:v>
      </x:c>
      <x:c r="F300" t="s">
        <x:v>321</x:v>
      </x:c>
    </x:row>
    <x:row r="301">
      <x:c r="A301">
        <x:v>8473507</x:v>
      </x:c>
      <x:c r="B301" s="4" t="b">
        <x:v>1</x:v>
      </x:c>
      <x:c r="C301" t="s">
        <x:v>657</x:v>
      </x:c>
      <x:c r="D301" t="s">
        <x:v>331</x:v>
      </x:c>
      <x:c r="E301" t="s">
        <x:v>340</x:v>
      </x:c>
      <x:c r="F301" t="s">
        <x:v>321</x:v>
      </x:c>
    </x:row>
    <x:row r="302">
      <x:c r="A302">
        <x:v>8475790</x:v>
      </x:c>
      <x:c r="B302" s="4" t="b">
        <x:v>1</x:v>
      </x:c>
      <x:c r="C302" t="s">
        <x:v>658</x:v>
      </x:c>
      <x:c r="D302" t="s">
        <x:v>331</x:v>
      </x:c>
      <x:c r="E302" t="s">
        <x:v>337</x:v>
      </x:c>
      <x:c r="F302" t="s">
        <x:v>321</x:v>
      </x:c>
    </x:row>
    <x:row r="303">
      <x:c r="A303">
        <x:v>8477429</x:v>
      </x:c>
      <x:c r="B303" s="4" t="b">
        <x:v>1</x:v>
      </x:c>
      <x:c r="C303" t="s">
        <x:v>659</x:v>
      </x:c>
      <x:c r="D303" t="s">
        <x:v>329</x:v>
      </x:c>
      <x:c r="E303" t="s">
        <x:v>368</x:v>
      </x:c>
      <x:c r="F303" t="s">
        <x:v>321</x:v>
      </x:c>
    </x:row>
    <x:row r="304">
      <x:c r="A304">
        <x:v>8481006</x:v>
      </x:c>
      <x:c r="B304" s="4" t="b">
        <x:v>1</x:v>
      </x:c>
      <x:c r="C304" t="s">
        <x:v>660</x:v>
      </x:c>
      <x:c r="D304" t="s">
        <x:v>331</x:v>
      </x:c>
      <x:c r="E304" t="s">
        <x:v>396</x:v>
      </x:c>
      <x:c r="F304" t="s">
        <x:v>321</x:v>
      </x:c>
    </x:row>
    <x:row r="305">
      <x:c r="A305">
        <x:v>8482730</x:v>
      </x:c>
      <x:c r="B305" s="4" t="b">
        <x:v>1</x:v>
      </x:c>
      <x:c r="C305" t="s">
        <x:v>661</x:v>
      </x:c>
      <x:c r="D305" t="s">
        <x:v>331</x:v>
      </x:c>
      <x:c r="E305" t="s">
        <x:v>379</x:v>
      </x:c>
      <x:c r="F305" t="s">
        <x:v>321</x:v>
      </x:c>
    </x:row>
    <x:row r="306">
      <x:c r="A306">
        <x:v>8478498</x:v>
      </x:c>
      <x:c r="B306" s="4" t="b">
        <x:v>1</x:v>
      </x:c>
      <x:c r="C306" t="s">
        <x:v>662</x:v>
      </x:c>
      <x:c r="D306" t="s">
        <x:v>333</x:v>
      </x:c>
      <x:c r="E306" t="s">
        <x:v>420</x:v>
      </x:c>
      <x:c r="F306" t="s">
        <x:v>321</x:v>
      </x:c>
    </x:row>
    <x:row r="307">
      <x:c r="A307">
        <x:v>8480950</x:v>
      </x:c>
      <x:c r="B307" s="4" t="b">
        <x:v>1</x:v>
      </x:c>
      <x:c r="C307" t="s">
        <x:v>663</x:v>
      </x:c>
      <x:c r="D307" t="s">
        <x:v>331</x:v>
      </x:c>
      <x:c r="E307" t="s">
        <x:v>372</x:v>
      </x:c>
      <x:c r="F307" t="s">
        <x:v>321</x:v>
      </x:c>
    </x:row>
    <x:row r="308">
      <x:c r="A308">
        <x:v>8483490</x:v>
      </x:c>
      <x:c r="B308" s="4" t="b">
        <x:v>1</x:v>
      </x:c>
      <x:c r="C308" t="s">
        <x:v>664</x:v>
      </x:c>
      <x:c r="D308" t="s">
        <x:v>331</x:v>
      </x:c>
      <x:c r="E308" t="s">
        <x:v>393</x:v>
      </x:c>
      <x:c r="F308" t="s">
        <x:v>321</x:v>
      </x:c>
    </x:row>
    <x:row r="309">
      <x:c r="A309">
        <x:v>8479324</x:v>
      </x:c>
      <x:c r="B309" s="4" t="b">
        <x:v>1</x:v>
      </x:c>
      <x:c r="C309" t="s">
        <x:v>665</x:v>
      </x:c>
      <x:c r="D309" t="s">
        <x:v>331</x:v>
      </x:c>
      <x:c r="E309" t="s">
        <x:v>481</x:v>
      </x:c>
      <x:c r="F309" t="s">
        <x:v>321</x:v>
      </x:c>
    </x:row>
    <x:row r="310">
      <x:c r="A310">
        <x:v>8479400</x:v>
      </x:c>
      <x:c r="B310" s="4" t="b">
        <x:v>1</x:v>
      </x:c>
      <x:c r="C310" t="s">
        <x:v>666</x:v>
      </x:c>
      <x:c r="D310" t="s">
        <x:v>339</x:v>
      </x:c>
      <x:c r="E310" t="s">
        <x:v>402</x:v>
      </x:c>
      <x:c r="F310" t="s">
        <x:v>321</x:v>
      </x:c>
    </x:row>
    <x:row r="311">
      <x:c r="A311">
        <x:v>8476826</x:v>
      </x:c>
      <x:c r="B311" s="4" t="b">
        <x:v>1</x:v>
      </x:c>
      <x:c r="C311" t="s">
        <x:v>667</x:v>
      </x:c>
      <x:c r="D311" t="s">
        <x:v>329</x:v>
      </x:c>
      <x:c r="E311" t="s">
        <x:v>327</x:v>
      </x:c>
      <x:c r="F311" t="s">
        <x:v>321</x:v>
      </x:c>
    </x:row>
    <x:row r="312">
      <x:c r="A312">
        <x:v>8479369</x:v>
      </x:c>
      <x:c r="B312" s="4" t="b">
        <x:v>1</x:v>
      </x:c>
      <x:c r="C312" t="s">
        <x:v>668</x:v>
      </x:c>
      <x:c r="D312" t="s">
        <x:v>331</x:v>
      </x:c>
      <x:c r="E312" t="s">
        <x:v>364</x:v>
      </x:c>
      <x:c r="F312" t="s">
        <x:v>321</x:v>
      </x:c>
    </x:row>
    <x:row r="313">
      <x:c r="A313">
        <x:v>8482803</x:v>
      </x:c>
      <x:c r="B313" s="4" t="b">
        <x:v>1</x:v>
      </x:c>
      <x:c r="C313" t="s">
        <x:v>669</x:v>
      </x:c>
      <x:c r="D313" t="s">
        <x:v>331</x:v>
      </x:c>
      <x:c r="E313" t="s">
        <x:v>361</x:v>
      </x:c>
      <x:c r="F313" t="s">
        <x:v>321</x:v>
      </x:c>
    </x:row>
    <x:row r="314">
      <x:c r="A314">
        <x:v>8482097</x:v>
      </x:c>
      <x:c r="B314" s="4" t="b">
        <x:v>1</x:v>
      </x:c>
      <x:c r="C314" t="s">
        <x:v>670</x:v>
      </x:c>
      <x:c r="D314" t="s">
        <x:v>333</x:v>
      </x:c>
      <x:c r="E314" t="s">
        <x:v>361</x:v>
      </x:c>
      <x:c r="F314" t="s">
        <x:v>321</x:v>
      </x:c>
    </x:row>
    <x:row r="315">
      <x:c r="A315">
        <x:v>8475768</x:v>
      </x:c>
      <x:c r="B315" s="4" t="b">
        <x:v>1</x:v>
      </x:c>
      <x:c r="C315" t="s">
        <x:v>671</x:v>
      </x:c>
      <x:c r="D315" t="s">
        <x:v>339</x:v>
      </x:c>
      <x:c r="E315" t="s">
        <x:v>324</x:v>
      </x:c>
      <x:c r="F315" t="s">
        <x:v>321</x:v>
      </x:c>
    </x:row>
    <x:row r="316">
      <x:c r="A316">
        <x:v>8477488</x:v>
      </x:c>
      <x:c r="B316" s="4" t="b">
        <x:v>1</x:v>
      </x:c>
      <x:c r="C316" t="s">
        <x:v>672</x:v>
      </x:c>
      <x:c r="D316" t="s">
        <x:v>331</x:v>
      </x:c>
      <x:c r="E316" t="s">
        <x:v>366</x:v>
      </x:c>
      <x:c r="F316" t="s">
        <x:v>321</x:v>
      </x:c>
    </x:row>
    <x:row r="317">
      <x:c r="A317">
        <x:v>8482110</x:v>
      </x:c>
      <x:c r="B317" s="4" t="b">
        <x:v>1</x:v>
      </x:c>
      <x:c r="C317" t="s">
        <x:v>673</x:v>
      </x:c>
      <x:c r="D317" t="s">
        <x:v>323</x:v>
      </x:c>
      <x:c r="E317" t="s">
        <x:v>356</x:v>
      </x:c>
      <x:c r="F317" t="s">
        <x:v>321</x:v>
      </x:c>
    </x:row>
    <x:row r="318">
      <x:c r="A318">
        <x:v>8478399</x:v>
      </x:c>
      <x:c r="B318" s="4" t="b">
        <x:v>1</x:v>
      </x:c>
      <x:c r="C318" t="s">
        <x:v>674</x:v>
      </x:c>
      <x:c r="D318" t="s">
        <x:v>331</x:v>
      </x:c>
      <x:c r="E318" t="s">
        <x:v>366</x:v>
      </x:c>
      <x:c r="F318" t="s">
        <x:v>321</x:v>
      </x:c>
    </x:row>
    <x:row r="319">
      <x:c r="A319">
        <x:v>8481716</x:v>
      </x:c>
      <x:c r="B319" s="4" t="b">
        <x:v>1</x:v>
      </x:c>
      <x:c r="C319" t="s">
        <x:v>675</x:v>
      </x:c>
      <x:c r="D319" t="s">
        <x:v>358</x:v>
      </x:c>
      <x:c r="E319" t="s">
        <x:v>337</x:v>
      </x:c>
      <x:c r="F319" t="s">
        <x:v>321</x:v>
      </x:c>
    </x:row>
    <x:row r="320">
      <x:c r="A320">
        <x:v>8478859</x:v>
      </x:c>
      <x:c r="B320" s="4" t="b">
        <x:v>1</x:v>
      </x:c>
      <x:c r="C320" t="s">
        <x:v>676</x:v>
      </x:c>
      <x:c r="D320" t="s">
        <x:v>331</x:v>
      </x:c>
      <x:c r="E320" t="s">
        <x:v>400</x:v>
      </x:c>
      <x:c r="F320" t="s">
        <x:v>321</x:v>
      </x:c>
    </x:row>
    <x:row r="321">
      <x:c r="A321">
        <x:v>8479675</x:v>
      </x:c>
      <x:c r="B321" s="4" t="b">
        <x:v>1</x:v>
      </x:c>
      <x:c r="C321" t="s">
        <x:v>677</x:v>
      </x:c>
      <x:c r="D321" t="s">
        <x:v>329</x:v>
      </x:c>
      <x:c r="E321" t="s">
        <x:v>379</x:v>
      </x:c>
      <x:c r="F321" t="s">
        <x:v>321</x:v>
      </x:c>
    </x:row>
    <x:row r="322">
      <x:c r="A322">
        <x:v>8484145</x:v>
      </x:c>
      <x:c r="B322" s="4" t="b">
        <x:v>1</x:v>
      </x:c>
      <x:c r="C322" t="s">
        <x:v>678</x:v>
      </x:c>
      <x:c r="D322" t="s">
        <x:v>333</x:v>
      </x:c>
      <x:c r="E322" t="s">
        <x:v>361</x:v>
      </x:c>
      <x:c r="F322" t="s">
        <x:v>321</x:v>
      </x:c>
    </x:row>
    <x:row r="323">
      <x:c r="A323">
        <x:v>8481554</x:v>
      </x:c>
      <x:c r="B323" s="4" t="b">
        <x:v>1</x:v>
      </x:c>
      <x:c r="C323" t="s">
        <x:v>679</x:v>
      </x:c>
      <x:c r="D323" t="s">
        <x:v>333</x:v>
      </x:c>
      <x:c r="E323" t="s">
        <x:v>481</x:v>
      </x:c>
      <x:c r="F323" t="s">
        <x:v>321</x:v>
      </x:c>
    </x:row>
    <x:row r="324">
      <x:c r="A324">
        <x:v>8480009</x:v>
      </x:c>
      <x:c r="B324" s="4" t="b">
        <x:v>1</x:v>
      </x:c>
      <x:c r="C324" t="s">
        <x:v>680</x:v>
      </x:c>
      <x:c r="D324" t="s">
        <x:v>333</x:v>
      </x:c>
      <x:c r="E324" t="s">
        <x:v>439</x:v>
      </x:c>
      <x:c r="F324" t="s">
        <x:v>321</x:v>
      </x:c>
    </x:row>
    <x:row r="325">
      <x:c r="A325">
        <x:v>8476891</x:v>
      </x:c>
      <x:c r="B325" s="4" t="b">
        <x:v>1</x:v>
      </x:c>
      <x:c r="C325" t="s">
        <x:v>681</x:v>
      </x:c>
      <x:c r="D325" t="s">
        <x:v>331</x:v>
      </x:c>
      <x:c r="E325" t="s">
        <x:v>370</x:v>
      </x:c>
      <x:c r="F325" t="s">
        <x:v>321</x:v>
      </x:c>
    </x:row>
    <x:row r="326">
      <x:c r="A326">
        <x:v>8482146</x:v>
      </x:c>
      <x:c r="B326" s="4" t="b">
        <x:v>1</x:v>
      </x:c>
      <x:c r="C326" t="s">
        <x:v>682</x:v>
      </x:c>
      <x:c r="D326" t="s">
        <x:v>326</x:v>
      </x:c>
      <x:c r="E326" t="s">
        <x:v>372</x:v>
      </x:c>
      <x:c r="F326" t="s">
        <x:v>321</x:v>
      </x:c>
    </x:row>
    <x:row r="327">
      <x:c r="A327">
        <x:v>8480049</x:v>
      </x:c>
      <x:c r="B327" s="4" t="b">
        <x:v>1</x:v>
      </x:c>
      <x:c r="C327" t="s">
        <x:v>683</x:v>
      </x:c>
      <x:c r="D327" t="s">
        <x:v>331</x:v>
      </x:c>
      <x:c r="E327" t="s">
        <x:v>348</x:v>
      </x:c>
      <x:c r="F327" t="s">
        <x:v>321</x:v>
      </x:c>
    </x:row>
    <x:row r="328">
      <x:c r="A328">
        <x:v>8479999</x:v>
      </x:c>
      <x:c r="B328" s="4" t="b">
        <x:v>1</x:v>
      </x:c>
      <x:c r="C328" t="s">
        <x:v>684</x:v>
      </x:c>
      <x:c r="D328" t="s">
        <x:v>339</x:v>
      </x:c>
      <x:c r="E328" t="s">
        <x:v>334</x:v>
      </x:c>
      <x:c r="F328" t="s">
        <x:v>321</x:v>
      </x:c>
    </x:row>
    <x:row r="329">
      <x:c r="A329">
        <x:v>8482095</x:v>
      </x:c>
      <x:c r="B329" s="4" t="b">
        <x:v>1</x:v>
      </x:c>
      <x:c r="C329" t="s">
        <x:v>685</x:v>
      </x:c>
      <x:c r="D329" t="s">
        <x:v>331</x:v>
      </x:c>
      <x:c r="E329" t="s">
        <x:v>370</x:v>
      </x:c>
      <x:c r="F329" t="s">
        <x:v>321</x:v>
      </x:c>
    </x:row>
    <x:row r="330">
      <x:c r="A330">
        <x:v>8479671</x:v>
      </x:c>
      <x:c r="B330" s="4" t="b">
        <x:v>1</x:v>
      </x:c>
      <x:c r="C330" t="s">
        <x:v>686</x:v>
      </x:c>
      <x:c r="D330" t="s">
        <x:v>326</x:v>
      </x:c>
      <x:c r="E330" t="s">
        <x:v>337</x:v>
      </x:c>
      <x:c r="F330" t="s">
        <x:v>321</x:v>
      </x:c>
    </x:row>
    <x:row r="331">
      <x:c r="A331">
        <x:v>8479371</x:v>
      </x:c>
      <x:c r="B331" s="4" t="b">
        <x:v>1</x:v>
      </x:c>
      <x:c r="C331" t="s">
        <x:v>687</x:v>
      </x:c>
      <x:c r="D331" t="s">
        <x:v>331</x:v>
      </x:c>
      <x:c r="E331" t="s">
        <x:v>337</x:v>
      </x:c>
      <x:c r="F331" t="s">
        <x:v>321</x:v>
      </x:c>
    </x:row>
    <x:row r="332">
      <x:c r="A332">
        <x:v>8477369</x:v>
      </x:c>
      <x:c r="B332" s="4" t="b">
        <x:v>1</x:v>
      </x:c>
      <x:c r="C332" t="s">
        <x:v>688</x:v>
      </x:c>
      <x:c r="D332" t="s">
        <x:v>331</x:v>
      </x:c>
      <x:c r="E332" t="s">
        <x:v>337</x:v>
      </x:c>
      <x:c r="F332" t="s">
        <x:v>321</x:v>
      </x:c>
    </x:row>
    <x:row r="333">
      <x:c r="A333">
        <x:v>8484186</x:v>
      </x:c>
      <x:c r="B333" s="4" t="b">
        <x:v>1</x:v>
      </x:c>
      <x:c r="C333" t="s">
        <x:v>689</x:v>
      </x:c>
      <x:c r="D333" t="s">
        <x:v>326</x:v>
      </x:c>
      <x:c r="E333" t="s">
        <x:v>402</x:v>
      </x:c>
      <x:c r="F333" t="s">
        <x:v>321</x:v>
      </x:c>
    </x:row>
    <x:row r="334">
      <x:c r="A334">
        <x:v>8484911</x:v>
      </x:c>
      <x:c r="B334" s="4" t="b">
        <x:v>1</x:v>
      </x:c>
      <x:c r="C334" t="s">
        <x:v>690</x:v>
      </x:c>
      <x:c r="D334" t="s">
        <x:v>326</x:v>
      </x:c>
      <x:c r="E334" t="s">
        <x:v>340</x:v>
      </x:c>
      <x:c r="F334" t="s">
        <x:v>321</x:v>
      </x:c>
    </x:row>
    <x:row r="335">
      <x:c r="A335">
        <x:v>8482858</x:v>
      </x:c>
      <x:c r="B335" s="4" t="b">
        <x:v>1</x:v>
      </x:c>
      <x:c r="C335" t="s">
        <x:v>691</x:v>
      </x:c>
      <x:c r="D335" t="s">
        <x:v>331</x:v>
      </x:c>
      <x:c r="E335" t="s">
        <x:v>481</x:v>
      </x:c>
      <x:c r="F335" t="s">
        <x:v>321</x:v>
      </x:c>
    </x:row>
    <x:row r="336">
      <x:c r="A336">
        <x:v>8478458</x:v>
      </x:c>
      <x:c r="B336" s="4" t="b">
        <x:v>1</x:v>
      </x:c>
      <x:c r="C336" t="s">
        <x:v>692</x:v>
      </x:c>
      <x:c r="D336" t="s">
        <x:v>323</x:v>
      </x:c>
      <x:c r="E336" t="s">
        <x:v>352</x:v>
      </x:c>
      <x:c r="F336" t="s">
        <x:v>321</x:v>
      </x:c>
    </x:row>
    <x:row r="337">
      <x:c r="A337">
        <x:v>8473986</x:v>
      </x:c>
      <x:c r="B337" s="4" t="b">
        <x:v>1</x:v>
      </x:c>
      <x:c r="C337" t="s">
        <x:v>693</x:v>
      </x:c>
      <x:c r="D337" t="s">
        <x:v>333</x:v>
      </x:c>
      <x:c r="E337" t="s">
        <x:v>393</x:v>
      </x:c>
      <x:c r="F337" t="s">
        <x:v>321</x:v>
      </x:c>
    </x:row>
    <x:row r="338">
      <x:c r="A338">
        <x:v>8482679</x:v>
      </x:c>
      <x:c r="B338" s="4" t="b">
        <x:v>1</x:v>
      </x:c>
      <x:c r="C338" t="s">
        <x:v>694</x:v>
      </x:c>
      <x:c r="D338" t="s">
        <x:v>333</x:v>
      </x:c>
      <x:c r="E338" t="s">
        <x:v>576</x:v>
      </x:c>
      <x:c r="F338" t="s">
        <x:v>321</x:v>
      </x:c>
    </x:row>
    <x:row r="339">
      <x:c r="A339">
        <x:v>8476429</x:v>
      </x:c>
      <x:c r="B339" s="4" t="b">
        <x:v>1</x:v>
      </x:c>
      <x:c r="C339" t="s">
        <x:v>695</x:v>
      </x:c>
      <x:c r="D339" t="s">
        <x:v>331</x:v>
      </x:c>
      <x:c r="E339" t="s">
        <x:v>439</x:v>
      </x:c>
      <x:c r="F339" t="s">
        <x:v>321</x:v>
      </x:c>
    </x:row>
    <x:row r="340">
      <x:c r="A340">
        <x:v>8476874</x:v>
      </x:c>
      <x:c r="B340" s="4" t="b">
        <x:v>1</x:v>
      </x:c>
      <x:c r="C340" t="s">
        <x:v>696</x:v>
      </x:c>
      <x:c r="D340" t="s">
        <x:v>331</x:v>
      </x:c>
      <x:c r="E340" t="s">
        <x:v>345</x:v>
      </x:c>
      <x:c r="F340" t="s">
        <x:v>321</x:v>
      </x:c>
    </x:row>
    <x:row r="341">
      <x:c r="A341">
        <x:v>8481601</x:v>
      </x:c>
      <x:c r="B341" s="4" t="b">
        <x:v>1</x:v>
      </x:c>
      <x:c r="C341" t="s">
        <x:v>697</x:v>
      </x:c>
      <x:c r="D341" t="s">
        <x:v>333</x:v>
      </x:c>
      <x:c r="E341" t="s">
        <x:v>439</x:v>
      </x:c>
      <x:c r="F341" t="s">
        <x:v>321</x:v>
      </x:c>
    </x:row>
    <x:row r="342">
      <x:c r="A342">
        <x:v>8475208</x:v>
      </x:c>
      <x:c r="B342" s="4" t="b">
        <x:v>1</x:v>
      </x:c>
      <x:c r="C342" t="s">
        <x:v>698</x:v>
      </x:c>
      <x:c r="D342" t="s">
        <x:v>331</x:v>
      </x:c>
      <x:c r="E342" t="s">
        <x:v>379</x:v>
      </x:c>
      <x:c r="F342" t="s">
        <x:v>321</x:v>
      </x:c>
    </x:row>
    <x:row r="343">
      <x:c r="A343">
        <x:v>8478970</x:v>
      </x:c>
      <x:c r="B343" s="4" t="b">
        <x:v>1</x:v>
      </x:c>
      <x:c r="C343" t="s">
        <x:v>699</x:v>
      </x:c>
      <x:c r="D343" t="s">
        <x:v>331</x:v>
      </x:c>
      <x:c r="E343" t="s">
        <x:v>386</x:v>
      </x:c>
      <x:c r="F343" t="s">
        <x:v>321</x:v>
      </x:c>
    </x:row>
    <x:row r="344">
      <x:c r="A344">
        <x:v>8479980</x:v>
      </x:c>
      <x:c r="B344" s="4" t="b">
        <x:v>1</x:v>
      </x:c>
      <x:c r="C344" t="s">
        <x:v>700</x:v>
      </x:c>
      <x:c r="D344" t="s">
        <x:v>331</x:v>
      </x:c>
      <x:c r="E344" t="s">
        <x:v>372</x:v>
      </x:c>
      <x:c r="F344" t="s">
        <x:v>321</x:v>
      </x:c>
    </x:row>
    <x:row r="345">
      <x:c r="A345">
        <x:v>8479576</x:v>
      </x:c>
      <x:c r="B345" s="4" t="b">
        <x:v>1</x:v>
      </x:c>
      <x:c r="C345" t="s">
        <x:v>701</x:v>
      </x:c>
      <x:c r="D345" t="s">
        <x:v>331</x:v>
      </x:c>
      <x:c r="E345" t="s">
        <x:v>402</x:v>
      </x:c>
      <x:c r="F345" t="s">
        <x:v>321</x:v>
      </x:c>
    </x:row>
    <x:row r="346">
      <x:c r="A346">
        <x:v>8482087</x:v>
      </x:c>
      <x:c r="B346" s="4" t="b">
        <x:v>1</x:v>
      </x:c>
      <x:c r="C346" t="s">
        <x:v>702</x:v>
      </x:c>
      <x:c r="D346" t="s">
        <x:v>331</x:v>
      </x:c>
      <x:c r="E346" t="s">
        <x:v>356</x:v>
      </x:c>
      <x:c r="F346" t="s">
        <x:v>321</x:v>
      </x:c>
    </x:row>
    <x:row r="347">
      <x:c r="A347">
        <x:v>8481525</x:v>
      </x:c>
      <x:c r="B347" s="4" t="b">
        <x:v>1</x:v>
      </x:c>
      <x:c r="C347" t="s">
        <x:v>703</x:v>
      </x:c>
      <x:c r="D347" t="s">
        <x:v>331</x:v>
      </x:c>
      <x:c r="E347" t="s">
        <x:v>383</x:v>
      </x:c>
      <x:c r="F347" t="s">
        <x:v>321</x:v>
      </x:c>
    </x:row>
    <x:row r="348">
      <x:c r="A348">
        <x:v>8482175</x:v>
      </x:c>
      <x:c r="B348" s="4" t="b">
        <x:v>1</x:v>
      </x:c>
      <x:c r="C348" t="s">
        <x:v>704</x:v>
      </x:c>
      <x:c r="D348" t="s">
        <x:v>333</x:v>
      </x:c>
      <x:c r="E348" t="s">
        <x:v>334</x:v>
      </x:c>
      <x:c r="F348" t="s">
        <x:v>321</x:v>
      </x:c>
    </x:row>
    <x:row r="349">
      <x:c r="A349">
        <x:v>8478443</x:v>
      </x:c>
      <x:c r="B349" s="4" t="b">
        <x:v>1</x:v>
      </x:c>
      <x:c r="C349" t="s">
        <x:v>705</x:v>
      </x:c>
      <x:c r="D349" t="s">
        <x:v>331</x:v>
      </x:c>
      <x:c r="E349" t="s">
        <x:v>396</x:v>
      </x:c>
      <x:c r="F349" t="s">
        <x:v>321</x:v>
      </x:c>
    </x:row>
    <x:row r="350">
      <x:c r="A350">
        <x:v>8479638</x:v>
      </x:c>
      <x:c r="B350" s="4" t="b">
        <x:v>1</x:v>
      </x:c>
      <x:c r="C350" t="s">
        <x:v>706</x:v>
      </x:c>
      <x:c r="D350" t="s">
        <x:v>333</x:v>
      </x:c>
      <x:c r="E350" t="s">
        <x:v>350</x:v>
      </x:c>
      <x:c r="F350" t="s">
        <x:v>321</x:v>
      </x:c>
    </x:row>
    <x:row r="351">
      <x:c r="A351">
        <x:v>8484783</x:v>
      </x:c>
      <x:c r="B351" s="4" t="b">
        <x:v>1</x:v>
      </x:c>
      <x:c r="C351" t="s">
        <x:v>707</x:v>
      </x:c>
      <x:c r="D351" t="s">
        <x:v>331</x:v>
      </x:c>
      <x:c r="E351" t="s">
        <x:v>436</x:v>
      </x:c>
      <x:c r="F351" t="s">
        <x:v>321</x:v>
      </x:c>
    </x:row>
    <x:row r="352">
      <x:c r="A352">
        <x:v>8476392</x:v>
      </x:c>
      <x:c r="B352" s="4" t="b">
        <x:v>1</x:v>
      </x:c>
      <x:c r="C352" t="s">
        <x:v>708</x:v>
      </x:c>
      <x:c r="D352" t="s">
        <x:v>339</x:v>
      </x:c>
      <x:c r="E352" t="s">
        <x:v>348</x:v>
      </x:c>
      <x:c r="F352" t="s">
        <x:v>321</x:v>
      </x:c>
    </x:row>
    <x:row r="353">
      <x:c r="A353">
        <x:v>8476879</x:v>
      </x:c>
      <x:c r="B353" s="4" t="b">
        <x:v>1</x:v>
      </x:c>
      <x:c r="C353" t="s">
        <x:v>709</x:v>
      </x:c>
      <x:c r="D353" t="s">
        <x:v>331</x:v>
      </x:c>
      <x:c r="E353" t="s">
        <x:v>379</x:v>
      </x:c>
      <x:c r="F353" t="s">
        <x:v>321</x:v>
      </x:c>
    </x:row>
    <x:row r="354">
      <x:c r="A354">
        <x:v>8477451</x:v>
      </x:c>
      <x:c r="B354" s="4" t="b">
        <x:v>1</x:v>
      </x:c>
      <x:c r="C354" t="s">
        <x:v>710</x:v>
      </x:c>
      <x:c r="D354" t="s">
        <x:v>323</x:v>
      </x:c>
      <x:c r="E354" t="s">
        <x:v>345</x:v>
      </x:c>
      <x:c r="F354" t="s">
        <x:v>321</x:v>
      </x:c>
    </x:row>
    <x:row r="355">
      <x:c r="A355">
        <x:v>8482809</x:v>
      </x:c>
      <x:c r="B355" s="4" t="b">
        <x:v>1</x:v>
      </x:c>
      <x:c r="C355" t="s">
        <x:v>711</x:v>
      </x:c>
      <x:c r="D355" t="s">
        <x:v>326</x:v>
      </x:c>
      <x:c r="E355" t="s">
        <x:v>386</x:v>
      </x:c>
      <x:c r="F355" t="s">
        <x:v>321</x:v>
      </x:c>
    </x:row>
    <x:row r="356">
      <x:c r="A356">
        <x:v>8483565</x:v>
      </x:c>
      <x:c r="B356" s="4" t="b">
        <x:v>1</x:v>
      </x:c>
      <x:c r="C356" t="s">
        <x:v>712</x:v>
      </x:c>
      <x:c r="D356" t="s">
        <x:v>331</x:v>
      </x:c>
      <x:c r="E356" t="s">
        <x:v>386</x:v>
      </x:c>
      <x:c r="F356" t="s">
        <x:v>321</x:v>
      </x:c>
    </x:row>
    <x:row r="357">
      <x:c r="A357">
        <x:v>8475324</x:v>
      </x:c>
      <x:c r="B357" s="4" t="b">
        <x:v>1</x:v>
      </x:c>
      <x:c r="C357" t="s">
        <x:v>713</x:v>
      </x:c>
      <x:c r="D357" t="s">
        <x:v>331</x:v>
      </x:c>
      <x:c r="E357" t="s">
        <x:v>393</x:v>
      </x:c>
      <x:c r="F357" t="s">
        <x:v>321</x:v>
      </x:c>
    </x:row>
    <x:row r="358">
      <x:c r="A358">
        <x:v>8479442</x:v>
      </x:c>
      <x:c r="B358" s="4" t="b">
        <x:v>1</x:v>
      </x:c>
      <x:c r="C358" t="s">
        <x:v>714</x:v>
      </x:c>
      <x:c r="D358" t="s">
        <x:v>331</x:v>
      </x:c>
      <x:c r="E358" t="s">
        <x:v>320</x:v>
      </x:c>
      <x:c r="F358" t="s">
        <x:v>321</x:v>
      </x:c>
    </x:row>
    <x:row r="359">
      <x:c r="A359">
        <x:v>8482665</x:v>
      </x:c>
      <x:c r="B359" s="4" t="b">
        <x:v>1</x:v>
      </x:c>
      <x:c r="C359" t="s">
        <x:v>715</x:v>
      </x:c>
      <x:c r="D359" t="s">
        <x:v>319</x:v>
      </x:c>
      <x:c r="E359" t="s">
        <x:v>481</x:v>
      </x:c>
      <x:c r="F359" t="s">
        <x:v>321</x:v>
      </x:c>
    </x:row>
    <x:row r="360">
      <x:c r="A360">
        <x:v>8476872</x:v>
      </x:c>
      <x:c r="B360" s="4" t="b">
        <x:v>1</x:v>
      </x:c>
      <x:c r="C360" t="s">
        <x:v>716</x:v>
      </x:c>
      <x:c r="D360" t="s">
        <x:v>339</x:v>
      </x:c>
      <x:c r="E360" t="s">
        <x:v>379</x:v>
      </x:c>
      <x:c r="F360" t="s">
        <x:v>321</x:v>
      </x:c>
    </x:row>
    <x:row r="361">
      <x:c r="A361">
        <x:v>8475287</x:v>
      </x:c>
      <x:c r="B361" s="4" t="b">
        <x:v>1</x:v>
      </x:c>
      <x:c r="C361" t="s">
        <x:v>717</x:v>
      </x:c>
      <x:c r="D361" t="s">
        <x:v>339</x:v>
      </x:c>
      <x:c r="E361" t="s">
        <x:v>379</x:v>
      </x:c>
      <x:c r="F361" t="s">
        <x:v>321</x:v>
      </x:c>
    </x:row>
    <x:row r="362">
      <x:c r="A362">
        <x:v>8483495</x:v>
      </x:c>
      <x:c r="B362" s="4" t="b">
        <x:v>1</x:v>
      </x:c>
      <x:c r="C362" t="s">
        <x:v>718</x:v>
      </x:c>
      <x:c r="D362" t="s">
        <x:v>331</x:v>
      </x:c>
      <x:c r="E362" t="s">
        <x:v>576</x:v>
      </x:c>
      <x:c r="F362" t="s">
        <x:v>321</x:v>
      </x:c>
    </x:row>
    <x:row r="363">
      <x:c r="A363">
        <x:v>8482142</x:v>
      </x:c>
      <x:c r="B363" s="4" t="b">
        <x:v>1</x:v>
      </x:c>
      <x:c r="C363" t="s">
        <x:v>719</x:v>
      </x:c>
      <x:c r="D363" t="s">
        <x:v>331</x:v>
      </x:c>
      <x:c r="E363" t="s">
        <x:v>427</x:v>
      </x:c>
      <x:c r="F363" t="s">
        <x:v>321</x:v>
      </x:c>
    </x:row>
    <x:row r="364">
      <x:c r="A364">
        <x:v>8481624</x:v>
      </x:c>
      <x:c r="B364" s="4" t="b">
        <x:v>1</x:v>
      </x:c>
      <x:c r="C364" t="s">
        <x:v>720</x:v>
      </x:c>
      <x:c r="D364" t="s">
        <x:v>333</x:v>
      </x:c>
      <x:c r="E364" t="s">
        <x:v>327</x:v>
      </x:c>
      <x:c r="F364" t="s">
        <x:v>321</x:v>
      </x:c>
    </x:row>
    <x:row r="365">
      <x:c r="A365">
        <x:v>8481122</x:v>
      </x:c>
      <x:c r="B365" s="4" t="b">
        <x:v>1</x:v>
      </x:c>
      <x:c r="C365" t="s">
        <x:v>721</x:v>
      </x:c>
      <x:c r="D365" t="s">
        <x:v>331</x:v>
      </x:c>
      <x:c r="E365" t="s">
        <x:v>427</x:v>
      </x:c>
      <x:c r="F365" t="s">
        <x:v>321</x:v>
      </x:c>
    </x:row>
    <x:row r="366">
      <x:c r="A366">
        <x:v>8475181</x:v>
      </x:c>
      <x:c r="B366" s="4" t="b">
        <x:v>1</x:v>
      </x:c>
      <x:c r="C366" t="s">
        <x:v>722</x:v>
      </x:c>
      <x:c r="D366" t="s">
        <x:v>331</x:v>
      </x:c>
      <x:c r="E366" t="s">
        <x:v>340</x:v>
      </x:c>
      <x:c r="F366" t="s">
        <x:v>321</x:v>
      </x:c>
    </x:row>
    <x:row r="367">
      <x:c r="A367">
        <x:v>8480028</x:v>
      </x:c>
      <x:c r="B367" s="4" t="b">
        <x:v>1</x:v>
      </x:c>
      <x:c r="C367" t="s">
        <x:v>723</x:v>
      </x:c>
      <x:c r="D367" t="s">
        <x:v>339</x:v>
      </x:c>
      <x:c r="E367" t="s">
        <x:v>576</x:v>
      </x:c>
      <x:c r="F367" t="s">
        <x:v>321</x:v>
      </x:c>
    </x:row>
    <x:row r="368">
      <x:c r="A368">
        <x:v>8481219</x:v>
      </x:c>
      <x:c r="B368" s="4" t="b">
        <x:v>1</x:v>
      </x:c>
      <x:c r="C368" t="s">
        <x:v>724</x:v>
      </x:c>
      <x:c r="D368" t="s">
        <x:v>331</x:v>
      </x:c>
      <x:c r="F368" t="s">
        <x:v>321</x:v>
      </x:c>
    </x:row>
    <x:row r="369">
      <x:c r="A369">
        <x:v>8480855</x:v>
      </x:c>
      <x:c r="B369" s="4" t="b">
        <x:v>1</x:v>
      </x:c>
      <x:c r="C369" t="s">
        <x:v>725</x:v>
      </x:c>
      <x:c r="D369" t="s">
        <x:v>339</x:v>
      </x:c>
      <x:c r="E369" t="s">
        <x:v>364</x:v>
      </x:c>
      <x:c r="F369" t="s">
        <x:v>321</x:v>
      </x:c>
    </x:row>
    <x:row r="370">
      <x:c r="A370">
        <x:v>8480113</x:v>
      </x:c>
      <x:c r="B370" s="4" t="b">
        <x:v>1</x:v>
      </x:c>
      <x:c r="C370" t="s">
        <x:v>726</x:v>
      </x:c>
      <x:c r="D370" t="s">
        <x:v>339</x:v>
      </x:c>
      <x:c r="E370" t="s">
        <x:v>348</x:v>
      </x:c>
      <x:c r="F370" t="s">
        <x:v>321</x:v>
      </x:c>
    </x:row>
    <x:row r="371">
      <x:c r="A371">
        <x:v>8474037</x:v>
      </x:c>
      <x:c r="B371" s="4" t="b">
        <x:v>1</x:v>
      </x:c>
      <x:c r="C371" t="s">
        <x:v>727</x:v>
      </x:c>
      <x:c r="D371" t="s">
        <x:v>333</x:v>
      </x:c>
      <x:c r="E371" t="s">
        <x:v>366</x:v>
      </x:c>
      <x:c r="F371" t="s">
        <x:v>321</x:v>
      </x:c>
    </x:row>
    <x:row r="372">
      <x:c r="A372">
        <x:v>8480879</x:v>
      </x:c>
      <x:c r="B372" s="4" t="b">
        <x:v>1</x:v>
      </x:c>
      <x:c r="C372" t="s">
        <x:v>728</x:v>
      </x:c>
      <x:c r="D372" t="s">
        <x:v>331</x:v>
      </x:c>
      <x:c r="E372" t="s">
        <x:v>368</x:v>
      </x:c>
      <x:c r="F372" t="s">
        <x:v>321</x:v>
      </x:c>
    </x:row>
    <x:row r="373">
      <x:c r="A373">
        <x:v>8478438</x:v>
      </x:c>
      <x:c r="B373" s="4" t="b">
        <x:v>1</x:v>
      </x:c>
      <x:c r="C373" t="s">
        <x:v>729</x:v>
      </x:c>
      <x:c r="D373" t="s">
        <x:v>323</x:v>
      </x:c>
      <x:c r="E373" t="s">
        <x:v>350</x:v>
      </x:c>
      <x:c r="F373" t="s">
        <x:v>321</x:v>
      </x:c>
    </x:row>
    <x:row r="374">
      <x:c r="A374">
        <x:v>8480068</x:v>
      </x:c>
      <x:c r="B374" s="4" t="b">
        <x:v>1</x:v>
      </x:c>
      <x:c r="C374" t="s">
        <x:v>730</x:v>
      </x:c>
      <x:c r="D374" t="s">
        <x:v>339</x:v>
      </x:c>
      <x:c r="E374" t="s">
        <x:v>320</x:v>
      </x:c>
      <x:c r="F374" t="s">
        <x:v>321</x:v>
      </x:c>
    </x:row>
    <x:row r="375">
      <x:c r="A375">
        <x:v>8480459</x:v>
      </x:c>
      <x:c r="B375" s="4" t="b">
        <x:v>1</x:v>
      </x:c>
      <x:c r="C375" t="s">
        <x:v>731</x:v>
      </x:c>
      <x:c r="D375" t="s">
        <x:v>329</x:v>
      </x:c>
      <x:c r="E375" t="s">
        <x:v>320</x:v>
      </x:c>
      <x:c r="F375" t="s">
        <x:v>321</x:v>
      </x:c>
    </x:row>
    <x:row r="376">
      <x:c r="A376">
        <x:v>8484223</x:v>
      </x:c>
      <x:c r="B376" s="4" t="b">
        <x:v>1</x:v>
      </x:c>
      <x:c r="C376" t="s">
        <x:v>732</x:v>
      </x:c>
      <x:c r="D376" t="s">
        <x:v>331</x:v>
      </x:c>
      <x:c r="F376" t="s">
        <x:v>321</x:v>
      </x:c>
    </x:row>
    <x:row r="377">
      <x:c r="A377">
        <x:v>8477998</x:v>
      </x:c>
      <x:c r="B377" s="4" t="b">
        <x:v>1</x:v>
      </x:c>
      <x:c r="C377" t="s">
        <x:v>733</x:v>
      </x:c>
      <x:c r="D377" t="s">
        <x:v>339</x:v>
      </x:c>
      <x:c r="E377" t="s">
        <x:v>370</x:v>
      </x:c>
      <x:c r="F377" t="s">
        <x:v>321</x:v>
      </x:c>
    </x:row>
    <x:row r="378">
      <x:c r="A378">
        <x:v>8477503</x:v>
      </x:c>
      <x:c r="B378" s="4" t="b">
        <x:v>1</x:v>
      </x:c>
      <x:c r="C378" t="s">
        <x:v>734</x:v>
      </x:c>
      <x:c r="D378" t="s">
        <x:v>329</x:v>
      </x:c>
      <x:c r="E378" t="s">
        <x:v>352</x:v>
      </x:c>
      <x:c r="F378" t="s">
        <x:v>321</x:v>
      </x:c>
    </x:row>
    <x:row r="379">
      <x:c r="A379">
        <x:v>8483489</x:v>
      </x:c>
      <x:c r="B379" s="4" t="b">
        <x:v>1</x:v>
      </x:c>
      <x:c r="C379" t="s">
        <x:v>735</x:v>
      </x:c>
      <x:c r="D379" t="s">
        <x:v>339</x:v>
      </x:c>
      <x:c r="E379" t="s">
        <x:v>334</x:v>
      </x:c>
      <x:c r="F379" t="s">
        <x:v>321</x:v>
      </x:c>
    </x:row>
    <x:row r="380">
      <x:c r="A380">
        <x:v>8481711</x:v>
      </x:c>
      <x:c r="B380" s="4" t="b">
        <x:v>1</x:v>
      </x:c>
      <x:c r="C380" t="s">
        <x:v>736</x:v>
      </x:c>
      <x:c r="D380" t="s">
        <x:v>333</x:v>
      </x:c>
      <x:c r="E380" t="s">
        <x:v>439</x:v>
      </x:c>
      <x:c r="F380" t="s">
        <x:v>321</x:v>
      </x:c>
    </x:row>
    <x:row r="381">
      <x:c r="A381">
        <x:v>8478462</x:v>
      </x:c>
      <x:c r="B381" s="4" t="b">
        <x:v>1</x:v>
      </x:c>
      <x:c r="C381" t="s">
        <x:v>737</x:v>
      </x:c>
      <x:c r="D381" t="s">
        <x:v>323</x:v>
      </x:c>
      <x:c r="E381" t="s">
        <x:v>324</x:v>
      </x:c>
      <x:c r="F381" t="s">
        <x:v>321</x:v>
      </x:c>
    </x:row>
    <x:row r="382">
      <x:c r="A382">
        <x:v>8479982</x:v>
      </x:c>
      <x:c r="B382" s="4" t="b">
        <x:v>1</x:v>
      </x:c>
      <x:c r="C382" t="s">
        <x:v>738</x:v>
      </x:c>
      <x:c r="D382" t="s">
        <x:v>331</x:v>
      </x:c>
      <x:c r="E382" t="s">
        <x:v>361</x:v>
      </x:c>
      <x:c r="F382" t="s">
        <x:v>321</x:v>
      </x:c>
    </x:row>
    <x:row r="383">
      <x:c r="A383">
        <x:v>8477416</x:v>
      </x:c>
      <x:c r="B383" s="4" t="b">
        <x:v>1</x:v>
      </x:c>
      <x:c r="C383" t="s">
        <x:v>739</x:v>
      </x:c>
      <x:c r="D383" t="s">
        <x:v>333</x:v>
      </x:c>
      <x:c r="E383" t="s">
        <x:v>383</x:v>
      </x:c>
      <x:c r="F383" t="s">
        <x:v>321</x:v>
      </x:c>
    </x:row>
    <x:row r="384">
      <x:c r="A384">
        <x:v>8474567</x:v>
      </x:c>
      <x:c r="B384" s="4" t="b">
        <x:v>1</x:v>
      </x:c>
      <x:c r="C384" t="s">
        <x:v>740</x:v>
      </x:c>
      <x:c r="D384" t="s">
        <x:v>331</x:v>
      </x:c>
      <x:c r="E384" t="s">
        <x:v>345</x:v>
      </x:c>
      <x:c r="F384" t="s">
        <x:v>321</x:v>
      </x:c>
    </x:row>
    <x:row r="385">
      <x:c r="A385">
        <x:v>8483678</x:v>
      </x:c>
      <x:c r="B385" s="4" t="b">
        <x:v>1</x:v>
      </x:c>
      <x:c r="C385" t="s">
        <x:v>741</x:v>
      </x:c>
      <x:c r="D385" t="s">
        <x:v>331</x:v>
      </x:c>
      <x:c r="E385" t="s">
        <x:v>420</x:v>
      </x:c>
      <x:c r="F385" t="s">
        <x:v>321</x:v>
      </x:c>
    </x:row>
    <x:row r="386">
      <x:c r="A386">
        <x:v>8475690</x:v>
      </x:c>
      <x:c r="B386" s="4" t="b">
        <x:v>1</x:v>
      </x:c>
      <x:c r="C386" t="s">
        <x:v>742</x:v>
      </x:c>
      <x:c r="D386" t="s">
        <x:v>331</x:v>
      </x:c>
      <x:c r="E386" t="s">
        <x:v>352</x:v>
      </x:c>
      <x:c r="F386" t="s">
        <x:v>321</x:v>
      </x:c>
    </x:row>
    <x:row r="387">
      <x:c r="A387">
        <x:v>8480448</x:v>
      </x:c>
      <x:c r="B387" s="4" t="b">
        <x:v>1</x:v>
      </x:c>
      <x:c r="C387" t="s">
        <x:v>743</x:v>
      </x:c>
      <x:c r="D387" t="s">
        <x:v>339</x:v>
      </x:c>
      <x:c r="E387" t="s">
        <x:v>324</x:v>
      </x:c>
      <x:c r="F387" t="s">
        <x:v>321</x:v>
      </x:c>
    </x:row>
    <x:row r="388">
      <x:c r="A388">
        <x:v>8477426</x:v>
      </x:c>
      <x:c r="B388" s="4" t="b">
        <x:v>1</x:v>
      </x:c>
      <x:c r="C388" t="s">
        <x:v>744</x:v>
      </x:c>
      <x:c r="D388" t="s">
        <x:v>339</x:v>
      </x:c>
      <x:c r="E388" t="s">
        <x:v>352</x:v>
      </x:c>
      <x:c r="F388" t="s">
        <x:v>321</x:v>
      </x:c>
    </x:row>
    <x:row r="389">
      <x:c r="A389">
        <x:v>8481553</x:v>
      </x:c>
      <x:c r="B389" s="4" t="b">
        <x:v>1</x:v>
      </x:c>
      <x:c r="C389" t="s">
        <x:v>745</x:v>
      </x:c>
      <x:c r="D389" t="s">
        <x:v>326</x:v>
      </x:c>
      <x:c r="E389" t="s">
        <x:v>345</x:v>
      </x:c>
      <x:c r="F389" t="s">
        <x:v>321</x:v>
      </x:c>
    </x:row>
    <x:row r="390">
      <x:c r="A390">
        <x:v>8475220</x:v>
      </x:c>
      <x:c r="B390" s="4" t="b">
        <x:v>1</x:v>
      </x:c>
      <x:c r="C390" t="s">
        <x:v>746</x:v>
      </x:c>
      <x:c r="D390" t="s">
        <x:v>333</x:v>
      </x:c>
      <x:c r="E390" t="s">
        <x:v>345</x:v>
      </x:c>
      <x:c r="F390" t="s">
        <x:v>321</x:v>
      </x:c>
    </x:row>
    <x:row r="391">
      <x:c r="A391">
        <x:v>8478057</x:v>
      </x:c>
      <x:c r="B391" s="4" t="b">
        <x:v>1</x:v>
      </x:c>
      <x:c r="C391" t="s">
        <x:v>747</x:v>
      </x:c>
      <x:c r="D391" t="s">
        <x:v>339</x:v>
      </x:c>
      <x:c r="E391" t="s">
        <x:v>352</x:v>
      </x:c>
      <x:c r="F391" t="s">
        <x:v>321</x:v>
      </x:c>
    </x:row>
    <x:row r="392">
      <x:c r="A392">
        <x:v>8475848</x:v>
      </x:c>
      <x:c r="B392" s="4" t="b">
        <x:v>1</x:v>
      </x:c>
      <x:c r="C392" t="s">
        <x:v>748</x:v>
      </x:c>
      <x:c r="D392" t="s">
        <x:v>326</x:v>
      </x:c>
      <x:c r="E392" t="s">
        <x:v>420</x:v>
      </x:c>
      <x:c r="F392" t="s">
        <x:v>321</x:v>
      </x:c>
    </x:row>
    <x:row r="393">
      <x:c r="A393">
        <x:v>8481617</x:v>
      </x:c>
      <x:c r="B393" s="4" t="b">
        <x:v>1</x:v>
      </x:c>
      <x:c r="C393" t="s">
        <x:v>749</x:v>
      </x:c>
      <x:c r="D393" t="s">
        <x:v>333</x:v>
      </x:c>
      <x:c r="E393" t="s">
        <x:v>320</x:v>
      </x:c>
      <x:c r="F393" t="s">
        <x:v>321</x:v>
      </x:c>
    </x:row>
    <x:row r="394">
      <x:c r="A394">
        <x:v>8481527</x:v>
      </x:c>
      <x:c r="B394" s="4" t="b">
        <x:v>1</x:v>
      </x:c>
      <x:c r="C394" t="s">
        <x:v>750</x:v>
      </x:c>
      <x:c r="D394" t="s">
        <x:v>331</x:v>
      </x:c>
      <x:c r="E394" t="s">
        <x:v>350</x:v>
      </x:c>
      <x:c r="F394" t="s">
        <x:v>321</x:v>
      </x:c>
    </x:row>
    <x:row r="395">
      <x:c r="A395">
        <x:v>8480188</x:v>
      </x:c>
      <x:c r="B395" s="4" t="b">
        <x:v>1</x:v>
      </x:c>
      <x:c r="C395" t="s">
        <x:v>751</x:v>
      </x:c>
      <x:c r="D395" t="s">
        <x:v>333</x:v>
      </x:c>
      <x:c r="E395" t="s">
        <x:v>370</x:v>
      </x:c>
      <x:c r="F395" t="s">
        <x:v>321</x:v>
      </x:c>
    </x:row>
    <x:row r="396">
      <x:c r="A396">
        <x:v>8482476</x:v>
      </x:c>
      <x:c r="B396" s="4" t="b">
        <x:v>1</x:v>
      </x:c>
      <x:c r="C396" t="s">
        <x:v>752</x:v>
      </x:c>
      <x:c r="D396" t="s">
        <x:v>333</x:v>
      </x:c>
      <x:c r="E396" t="s">
        <x:v>439</x:v>
      </x:c>
      <x:c r="F396" t="s">
        <x:v>321</x:v>
      </x:c>
    </x:row>
    <x:row r="397">
      <x:c r="A397">
        <x:v>8478542</x:v>
      </x:c>
      <x:c r="B397" s="4" t="b">
        <x:v>1</x:v>
      </x:c>
      <x:c r="C397" t="s">
        <x:v>753</x:v>
      </x:c>
      <x:c r="D397" t="s">
        <x:v>329</x:v>
      </x:c>
      <x:c r="E397" t="s">
        <x:v>366</x:v>
      </x:c>
      <x:c r="F397" t="s">
        <x:v>321</x:v>
      </x:c>
    </x:row>
    <x:row r="398">
      <x:c r="A398">
        <x:v>8481167</x:v>
      </x:c>
      <x:c r="B398" s="4" t="b">
        <x:v>1</x:v>
      </x:c>
      <x:c r="C398" t="s">
        <x:v>754</x:v>
      </x:c>
      <x:c r="D398" t="s">
        <x:v>331</x:v>
      </x:c>
      <x:c r="E398" t="s">
        <x:v>343</x:v>
      </x:c>
      <x:c r="F398" t="s">
        <x:v>321</x:v>
      </x:c>
    </x:row>
    <x:row r="399">
      <x:c r="A399">
        <x:v>8484240</x:v>
      </x:c>
      <x:c r="B399" s="4" t="b">
        <x:v>1</x:v>
      </x:c>
      <x:c r="C399" t="s">
        <x:v>755</x:v>
      </x:c>
      <x:c r="D399" t="s">
        <x:v>331</x:v>
      </x:c>
      <x:c r="E399" t="s">
        <x:v>420</x:v>
      </x:c>
      <x:c r="F399" t="s">
        <x:v>321</x:v>
      </x:c>
    </x:row>
    <x:row r="400">
      <x:c r="A400">
        <x:v>8478020</x:v>
      </x:c>
      <x:c r="B400" s="4" t="b">
        <x:v>1</x:v>
      </x:c>
      <x:c r="C400" t="s">
        <x:v>756</x:v>
      </x:c>
      <x:c r="D400" t="s">
        <x:v>329</x:v>
      </x:c>
      <x:c r="E400" t="s">
        <x:v>370</x:v>
      </x:c>
      <x:c r="F400" t="s">
        <x:v>321</x:v>
      </x:c>
    </x:row>
    <x:row r="401">
      <x:c r="A401">
        <x:v>8484798</x:v>
      </x:c>
      <x:c r="B401" s="4" t="b">
        <x:v>1</x:v>
      </x:c>
      <x:c r="C401" t="s">
        <x:v>757</x:v>
      </x:c>
      <x:c r="D401" t="s">
        <x:v>331</x:v>
      </x:c>
      <x:c r="E401" t="s">
        <x:v>420</x:v>
      </x:c>
      <x:c r="F401" t="s">
        <x:v>321</x:v>
      </x:c>
    </x:row>
    <x:row r="402">
      <x:c r="A402">
        <x:v>8481618</x:v>
      </x:c>
      <x:c r="B402" s="4" t="b">
        <x:v>1</x:v>
      </x:c>
      <x:c r="C402" t="s">
        <x:v>758</x:v>
      </x:c>
      <x:c r="D402" t="s">
        <x:v>329</x:v>
      </x:c>
      <x:c r="E402" t="s">
        <x:v>356</x:v>
      </x:c>
      <x:c r="F402" t="s">
        <x:v>321</x:v>
      </x:c>
    </x:row>
    <x:row r="403">
      <x:c r="A403">
        <x:v>8481068</x:v>
      </x:c>
      <x:c r="B403" s="4" t="b">
        <x:v>1</x:v>
      </x:c>
      <x:c r="C403" t="s">
        <x:v>759</x:v>
      </x:c>
      <x:c r="D403" t="s">
        <x:v>329</x:v>
      </x:c>
      <x:c r="E403" t="s">
        <x:v>576</x:v>
      </x:c>
      <x:c r="F403" t="s">
        <x:v>321</x:v>
      </x:c>
    </x:row>
    <x:row r="404">
      <x:c r="A404">
        <x:v>8477919</x:v>
      </x:c>
      <x:c r="B404" s="4" t="b">
        <x:v>1</x:v>
      </x:c>
      <x:c r="C404" t="s">
        <x:v>760</x:v>
      </x:c>
      <x:c r="D404" t="s">
        <x:v>323</x:v>
      </x:c>
      <x:c r="E404" t="s">
        <x:v>481</x:v>
      </x:c>
      <x:c r="F404" t="s">
        <x:v>321</x:v>
      </x:c>
    </x:row>
    <x:row r="405">
      <x:c r="A405">
        <x:v>8474612</x:v>
      </x:c>
      <x:c r="B405" s="4" t="b">
        <x:v>1</x:v>
      </x:c>
      <x:c r="C405" t="s">
        <x:v>761</x:v>
      </x:c>
      <x:c r="D405" t="s">
        <x:v>331</x:v>
      </x:c>
      <x:c r="E405" t="s">
        <x:v>481</x:v>
      </x:c>
      <x:c r="F405" t="s">
        <x:v>321</x:v>
      </x:c>
    </x:row>
    <x:row r="406">
      <x:c r="A406">
        <x:v>8480246</x:v>
      </x:c>
      <x:c r="B406" s="4" t="b">
        <x:v>1</x:v>
      </x:c>
      <x:c r="C406" t="s">
        <x:v>762</x:v>
      </x:c>
      <x:c r="D406" t="s">
        <x:v>331</x:v>
      </x:c>
      <x:c r="E406" t="s">
        <x:v>372</x:v>
      </x:c>
      <x:c r="F406" t="s">
        <x:v>321</x:v>
      </x:c>
    </x:row>
    <x:row r="407">
      <x:c r="A407">
        <x:v>8481563</x:v>
      </x:c>
      <x:c r="B407" s="4" t="b">
        <x:v>1</x:v>
      </x:c>
      <x:c r="C407" t="s">
        <x:v>763</x:v>
      </x:c>
      <x:c r="D407" t="s">
        <x:v>331</x:v>
      </x:c>
      <x:c r="E407" t="s">
        <x:v>393</x:v>
      </x:c>
      <x:c r="F407" t="s">
        <x:v>321</x:v>
      </x:c>
    </x:row>
    <x:row r="408">
      <x:c r="A408">
        <x:v>8475799</x:v>
      </x:c>
      <x:c r="B408" s="4" t="b">
        <x:v>1</x:v>
      </x:c>
      <x:c r="C408" t="s">
        <x:v>764</x:v>
      </x:c>
      <x:c r="D408" t="s">
        <x:v>333</x:v>
      </x:c>
      <x:c r="E408" t="s">
        <x:v>436</x:v>
      </x:c>
      <x:c r="F408" t="s">
        <x:v>321</x:v>
      </x:c>
    </x:row>
    <x:row r="409">
      <x:c r="A409">
        <x:v>8482145</x:v>
      </x:c>
      <x:c r="B409" s="4" t="b">
        <x:v>1</x:v>
      </x:c>
      <x:c r="C409" t="s">
        <x:v>765</x:v>
      </x:c>
      <x:c r="D409" t="s">
        <x:v>323</x:v>
      </x:c>
      <x:c r="E409" t="s">
        <x:v>372</x:v>
      </x:c>
      <x:c r="F409" t="s">
        <x:v>321</x:v>
      </x:c>
    </x:row>
    <x:row r="410">
      <x:c r="A410">
        <x:v>8482715</x:v>
      </x:c>
      <x:c r="B410" s="4" t="b">
        <x:v>1</x:v>
      </x:c>
      <x:c r="C410" t="s">
        <x:v>766</x:v>
      </x:c>
      <x:c r="D410" t="s">
        <x:v>331</x:v>
      </x:c>
      <x:c r="E410" t="s">
        <x:v>372</x:v>
      </x:c>
      <x:c r="F410" t="s">
        <x:v>321</x:v>
      </x:c>
    </x:row>
    <x:row r="411">
      <x:c r="A411">
        <x:v>8482092</x:v>
      </x:c>
      <x:c r="B411" s="4" t="b">
        <x:v>1</x:v>
      </x:c>
      <x:c r="C411" t="s">
        <x:v>767</x:v>
      </x:c>
      <x:c r="D411" t="s">
        <x:v>339</x:v>
      </x:c>
      <x:c r="E411" t="s">
        <x:v>370</x:v>
      </x:c>
      <x:c r="F411" t="s">
        <x:v>321</x:v>
      </x:c>
    </x:row>
    <x:row r="412">
      <x:c r="A412">
        <x:v>8482176</x:v>
      </x:c>
      <x:c r="B412" s="4" t="b">
        <x:v>1</x:v>
      </x:c>
      <x:c r="C412" t="s">
        <x:v>768</x:v>
      </x:c>
      <x:c r="D412" t="s">
        <x:v>331</x:v>
      </x:c>
      <x:c r="E412" t="s">
        <x:v>436</x:v>
      </x:c>
      <x:c r="F412" t="s">
        <x:v>321</x:v>
      </x:c>
    </x:row>
    <x:row r="413">
      <x:c r="A413">
        <x:v>8479525</x:v>
      </x:c>
      <x:c r="B413" s="4" t="b">
        <x:v>1</x:v>
      </x:c>
      <x:c r="C413" t="s">
        <x:v>769</x:v>
      </x:c>
      <x:c r="D413" t="s">
        <x:v>329</x:v>
      </x:c>
      <x:c r="E413" t="s">
        <x:v>372</x:v>
      </x:c>
      <x:c r="F413" t="s">
        <x:v>321</x:v>
      </x:c>
    </x:row>
    <x:row r="414">
      <x:c r="A414">
        <x:v>8482964</x:v>
      </x:c>
      <x:c r="B414" s="4" t="b">
        <x:v>1</x:v>
      </x:c>
      <x:c r="C414" t="s">
        <x:v>770</x:v>
      </x:c>
      <x:c r="D414" t="s">
        <x:v>331</x:v>
      </x:c>
      <x:c r="E414" t="s">
        <x:v>356</x:v>
      </x:c>
      <x:c r="F414" t="s">
        <x:v>321</x:v>
      </x:c>
    </x:row>
    <x:row r="415">
      <x:c r="A415">
        <x:v>8478856</x:v>
      </x:c>
      <x:c r="B415" s="4" t="b">
        <x:v>1</x:v>
      </x:c>
      <x:c r="C415" t="s">
        <x:v>771</x:v>
      </x:c>
      <x:c r="D415" t="s">
        <x:v>333</x:v>
      </x:c>
      <x:c r="E415" t="s">
        <x:v>337</x:v>
      </x:c>
      <x:c r="F415" t="s">
        <x:v>321</x:v>
      </x:c>
    </x:row>
    <x:row r="416">
      <x:c r="A416">
        <x:v>8482705</x:v>
      </x:c>
      <x:c r="B416" s="4" t="b">
        <x:v>1</x:v>
      </x:c>
      <x:c r="C416" t="s">
        <x:v>772</x:v>
      </x:c>
      <x:c r="D416" t="s">
        <x:v>339</x:v>
      </x:c>
      <x:c r="E416" t="s">
        <x:v>337</x:v>
      </x:c>
      <x:c r="F416" t="s">
        <x:v>321</x:v>
      </x:c>
    </x:row>
    <x:row r="417">
      <x:c r="A417">
        <x:v>8479353</x:v>
      </x:c>
      <x:c r="B417" s="4" t="b">
        <x:v>1</x:v>
      </x:c>
      <x:c r="C417" t="s">
        <x:v>773</x:v>
      </x:c>
      <x:c r="D417" t="s">
        <x:v>329</x:v>
      </x:c>
      <x:c r="E417" t="s">
        <x:v>354</x:v>
      </x:c>
      <x:c r="F417" t="s">
        <x:v>321</x:v>
      </x:c>
    </x:row>
    <x:row r="418">
      <x:c r="A418">
        <x:v>8478421</x:v>
      </x:c>
      <x:c r="B418" s="4" t="b">
        <x:v>1</x:v>
      </x:c>
      <x:c r="C418" t="s">
        <x:v>774</x:v>
      </x:c>
      <x:c r="D418" t="s">
        <x:v>358</x:v>
      </x:c>
      <x:c r="E418" t="s">
        <x:v>393</x:v>
      </x:c>
      <x:c r="F418" t="s">
        <x:v>321</x:v>
      </x:c>
    </x:row>
    <x:row r="419">
      <x:c r="A419">
        <x:v>8478569</x:v>
      </x:c>
      <x:c r="B419" s="4" t="b">
        <x:v>1</x:v>
      </x:c>
      <x:c r="C419" t="s">
        <x:v>775</x:v>
      </x:c>
      <x:c r="D419" t="s">
        <x:v>329</x:v>
      </x:c>
      <x:c r="E419" t="s">
        <x:v>427</x:v>
      </x:c>
      <x:c r="F419" t="s">
        <x:v>321</x:v>
      </x:c>
    </x:row>
    <x:row r="420">
      <x:c r="A420">
        <x:v>8482713</x:v>
      </x:c>
      <x:c r="B420" s="4" t="b">
        <x:v>1</x:v>
      </x:c>
      <x:c r="C420" t="s">
        <x:v>776</x:v>
      </x:c>
      <x:c r="D420" t="s">
        <x:v>326</x:v>
      </x:c>
      <x:c r="E420" t="s">
        <x:v>481</x:v>
      </x:c>
      <x:c r="F420" t="s">
        <x:v>321</x:v>
      </x:c>
    </x:row>
    <x:row r="421">
      <x:c r="A421">
        <x:v>8480185</x:v>
      </x:c>
      <x:c r="B421" s="4" t="b">
        <x:v>1</x:v>
      </x:c>
      <x:c r="C421" t="s">
        <x:v>777</x:v>
      </x:c>
      <x:c r="D421" t="s">
        <x:v>339</x:v>
      </x:c>
      <x:c r="E421" t="s">
        <x:v>400</x:v>
      </x:c>
      <x:c r="F421" t="s">
        <x:v>321</x:v>
      </x:c>
    </x:row>
    <x:row r="422">
      <x:c r="A422">
        <x:v>8482929</x:v>
      </x:c>
      <x:c r="B422" s="4" t="b">
        <x:v>1</x:v>
      </x:c>
      <x:c r="C422" t="s">
        <x:v>778</x:v>
      </x:c>
      <x:c r="D422" t="s">
        <x:v>331</x:v>
      </x:c>
      <x:c r="E422" t="s">
        <x:v>327</x:v>
      </x:c>
      <x:c r="F422" t="s">
        <x:v>321</x:v>
      </x:c>
    </x:row>
    <x:row r="423">
      <x:c r="A423">
        <x:v>8478454</x:v>
      </x:c>
      <x:c r="B423" s="4" t="b">
        <x:v>1</x:v>
      </x:c>
      <x:c r="C423" t="s">
        <x:v>779</x:v>
      </x:c>
      <x:c r="D423" t="s">
        <x:v>331</x:v>
      </x:c>
      <x:c r="E423" t="s">
        <x:v>324</x:v>
      </x:c>
      <x:c r="F423" t="s">
        <x:v>321</x:v>
      </x:c>
    </x:row>
    <x:row r="424">
      <x:c r="A424">
        <x:v>8482149</x:v>
      </x:c>
      <x:c r="B424" s="4" t="b">
        <x:v>1</x:v>
      </x:c>
      <x:c r="C424" t="s">
        <x:v>780</x:v>
      </x:c>
      <x:c r="D424" t="s">
        <x:v>333</x:v>
      </x:c>
      <x:c r="E424" t="s">
        <x:v>348</x:v>
      </x:c>
      <x:c r="F424" t="s">
        <x:v>321</x:v>
      </x:c>
    </x:row>
    <x:row r="425">
      <x:c r="A425">
        <x:v>8479351</x:v>
      </x:c>
      <x:c r="B425" s="4" t="b">
        <x:v>1</x:v>
      </x:c>
      <x:c r="C425" t="s">
        <x:v>781</x:v>
      </x:c>
      <x:c r="D425" t="s">
        <x:v>339</x:v>
      </x:c>
      <x:c r="E425" t="s">
        <x:v>343</x:v>
      </x:c>
      <x:c r="F425" t="s">
        <x:v>321</x:v>
      </x:c>
    </x:row>
    <x:row r="426">
      <x:c r="A426">
        <x:v>8477444</x:v>
      </x:c>
      <x:c r="B426" s="4" t="b">
        <x:v>1</x:v>
      </x:c>
      <x:c r="C426" t="s">
        <x:v>782</x:v>
      </x:c>
      <x:c r="D426" t="s">
        <x:v>333</x:v>
      </x:c>
      <x:c r="E426" t="s">
        <x:v>370</x:v>
      </x:c>
      <x:c r="F426" t="s">
        <x:v>321</x:v>
      </x:c>
    </x:row>
    <x:row r="427">
      <x:c r="A427">
        <x:v>8480797</x:v>
      </x:c>
      <x:c r="B427" s="4" t="b">
        <x:v>1</x:v>
      </x:c>
      <x:c r="C427" t="s">
        <x:v>783</x:v>
      </x:c>
      <x:c r="D427" t="s">
        <x:v>358</x:v>
      </x:c>
      <x:c r="E427" t="s">
        <x:v>576</x:v>
      </x:c>
      <x:c r="F427" t="s">
        <x:v>321</x:v>
      </x:c>
    </x:row>
    <x:row r="428">
      <x:c r="A428">
        <x:v>8482166</x:v>
      </x:c>
      <x:c r="B428" s="4" t="b">
        <x:v>1</x:v>
      </x:c>
      <x:c r="C428" t="s">
        <x:v>784</x:v>
      </x:c>
      <x:c r="D428" t="s">
        <x:v>331</x:v>
      </x:c>
      <x:c r="E428" t="s">
        <x:v>393</x:v>
      </x:c>
      <x:c r="F428" t="s">
        <x:v>321</x:v>
      </x:c>
    </x:row>
    <x:row r="429">
      <x:c r="A429">
        <x:v>8484873</x:v>
      </x:c>
      <x:c r="B429" s="4" t="b">
        <x:v>1</x:v>
      </x:c>
      <x:c r="C429" t="s">
        <x:v>785</x:v>
      </x:c>
      <x:c r="D429" t="s">
        <x:v>331</x:v>
      </x:c>
      <x:c r="E429" t="s">
        <x:v>402</x:v>
      </x:c>
      <x:c r="F429" t="s">
        <x:v>321</x:v>
      </x:c>
    </x:row>
    <x:row r="430">
      <x:c r="A430">
        <x:v>8476448</x:v>
      </x:c>
      <x:c r="B430" s="4" t="b">
        <x:v>1</x:v>
      </x:c>
      <x:c r="C430" t="s">
        <x:v>786</x:v>
      </x:c>
      <x:c r="D430" t="s">
        <x:v>319</x:v>
      </x:c>
      <x:c r="E430" t="s">
        <x:v>354</x:v>
      </x:c>
      <x:c r="F430" t="s">
        <x:v>321</x:v>
      </x:c>
    </x:row>
    <x:row r="431">
      <x:c r="A431">
        <x:v>8476856</x:v>
      </x:c>
      <x:c r="B431" s="4" t="b">
        <x:v>1</x:v>
      </x:c>
      <x:c r="C431" t="s">
        <x:v>787</x:v>
      </x:c>
      <x:c r="D431" t="s">
        <x:v>331</x:v>
      </x:c>
      <x:c r="E431" t="s">
        <x:v>343</x:v>
      </x:c>
      <x:c r="F431" t="s">
        <x:v>321</x:v>
      </x:c>
    </x:row>
    <x:row r="432">
      <x:c r="A432">
        <x:v>8482159</x:v>
      </x:c>
      <x:c r="B432" s="4" t="b">
        <x:v>1</x:v>
      </x:c>
      <x:c r="C432" t="s">
        <x:v>788</x:v>
      </x:c>
      <x:c r="D432" t="s">
        <x:v>326</x:v>
      </x:c>
      <x:c r="E432" t="s">
        <x:v>427</x:v>
      </x:c>
      <x:c r="F432" t="s">
        <x:v>321</x:v>
      </x:c>
    </x:row>
    <x:row r="433">
      <x:c r="A433">
        <x:v>8478133</x:v>
      </x:c>
      <x:c r="B433" s="4" t="b">
        <x:v>1</x:v>
      </x:c>
      <x:c r="C433" t="s">
        <x:v>789</x:v>
      </x:c>
      <x:c r="D433" t="s">
        <x:v>319</x:v>
      </x:c>
      <x:c r="E433" t="s">
        <x:v>356</x:v>
      </x:c>
      <x:c r="F433" t="s">
        <x:v>321</x:v>
      </x:c>
    </x:row>
    <x:row r="434">
      <x:c r="A434">
        <x:v>8473422</x:v>
      </x:c>
      <x:c r="B434" s="4" t="b">
        <x:v>1</x:v>
      </x:c>
      <x:c r="C434" t="s">
        <x:v>790</x:v>
      </x:c>
      <x:c r="D434" t="s">
        <x:v>333</x:v>
      </x:c>
      <x:c r="E434" t="s">
        <x:v>345</x:v>
      </x:c>
      <x:c r="F434" t="s">
        <x:v>321</x:v>
      </x:c>
    </x:row>
    <x:row r="435">
      <x:c r="A435">
        <x:v>8476981</x:v>
      </x:c>
      <x:c r="B435" s="4" t="b">
        <x:v>1</x:v>
      </x:c>
      <x:c r="C435" t="s">
        <x:v>791</x:v>
      </x:c>
      <x:c r="D435" t="s">
        <x:v>333</x:v>
      </x:c>
      <x:c r="E435" t="s">
        <x:v>356</x:v>
      </x:c>
      <x:c r="F435" t="s">
        <x:v>321</x:v>
      </x:c>
    </x:row>
    <x:row r="436">
      <x:c r="A436">
        <x:v>8482702</x:v>
      </x:c>
      <x:c r="B436" s="4" t="b">
        <x:v>1</x:v>
      </x:c>
      <x:c r="C436" t="s">
        <x:v>792</x:v>
      </x:c>
      <x:c r="D436" t="s">
        <x:v>323</x:v>
      </x:c>
      <x:c r="E436" t="s">
        <x:v>386</x:v>
      </x:c>
      <x:c r="F436" t="s">
        <x:v>321</x:v>
      </x:c>
    </x:row>
    <x:row r="437">
      <x:c r="A437">
        <x:v>8480834</x:v>
      </x:c>
      <x:c r="B437" s="4" t="b">
        <x:v>1</x:v>
      </x:c>
      <x:c r="C437" t="s">
        <x:v>793</x:v>
      </x:c>
      <x:c r="D437" t="s">
        <x:v>331</x:v>
      </x:c>
      <x:c r="E437" t="s">
        <x:v>320</x:v>
      </x:c>
      <x:c r="F437" t="s">
        <x:v>321</x:v>
      </x:c>
    </x:row>
    <x:row r="438">
      <x:c r="A438">
        <x:v>8477987</x:v>
      </x:c>
      <x:c r="B438" s="4" t="b">
        <x:v>1</x:v>
      </x:c>
      <x:c r="C438" t="s">
        <x:v>794</x:v>
      </x:c>
      <x:c r="D438" t="s">
        <x:v>329</x:v>
      </x:c>
      <x:c r="E438" t="s">
        <x:v>436</x:v>
      </x:c>
      <x:c r="F438" t="s">
        <x:v>321</x:v>
      </x:c>
    </x:row>
    <x:row r="439">
      <x:c r="A439">
        <x:v>8482737</x:v>
      </x:c>
      <x:c r="B439" s="4" t="b">
        <x:v>1</x:v>
      </x:c>
      <x:c r="C439" t="s">
        <x:v>795</x:v>
      </x:c>
      <x:c r="D439" t="s">
        <x:v>326</x:v>
      </x:c>
      <x:c r="E439" t="s">
        <x:v>366</x:v>
      </x:c>
      <x:c r="F439" t="s">
        <x:v>321</x:v>
      </x:c>
    </x:row>
    <x:row r="440">
      <x:c r="A440">
        <x:v>8481607</x:v>
      </x:c>
      <x:c r="B440" s="4" t="b">
        <x:v>1</x:v>
      </x:c>
      <x:c r="C440" t="s">
        <x:v>796</x:v>
      </x:c>
      <x:c r="D440" t="s">
        <x:v>331</x:v>
      </x:c>
      <x:c r="E440" t="s">
        <x:v>364</x:v>
      </x:c>
      <x:c r="F440" t="s">
        <x:v>321</x:v>
      </x:c>
    </x:row>
    <x:row r="441">
      <x:c r="A441">
        <x:v>8475191</x:v>
      </x:c>
      <x:c r="B441" s="4" t="b">
        <x:v>1</x:v>
      </x:c>
      <x:c r="C441" t="s">
        <x:v>797</x:v>
      </x:c>
      <x:c r="D441" t="s">
        <x:v>333</x:v>
      </x:c>
      <x:c r="E441" t="s">
        <x:v>584</x:v>
      </x:c>
      <x:c r="F441" t="s">
        <x:v>321</x:v>
      </x:c>
    </x:row>
    <x:row r="442">
      <x:c r="A442">
        <x:v>8481522</x:v>
      </x:c>
      <x:c r="B442" s="4" t="b">
        <x:v>1</x:v>
      </x:c>
      <x:c r="C442" t="s">
        <x:v>798</x:v>
      </x:c>
      <x:c r="D442" t="s">
        <x:v>329</x:v>
      </x:c>
      <x:c r="E442" t="s">
        <x:v>361</x:v>
      </x:c>
      <x:c r="F442" t="s">
        <x:v>321</x:v>
      </x:c>
    </x:row>
    <x:row r="443">
      <x:c r="A443">
        <x:v>8477810</x:v>
      </x:c>
      <x:c r="B443" s="4" t="b">
        <x:v>1</x:v>
      </x:c>
      <x:c r="C443" t="s">
        <x:v>799</x:v>
      </x:c>
      <x:c r="D443" t="s">
        <x:v>331</x:v>
      </x:c>
      <x:c r="E443" t="s">
        <x:v>576</x:v>
      </x:c>
      <x:c r="F443" t="s">
        <x:v>321</x:v>
      </x:c>
    </x:row>
    <x:row r="444">
      <x:c r="A444">
        <x:v>8476967</x:v>
      </x:c>
      <x:c r="B444" s="4" t="b">
        <x:v>1</x:v>
      </x:c>
      <x:c r="C444" t="s">
        <x:v>800</x:v>
      </x:c>
      <x:c r="D444" t="s">
        <x:v>331</x:v>
      </x:c>
      <x:c r="E444" t="s">
        <x:v>324</x:v>
      </x:c>
      <x:c r="F444" t="s">
        <x:v>321</x:v>
      </x:c>
    </x:row>
    <x:row r="445">
      <x:c r="A445">
        <x:v>8476469</x:v>
      </x:c>
      <x:c r="B445" s="4" t="b">
        <x:v>1</x:v>
      </x:c>
      <x:c r="C445" t="s">
        <x:v>801</x:v>
      </x:c>
      <x:c r="D445" t="s">
        <x:v>326</x:v>
      </x:c>
      <x:c r="E445" t="s">
        <x:v>379</x:v>
      </x:c>
      <x:c r="F445" t="s">
        <x:v>321</x:v>
      </x:c>
    </x:row>
    <x:row r="446">
      <x:c r="A446">
        <x:v>8477494</x:v>
      </x:c>
      <x:c r="B446" s="4" t="b">
        <x:v>1</x:v>
      </x:c>
      <x:c r="C446" t="s">
        <x:v>802</x:v>
      </x:c>
      <x:c r="D446" t="s">
        <x:v>329</x:v>
      </x:c>
      <x:c r="E446" t="s">
        <x:v>340</x:v>
      </x:c>
      <x:c r="F446" t="s">
        <x:v>321</x:v>
      </x:c>
    </x:row>
    <x:row r="447">
      <x:c r="A447">
        <x:v>8480192</x:v>
      </x:c>
      <x:c r="B447" s="4" t="b">
        <x:v>1</x:v>
      </x:c>
      <x:c r="C447" t="s">
        <x:v>803</x:v>
      </x:c>
      <x:c r="D447" t="s">
        <x:v>331</x:v>
      </x:c>
      <x:c r="E447" t="s">
        <x:v>366</x:v>
      </x:c>
      <x:c r="F447" t="s">
        <x:v>321</x:v>
      </x:c>
    </x:row>
    <x:row r="448">
      <x:c r="A448">
        <x:v>8480043</x:v>
      </x:c>
      <x:c r="B448" s="4" t="b">
        <x:v>1</x:v>
      </x:c>
      <x:c r="C448" t="s">
        <x:v>804</x:v>
      </x:c>
      <x:c r="D448" t="s">
        <x:v>331</x:v>
      </x:c>
      <x:c r="E448" t="s">
        <x:v>402</x:v>
      </x:c>
      <x:c r="F448" t="s">
        <x:v>321</x:v>
      </x:c>
    </x:row>
    <x:row r="449">
      <x:c r="A449">
        <x:v>8481014</x:v>
      </x:c>
      <x:c r="B449" s="4" t="b">
        <x:v>1</x:v>
      </x:c>
      <x:c r="C449" t="s">
        <x:v>805</x:v>
      </x:c>
      <x:c r="D449" t="s">
        <x:v>331</x:v>
      </x:c>
      <x:c r="E449" t="s">
        <x:v>439</x:v>
      </x:c>
      <x:c r="F449" t="s">
        <x:v>321</x:v>
      </x:c>
    </x:row>
    <x:row r="450">
      <x:c r="A450">
        <x:v>8480035</x:v>
      </x:c>
      <x:c r="B450" s="4" t="b">
        <x:v>1</x:v>
      </x:c>
      <x:c r="C450" t="s">
        <x:v>806</x:v>
      </x:c>
      <x:c r="D450" t="s">
        <x:v>331</x:v>
      </x:c>
      <x:c r="E450" t="s">
        <x:v>576</x:v>
      </x:c>
      <x:c r="F450" t="s">
        <x:v>321</x:v>
      </x:c>
    </x:row>
    <x:row r="451">
      <x:c r="A451">
        <x:v>8476458</x:v>
      </x:c>
      <x:c r="B451" s="4" t="b">
        <x:v>1</x:v>
      </x:c>
      <x:c r="C451" t="s">
        <x:v>807</x:v>
      </x:c>
      <x:c r="D451" t="s">
        <x:v>323</x:v>
      </x:c>
      <x:c r="E451" t="s">
        <x:v>576</x:v>
      </x:c>
      <x:c r="F451" t="s">
        <x:v>321</x:v>
      </x:c>
    </x:row>
    <x:row r="452">
      <x:c r="A452">
        <x:v>8476873</x:v>
      </x:c>
      <x:c r="B452" s="4" t="b">
        <x:v>1</x:v>
      </x:c>
      <x:c r="C452" t="s">
        <x:v>808</x:v>
      </x:c>
      <x:c r="D452" t="s">
        <x:v>339</x:v>
      </x:c>
      <x:c r="E452" t="s">
        <x:v>386</x:v>
      </x:c>
      <x:c r="F452" t="s">
        <x:v>321</x:v>
      </x:c>
    </x:row>
    <x:row r="453">
      <x:c r="A453">
        <x:v>8476878</x:v>
      </x:c>
      <x:c r="B453" s="4" t="b">
        <x:v>1</x:v>
      </x:c>
      <x:c r="C453" t="s">
        <x:v>809</x:v>
      </x:c>
      <x:c r="D453" t="s">
        <x:v>319</x:v>
      </x:c>
      <x:c r="E453" t="s">
        <x:v>327</x:v>
      </x:c>
      <x:c r="F453" t="s">
        <x:v>321</x:v>
      </x:c>
    </x:row>
    <x:row r="454">
      <x:c r="A454">
        <x:v>8480990</x:v>
      </x:c>
      <x:c r="B454" s="4" t="b">
        <x:v>1</x:v>
      </x:c>
      <x:c r="C454" t="s">
        <x:v>810</x:v>
      </x:c>
      <x:c r="D454" t="s">
        <x:v>331</x:v>
      </x:c>
      <x:c r="E454" t="s">
        <x:v>366</x:v>
      </x:c>
      <x:c r="F454" t="s">
        <x:v>321</x:v>
      </x:c>
    </x:row>
    <x:row r="455">
      <x:c r="A455">
        <x:v>8477478</x:v>
      </x:c>
      <x:c r="B455" s="4" t="b">
        <x:v>1</x:v>
      </x:c>
      <x:c r="C455" t="s">
        <x:v>811</x:v>
      </x:c>
      <x:c r="D455" t="s">
        <x:v>358</x:v>
      </x:c>
      <x:c r="E455" t="s">
        <x:v>386</x:v>
      </x:c>
      <x:c r="F455" t="s">
        <x:v>321</x:v>
      </x:c>
    </x:row>
    <x:row r="456">
      <x:c r="A456">
        <x:v>8478434</x:v>
      </x:c>
      <x:c r="B456" s="4" t="b">
        <x:v>1</x:v>
      </x:c>
      <x:c r="C456" t="s">
        <x:v>812</x:v>
      </x:c>
      <x:c r="D456" t="s">
        <x:v>326</x:v>
      </x:c>
      <x:c r="E456" t="s">
        <x:v>368</x:v>
      </x:c>
      <x:c r="F456" t="s">
        <x:v>321</x:v>
      </x:c>
    </x:row>
    <x:row r="457">
      <x:c r="A457">
        <x:v>8482482</x:v>
      </x:c>
      <x:c r="B457" s="4" t="b">
        <x:v>1</x:v>
      </x:c>
      <x:c r="C457" t="s">
        <x:v>813</x:v>
      </x:c>
      <x:c r="D457" t="s">
        <x:v>331</x:v>
      </x:c>
      <x:c r="E457" t="s">
        <x:v>396</x:v>
      </x:c>
      <x:c r="F457" t="s">
        <x:v>321</x:v>
      </x:c>
    </x:row>
    <x:row r="458">
      <x:c r="A458">
        <x:v>8480798</x:v>
      </x:c>
      <x:c r="B458" s="4" t="b">
        <x:v>1</x:v>
      </x:c>
      <x:c r="C458" t="s">
        <x:v>814</x:v>
      </x:c>
      <x:c r="D458" t="s">
        <x:v>329</x:v>
      </x:c>
      <x:c r="F458" t="s">
        <x:v>321</x:v>
      </x:c>
    </x:row>
    <x:row r="459">
      <x:c r="A459">
        <x:v>8478508</x:v>
      </x:c>
      <x:c r="B459" s="4" t="b">
        <x:v>1</x:v>
      </x:c>
      <x:c r="C459" t="s">
        <x:v>815</x:v>
      </x:c>
      <x:c r="D459" t="s">
        <x:v>339</x:v>
      </x:c>
      <x:c r="E459" t="s">
        <x:v>350</x:v>
      </x:c>
      <x:c r="F459" t="s">
        <x:v>321</x:v>
      </x:c>
    </x:row>
    <x:row r="460">
      <x:c r="A460">
        <x:v>8485414</x:v>
      </x:c>
      <x:c r="B460" s="4" t="b">
        <x:v>1</x:v>
      </x:c>
      <x:c r="C460" t="s">
        <x:v>816</x:v>
      </x:c>
      <x:c r="D460" t="s">
        <x:v>319</x:v>
      </x:c>
      <x:c r="E460" t="s">
        <x:v>350</x:v>
      </x:c>
      <x:c r="F460" t="s">
        <x:v>321</x:v>
      </x:c>
    </x:row>
    <x:row r="461">
      <x:c r="A461">
        <x:v>8474641</x:v>
      </x:c>
      <x:c r="B461" s="4" t="b">
        <x:v>1</x:v>
      </x:c>
      <x:c r="C461" t="s">
        <x:v>817</x:v>
      </x:c>
      <x:c r="D461" t="s">
        <x:v>339</x:v>
      </x:c>
      <x:c r="E461" t="s">
        <x:v>350</x:v>
      </x:c>
      <x:c r="F461" t="s">
        <x:v>321</x:v>
      </x:c>
    </x:row>
    <x:row r="462">
      <x:c r="A462">
        <x:v>8483512</x:v>
      </x:c>
      <x:c r="B462" s="4" t="b">
        <x:v>1</x:v>
      </x:c>
      <x:c r="C462" t="s">
        <x:v>818</x:v>
      </x:c>
      <x:c r="D462" t="s">
        <x:v>329</x:v>
      </x:c>
      <x:c r="E462" t="s">
        <x:v>337</x:v>
      </x:c>
      <x:c r="F462" t="s">
        <x:v>321</x:v>
      </x:c>
    </x:row>
    <x:row r="463">
      <x:c r="A463">
        <x:v>8480355</x:v>
      </x:c>
      <x:c r="B463" s="4" t="b">
        <x:v>1</x:v>
      </x:c>
      <x:c r="C463" t="s">
        <x:v>819</x:v>
      </x:c>
      <x:c r="D463" t="s">
        <x:v>323</x:v>
      </x:c>
      <x:c r="E463" t="s">
        <x:v>320</x:v>
      </x:c>
      <x:c r="F463" t="s">
        <x:v>321</x:v>
      </x:c>
    </x:row>
    <x:row r="464">
      <x:c r="A464">
        <x:v>8481481</x:v>
      </x:c>
      <x:c r="B464" s="4" t="b">
        <x:v>1</x:v>
      </x:c>
      <x:c r="C464" t="s">
        <x:v>820</x:v>
      </x:c>
      <x:c r="D464" t="s">
        <x:v>339</x:v>
      </x:c>
      <x:c r="E464" t="s">
        <x:v>320</x:v>
      </x:c>
      <x:c r="F464" t="s">
        <x:v>321</x:v>
      </x:c>
    </x:row>
    <x:row r="465">
      <x:c r="A465">
        <x:v>8476374</x:v>
      </x:c>
      <x:c r="B465" s="4" t="b">
        <x:v>1</x:v>
      </x:c>
      <x:c r="C465" t="s">
        <x:v>821</x:v>
      </x:c>
      <x:c r="D465" t="s">
        <x:v>339</x:v>
      </x:c>
      <x:c r="E465" t="s">
        <x:v>320</x:v>
      </x:c>
      <x:c r="F465" t="s">
        <x:v>321</x:v>
      </x:c>
    </x:row>
    <x:row r="466">
      <x:c r="A466">
        <x:v>8478233</x:v>
      </x:c>
      <x:c r="B466" s="4" t="b">
        <x:v>1</x:v>
      </x:c>
      <x:c r="C466" t="s">
        <x:v>822</x:v>
      </x:c>
      <x:c r="D466" t="s">
        <x:v>329</x:v>
      </x:c>
      <x:c r="E466" t="s">
        <x:v>436</x:v>
      </x:c>
      <x:c r="F466" t="s">
        <x:v>321</x:v>
      </x:c>
    </x:row>
    <x:row r="467">
      <x:c r="A467">
        <x:v>8483573</x:v>
      </x:c>
      <x:c r="B467" s="4" t="b">
        <x:v>1</x:v>
      </x:c>
      <x:c r="C467" t="s">
        <x:v>823</x:v>
      </x:c>
      <x:c r="D467" t="s">
        <x:v>319</x:v>
      </x:c>
      <x:c r="E467" t="s">
        <x:v>402</x:v>
      </x:c>
      <x:c r="F467" t="s">
        <x:v>321</x:v>
      </x:c>
    </x:row>
    <x:row r="468">
      <x:c r="A468">
        <x:v>8483425</x:v>
      </x:c>
      <x:c r="B468" s="4" t="b">
        <x:v>1</x:v>
      </x:c>
      <x:c r="C468" t="s">
        <x:v>824</x:v>
      </x:c>
      <x:c r="D468" t="s">
        <x:v>331</x:v>
      </x:c>
      <x:c r="F468" t="s">
        <x:v>321</x:v>
      </x:c>
    </x:row>
    <x:row r="469">
      <x:c r="A469">
        <x:v>8480878</x:v>
      </x:c>
      <x:c r="B469" s="4" t="b">
        <x:v>1</x:v>
      </x:c>
      <x:c r="C469" t="s">
        <x:v>825</x:v>
      </x:c>
      <x:c r="D469" t="s">
        <x:v>331</x:v>
      </x:c>
      <x:c r="E469" t="s">
        <x:v>343</x:v>
      </x:c>
      <x:c r="F469" t="s">
        <x:v>321</x:v>
      </x:c>
    </x:row>
    <x:row r="470">
      <x:c r="A470">
        <x:v>8477573</x:v>
      </x:c>
      <x:c r="B470" s="4" t="b">
        <x:v>1</x:v>
      </x:c>
      <x:c r="C470" t="s">
        <x:v>826</x:v>
      </x:c>
      <x:c r="D470" t="s">
        <x:v>358</x:v>
      </x:c>
      <x:c r="E470" t="s">
        <x:v>396</x:v>
      </x:c>
      <x:c r="F470" t="s">
        <x:v>321</x:v>
      </x:c>
    </x:row>
    <x:row r="471">
      <x:c r="A471">
        <x:v>8477541</x:v>
      </x:c>
      <x:c r="B471" s="4" t="b">
        <x:v>1</x:v>
      </x:c>
      <x:c r="C471" t="s">
        <x:v>827</x:v>
      </x:c>
      <x:c r="D471" t="s">
        <x:v>331</x:v>
      </x:c>
      <x:c r="F471" t="s">
        <x:v>321</x:v>
      </x:c>
    </x:row>
    <x:row r="472">
      <x:c r="A472">
        <x:v>8481043</x:v>
      </x:c>
      <x:c r="B472" s="4" t="b">
        <x:v>1</x:v>
      </x:c>
      <x:c r="C472" t="s">
        <x:v>828</x:v>
      </x:c>
      <x:c r="D472" t="s">
        <x:v>333</x:v>
      </x:c>
      <x:c r="E472" t="s">
        <x:v>348</x:v>
      </x:c>
      <x:c r="F472" t="s">
        <x:v>321</x:v>
      </x:c>
    </x:row>
    <x:row r="473">
      <x:c r="A473">
        <x:v>8479619</x:v>
      </x:c>
      <x:c r="B473" s="4" t="b">
        <x:v>1</x:v>
      </x:c>
      <x:c r="C473" t="s">
        <x:v>829</x:v>
      </x:c>
      <x:c r="D473" t="s">
        <x:v>333</x:v>
      </x:c>
      <x:c r="E473" t="s">
        <x:v>364</x:v>
      </x:c>
      <x:c r="F473" t="s">
        <x:v>321</x:v>
      </x:c>
    </x:row>
    <x:row r="474">
      <x:c r="A474">
        <x:v>8475755</x:v>
      </x:c>
      <x:c r="B474" s="4" t="b">
        <x:v>1</x:v>
      </x:c>
      <x:c r="C474" t="s">
        <x:v>830</x:v>
      </x:c>
      <x:c r="D474" t="s">
        <x:v>331</x:v>
      </x:c>
      <x:c r="F474" t="s">
        <x:v>321</x:v>
      </x:c>
    </x:row>
    <x:row r="475">
      <x:c r="A475">
        <x:v>8475784</x:v>
      </x:c>
      <x:c r="B475" s="4" t="b">
        <x:v>1</x:v>
      </x:c>
      <x:c r="C475" t="s">
        <x:v>831</x:v>
      </x:c>
      <x:c r="D475" t="s">
        <x:v>358</x:v>
      </x:c>
      <x:c r="E475" t="s">
        <x:v>584</x:v>
      </x:c>
      <x:c r="F475" t="s">
        <x:v>321</x:v>
      </x:c>
    </x:row>
    <x:row r="476">
      <x:c r="A476">
        <x:v>8477456</x:v>
      </x:c>
      <x:c r="B476" s="4" t="b">
        <x:v>1</x:v>
      </x:c>
      <x:c r="C476" t="s">
        <x:v>832</x:v>
      </x:c>
      <x:c r="D476" t="s">
        <x:v>329</x:v>
      </x:c>
      <x:c r="E476" t="s">
        <x:v>368</x:v>
      </x:c>
      <x:c r="F476" t="s">
        <x:v>321</x:v>
      </x:c>
    </x:row>
    <x:row r="477">
      <x:c r="A477">
        <x:v>8476292</x:v>
      </x:c>
      <x:c r="B477" s="4" t="b">
        <x:v>1</x:v>
      </x:c>
      <x:c r="C477" t="s">
        <x:v>833</x:v>
      </x:c>
      <x:c r="D477" t="s">
        <x:v>333</x:v>
      </x:c>
      <x:c r="E477" t="s">
        <x:v>439</x:v>
      </x:c>
      <x:c r="F477" t="s">
        <x:v>321</x:v>
      </x:c>
    </x:row>
    <x:row r="478">
      <x:c r="A478">
        <x:v>8484829</x:v>
      </x:c>
      <x:c r="B478" s="4" t="b">
        <x:v>1</x:v>
      </x:c>
      <x:c r="C478" t="s">
        <x:v>834</x:v>
      </x:c>
      <x:c r="D478" t="s">
        <x:v>319</x:v>
      </x:c>
      <x:c r="E478" t="s">
        <x:v>343</x:v>
      </x:c>
      <x:c r="F478" t="s">
        <x:v>321</x:v>
      </x:c>
    </x:row>
    <x:row r="479">
      <x:c r="A479">
        <x:v>8478874</x:v>
      </x:c>
      <x:c r="B479" s="4" t="b">
        <x:v>1</x:v>
      </x:c>
      <x:c r="C479" t="s">
        <x:v>835</x:v>
      </x:c>
      <x:c r="D479" t="s">
        <x:v>326</x:v>
      </x:c>
      <x:c r="E479" t="s">
        <x:v>340</x:v>
      </x:c>
      <x:c r="F479" t="s">
        <x:v>321</x:v>
      </x:c>
    </x:row>
    <x:row r="480">
      <x:c r="A480">
        <x:v>8476889</x:v>
      </x:c>
      <x:c r="B480" s="4" t="b">
        <x:v>1</x:v>
      </x:c>
      <x:c r="C480" t="s">
        <x:v>836</x:v>
      </x:c>
      <x:c r="D480" t="s">
        <x:v>319</x:v>
      </x:c>
      <x:c r="E480" t="s">
        <x:v>343</x:v>
      </x:c>
      <x:c r="F480" t="s">
        <x:v>321</x:v>
      </x:c>
    </x:row>
    <x:row r="481">
      <x:c r="A481">
        <x:v>8484221</x:v>
      </x:c>
      <x:c r="B481" s="4" t="b">
        <x:v>1</x:v>
      </x:c>
      <x:c r="C481" t="s">
        <x:v>837</x:v>
      </x:c>
      <x:c r="D481" t="s">
        <x:v>319</x:v>
      </x:c>
      <x:c r="F481" t="s">
        <x:v>321</x:v>
      </x:c>
    </x:row>
    <x:row r="482">
      <x:c r="A482">
        <x:v>8476480</x:v>
      </x:c>
      <x:c r="B482" s="4" t="b">
        <x:v>1</x:v>
      </x:c>
      <x:c r="C482" t="s">
        <x:v>838</x:v>
      </x:c>
      <x:c r="D482" t="s">
        <x:v>339</x:v>
      </x:c>
      <x:c r="E482" t="s">
        <x:v>348</x:v>
      </x:c>
      <x:c r="F482" t="s">
        <x:v>321</x:v>
      </x:c>
    </x:row>
    <x:row r="483">
      <x:c r="A483">
        <x:v>8477450</x:v>
      </x:c>
      <x:c r="B483" s="4" t="b">
        <x:v>1</x:v>
      </x:c>
      <x:c r="C483" t="s">
        <x:v>839</x:v>
      </x:c>
      <x:c r="D483" t="s">
        <x:v>339</x:v>
      </x:c>
      <x:c r="E483" t="s">
        <x:v>320</x:v>
      </x:c>
      <x:c r="F483" t="s">
        <x:v>321</x:v>
      </x:c>
    </x:row>
    <x:row r="484">
      <x:c r="A484">
        <x:v>8476479</x:v>
      </x:c>
      <x:c r="B484" s="4" t="b">
        <x:v>1</x:v>
      </x:c>
      <x:c r="C484" t="s">
        <x:v>840</x:v>
      </x:c>
      <x:c r="D484" t="s">
        <x:v>323</x:v>
      </x:c>
      <x:c r="E484" t="s">
        <x:v>364</x:v>
      </x:c>
      <x:c r="F484" t="s">
        <x:v>321</x:v>
      </x:c>
    </x:row>
    <x:row r="485">
      <x:c r="A485">
        <x:v>8477446</x:v>
      </x:c>
      <x:c r="B485" s="4" t="b">
        <x:v>1</x:v>
      </x:c>
      <x:c r="C485" t="s">
        <x:v>841</x:v>
      </x:c>
      <x:c r="D485" t="s">
        <x:v>323</x:v>
      </x:c>
      <x:c r="E485" t="s">
        <x:v>345</x:v>
      </x:c>
      <x:c r="F485" t="s">
        <x:v>321</x:v>
      </x:c>
    </x:row>
    <x:row r="486">
      <x:c r="A486">
        <x:v>8473604</x:v>
      </x:c>
      <x:c r="B486" s="4" t="b">
        <x:v>1</x:v>
      </x:c>
      <x:c r="C486" t="s">
        <x:v>842</x:v>
      </x:c>
      <x:c r="D486" t="s">
        <x:v>319</x:v>
      </x:c>
      <x:c r="E486" t="s">
        <x:v>402</x:v>
      </x:c>
      <x:c r="F486" t="s">
        <x:v>321</x:v>
      </x:c>
    </x:row>
    <x:row r="487">
      <x:c r="A487">
        <x:v>8482055</x:v>
      </x:c>
      <x:c r="B487" s="4" t="b">
        <x:v>1</x:v>
      </x:c>
      <x:c r="C487" t="s">
        <x:v>843</x:v>
      </x:c>
      <x:c r="D487" t="s">
        <x:v>333</x:v>
      </x:c>
      <x:c r="E487" t="s">
        <x:v>420</x:v>
      </x:c>
      <x:c r="F487" t="s">
        <x:v>321</x:v>
      </x:c>
    </x:row>
    <x:row r="488">
      <x:c r="A488">
        <x:v>8476525</x:v>
      </x:c>
      <x:c r="B488" s="4" t="b">
        <x:v>1</x:v>
      </x:c>
      <x:c r="C488" t="s">
        <x:v>844</x:v>
      </x:c>
      <x:c r="D488" t="s">
        <x:v>331</x:v>
      </x:c>
      <x:c r="E488" t="s">
        <x:v>584</x:v>
      </x:c>
      <x:c r="F488" t="s">
        <x:v>321</x:v>
      </x:c>
    </x:row>
    <x:row r="489">
      <x:c r="A489">
        <x:v>8477021</x:v>
      </x:c>
      <x:c r="B489" s="4" t="b">
        <x:v>1</x:v>
      </x:c>
      <x:c r="C489" t="s">
        <x:v>845</x:v>
      </x:c>
      <x:c r="D489" t="s">
        <x:v>319</x:v>
      </x:c>
      <x:c r="E489" t="s">
        <x:v>372</x:v>
      </x:c>
      <x:c r="F489" t="s">
        <x:v>321</x:v>
      </x:c>
    </x:row>
    <x:row r="490">
      <x:c r="A490">
        <x:v>8482111</x:v>
      </x:c>
      <x:c r="B490" s="4" t="b">
        <x:v>1</x:v>
      </x:c>
      <x:c r="C490" t="s">
        <x:v>846</x:v>
      </x:c>
      <x:c r="D490" t="s">
        <x:v>331</x:v>
      </x:c>
      <x:c r="E490" t="s">
        <x:v>372</x:v>
      </x:c>
      <x:c r="F490" t="s">
        <x:v>321</x:v>
      </x:c>
    </x:row>
    <x:row r="491">
      <x:c r="A491">
        <x:v>8482775</x:v>
      </x:c>
      <x:c r="B491" s="4" t="b">
        <x:v>1</x:v>
      </x:c>
      <x:c r="C491" t="s">
        <x:v>847</x:v>
      </x:c>
      <x:c r="D491" t="s">
        <x:v>319</x:v>
      </x:c>
      <x:c r="E491" t="s">
        <x:v>356</x:v>
      </x:c>
      <x:c r="F491" t="s">
        <x:v>321</x:v>
      </x:c>
    </x:row>
    <x:row r="492">
      <x:c r="A492">
        <x:v>8481030</x:v>
      </x:c>
      <x:c r="B492" s="4" t="b">
        <x:v>1</x:v>
      </x:c>
      <x:c r="C492" t="s">
        <x:v>848</x:v>
      </x:c>
      <x:c r="D492" t="s">
        <x:v>331</x:v>
      </x:c>
      <x:c r="E492" t="s">
        <x:v>348</x:v>
      </x:c>
      <x:c r="F492" t="s">
        <x:v>321</x:v>
      </x:c>
    </x:row>
    <x:row r="493">
      <x:c r="A493">
        <x:v>8482062</x:v>
      </x:c>
      <x:c r="B493" s="4" t="b">
        <x:v>1</x:v>
      </x:c>
      <x:c r="C493" t="s">
        <x:v>849</x:v>
      </x:c>
      <x:c r="D493" t="s">
        <x:v>358</x:v>
      </x:c>
      <x:c r="E493" t="s">
        <x:v>436</x:v>
      </x:c>
      <x:c r="F493" t="s">
        <x:v>321</x:v>
      </x:c>
    </x:row>
    <x:row r="494">
      <x:c r="A494">
        <x:v>8476871</x:v>
      </x:c>
      <x:c r="B494" s="4" t="b">
        <x:v>1</x:v>
      </x:c>
      <x:c r="C494" t="s">
        <x:v>850</x:v>
      </x:c>
      <x:c r="D494" t="s">
        <x:v>358</x:v>
      </x:c>
      <x:c r="E494" t="s">
        <x:v>584</x:v>
      </x:c>
      <x:c r="F494" t="s">
        <x:v>321</x:v>
      </x:c>
    </x:row>
    <x:row r="495">
      <x:c r="A495">
        <x:v>8484241</x:v>
      </x:c>
      <x:c r="B495" s="4" t="b">
        <x:v>1</x:v>
      </x:c>
      <x:c r="C495" t="s">
        <x:v>851</x:v>
      </x:c>
      <x:c r="D495" t="s">
        <x:v>326</x:v>
      </x:c>
      <x:c r="E495" t="s">
        <x:v>372</x:v>
      </x:c>
      <x:c r="F495" t="s">
        <x:v>321</x:v>
      </x:c>
    </x:row>
    <x:row r="496">
      <x:c r="A496">
        <x:v>8475169</x:v>
      </x:c>
      <x:c r="B496" s="4" t="b">
        <x:v>1</x:v>
      </x:c>
      <x:c r="C496" t="s">
        <x:v>852</x:v>
      </x:c>
      <x:c r="D496" t="s">
        <x:v>358</x:v>
      </x:c>
      <x:c r="E496" t="s">
        <x:v>584</x:v>
      </x:c>
      <x:c r="F496" t="s">
        <x:v>321</x:v>
      </x:c>
    </x:row>
    <x:row r="497">
      <x:c r="A497">
        <x:v>8478104</x:v>
      </x:c>
      <x:c r="B497" s="4" t="b">
        <x:v>1</x:v>
      </x:c>
      <x:c r="C497" t="s">
        <x:v>853</x:v>
      </x:c>
      <x:c r="D497" t="s">
        <x:v>333</x:v>
      </x:c>
      <x:c r="E497" t="s">
        <x:v>584</x:v>
      </x:c>
      <x:c r="F497" t="s">
        <x:v>321</x:v>
      </x:c>
    </x:row>
    <x:row r="498">
      <x:c r="A498">
        <x:v>8482201</x:v>
      </x:c>
      <x:c r="B498" s="4" t="b">
        <x:v>1</x:v>
      </x:c>
      <x:c r="C498" t="s">
        <x:v>854</x:v>
      </x:c>
      <x:c r="D498" t="s">
        <x:v>319</x:v>
      </x:c>
      <x:c r="E498" t="s">
        <x:v>327</x:v>
      </x:c>
      <x:c r="F498" t="s">
        <x:v>321</x:v>
      </x:c>
    </x:row>
    <x:row r="499">
      <x:c r="A499">
        <x:v>8480849</x:v>
      </x:c>
      <x:c r="B499" s="4" t="b">
        <x:v>1</x:v>
      </x:c>
      <x:c r="C499" t="s">
        <x:v>855</x:v>
      </x:c>
      <x:c r="D499" t="s">
        <x:v>339</x:v>
      </x:c>
      <x:c r="E499" t="s">
        <x:v>393</x:v>
      </x:c>
      <x:c r="F499" t="s">
        <x:v>321</x:v>
      </x:c>
    </x:row>
    <x:row r="500">
      <x:c r="A500">
        <x:v>8482088</x:v>
      </x:c>
      <x:c r="B500" s="4" t="b">
        <x:v>1</x:v>
      </x:c>
      <x:c r="C500" t="s">
        <x:v>856</x:v>
      </x:c>
      <x:c r="D500" t="s">
        <x:v>323</x:v>
      </x:c>
      <x:c r="E500" t="s">
        <x:v>402</x:v>
      </x:c>
      <x:c r="F500" t="s">
        <x:v>321</x:v>
      </x:c>
    </x:row>
    <x:row r="501">
      <x:c r="A501">
        <x:v>8474189</x:v>
      </x:c>
      <x:c r="B501" s="4" t="b">
        <x:v>1</x:v>
      </x:c>
      <x:c r="C501" t="s">
        <x:v>857</x:v>
      </x:c>
      <x:c r="D501" t="s">
        <x:v>339</x:v>
      </x:c>
      <x:c r="E501" t="s">
        <x:v>400</x:v>
      </x:c>
      <x:c r="F501" t="s">
        <x:v>321</x:v>
      </x:c>
    </x:row>
    <x:row r="502">
      <x:c r="A502">
        <x:v>8479996</x:v>
      </x:c>
      <x:c r="B502" s="4" t="b">
        <x:v>1</x:v>
      </x:c>
      <x:c r="C502" t="s">
        <x:v>858</x:v>
      </x:c>
      <x:c r="D502" t="s">
        <x:v>323</x:v>
      </x:c>
      <x:c r="E502" t="s">
        <x:v>366</x:v>
      </x:c>
      <x:c r="F502" t="s">
        <x:v>321</x:v>
      </x:c>
    </x:row>
    <x:row r="503">
      <x:c r="A503">
        <x:v>8484806</x:v>
      </x:c>
      <x:c r="B503" s="4" t="b">
        <x:v>1</x:v>
      </x:c>
      <x:c r="C503" t="s">
        <x:v>859</x:v>
      </x:c>
      <x:c r="D503" t="s">
        <x:v>331</x:v>
      </x:c>
      <x:c r="E503" t="s">
        <x:v>340</x:v>
      </x:c>
      <x:c r="F503" t="s">
        <x:v>321</x:v>
      </x:c>
    </x:row>
    <x:row r="504">
      <x:c r="A504">
        <x:v>8481721</x:v>
      </x:c>
      <x:c r="B504" s="4" t="b">
        <x:v>1</x:v>
      </x:c>
      <x:c r="C504" t="s">
        <x:v>860</x:v>
      </x:c>
      <x:c r="D504" t="s">
        <x:v>326</x:v>
      </x:c>
      <x:c r="E504" t="s">
        <x:v>366</x:v>
      </x:c>
      <x:c r="F504" t="s">
        <x:v>321</x:v>
      </x:c>
    </x:row>
    <x:row r="505">
      <x:c r="A505">
        <x:v>8477903</x:v>
      </x:c>
      <x:c r="B505" s="4" t="b">
        <x:v>1</x:v>
      </x:c>
      <x:c r="C505" t="s">
        <x:v>861</x:v>
      </x:c>
      <x:c r="D505" t="s">
        <x:v>333</x:v>
      </x:c>
      <x:c r="E505" t="s">
        <x:v>400</x:v>
      </x:c>
      <x:c r="F505" t="s">
        <x:v>321</x:v>
      </x:c>
    </x:row>
    <x:row r="506">
      <x:c r="A506">
        <x:v>8480891</x:v>
      </x:c>
      <x:c r="B506" s="4" t="b">
        <x:v>1</x:v>
      </x:c>
      <x:c r="C506" t="s">
        <x:v>862</x:v>
      </x:c>
      <x:c r="D506" t="s">
        <x:v>331</x:v>
      </x:c>
      <x:c r="E506" t="s">
        <x:v>340</x:v>
      </x:c>
      <x:c r="F506" t="s">
        <x:v>321</x:v>
      </x:c>
    </x:row>
    <x:row r="507">
      <x:c r="A507">
        <x:v>8484994</x:v>
      </x:c>
      <x:c r="B507" s="4" t="b">
        <x:v>1</x:v>
      </x:c>
      <x:c r="C507" t="s">
        <x:v>863</x:v>
      </x:c>
      <x:c r="D507" t="s">
        <x:v>358</x:v>
      </x:c>
      <x:c r="E507" t="s">
        <x:v>340</x:v>
      </x:c>
      <x:c r="F507" t="s">
        <x:v>321</x:v>
      </x:c>
    </x:row>
    <x:row r="508">
      <x:c r="A508">
        <x:v>8481523</x:v>
      </x:c>
      <x:c r="B508" s="4" t="b">
        <x:v>1</x:v>
      </x:c>
      <x:c r="C508" t="s">
        <x:v>864</x:v>
      </x:c>
      <x:c r="D508" t="s">
        <x:v>323</x:v>
      </x:c>
      <x:c r="E508" t="s">
        <x:v>356</x:v>
      </x:c>
      <x:c r="F508" t="s">
        <x:v>321</x:v>
      </x:c>
    </x:row>
    <x:row r="509">
      <x:c r="A509">
        <x:v>8480762</x:v>
      </x:c>
      <x:c r="B509" s="4" t="b">
        <x:v>1</x:v>
      </x:c>
      <x:c r="C509" t="s">
        <x:v>865</x:v>
      </x:c>
      <x:c r="D509" t="s">
        <x:v>333</x:v>
      </x:c>
      <x:c r="E509" t="s">
        <x:v>386</x:v>
      </x:c>
      <x:c r="F509" t="s">
        <x:v>321</x:v>
      </x:c>
    </x:row>
    <x:row r="510">
      <x:c r="A510">
        <x:v>8481789</x:v>
      </x:c>
      <x:c r="B510" s="4" t="b">
        <x:v>1</x:v>
      </x:c>
      <x:c r="C510" t="s">
        <x:v>866</x:v>
      </x:c>
      <x:c r="D510" t="s">
        <x:v>358</x:v>
      </x:c>
      <x:c r="E510" t="s">
        <x:v>383</x:v>
      </x:c>
      <x:c r="F510" t="s">
        <x:v>321</x:v>
      </x:c>
    </x:row>
    <x:row r="511">
      <x:c r="A511">
        <x:v>8475231</x:v>
      </x:c>
      <x:c r="B511" s="4" t="b">
        <x:v>1</x:v>
      </x:c>
      <x:c r="C511" t="s">
        <x:v>867</x:v>
      </x:c>
      <x:c r="D511" t="s">
        <x:v>319</x:v>
      </x:c>
      <x:c r="E511" t="s">
        <x:v>439</x:v>
      </x:c>
      <x:c r="F511" t="s">
        <x:v>321</x:v>
      </x:c>
    </x:row>
    <x:row r="512">
      <x:c r="A512">
        <x:v>8482177</x:v>
      </x:c>
      <x:c r="B512" s="4" t="b">
        <x:v>1</x:v>
      </x:c>
      <x:c r="C512" t="s">
        <x:v>868</x:v>
      </x:c>
      <x:c r="D512" t="s">
        <x:v>339</x:v>
      </x:c>
      <x:c r="F512" t="s">
        <x:v>321</x:v>
      </x:c>
    </x:row>
    <x:row r="513">
      <x:c r="A513">
        <x:v>8485391</x:v>
      </x:c>
      <x:c r="B513" s="4" t="b">
        <x:v>1</x:v>
      </x:c>
      <x:c r="C513" t="s">
        <x:v>869</x:v>
      </x:c>
      <x:c r="D513" t="s">
        <x:v>339</x:v>
      </x:c>
      <x:c r="E513" t="s">
        <x:v>436</x:v>
      </x:c>
      <x:c r="F513" t="s">
        <x:v>321</x:v>
      </x:c>
    </x:row>
    <x:row r="514">
      <x:c r="A514">
        <x:v>8483464</x:v>
      </x:c>
      <x:c r="B514" s="4" t="b">
        <x:v>1</x:v>
      </x:c>
      <x:c r="C514" t="s">
        <x:v>870</x:v>
      </x:c>
      <x:c r="D514" t="s">
        <x:v>339</x:v>
      </x:c>
      <x:c r="E514" t="s">
        <x:v>368</x:v>
      </x:c>
      <x:c r="F514" t="s">
        <x:v>321</x:v>
      </x:c>
    </x:row>
    <x:row r="515">
      <x:c r="A515">
        <x:v>8477953</x:v>
      </x:c>
      <x:c r="B515" s="4" t="b">
        <x:v>1</x:v>
      </x:c>
      <x:c r="C515" t="s">
        <x:v>871</x:v>
      </x:c>
      <x:c r="D515" t="s">
        <x:v>333</x:v>
      </x:c>
      <x:c r="E515" t="s">
        <x:v>396</x:v>
      </x:c>
      <x:c r="F515" t="s">
        <x:v>321</x:v>
      </x:c>
    </x:row>
    <x:row r="516">
      <x:c r="A516">
        <x:v>8476422</x:v>
      </x:c>
      <x:c r="B516" s="4" t="b">
        <x:v>1</x:v>
      </x:c>
      <x:c r="C516" t="s">
        <x:v>872</x:v>
      </x:c>
      <x:c r="D516" t="s">
        <x:v>331</x:v>
      </x:c>
      <x:c r="E516" t="s">
        <x:v>584</x:v>
      </x:c>
      <x:c r="F516" t="s">
        <x:v>321</x:v>
      </x:c>
    </x:row>
    <x:row r="517">
      <x:c r="A517">
        <x:v>8478904</x:v>
      </x:c>
      <x:c r="B517" s="4" t="b">
        <x:v>1</x:v>
      </x:c>
      <x:c r="C517" t="s">
        <x:v>873</x:v>
      </x:c>
      <x:c r="D517" t="s">
        <x:v>319</x:v>
      </x:c>
      <x:c r="E517" t="s">
        <x:v>352</x:v>
      </x:c>
      <x:c r="F517" t="s">
        <x:v>321</x:v>
      </x:c>
    </x:row>
    <x:row r="518">
      <x:c r="A518">
        <x:v>8482074</x:v>
      </x:c>
      <x:c r="B518" s="4" t="b">
        <x:v>1</x:v>
      </x:c>
      <x:c r="C518" t="s">
        <x:v>874</x:v>
      </x:c>
      <x:c r="D518" t="s">
        <x:v>329</x:v>
      </x:c>
      <x:c r="E518" t="s">
        <x:v>576</x:v>
      </x:c>
      <x:c r="F518" t="s">
        <x:v>321</x:v>
      </x:c>
    </x:row>
    <x:row r="519">
      <x:c r="A519">
        <x:v>8478109</x:v>
      </x:c>
      <x:c r="B519" s="4" t="b">
        <x:v>1</x:v>
      </x:c>
      <x:c r="C519" t="s">
        <x:v>875</x:v>
      </x:c>
      <x:c r="D519" t="s">
        <x:v>333</x:v>
      </x:c>
      <x:c r="E519" t="s">
        <x:v>354</x:v>
      </x:c>
      <x:c r="F519" t="s">
        <x:v>321</x:v>
      </x:c>
    </x:row>
    <x:row r="520">
      <x:c r="A520">
        <x:v>8481024</x:v>
      </x:c>
      <x:c r="B520" s="4" t="b">
        <x:v>1</x:v>
      </x:c>
      <x:c r="C520" t="s">
        <x:v>876</x:v>
      </x:c>
      <x:c r="D520" t="s">
        <x:v>319</x:v>
      </x:c>
      <x:c r="E520" t="s">
        <x:v>420</x:v>
      </x:c>
      <x:c r="F520" t="s">
        <x:v>321</x:v>
      </x:c>
    </x:row>
    <x:row r="521">
      <x:c r="A521">
        <x:v>8483524</x:v>
      </x:c>
      <x:c r="B521" s="4" t="b">
        <x:v>1</x:v>
      </x:c>
      <x:c r="C521" t="s">
        <x:v>877</x:v>
      </x:c>
      <x:c r="D521" t="s">
        <x:v>319</x:v>
      </x:c>
      <x:c r="E521" t="s">
        <x:v>481</x:v>
      </x:c>
      <x:c r="F521" t="s">
        <x:v>321</x:v>
      </x:c>
    </x:row>
    <x:row r="522">
      <x:c r="A522">
        <x:v>8478047</x:v>
      </x:c>
      <x:c r="B522" s="4" t="b">
        <x:v>1</x:v>
      </x:c>
      <x:c r="C522" t="s">
        <x:v>878</x:v>
      </x:c>
      <x:c r="D522" t="s">
        <x:v>333</x:v>
      </x:c>
      <x:c r="E522" t="s">
        <x:v>584</x:v>
      </x:c>
      <x:c r="F522" t="s">
        <x:v>321</x:v>
      </x:c>
    </x:row>
    <x:row r="523">
      <x:c r="A523">
        <x:v>8477435</x:v>
      </x:c>
      <x:c r="B523" s="4" t="b">
        <x:v>1</x:v>
      </x:c>
      <x:c r="C523" t="s">
        <x:v>879</x:v>
      </x:c>
      <x:c r="D523" t="s">
        <x:v>331</x:v>
      </x:c>
      <x:c r="E523" t="s">
        <x:v>350</x:v>
      </x:c>
      <x:c r="F523" t="s">
        <x:v>321</x:v>
      </x:c>
    </x:row>
    <x:row r="524">
      <x:c r="A524">
        <x:v>8475343</x:v>
      </x:c>
      <x:c r="B524" s="4" t="b">
        <x:v>1</x:v>
      </x:c>
      <x:c r="C524" t="s">
        <x:v>880</x:v>
      </x:c>
      <x:c r="D524" t="s">
        <x:v>323</x:v>
      </x:c>
      <x:c r="E524" t="s">
        <x:v>354</x:v>
      </x:c>
      <x:c r="F524" t="s">
        <x:v>321</x:v>
      </x:c>
    </x:row>
    <x:row r="525">
      <x:c r="A525">
        <x:v>8483808</x:v>
      </x:c>
      <x:c r="B525" s="4" t="b">
        <x:v>1</x:v>
      </x:c>
      <x:c r="C525" t="s">
        <x:v>881</x:v>
      </x:c>
      <x:c r="D525" t="s">
        <x:v>358</x:v>
      </x:c>
      <x:c r="E525" t="s">
        <x:v>350</x:v>
      </x:c>
      <x:c r="F525" t="s">
        <x:v>321</x:v>
      </x:c>
    </x:row>
    <x:row r="526">
      <x:c r="A526">
        <x:v>8480289</x:v>
      </x:c>
      <x:c r="B526" s="4" t="b">
        <x:v>1</x:v>
      </x:c>
      <x:c r="C526" t="s">
        <x:v>882</x:v>
      </x:c>
      <x:c r="D526" t="s">
        <x:v>329</x:v>
      </x:c>
      <x:c r="E526" t="s">
        <x:v>348</x:v>
      </x:c>
      <x:c r="F526" t="s">
        <x:v>321</x:v>
      </x:c>
    </x:row>
    <x:row r="527">
      <x:c r="A527">
        <x:v>8483609</x:v>
      </x:c>
      <x:c r="B527" s="4" t="b">
        <x:v>1</x:v>
      </x:c>
      <x:c r="C527" t="s">
        <x:v>883</x:v>
      </x:c>
      <x:c r="D527" t="s">
        <x:v>333</x:v>
      </x:c>
      <x:c r="E527" t="s">
        <x:v>576</x:v>
      </x:c>
      <x:c r="F527" t="s">
        <x:v>321</x:v>
      </x:c>
    </x:row>
    <x:row r="528">
      <x:c r="A528">
        <x:v>8475842</x:v>
      </x:c>
      <x:c r="B528" s="4" t="b">
        <x:v>1</x:v>
      </x:c>
      <x:c r="C528" t="s">
        <x:v>884</x:v>
      </x:c>
      <x:c r="D528" t="s">
        <x:v>323</x:v>
      </x:c>
      <x:c r="E528" t="s">
        <x:v>361</x:v>
      </x:c>
      <x:c r="F528" t="s">
        <x:v>321</x:v>
      </x:c>
    </x:row>
    <x:row r="529">
      <x:c r="A529">
        <x:v>8478463</x:v>
      </x:c>
      <x:c r="B529" s="4" t="b">
        <x:v>1</x:v>
      </x:c>
      <x:c r="C529" t="s">
        <x:v>885</x:v>
      </x:c>
      <x:c r="D529" t="s">
        <x:v>333</x:v>
      </x:c>
      <x:c r="E529" t="s">
        <x:v>402</x:v>
      </x:c>
      <x:c r="F529" t="s">
        <x:v>321</x:v>
      </x:c>
    </x:row>
    <x:row r="530">
      <x:c r="A530">
        <x:v>8476927</x:v>
      </x:c>
      <x:c r="B530" s="4" t="b">
        <x:v>1</x:v>
      </x:c>
      <x:c r="C530" t="s">
        <x:v>886</x:v>
      </x:c>
      <x:c r="D530" t="s">
        <x:v>319</x:v>
      </x:c>
      <x:c r="E530" t="s">
        <x:v>352</x:v>
      </x:c>
      <x:c r="F530" t="s">
        <x:v>321</x:v>
      </x:c>
    </x:row>
    <x:row r="531">
      <x:c r="A531">
        <x:v>8481582</x:v>
      </x:c>
      <x:c r="B531" s="4" t="b">
        <x:v>1</x:v>
      </x:c>
      <x:c r="C531" t="s">
        <x:v>887</x:v>
      </x:c>
      <x:c r="D531" t="s">
        <x:v>333</x:v>
      </x:c>
      <x:c r="E531" t="s">
        <x:v>350</x:v>
      </x:c>
      <x:c r="F531" t="s">
        <x:v>321</x:v>
      </x:c>
    </x:row>
    <x:row r="532">
      <x:c r="A532">
        <x:v>8484210</x:v>
      </x:c>
      <x:c r="B532" s="4" t="b">
        <x:v>1</x:v>
      </x:c>
      <x:c r="C532" t="s">
        <x:v>888</x:v>
      </x:c>
      <x:c r="D532" t="s">
        <x:v>326</x:v>
      </x:c>
      <x:c r="E532" t="s">
        <x:v>383</x:v>
      </x:c>
      <x:c r="F532" t="s">
        <x:v>321</x:v>
      </x:c>
    </x:row>
    <x:row r="533">
      <x:c r="A533">
        <x:v>8479372</x:v>
      </x:c>
      <x:c r="B533" s="4" t="b">
        <x:v>1</x:v>
      </x:c>
      <x:c r="C533" t="s">
        <x:v>889</x:v>
      </x:c>
      <x:c r="D533" t="s">
        <x:v>331</x:v>
      </x:c>
      <x:c r="E533" t="s">
        <x:v>481</x:v>
      </x:c>
      <x:c r="F533" t="s">
        <x:v>321</x:v>
      </x:c>
    </x:row>
    <x:row r="534">
      <x:c r="A534">
        <x:v>8480980</x:v>
      </x:c>
      <x:c r="B534" s="4" t="b">
        <x:v>1</x:v>
      </x:c>
      <x:c r="C534" t="s">
        <x:v>890</x:v>
      </x:c>
      <x:c r="D534" t="s">
        <x:v>339</x:v>
      </x:c>
      <x:c r="E534" t="s">
        <x:v>350</x:v>
      </x:c>
      <x:c r="F534" t="s">
        <x:v>321</x:v>
      </x:c>
    </x:row>
    <x:row r="535">
      <x:c r="A535">
        <x:v>8478366</x:v>
      </x:c>
      <x:c r="B535" s="4" t="b">
        <x:v>1</x:v>
      </x:c>
      <x:c r="C535" t="s">
        <x:v>891</x:v>
      </x:c>
      <x:c r="D535" t="s">
        <x:v>333</x:v>
      </x:c>
      <x:c r="E535" t="s">
        <x:v>393</x:v>
      </x:c>
      <x:c r="F535" t="s">
        <x:v>321</x:v>
      </x:c>
    </x:row>
    <x:row r="536">
      <x:c r="A536">
        <x:v>8484321</x:v>
      </x:c>
      <x:c r="B536" s="4" t="b">
        <x:v>1</x:v>
      </x:c>
      <x:c r="C536" t="s">
        <x:v>892</x:v>
      </x:c>
      <x:c r="D536" t="s">
        <x:v>331</x:v>
      </x:c>
      <x:c r="E536" t="s">
        <x:v>370</x:v>
      </x:c>
      <x:c r="F536" t="s">
        <x:v>321</x:v>
      </x:c>
    </x:row>
    <x:row r="537">
      <x:c r="A537">
        <x:v>8479661</x:v>
      </x:c>
      <x:c r="B537" s="4" t="b">
        <x:v>1</x:v>
      </x:c>
      <x:c r="C537" t="s">
        <x:v>893</x:v>
      </x:c>
      <x:c r="D537" t="s">
        <x:v>333</x:v>
      </x:c>
      <x:c r="E537" t="s">
        <x:v>393</x:v>
      </x:c>
      <x:c r="F537" t="s">
        <x:v>321</x:v>
      </x:c>
    </x:row>
    <x:row r="538">
      <x:c r="A538">
        <x:v>8477407</x:v>
      </x:c>
      <x:c r="B538" s="4" t="b">
        <x:v>1</x:v>
      </x:c>
      <x:c r="C538" t="s">
        <x:v>894</x:v>
      </x:c>
      <x:c r="D538" t="s">
        <x:v>333</x:v>
      </x:c>
      <x:c r="E538" t="s">
        <x:v>439</x:v>
      </x:c>
      <x:c r="F538" t="s">
        <x:v>321</x:v>
      </x:c>
    </x:row>
    <x:row r="539">
      <x:c r="A539">
        <x:v>8476393</x:v>
      </x:c>
      <x:c r="B539" s="4" t="b">
        <x:v>1</x:v>
      </x:c>
      <x:c r="C539" t="s">
        <x:v>895</x:v>
      </x:c>
      <x:c r="D539" t="s">
        <x:v>339</x:v>
      </x:c>
      <x:c r="E539" t="s">
        <x:v>370</x:v>
      </x:c>
      <x:c r="F539" t="s">
        <x:v>321</x:v>
      </x:c>
    </x:row>
    <x:row r="540">
      <x:c r="A540">
        <x:v>8477938</x:v>
      </x:c>
      <x:c r="B540" s="4" t="b">
        <x:v>1</x:v>
      </x:c>
      <x:c r="C540" t="s">
        <x:v>896</x:v>
      </x:c>
      <x:c r="D540" t="s">
        <x:v>331</x:v>
      </x:c>
      <x:c r="E540" t="s">
        <x:v>348</x:v>
      </x:c>
      <x:c r="F540" t="s">
        <x:v>321</x:v>
      </x:c>
    </x:row>
    <x:row r="541">
      <x:c r="A541">
        <x:v>8477425</x:v>
      </x:c>
      <x:c r="B541" s="4" t="b">
        <x:v>1</x:v>
      </x:c>
      <x:c r="C541" t="s">
        <x:v>897</x:v>
      </x:c>
      <x:c r="D541" t="s">
        <x:v>358</x:v>
      </x:c>
      <x:c r="E541" t="s">
        <x:v>337</x:v>
      </x:c>
      <x:c r="F541" t="s">
        <x:v>321</x:v>
      </x:c>
    </x:row>
    <x:row r="542">
      <x:c r="A542">
        <x:v>8478502</x:v>
      </x:c>
      <x:c r="B542" s="4" t="b">
        <x:v>1</x:v>
      </x:c>
      <x:c r="C542" t="s">
        <x:v>898</x:v>
      </x:c>
      <x:c r="D542" t="s">
        <x:v>331</x:v>
      </x:c>
      <x:c r="E542" t="s">
        <x:v>361</x:v>
      </x:c>
      <x:c r="F542" t="s">
        <x:v>321</x:v>
      </x:c>
    </x:row>
    <x:row r="543">
      <x:c r="A543">
        <x:v>8479359</x:v>
      </x:c>
      <x:c r="B543" s="4" t="b">
        <x:v>1</x:v>
      </x:c>
      <x:c r="C543" t="s">
        <x:v>899</x:v>
      </x:c>
      <x:c r="D543" t="s">
        <x:v>333</x:v>
      </x:c>
      <x:c r="E543" t="s">
        <x:v>361</x:v>
      </x:c>
      <x:c r="F543" t="s">
        <x:v>321</x:v>
      </x:c>
    </x:row>
    <x:row r="544">
      <x:c r="A544">
        <x:v>8483468</x:v>
      </x:c>
      <x:c r="B544" s="4" t="b">
        <x:v>1</x:v>
      </x:c>
      <x:c r="C544" t="s">
        <x:v>900</x:v>
      </x:c>
      <x:c r="D544" t="s">
        <x:v>329</x:v>
      </x:c>
      <x:c r="E544" t="s">
        <x:v>361</x:v>
      </x:c>
      <x:c r="F544" t="s">
        <x:v>321</x:v>
      </x:c>
    </x:row>
    <x:row r="545">
      <x:c r="A545">
        <x:v>8484471</x:v>
      </x:c>
      <x:c r="B545" s="4" t="b">
        <x:v>1</x:v>
      </x:c>
      <x:c r="C545" t="s">
        <x:v>901</x:v>
      </x:c>
      <x:c r="D545" t="s">
        <x:v>329</x:v>
      </x:c>
      <x:c r="F545" t="s">
        <x:v>321</x:v>
      </x:c>
    </x:row>
    <x:row r="546">
      <x:c r="A546">
        <x:v>8456453</x:v>
      </x:c>
      <x:c r="B546" s="4" t="b">
        <x:v>1</x:v>
      </x:c>
      <x:c r="C546" t="s">
        <x:v>902</x:v>
      </x:c>
      <x:c r="D546" t="s">
        <x:v>339</x:v>
      </x:c>
      <x:c r="F546" t="s">
        <x:v>321</x:v>
      </x:c>
    </x:row>
    <x:row r="547">
      <x:c r="A547">
        <x:v>8478891</x:v>
      </x:c>
      <x:c r="B547" s="4" t="b">
        <x:v>1</x:v>
      </x:c>
      <x:c r="C547" t="s">
        <x:v>903</x:v>
      </x:c>
      <x:c r="D547" t="s">
        <x:v>323</x:v>
      </x:c>
      <x:c r="E547" t="s">
        <x:v>368</x:v>
      </x:c>
      <x:c r="F547" t="s">
        <x:v>321</x:v>
      </x:c>
    </x:row>
    <x:row r="548">
      <x:c r="A548">
        <x:v>8476897</x:v>
      </x:c>
      <x:c r="B548" s="4" t="b">
        <x:v>1</x:v>
      </x:c>
      <x:c r="C548" t="s">
        <x:v>904</x:v>
      </x:c>
      <x:c r="D548" t="s">
        <x:v>323</x:v>
      </x:c>
      <x:c r="E548" t="s">
        <x:v>396</x:v>
      </x:c>
      <x:c r="F548" t="s">
        <x:v>321</x:v>
      </x:c>
    </x:row>
    <x:row r="549">
      <x:c r="A549">
        <x:v>8481013</x:v>
      </x:c>
      <x:c r="B549" s="4" t="b">
        <x:v>1</x:v>
      </x:c>
      <x:c r="C549" t="s">
        <x:v>905</x:v>
      </x:c>
      <x:c r="D549" t="s">
        <x:v>333</x:v>
      </x:c>
      <x:c r="E549" t="s">
        <x:v>396</x:v>
      </x:c>
      <x:c r="F549" t="s">
        <x:v>321</x:v>
      </x:c>
    </x:row>
    <x:row r="550">
      <x:c r="A550">
        <x:v>8482660</x:v>
      </x:c>
      <x:c r="B550" s="4" t="b">
        <x:v>1</x:v>
      </x:c>
      <x:c r="C550" t="s">
        <x:v>906</x:v>
      </x:c>
      <x:c r="D550" t="s">
        <x:v>329</x:v>
      </x:c>
      <x:c r="E550" t="s">
        <x:v>337</x:v>
      </x:c>
      <x:c r="F550" t="s">
        <x:v>321</x:v>
      </x:c>
    </x:row>
    <x:row r="551">
      <x:c r="A551">
        <x:v>8477018</x:v>
      </x:c>
      <x:c r="B551" s="4" t="b">
        <x:v>1</x:v>
      </x:c>
      <x:c r="C551" t="s">
        <x:v>907</x:v>
      </x:c>
      <x:c r="D551" t="s">
        <x:v>331</x:v>
      </x:c>
      <x:c r="E551" t="s">
        <x:v>584</x:v>
      </x:c>
      <x:c r="F551" t="s">
        <x:v>321</x:v>
      </x:c>
    </x:row>
    <x:row r="552">
      <x:c r="A552">
        <x:v>8479390</x:v>
      </x:c>
      <x:c r="B552" s="4" t="b">
        <x:v>1</x:v>
      </x:c>
      <x:c r="C552" t="s">
        <x:v>908</x:v>
      </x:c>
      <x:c r="D552" t="s">
        <x:v>333</x:v>
      </x:c>
      <x:c r="E552" t="s">
        <x:v>383</x:v>
      </x:c>
      <x:c r="F552" t="s">
        <x:v>321</x:v>
      </x:c>
    </x:row>
    <x:row r="553">
      <x:c r="A553">
        <x:v>8485402</x:v>
      </x:c>
      <x:c r="B553" s="4" t="b">
        <x:v>1</x:v>
      </x:c>
      <x:c r="C553" t="s">
        <x:v>909</x:v>
      </x:c>
      <x:c r="D553" t="s">
        <x:v>319</x:v>
      </x:c>
      <x:c r="E553" t="s">
        <x:v>340</x:v>
      </x:c>
      <x:c r="F553" t="s">
        <x:v>321</x:v>
      </x:c>
    </x:row>
    <x:row r="554">
      <x:c r="A554">
        <x:v>8475714</x:v>
      </x:c>
      <x:c r="B554" s="4" t="b">
        <x:v>1</x:v>
      </x:c>
      <x:c r="C554" t="s">
        <x:v>910</x:v>
      </x:c>
      <x:c r="D554" t="s">
        <x:v>329</x:v>
      </x:c>
      <x:c r="F554" t="s">
        <x:v>321</x:v>
      </x:c>
    </x:row>
    <x:row r="555">
      <x:c r="A555">
        <x:v>8482624</x:v>
      </x:c>
      <x:c r="B555" s="4" t="b">
        <x:v>1</x:v>
      </x:c>
      <x:c r="C555" t="s">
        <x:v>911</x:v>
      </x:c>
      <x:c r="D555" t="s">
        <x:v>331</x:v>
      </x:c>
      <x:c r="F555" t="s">
        <x:v>321</x:v>
      </x:c>
    </x:row>
    <x:row r="556">
      <x:c r="A556">
        <x:v>8477380</x:v>
      </x:c>
      <x:c r="B556" s="4" t="b">
        <x:v>1</x:v>
      </x:c>
      <x:c r="C556" t="s">
        <x:v>912</x:v>
      </x:c>
      <x:c r="D556" t="s">
        <x:v>323</x:v>
      </x:c>
      <x:c r="F556" t="s">
        <x:v>321</x:v>
      </x:c>
    </x:row>
    <x:row r="557">
      <x:c r="A557">
        <x:v>8481477</x:v>
      </x:c>
      <x:c r="B557" s="4" t="b">
        <x:v>1</x:v>
      </x:c>
      <x:c r="C557" t="s">
        <x:v>913</x:v>
      </x:c>
      <x:c r="D557" t="s">
        <x:v>339</x:v>
      </x:c>
      <x:c r="E557" t="s">
        <x:v>345</x:v>
      </x:c>
      <x:c r="F557" t="s">
        <x:v>321</x:v>
      </x:c>
    </x:row>
    <x:row r="558">
      <x:c r="A558">
        <x:v>8481593</x:v>
      </x:c>
      <x:c r="B558" s="4" t="b">
        <x:v>1</x:v>
      </x:c>
      <x:c r="C558" t="s">
        <x:v>914</x:v>
      </x:c>
      <x:c r="D558" t="s">
        <x:v>331</x:v>
      </x:c>
      <x:c r="F558" t="s">
        <x:v>321</x:v>
      </x:c>
    </x:row>
    <x:row r="559">
      <x:c r="A559">
        <x:v>8482126</x:v>
      </x:c>
      <x:c r="B559" s="4" t="b">
        <x:v>1</x:v>
      </x:c>
      <x:c r="C559" t="s">
        <x:v>915</x:v>
      </x:c>
      <x:c r="D559" t="s">
        <x:v>331</x:v>
      </x:c>
      <x:c r="E559" t="s">
        <x:v>352</x:v>
      </x:c>
      <x:c r="F559" t="s">
        <x:v>321</x:v>
      </x:c>
    </x:row>
    <x:row r="560">
      <x:c r="A560">
        <x:v>8474679</x:v>
      </x:c>
      <x:c r="B560" s="4" t="b">
        <x:v>1</x:v>
      </x:c>
      <x:c r="C560" t="s">
        <x:v>916</x:v>
      </x:c>
      <x:c r="D560" t="s">
        <x:v>333</x:v>
      </x:c>
      <x:c r="E560" t="s">
        <x:v>584</x:v>
      </x:c>
      <x:c r="F560" t="s">
        <x:v>321</x:v>
      </x:c>
    </x:row>
    <x:row r="561">
      <x:c r="A561">
        <x:v>8477384</x:v>
      </x:c>
      <x:c r="B561" s="4" t="b">
        <x:v>1</x:v>
      </x:c>
      <x:c r="C561" t="s">
        <x:v>917</x:v>
      </x:c>
      <x:c r="D561" t="s">
        <x:v>331</x:v>
      </x:c>
      <x:c r="F561" t="s">
        <x:v>321</x:v>
      </x:c>
    </x:row>
    <x:row r="562">
      <x:c r="A562">
        <x:v>8483499</x:v>
      </x:c>
      <x:c r="B562" s="4" t="b">
        <x:v>1</x:v>
      </x:c>
      <x:c r="C562" t="s">
        <x:v>918</x:v>
      </x:c>
      <x:c r="D562" t="s">
        <x:v>358</x:v>
      </x:c>
      <x:c r="E562" t="s">
        <x:v>420</x:v>
      </x:c>
      <x:c r="F562" t="s">
        <x:v>321</x:v>
      </x:c>
    </x:row>
    <x:row r="563">
      <x:c r="A563">
        <x:v>8482691</x:v>
      </x:c>
      <x:c r="B563" s="4" t="b">
        <x:v>1</x:v>
      </x:c>
      <x:c r="C563" t="s">
        <x:v>919</x:v>
      </x:c>
      <x:c r="D563" t="s">
        <x:v>339</x:v>
      </x:c>
      <x:c r="E563" t="s">
        <x:v>420</x:v>
      </x:c>
      <x:c r="F563" t="s">
        <x:v>321</x:v>
      </x:c>
    </x:row>
    <x:row r="564">
      <x:c r="A564">
        <x:v>8479336</x:v>
      </x:c>
      <x:c r="B564" s="4" t="b">
        <x:v>1</x:v>
      </x:c>
      <x:c r="C564" t="s">
        <x:v>920</x:v>
      </x:c>
      <x:c r="D564" t="s">
        <x:v>326</x:v>
      </x:c>
      <x:c r="E564" t="s">
        <x:v>427</x:v>
      </x:c>
      <x:c r="F564" t="s">
        <x:v>321</x:v>
      </x:c>
    </x:row>
    <x:row r="565">
      <x:c r="A565">
        <x:v>8477335</x:v>
      </x:c>
      <x:c r="B565" s="4" t="b">
        <x:v>1</x:v>
      </x:c>
      <x:c r="C565" t="s">
        <x:v>921</x:v>
      </x:c>
      <x:c r="D565" t="s">
        <x:v>331</x:v>
      </x:c>
      <x:c r="E565" t="s">
        <x:v>439</x:v>
      </x:c>
      <x:c r="F565" t="s">
        <x:v>321</x:v>
      </x:c>
    </x:row>
    <x:row r="566">
      <x:c r="A566">
        <x:v>8478451</x:v>
      </x:c>
      <x:c r="B566" s="4" t="b">
        <x:v>1</x:v>
      </x:c>
      <x:c r="C566" t="s">
        <x:v>922</x:v>
      </x:c>
      <x:c r="D566" t="s">
        <x:v>331</x:v>
      </x:c>
      <x:c r="F566" t="s">
        <x:v>321</x:v>
      </x:c>
    </x:row>
    <x:row r="567">
      <x:c r="A567">
        <x:v>8480281</x:v>
      </x:c>
      <x:c r="B567" s="4" t="b">
        <x:v>1</x:v>
      </x:c>
      <x:c r="C567" t="s">
        <x:v>923</x:v>
      </x:c>
      <x:c r="D567" t="s">
        <x:v>333</x:v>
      </x:c>
      <x:c r="E567" t="s">
        <x:v>396</x:v>
      </x:c>
      <x:c r="F567" t="s">
        <x:v>321</x:v>
      </x:c>
    </x:row>
    <x:row r="568">
      <x:c r="A568">
        <x:v>8479992</x:v>
      </x:c>
      <x:c r="B568" s="4" t="b">
        <x:v>1</x:v>
      </x:c>
      <x:c r="C568" t="s">
        <x:v>924</x:v>
      </x:c>
      <x:c r="D568" t="s">
        <x:v>339</x:v>
      </x:c>
      <x:c r="E568" t="s">
        <x:v>396</x:v>
      </x:c>
      <x:c r="F568" t="s">
        <x:v>321</x:v>
      </x:c>
    </x:row>
    <x:row r="569">
      <x:c r="A569">
        <x:v>8483525</x:v>
      </x:c>
      <x:c r="B569" s="4" t="b">
        <x:v>1</x:v>
      </x:c>
      <x:c r="C569" t="s">
        <x:v>925</x:v>
      </x:c>
      <x:c r="D569" t="s">
        <x:v>326</x:v>
      </x:c>
      <x:c r="E569" t="s">
        <x:v>345</x:v>
      </x:c>
      <x:c r="F569" t="s">
        <x:v>321</x:v>
      </x:c>
    </x:row>
    <x:row r="570">
      <x:c r="A570">
        <x:v>8476822</x:v>
      </x:c>
      <x:c r="B570" s="4" t="b">
        <x:v>1</x:v>
      </x:c>
      <x:c r="C570" t="s">
        <x:v>926</x:v>
      </x:c>
      <x:c r="D570" t="s">
        <x:v>323</x:v>
      </x:c>
      <x:c r="E570" t="s">
        <x:v>334</x:v>
      </x:c>
      <x:c r="F570" t="s">
        <x:v>321</x:v>
      </x:c>
    </x:row>
    <x:row r="571">
      <x:c r="A571">
        <x:v>8483752</x:v>
      </x:c>
      <x:c r="B571" s="4" t="b">
        <x:v>1</x:v>
      </x:c>
      <x:c r="C571" t="s">
        <x:v>927</x:v>
      </x:c>
      <x:c r="D571" t="s">
        <x:v>339</x:v>
      </x:c>
      <x:c r="F571" t="s">
        <x:v>321</x:v>
      </x:c>
    </x:row>
    <x:row r="572">
      <x:c r="A572">
        <x:v>8484158</x:v>
      </x:c>
      <x:c r="B572" s="4" t="b">
        <x:v>1</x:v>
      </x:c>
      <x:c r="C572" t="s">
        <x:v>928</x:v>
      </x:c>
      <x:c r="D572" t="s">
        <x:v>329</x:v>
      </x:c>
      <x:c r="E572" t="s">
        <x:v>352</x:v>
      </x:c>
      <x:c r="F572" t="s">
        <x:v>321</x:v>
      </x:c>
    </x:row>
    <x:row r="573">
      <x:c r="A573">
        <x:v>8484304</x:v>
      </x:c>
      <x:c r="B573" s="4" t="b">
        <x:v>1</x:v>
      </x:c>
      <x:c r="C573" t="s">
        <x:v>929</x:v>
      </x:c>
      <x:c r="D573" t="s">
        <x:v>331</x:v>
      </x:c>
      <x:c r="E573" t="s">
        <x:v>400</x:v>
      </x:c>
      <x:c r="F573" t="s">
        <x:v>321</x:v>
      </x:c>
    </x:row>
    <x:row r="574">
      <x:c r="A574">
        <x:v>8476624</x:v>
      </x:c>
      <x:c r="B574" s="4" t="b">
        <x:v>1</x:v>
      </x:c>
      <x:c r="C574" t="s">
        <x:v>930</x:v>
      </x:c>
      <x:c r="D574" t="s">
        <x:v>319</x:v>
      </x:c>
      <x:c r="E574" t="s">
        <x:v>340</x:v>
      </x:c>
      <x:c r="F574" t="s">
        <x:v>321</x:v>
      </x:c>
    </x:row>
    <x:row r="575">
      <x:c r="A575">
        <x:v>8479402</x:v>
      </x:c>
      <x:c r="B575" s="4" t="b">
        <x:v>1</x:v>
      </x:c>
      <x:c r="C575" t="s">
        <x:v>931</x:v>
      </x:c>
      <x:c r="D575" t="s">
        <x:v>331</x:v>
      </x:c>
      <x:c r="E575" t="s">
        <x:v>584</x:v>
      </x:c>
      <x:c r="F575" t="s">
        <x:v>321</x:v>
      </x:c>
    </x:row>
    <x:row r="576">
      <x:c r="A576">
        <x:v>8481032</x:v>
      </x:c>
      <x:c r="B576" s="4" t="b">
        <x:v>1</x:v>
      </x:c>
      <x:c r="C576" t="s">
        <x:v>932</x:v>
      </x:c>
      <x:c r="D576" t="s">
        <x:v>339</x:v>
      </x:c>
      <x:c r="E576" t="s">
        <x:v>420</x:v>
      </x:c>
      <x:c r="F576" t="s">
        <x:v>321</x:v>
      </x:c>
    </x:row>
    <x:row r="577">
      <x:c r="A577">
        <x:v>8475763</x:v>
      </x:c>
      <x:c r="B577" s="4" t="b">
        <x:v>1</x:v>
      </x:c>
      <x:c r="C577" t="s">
        <x:v>933</x:v>
      </x:c>
      <x:c r="D577" t="s">
        <x:v>329</x:v>
      </x:c>
      <x:c r="E577" t="s">
        <x:v>584</x:v>
      </x:c>
      <x:c r="F577" t="s">
        <x:v>321</x:v>
      </x:c>
    </x:row>
    <x:row r="578">
      <x:c r="A578">
        <x:v>8480835</x:v>
      </x:c>
      <x:c r="B578" s="4" t="b">
        <x:v>1</x:v>
      </x:c>
      <x:c r="C578" t="s">
        <x:v>934</x:v>
      </x:c>
      <x:c r="D578" t="s">
        <x:v>319</x:v>
      </x:c>
      <x:c r="E578" t="s">
        <x:v>372</x:v>
      </x:c>
      <x:c r="F578" t="s">
        <x:v>321</x:v>
      </x:c>
    </x:row>
    <x:row r="579">
      <x:c r="A579">
        <x:v>8482165</x:v>
      </x:c>
      <x:c r="B579" s="4" t="b">
        <x:v>1</x:v>
      </x:c>
      <x:c r="C579" t="s">
        <x:v>935</x:v>
      </x:c>
      <x:c r="D579" t="s">
        <x:v>331</x:v>
      </x:c>
      <x:c r="F579" t="s">
        <x:v>321</x:v>
      </x:c>
    </x:row>
    <x:row r="580">
      <x:c r="A580">
        <x:v>8483690</x:v>
      </x:c>
      <x:c r="B580" s="4" t="b">
        <x:v>1</x:v>
      </x:c>
      <x:c r="C580" t="s">
        <x:v>936</x:v>
      </x:c>
      <x:c r="D580" t="s">
        <x:v>319</x:v>
      </x:c>
      <x:c r="E580" t="s">
        <x:v>383</x:v>
      </x:c>
      <x:c r="F580" t="s">
        <x:v>321</x:v>
      </x:c>
    </x:row>
    <x:row r="581">
      <x:c r="A581">
        <x:v>8481059</x:v>
      </x:c>
      <x:c r="B581" s="4" t="b">
        <x:v>1</x:v>
      </x:c>
      <x:c r="C581" t="s">
        <x:v>937</x:v>
      </x:c>
      <x:c r="D581" t="s">
        <x:v>331</x:v>
      </x:c>
      <x:c r="E581" t="s">
        <x:v>379</x:v>
      </x:c>
      <x:c r="F581" t="s">
        <x:v>321</x:v>
      </x:c>
    </x:row>
    <x:row r="582">
      <x:c r="A582">
        <x:v>8480871</x:v>
      </x:c>
      <x:c r="B582" s="4" t="b">
        <x:v>1</x:v>
      </x:c>
      <x:c r="C582" t="s">
        <x:v>938</x:v>
      </x:c>
      <x:c r="D582" t="s">
        <x:v>331</x:v>
      </x:c>
      <x:c r="F582" t="s">
        <x:v>321</x:v>
      </x:c>
    </x:row>
    <x:row r="583">
      <x:c r="A583">
        <x:v>8480995</x:v>
      </x:c>
      <x:c r="B583" s="4" t="b">
        <x:v>1</x:v>
      </x:c>
      <x:c r="C583" t="s">
        <x:v>939</x:v>
      </x:c>
      <x:c r="D583" t="s">
        <x:v>329</x:v>
      </x:c>
      <x:c r="E583" t="s">
        <x:v>327</x:v>
      </x:c>
      <x:c r="F583" t="s">
        <x:v>321</x:v>
      </x:c>
    </x:row>
    <x:row r="584">
      <x:c r="A584">
        <x:v>8479977</x:v>
      </x:c>
      <x:c r="B584" s="4" t="b">
        <x:v>1</x:v>
      </x:c>
      <x:c r="C584" t="s">
        <x:v>940</x:v>
      </x:c>
      <x:c r="D584" t="s">
        <x:v>333</x:v>
      </x:c>
      <x:c r="E584" t="s">
        <x:v>364</x:v>
      </x:c>
      <x:c r="F584" t="s">
        <x:v>321</x:v>
      </x:c>
    </x:row>
    <x:row r="585">
      <x:c r="A585">
        <x:v>8479520</x:v>
      </x:c>
      <x:c r="B585" s="4" t="b">
        <x:v>1</x:v>
      </x:c>
      <x:c r="C585" t="s">
        <x:v>941</x:v>
      </x:c>
      <x:c r="D585" t="s">
        <x:v>333</x:v>
      </x:c>
      <x:c r="E585" t="s">
        <x:v>352</x:v>
      </x:c>
      <x:c r="F585" t="s">
        <x:v>321</x:v>
      </x:c>
    </x:row>
    <x:row r="586">
      <x:c r="A586">
        <x:v>8479316</x:v>
      </x:c>
      <x:c r="B586" s="4" t="b">
        <x:v>1</x:v>
      </x:c>
      <x:c r="C586" t="s">
        <x:v>942</x:v>
      </x:c>
      <x:c r="D586" t="s">
        <x:v>329</x:v>
      </x:c>
      <x:c r="E586" t="s">
        <x:v>350</x:v>
      </x:c>
      <x:c r="F586" t="s">
        <x:v>321</x:v>
      </x:c>
    </x:row>
    <x:row r="587">
      <x:c r="A587">
        <x:v>8479591</x:v>
      </x:c>
      <x:c r="B587" s="4" t="b">
        <x:v>1</x:v>
      </x:c>
      <x:c r="C587" t="s">
        <x:v>943</x:v>
      </x:c>
      <x:c r="D587" t="s">
        <x:v>319</x:v>
      </x:c>
      <x:c r="F587" t="s">
        <x:v>321</x:v>
      </x:c>
    </x:row>
    <x:row r="588">
      <x:c r="A588">
        <x:v>8480001</x:v>
      </x:c>
      <x:c r="B588" s="4" t="b">
        <x:v>1</x:v>
      </x:c>
      <x:c r="C588" t="s">
        <x:v>944</x:v>
      </x:c>
      <x:c r="D588" t="s">
        <x:v>331</x:v>
      </x:c>
      <x:c r="E588" t="s">
        <x:v>383</x:v>
      </x:c>
      <x:c r="F588" t="s">
        <x:v>321</x:v>
      </x:c>
    </x:row>
    <x:row r="589">
      <x:c r="A589">
        <x:v>8475718</x:v>
      </x:c>
      <x:c r="B589" s="4" t="b">
        <x:v>1</x:v>
      </x:c>
      <x:c r="C589" t="s">
        <x:v>945</x:v>
      </x:c>
      <x:c r="D589" t="s">
        <x:v>331</x:v>
      </x:c>
      <x:c r="F589" t="s">
        <x:v>321</x:v>
      </x:c>
    </x:row>
    <x:row r="590">
      <x:c r="A590">
        <x:v>8482131</x:v>
      </x:c>
      <x:c r="B590" s="4" t="b">
        <x:v>1</x:v>
      </x:c>
      <x:c r="C590" t="s">
        <x:v>946</x:v>
      </x:c>
      <x:c r="D590" t="s">
        <x:v>331</x:v>
      </x:c>
      <x:c r="F590" t="s">
        <x:v>321</x:v>
      </x:c>
    </x:row>
    <x:row r="591">
      <x:c r="A591">
        <x:v>8480848</x:v>
      </x:c>
      <x:c r="B591" s="4" t="b">
        <x:v>1</x:v>
      </x:c>
      <x:c r="C591" t="s">
        <x:v>947</x:v>
      </x:c>
      <x:c r="D591" t="s">
        <x:v>329</x:v>
      </x:c>
      <x:c r="E591" t="s">
        <x:v>340</x:v>
      </x:c>
      <x:c r="F591" t="s">
        <x:v>321</x:v>
      </x:c>
    </x:row>
    <x:row r="592">
      <x:c r="A592">
        <x:v>8483450</x:v>
      </x:c>
      <x:c r="B592" s="4" t="b">
        <x:v>1</x:v>
      </x:c>
      <x:c r="C592" t="s">
        <x:v>948</x:v>
      </x:c>
      <x:c r="D592" t="s">
        <x:v>323</x:v>
      </x:c>
      <x:c r="E592" t="s">
        <x:v>436</x:v>
      </x:c>
      <x:c r="F592" t="s">
        <x:v>321</x:v>
      </x:c>
    </x:row>
    <x:row r="593">
      <x:c r="A593">
        <x:v>8484164</x:v>
      </x:c>
      <x:c r="B593" s="4" t="b">
        <x:v>1</x:v>
      </x:c>
      <x:c r="C593" t="s">
        <x:v>949</x:v>
      </x:c>
      <x:c r="D593" t="s">
        <x:v>323</x:v>
      </x:c>
      <x:c r="E593" t="s">
        <x:v>396</x:v>
      </x:c>
      <x:c r="F593" t="s">
        <x:v>321</x:v>
      </x:c>
    </x:row>
    <x:row r="594">
      <x:c r="A594">
        <x:v>8477454</x:v>
      </x:c>
      <x:c r="B594" s="4" t="b">
        <x:v>1</x:v>
      </x:c>
      <x:c r="C594" t="s">
        <x:v>950</x:v>
      </x:c>
      <x:c r="D594" t="s">
        <x:v>333</x:v>
      </x:c>
      <x:c r="E594" t="s">
        <x:v>584</x:v>
      </x:c>
      <x:c r="F594" t="s">
        <x:v>321</x:v>
      </x:c>
    </x:row>
    <x:row r="595">
      <x:c r="A595">
        <x:v>8480003</x:v>
      </x:c>
      <x:c r="B595" s="4" t="b">
        <x:v>1</x:v>
      </x:c>
      <x:c r="C595" t="s">
        <x:v>951</x:v>
      </x:c>
      <x:c r="D595" t="s">
        <x:v>339</x:v>
      </x:c>
      <x:c r="E595" t="s">
        <x:v>366</x:v>
      </x:c>
      <x:c r="F595" t="s">
        <x:v>321</x:v>
      </x:c>
    </x:row>
    <x:row r="596">
      <x:c r="A596">
        <x:v>8479365</x:v>
      </x:c>
      <x:c r="B596" s="4" t="b">
        <x:v>1</x:v>
      </x:c>
      <x:c r="C596" t="s">
        <x:v>952</x:v>
      </x:c>
      <x:c r="D596" t="s">
        <x:v>329</x:v>
      </x:c>
      <x:c r="E596" t="s">
        <x:v>350</x:v>
      </x:c>
      <x:c r="F596" t="s">
        <x:v>321</x:v>
      </x:c>
    </x:row>
    <x:row r="597">
      <x:c r="A597">
        <x:v>8482733</x:v>
      </x:c>
      <x:c r="B597" s="4" t="b">
        <x:v>1</x:v>
      </x:c>
      <x:c r="C597" t="s">
        <x:v>953</x:v>
      </x:c>
      <x:c r="D597" t="s">
        <x:v>331</x:v>
      </x:c>
      <x:c r="F597" t="s">
        <x:v>321</x:v>
      </x:c>
    </x:row>
    <x:row r="598">
      <x:c r="A598">
        <x:v>8476438</x:v>
      </x:c>
      <x:c r="B598" s="4" t="b">
        <x:v>1</x:v>
      </x:c>
      <x:c r="C598" t="s">
        <x:v>954</x:v>
      </x:c>
      <x:c r="D598" t="s">
        <x:v>333</x:v>
      </x:c>
      <x:c r="E598" t="s">
        <x:v>584</x:v>
      </x:c>
      <x:c r="F598" t="s">
        <x:v>321</x:v>
      </x:c>
    </x:row>
    <x:row r="599">
      <x:c r="A599">
        <x:v>8483506</x:v>
      </x:c>
      <x:c r="B599" s="4" t="b">
        <x:v>1</x:v>
      </x:c>
      <x:c r="C599" t="s">
        <x:v>955</x:v>
      </x:c>
      <x:c r="D599" t="s">
        <x:v>331</x:v>
      </x:c>
      <x:c r="E599" t="s">
        <x:v>436</x:v>
      </x:c>
      <x:c r="F599" t="s">
        <x:v>321</x:v>
      </x:c>
    </x:row>
    <x:row r="600">
      <x:c r="A600">
        <x:v>8478476</x:v>
      </x:c>
      <x:c r="B600" s="4" t="b">
        <x:v>1</x:v>
      </x:c>
      <x:c r="C600" t="s">
        <x:v>956</x:v>
      </x:c>
      <x:c r="D600" t="s">
        <x:v>331</x:v>
      </x:c>
      <x:c r="F600" t="s">
        <x:v>321</x:v>
      </x:c>
    </x:row>
    <x:row r="601">
      <x:c r="A601">
        <x:v>8478046</x:v>
      </x:c>
      <x:c r="B601" s="4" t="b">
        <x:v>1</x:v>
      </x:c>
      <x:c r="C601" t="s">
        <x:v>957</x:v>
      </x:c>
      <x:c r="D601" t="s">
        <x:v>333</x:v>
      </x:c>
      <x:c r="E601" t="s">
        <x:v>337</x:v>
      </x:c>
      <x:c r="F601" t="s">
        <x:v>321</x:v>
      </x:c>
    </x:row>
    <x:row r="602">
      <x:c r="A602">
        <x:v>8478831</x:v>
      </x:c>
      <x:c r="B602" s="4" t="b">
        <x:v>1</x:v>
      </x:c>
      <x:c r="C602" t="s">
        <x:v>958</x:v>
      </x:c>
      <x:c r="D602" t="s">
        <x:v>319</x:v>
      </x:c>
      <x:c r="E602" t="s">
        <x:v>364</x:v>
      </x:c>
      <x:c r="F602" t="s">
        <x:v>321</x:v>
      </x:c>
    </x:row>
    <x:row r="603">
      <x:c r="A603">
        <x:v>8476925</x:v>
      </x:c>
      <x:c r="B603" s="4" t="b">
        <x:v>1</x:v>
      </x:c>
      <x:c r="C603" t="s">
        <x:v>959</x:v>
      </x:c>
      <x:c r="D603" t="s">
        <x:v>323</x:v>
      </x:c>
      <x:c r="E603" t="s">
        <x:v>352</x:v>
      </x:c>
      <x:c r="F603" t="s">
        <x:v>321</x:v>
      </x:c>
    </x:row>
    <x:row r="604">
      <x:c r="A604">
        <x:v>8484185</x:v>
      </x:c>
      <x:c r="B604" s="4" t="b">
        <x:v>1</x:v>
      </x:c>
      <x:c r="C604" t="s">
        <x:v>960</x:v>
      </x:c>
      <x:c r="D604" t="s">
        <x:v>333</x:v>
      </x:c>
      <x:c r="E604" t="s">
        <x:v>436</x:v>
      </x:c>
      <x:c r="F604" t="s">
        <x:v>321</x:v>
      </x:c>
    </x:row>
    <x:row r="605">
      <x:c r="A605">
        <x:v>8484860</x:v>
      </x:c>
      <x:c r="B605" s="4" t="b">
        <x:v>1</x:v>
      </x:c>
      <x:c r="C605" t="s">
        <x:v>961</x:v>
      </x:c>
      <x:c r="D605" t="s">
        <x:v>326</x:v>
      </x:c>
      <x:c r="E605" t="s">
        <x:v>576</x:v>
      </x:c>
      <x:c r="F605" t="s">
        <x:v>321</x:v>
      </x:c>
    </x:row>
    <x:row r="606">
      <x:c r="A606">
        <x:v>8479370</x:v>
      </x:c>
      <x:c r="B606" s="4" t="b">
        <x:v>1</x:v>
      </x:c>
      <x:c r="C606" t="s">
        <x:v>962</x:v>
      </x:c>
      <x:c r="D606" t="s">
        <x:v>319</x:v>
      </x:c>
      <x:c r="E606" t="s">
        <x:v>584</x:v>
      </x:c>
      <x:c r="F606" t="s">
        <x:v>321</x:v>
      </x:c>
    </x:row>
    <x:row r="607">
      <x:c r="A607">
        <x:v>8474090</x:v>
      </x:c>
      <x:c r="B607" s="4" t="b">
        <x:v>1</x:v>
      </x:c>
      <x:c r="C607" t="s">
        <x:v>963</x:v>
      </x:c>
      <x:c r="D607" t="s">
        <x:v>331</x:v>
      </x:c>
      <x:c r="E607" t="s">
        <x:v>584</x:v>
      </x:c>
      <x:c r="F607" t="s">
        <x:v>321</x:v>
      </x:c>
    </x:row>
    <x:row r="608">
      <x:c r="A608">
        <x:v>8480074</x:v>
      </x:c>
      <x:c r="B608" s="4" t="b">
        <x:v>1</x:v>
      </x:c>
      <x:c r="C608" t="s">
        <x:v>964</x:v>
      </x:c>
      <x:c r="D608" t="s">
        <x:v>339</x:v>
      </x:c>
      <x:c r="E608" t="s">
        <x:v>356</x:v>
      </x:c>
      <x:c r="F608" t="s">
        <x:v>321</x:v>
      </x:c>
    </x:row>
    <x:row r="609">
      <x:c r="A609">
        <x:v>8476278</x:v>
      </x:c>
      <x:c r="B609" s="4" t="b">
        <x:v>1</x:v>
      </x:c>
      <x:c r="C609" t="s">
        <x:v>965</x:v>
      </x:c>
      <x:c r="D609" t="s">
        <x:v>319</x:v>
      </x:c>
      <x:c r="E609" t="s">
        <x:v>343</x:v>
      </x:c>
      <x:c r="F609" t="s">
        <x:v>321</x:v>
      </x:c>
    </x:row>
    <x:row r="610">
      <x:c r="A610">
        <x:v>8471817</x:v>
      </x:c>
      <x:c r="B610" s="4" t="b">
        <x:v>1</x:v>
      </x:c>
      <x:c r="C610" t="s">
        <x:v>966</x:v>
      </x:c>
      <x:c r="D610" t="s">
        <x:v>326</x:v>
      </x:c>
      <x:c r="E610" t="s">
        <x:v>584</x:v>
      </x:c>
      <x:c r="F610" t="s">
        <x:v>321</x:v>
      </x:c>
    </x:row>
    <x:row r="611">
      <x:c r="A611">
        <x:v>8477839</x:v>
      </x:c>
      <x:c r="B611" s="4" t="b">
        <x:v>1</x:v>
      </x:c>
      <x:c r="C611" t="s">
        <x:v>967</x:v>
      </x:c>
      <x:c r="D611" t="s">
        <x:v>333</x:v>
      </x:c>
      <x:c r="F611" t="s">
        <x:v>321</x:v>
      </x:c>
    </x:row>
    <x:row r="612">
      <x:c r="A612">
        <x:v>8479293</x:v>
      </x:c>
      <x:c r="B612" s="4" t="b">
        <x:v>1</x:v>
      </x:c>
      <x:c r="C612" t="s">
        <x:v>968</x:v>
      </x:c>
      <x:c r="D612" t="s">
        <x:v>333</x:v>
      </x:c>
      <x:c r="E612" t="s">
        <x:v>364</x:v>
      </x:c>
      <x:c r="F612" t="s">
        <x:v>321</x:v>
      </x:c>
    </x:row>
    <x:row r="613">
      <x:c r="A613">
        <x:v>8475762</x:v>
      </x:c>
      <x:c r="B613" s="4" t="b">
        <x:v>1</x:v>
      </x:c>
      <x:c r="C613" t="s">
        <x:v>969</x:v>
      </x:c>
      <x:c r="D613" t="s">
        <x:v>331</x:v>
      </x:c>
      <x:c r="E613" t="s">
        <x:v>327</x:v>
      </x:c>
      <x:c r="F613" t="s">
        <x:v>321</x:v>
      </x:c>
    </x:row>
    <x:row r="614">
      <x:c r="A614">
        <x:v>8483570</x:v>
      </x:c>
      <x:c r="B614" s="4" t="b">
        <x:v>1</x:v>
      </x:c>
      <x:c r="C614" t="s">
        <x:v>970</x:v>
      </x:c>
      <x:c r="D614" t="s">
        <x:v>339</x:v>
      </x:c>
      <x:c r="E614" t="s">
        <x:v>481</x:v>
      </x:c>
      <x:c r="F614" t="s">
        <x:v>321</x:v>
      </x:c>
    </x:row>
    <x:row r="615">
      <x:c r="A615">
        <x:v>8481719</x:v>
      </x:c>
      <x:c r="B615" s="4" t="b">
        <x:v>1</x:v>
      </x:c>
      <x:c r="C615" t="s">
        <x:v>971</x:v>
      </x:c>
      <x:c r="D615" t="s">
        <x:v>331</x:v>
      </x:c>
      <x:c r="E615" t="s">
        <x:v>327</x:v>
      </x:c>
      <x:c r="F615" t="s">
        <x:v>321</x:v>
      </x:c>
    </x:row>
    <x:row r="616">
      <x:c r="A616">
        <x:v>8479976</x:v>
      </x:c>
      <x:c r="B616" s="4" t="b">
        <x:v>1</x:v>
      </x:c>
      <x:c r="C616" t="s">
        <x:v>972</x:v>
      </x:c>
      <x:c r="D616" t="s">
        <x:v>331</x:v>
      </x:c>
      <x:c r="F616" t="s">
        <x:v>321</x:v>
      </x:c>
    </x:row>
    <x:row r="617">
      <x:c r="A617">
        <x:v>8475760</x:v>
      </x:c>
      <x:c r="B617" s="4" t="b">
        <x:v>1</x:v>
      </x:c>
      <x:c r="C617" t="s">
        <x:v>973</x:v>
      </x:c>
      <x:c r="D617" t="s">
        <x:v>323</x:v>
      </x:c>
      <x:c r="E617" t="s">
        <x:v>366</x:v>
      </x:c>
      <x:c r="F617" t="s">
        <x:v>321</x:v>
      </x:c>
    </x:row>
    <x:row r="618">
      <x:c r="A618">
        <x:v>8479341</x:v>
      </x:c>
      <x:c r="B618" s="4" t="b">
        <x:v>1</x:v>
      </x:c>
      <x:c r="C618" t="s">
        <x:v>974</x:v>
      </x:c>
      <x:c r="D618" t="s">
        <x:v>331</x:v>
      </x:c>
      <x:c r="F618" t="s">
        <x:v>321</x:v>
      </x:c>
    </x:row>
    <x:row r="619">
      <x:c r="A619">
        <x:v>8481028</x:v>
      </x:c>
      <x:c r="B619" s="4" t="b">
        <x:v>1</x:v>
      </x:c>
      <x:c r="C619" t="s">
        <x:v>975</x:v>
      </x:c>
      <x:c r="D619" t="s">
        <x:v>333</x:v>
      </x:c>
      <x:c r="E619" t="s">
        <x:v>576</x:v>
      </x:c>
      <x:c r="F619" t="s">
        <x:v>321</x:v>
      </x:c>
    </x:row>
    <x:row r="620">
      <x:c r="A620">
        <x:v>8476474</x:v>
      </x:c>
      <x:c r="B620" s="4" t="b">
        <x:v>1</x:v>
      </x:c>
      <x:c r="C620" t="s">
        <x:v>976</x:v>
      </x:c>
      <x:c r="D620" t="s">
        <x:v>326</x:v>
      </x:c>
      <x:c r="E620" t="s">
        <x:v>366</x:v>
      </x:c>
      <x:c r="F620" t="s">
        <x:v>321</x:v>
      </x:c>
    </x:row>
    <x:row r="621">
      <x:c r="A621">
        <x:v>8476884</x:v>
      </x:c>
      <x:c r="B621" s="4" t="b">
        <x:v>1</x:v>
      </x:c>
      <x:c r="C621" t="s">
        <x:v>977</x:v>
      </x:c>
      <x:c r="D621" t="s">
        <x:v>331</x:v>
      </x:c>
      <x:c r="F621" t="s">
        <x:v>321</x:v>
      </x:c>
    </x:row>
    <x:row r="622">
      <x:c r="A622">
        <x:v>8479339</x:v>
      </x:c>
      <x:c r="B622" s="4" t="b">
        <x:v>1</x:v>
      </x:c>
      <x:c r="C622" t="s">
        <x:v>978</x:v>
      </x:c>
      <x:c r="D622" t="s">
        <x:v>333</x:v>
      </x:c>
      <x:c r="E622" t="s">
        <x:v>368</x:v>
      </x:c>
      <x:c r="F622" t="s">
        <x:v>321</x:v>
      </x:c>
    </x:row>
    <x:row r="623">
      <x:c r="A623">
        <x:v>8476449</x:v>
      </x:c>
      <x:c r="B623" s="4" t="b">
        <x:v>1</x:v>
      </x:c>
      <x:c r="C623" t="s">
        <x:v>979</x:v>
      </x:c>
      <x:c r="D623" t="s">
        <x:v>331</x:v>
      </x:c>
      <x:c r="F623" t="s">
        <x:v>321</x:v>
      </x:c>
    </x:row>
    <x:row r="624">
      <x:c r="A624">
        <x:v>8484230</x:v>
      </x:c>
      <x:c r="B624" s="4" t="b">
        <x:v>1</x:v>
      </x:c>
      <x:c r="C624" t="s">
        <x:v>980</x:v>
      </x:c>
      <x:c r="D624" t="s">
        <x:v>339</x:v>
      </x:c>
      <x:c r="F624" t="s">
        <x:v>321</x:v>
      </x:c>
    </x:row>
    <x:row r="625">
      <x:c r="A625">
        <x:v>8481641</x:v>
      </x:c>
      <x:c r="B625" s="4" t="b">
        <x:v>1</x:v>
      </x:c>
      <x:c r="C625" t="s">
        <x:v>981</x:v>
      </x:c>
      <x:c r="D625" t="s">
        <x:v>333</x:v>
      </x:c>
      <x:c r="F625" t="s">
        <x:v>321</x:v>
      </x:c>
    </x:row>
    <x:row r="626">
      <x:c r="A626">
        <x:v>8478472</x:v>
      </x:c>
      <x:c r="B626" s="4" t="b">
        <x:v>1</x:v>
      </x:c>
      <x:c r="C626" t="s">
        <x:v>982</x:v>
      </x:c>
      <x:c r="D626" t="s">
        <x:v>333</x:v>
      </x:c>
      <x:c r="E626" t="s">
        <x:v>320</x:v>
      </x:c>
      <x:c r="F626" t="s">
        <x:v>321</x:v>
      </x:c>
    </x:row>
    <x:row r="627">
      <x:c r="B627" s="4" t="b">
        <x:v>1</x:v>
      </x:c>
      <x:c r="C627" t="s">
        <x:v>983</x:v>
      </x:c>
      <x:c r="D627" t="s">
        <x:v>326</x:v>
      </x:c>
      <x:c r="F627" t="s">
        <x:v>321</x:v>
      </x:c>
    </x:row>
    <x:row r="628">
      <x:c r="A628">
        <x:v>8479388</x:v>
      </x:c>
      <x:c r="B628" s="4" t="b">
        <x:v>1</x:v>
      </x:c>
      <x:c r="C628" t="s">
        <x:v>984</x:v>
      </x:c>
      <x:c r="D628" t="s">
        <x:v>331</x:v>
      </x:c>
      <x:c r="F628" t="s">
        <x:v>321</x:v>
      </x:c>
    </x:row>
    <x:row r="629">
      <x:c r="A629">
        <x:v>8478021</x:v>
      </x:c>
      <x:c r="B629" s="4" t="b">
        <x:v>1</x:v>
      </x:c>
      <x:c r="C629" t="s">
        <x:v>985</x:v>
      </x:c>
      <x:c r="D629" t="s">
        <x:v>331</x:v>
      </x:c>
      <x:c r="F629" t="s">
        <x:v>321</x:v>
      </x:c>
    </x:row>
    <x:row r="630">
      <x:c r="A630">
        <x:v>8479580</x:v>
      </x:c>
      <x:c r="B630" s="4" t="b">
        <x:v>1</x:v>
      </x:c>
      <x:c r="C630" t="s">
        <x:v>986</x:v>
      </x:c>
      <x:c r="D630" t="s">
        <x:v>323</x:v>
      </x:c>
      <x:c r="F630" t="s">
        <x:v>321</x:v>
      </x:c>
    </x:row>
    <x:row r="631">
      <x:c r="A631">
        <x:v>8478173</x:v>
      </x:c>
      <x:c r="B631" s="4" t="b">
        <x:v>1</x:v>
      </x:c>
      <x:c r="C631" t="s">
        <x:v>987</x:v>
      </x:c>
      <x:c r="D631" t="s">
        <x:v>323</x:v>
      </x:c>
      <x:c r="E631" t="s">
        <x:v>370</x:v>
      </x:c>
      <x:c r="F631" t="s">
        <x:v>321</x:v>
      </x:c>
    </x:row>
    <x:row r="632">
      <x:c r="A632">
        <x:v>8479639</x:v>
      </x:c>
      <x:c r="B632" s="4" t="b">
        <x:v>1</x:v>
      </x:c>
      <x:c r="C632" t="s">
        <x:v>988</x:v>
      </x:c>
      <x:c r="D632" t="s">
        <x:v>331</x:v>
      </x:c>
      <x:c r="E632" t="s">
        <x:v>354</x:v>
      </x:c>
      <x:c r="F632" t="s">
        <x:v>321</x:v>
      </x:c>
    </x:row>
    <x:row r="633">
      <x:c r="A633">
        <x:v>8477508</x:v>
      </x:c>
      <x:c r="B633" s="4" t="b">
        <x:v>1</x:v>
      </x:c>
      <x:c r="C633" t="s">
        <x:v>989</x:v>
      </x:c>
      <x:c r="D633" t="s">
        <x:v>323</x:v>
      </x:c>
      <x:c r="E633" t="s">
        <x:v>584</x:v>
      </x:c>
      <x:c r="F633" t="s">
        <x:v>321</x:v>
      </x:c>
    </x:row>
    <x:row r="634">
      <x:c r="A634">
        <x:v>8481708</x:v>
      </x:c>
      <x:c r="B634" s="4" t="b">
        <x:v>1</x:v>
      </x:c>
      <x:c r="C634" t="s">
        <x:v>990</x:v>
      </x:c>
      <x:c r="D634" t="s">
        <x:v>331</x:v>
      </x:c>
      <x:c r="F634" t="s">
        <x:v>321</x:v>
      </x:c>
    </x:row>
    <x:row r="635">
      <x:c r="A635">
        <x:v>8479414</x:v>
      </x:c>
      <x:c r="B635" s="4" t="b">
        <x:v>1</x:v>
      </x:c>
      <x:c r="C635" t="s">
        <x:v>991</x:v>
      </x:c>
      <x:c r="D635" t="s">
        <x:v>323</x:v>
      </x:c>
      <x:c r="E635" t="s">
        <x:v>584</x:v>
      </x:c>
      <x:c r="F635" t="s">
        <x:v>321</x:v>
      </x:c>
    </x:row>
    <x:row r="636">
      <x:c r="A636">
        <x:v>8479387</x:v>
      </x:c>
      <x:c r="B636" s="4" t="b">
        <x:v>1</x:v>
      </x:c>
      <x:c r="C636" t="s">
        <x:v>992</x:v>
      </x:c>
      <x:c r="D636" t="s">
        <x:v>331</x:v>
      </x:c>
      <x:c r="E636" t="s">
        <x:v>324</x:v>
      </x:c>
      <x:c r="F636" t="s">
        <x:v>321</x:v>
      </x:c>
    </x:row>
    <x:row r="637">
      <x:c r="A637">
        <x:v>8482094</x:v>
      </x:c>
      <x:c r="B637" s="4" t="b">
        <x:v>1</x:v>
      </x:c>
      <x:c r="C637" t="s">
        <x:v>993</x:v>
      </x:c>
      <x:c r="D637" t="s">
        <x:v>331</x:v>
      </x:c>
      <x:c r="F637" t="s">
        <x:v>321</x:v>
      </x:c>
    </x:row>
    <x:row r="638">
      <x:c r="A638">
        <x:v>8484142</x:v>
      </x:c>
      <x:c r="B638" s="4" t="b">
        <x:v>1</x:v>
      </x:c>
      <x:c r="C638" t="s">
        <x:v>994</x:v>
      </x:c>
      <x:c r="D638" t="s">
        <x:v>339</x:v>
      </x:c>
      <x:c r="E638" t="s">
        <x:v>427</x:v>
      </x:c>
      <x:c r="F638" t="s">
        <x:v>321</x:v>
      </x:c>
    </x:row>
    <x:row r="639">
      <x:c r="A639">
        <x:v>8478413</x:v>
      </x:c>
      <x:c r="B639" s="4" t="b">
        <x:v>1</x:v>
      </x:c>
      <x:c r="C639" t="s">
        <x:v>995</x:v>
      </x:c>
      <x:c r="D639" t="s">
        <x:v>333</x:v>
      </x:c>
      <x:c r="E639" t="s">
        <x:v>436</x:v>
      </x:c>
      <x:c r="F639" t="s">
        <x:v>321</x:v>
      </x:c>
    </x:row>
    <x:row r="640">
      <x:c r="A640">
        <x:v>8477931</x:v>
      </x:c>
      <x:c r="B640" s="4" t="b">
        <x:v>1</x:v>
      </x:c>
      <x:c r="C640" t="s">
        <x:v>996</x:v>
      </x:c>
      <x:c r="D640" t="s">
        <x:v>339</x:v>
      </x:c>
      <x:c r="F640" t="s">
        <x:v>321</x:v>
      </x:c>
    </x:row>
    <x:row r="641">
      <x:c r="A641">
        <x:v>8482178</x:v>
      </x:c>
      <x:c r="B641" s="4" t="b">
        <x:v>1</x:v>
      </x:c>
      <x:c r="C641" t="s">
        <x:v>997</x:v>
      </x:c>
      <x:c r="D641" t="s">
        <x:v>998</x:v>
      </x:c>
      <x:c r="E641" t="s">
        <x:v>393</x:v>
      </x:c>
      <x:c r="F641" t="s">
        <x:v>321</x:v>
      </x:c>
    </x:row>
    <x:row r="642">
      <x:c r="A642">
        <x:v>8483553</x:v>
      </x:c>
      <x:c r="B642" s="4" t="b">
        <x:v>1</x:v>
      </x:c>
      <x:c r="C642" t="s">
        <x:v>999</x:v>
      </x:c>
      <x:c r="D642" t="s">
        <x:v>323</x:v>
      </x:c>
      <x:c r="E642" t="s">
        <x:v>354</x:v>
      </x:c>
      <x:c r="F642" t="s">
        <x:v>321</x:v>
      </x:c>
    </x:row>
    <x:row r="643">
      <x:c r="A643">
        <x:v>8479550</x:v>
      </x:c>
      <x:c r="B643" s="4" t="b">
        <x:v>1</x:v>
      </x:c>
      <x:c r="C643" t="s">
        <x:v>1000</x:v>
      </x:c>
      <x:c r="D643" t="s">
        <x:v>319</x:v>
      </x:c>
      <x:c r="E643" t="s">
        <x:v>354</x:v>
      </x:c>
      <x:c r="F643" t="s">
        <x:v>321</x:v>
      </x:c>
    </x:row>
    <x:row r="644">
      <x:c r="A644">
        <x:v>8479985</x:v>
      </x:c>
      <x:c r="B644" s="4" t="b">
        <x:v>1</x:v>
      </x:c>
      <x:c r="C644" t="s">
        <x:v>1001</x:v>
      </x:c>
      <x:c r="D644" t="s">
        <x:v>331</x:v>
      </x:c>
      <x:c r="E644" t="s">
        <x:v>481</x:v>
      </x:c>
      <x:c r="F644" t="s">
        <x:v>321</x:v>
      </x:c>
    </x:row>
    <x:row r="645">
      <x:c r="A645">
        <x:v>8479395</x:v>
      </x:c>
      <x:c r="B645" s="4" t="b">
        <x:v>1</x:v>
      </x:c>
      <x:c r="C645" t="s">
        <x:v>1002</x:v>
      </x:c>
      <x:c r="D645" t="s">
        <x:v>331</x:v>
      </x:c>
      <x:c r="F645" t="s">
        <x:v>321</x:v>
      </x:c>
    </x:row>
    <x:row r="646">
      <x:c r="A646">
        <x:v>8479066</x:v>
      </x:c>
      <x:c r="B646" s="4" t="b">
        <x:v>1</x:v>
      </x:c>
      <x:c r="C646" t="s">
        <x:v>1003</x:v>
      </x:c>
      <x:c r="D646" t="s">
        <x:v>358</x:v>
      </x:c>
      <x:c r="F646" t="s">
        <x:v>321</x:v>
      </x:c>
    </x:row>
    <x:row r="647">
      <x:c r="A647">
        <x:v>8475795</x:v>
      </x:c>
      <x:c r="B647" s="4" t="b">
        <x:v>1</x:v>
      </x:c>
      <x:c r="C647" t="s">
        <x:v>1004</x:v>
      </x:c>
      <x:c r="D647" t="s">
        <x:v>331</x:v>
      </x:c>
      <x:c r="F647" t="s">
        <x:v>321</x:v>
      </x:c>
    </x:row>
    <x:row r="648">
      <x:c r="A648">
        <x:v>8480144</x:v>
      </x:c>
      <x:c r="B648" s="4" t="b">
        <x:v>1</x:v>
      </x:c>
      <x:c r="C648" t="s">
        <x:v>1005</x:v>
      </x:c>
      <x:c r="D648" t="s">
        <x:v>329</x:v>
      </x:c>
      <x:c r="F648" t="s">
        <x:v>321</x:v>
      </x:c>
    </x:row>
    <x:row r="649">
      <x:c r="A649">
        <x:v>8476867</x:v>
      </x:c>
      <x:c r="B649" s="4" t="b">
        <x:v>1</x:v>
      </x:c>
      <x:c r="C649" t="s">
        <x:v>1006</x:v>
      </x:c>
      <x:c r="D649" t="s">
        <x:v>339</x:v>
      </x:c>
      <x:c r="F649" t="s">
        <x:v>321</x:v>
      </x:c>
    </x:row>
    <x:row r="650">
      <x:c r="A650">
        <x:v>8477952</x:v>
      </x:c>
      <x:c r="B650" s="4" t="b">
        <x:v>1</x:v>
      </x:c>
      <x:c r="C650" t="s">
        <x:v>1007</x:v>
      </x:c>
      <x:c r="D650" t="s">
        <x:v>339</x:v>
      </x:c>
      <x:c r="F650" t="s">
        <x:v>321</x:v>
      </x:c>
    </x:row>
    <x:row r="651">
      <x:c r="A651">
        <x:v>8477851</x:v>
      </x:c>
      <x:c r="B651" s="4" t="b">
        <x:v>1</x:v>
      </x:c>
      <x:c r="C651" t="s">
        <x:v>1008</x:v>
      </x:c>
      <x:c r="D651" t="s">
        <x:v>331</x:v>
      </x:c>
      <x:c r="E651" t="s">
        <x:v>584</x:v>
      </x:c>
      <x:c r="F651" t="s">
        <x:v>321</x:v>
      </x:c>
    </x:row>
    <x:row r="652">
      <x:c r="A652">
        <x:v>8482470</x:v>
      </x:c>
      <x:c r="B652" s="4" t="b">
        <x:v>1</x:v>
      </x:c>
      <x:c r="C652" t="s">
        <x:v>1009</x:v>
      </x:c>
      <x:c r="D652" t="s">
        <x:v>331</x:v>
      </x:c>
      <x:c r="F652" t="s">
        <x:v>321</x:v>
      </x:c>
    </x:row>
    <x:row r="653">
      <x:c r="A653">
        <x:v>8483510</x:v>
      </x:c>
      <x:c r="B653" s="4" t="b">
        <x:v>1</x:v>
      </x:c>
      <x:c r="C653" t="s">
        <x:v>1010</x:v>
      </x:c>
      <x:c r="D653" t="s">
        <x:v>331</x:v>
      </x:c>
      <x:c r="F653" t="s">
        <x:v>321</x:v>
      </x:c>
    </x:row>
    <x:row r="654">
      <x:c r="A654">
        <x:v>8480078</x:v>
      </x:c>
      <x:c r="B654" s="4" t="b">
        <x:v>1</x:v>
      </x:c>
      <x:c r="C654" t="s">
        <x:v>1011</x:v>
      </x:c>
      <x:c r="D654" t="s">
        <x:v>323</x:v>
      </x:c>
      <x:c r="E654" t="s">
        <x:v>420</x:v>
      </x:c>
      <x:c r="F654" t="s">
        <x:v>321</x:v>
      </x:c>
    </x:row>
    <x:row r="655">
      <x:c r="A655">
        <x:v>8479421</x:v>
      </x:c>
      <x:c r="B655" s="4" t="b">
        <x:v>1</x:v>
      </x:c>
      <x:c r="C655" t="s">
        <x:v>1012</x:v>
      </x:c>
      <x:c r="D655" t="s">
        <x:v>331</x:v>
      </x:c>
      <x:c r="E655" t="s">
        <x:v>584</x:v>
      </x:c>
      <x:c r="F655" t="s">
        <x:v>321</x:v>
      </x:c>
    </x:row>
    <x:row r="656">
      <x:c r="A656">
        <x:v>8475752</x:v>
      </x:c>
      <x:c r="B656" s="4" t="b">
        <x:v>1</x:v>
      </x:c>
      <x:c r="C656" t="s">
        <x:v>1013</x:v>
      </x:c>
      <x:c r="D656" t="s">
        <x:v>333</x:v>
      </x:c>
      <x:c r="F656" t="s">
        <x:v>321</x:v>
      </x:c>
    </x:row>
    <x:row r="657">
      <x:c r="A657">
        <x:v>8480806</x:v>
      </x:c>
      <x:c r="B657" s="4" t="b">
        <x:v>1</x:v>
      </x:c>
      <x:c r="C657" t="s">
        <x:v>1014</x:v>
      </x:c>
      <x:c r="D657" t="s">
        <x:v>323</x:v>
      </x:c>
      <x:c r="E657" t="s">
        <x:v>337</x:v>
      </x:c>
      <x:c r="F657" t="s">
        <x:v>321</x:v>
      </x:c>
    </x:row>
    <x:row r="658">
      <x:c r="A658">
        <x:v>8483768</x:v>
      </x:c>
      <x:c r="B658" s="4" t="b">
        <x:v>1</x:v>
      </x:c>
      <x:c r="C658" t="s">
        <x:v>1015</x:v>
      </x:c>
      <x:c r="D658" t="s">
        <x:v>331</x:v>
      </x:c>
      <x:c r="F658" t="s">
        <x:v>321</x:v>
      </x:c>
    </x:row>
    <x:row r="659">
      <x:c r="A659">
        <x:v>8474149</x:v>
      </x:c>
      <x:c r="B659" s="4" t="b">
        <x:v>1</x:v>
      </x:c>
      <x:c r="C659" t="s">
        <x:v>1016</x:v>
      </x:c>
      <x:c r="D659" t="s">
        <x:v>333</x:v>
      </x:c>
      <x:c r="E659" t="s">
        <x:v>584</x:v>
      </x:c>
      <x:c r="F659" t="s">
        <x:v>321</x:v>
      </x:c>
    </x:row>
    <x:row r="660">
      <x:c r="A660">
        <x:v>8482144</x:v>
      </x:c>
      <x:c r="B660" s="4" t="b">
        <x:v>1</x:v>
      </x:c>
      <x:c r="C660" t="s">
        <x:v>1017</x:v>
      </x:c>
      <x:c r="D660" t="s">
        <x:v>331</x:v>
      </x:c>
      <x:c r="F660" t="s">
        <x:v>321</x:v>
      </x:c>
    </x:row>
    <x:row r="661">
      <x:c r="A661">
        <x:v>8477527</x:v>
      </x:c>
      <x:c r="B661" s="4" t="b">
        <x:v>1</x:v>
      </x:c>
      <x:c r="C661" t="s">
        <x:v>1018</x:v>
      </x:c>
      <x:c r="D661" t="s">
        <x:v>358</x:v>
      </x:c>
      <x:c r="E661" t="s">
        <x:v>396</x:v>
      </x:c>
      <x:c r="F661" t="s">
        <x:v>321</x:v>
      </x:c>
    </x:row>
    <x:row r="662">
      <x:c r="A662">
        <x:v>8479981</x:v>
      </x:c>
      <x:c r="B662" s="4" t="b">
        <x:v>1</x:v>
      </x:c>
      <x:c r="C662" t="s">
        <x:v>1019</x:v>
      </x:c>
      <x:c r="D662" t="s">
        <x:v>358</x:v>
      </x:c>
      <x:c r="E662" t="s">
        <x:v>400</x:v>
      </x:c>
      <x:c r="F662" t="s">
        <x:v>321</x:v>
      </x:c>
    </x:row>
    <x:row r="663">
      <x:c r="A663">
        <x:v>8484759</x:v>
      </x:c>
      <x:c r="B663" s="4" t="b">
        <x:v>1</x:v>
      </x:c>
      <x:c r="C663" t="s">
        <x:v>1020</x:v>
      </x:c>
      <x:c r="D663" t="s">
        <x:v>331</x:v>
      </x:c>
      <x:c r="F663" t="s">
        <x:v>321</x:v>
      </x:c>
    </x:row>
    <x:row r="664">
      <x:c r="A664">
        <x:v>8477149</x:v>
      </x:c>
      <x:c r="B664" s="4" t="b">
        <x:v>1</x:v>
      </x:c>
      <x:c r="C664" t="s">
        <x:v>1021</x:v>
      </x:c>
      <x:c r="D664" t="s">
        <x:v>326</x:v>
      </x:c>
      <x:c r="E664" t="s">
        <x:v>327</x:v>
      </x:c>
      <x:c r="F664" t="s">
        <x:v>321</x:v>
      </x:c>
    </x:row>
    <x:row r="665">
      <x:c r="A665">
        <x:v>8480157</x:v>
      </x:c>
      <x:c r="B665" s="4" t="b">
        <x:v>1</x:v>
      </x:c>
      <x:c r="C665" t="s">
        <x:v>1022</x:v>
      </x:c>
      <x:c r="D665" t="s">
        <x:v>331</x:v>
      </x:c>
      <x:c r="F665" t="s">
        <x:v>321</x:v>
      </x:c>
    </x:row>
    <x:row r="666">
      <x:c r="A666">
        <x:v>8479439</x:v>
      </x:c>
      <x:c r="B666" s="4" t="b">
        <x:v>1</x:v>
      </x:c>
      <x:c r="C666" t="s">
        <x:v>1023</x:v>
      </x:c>
      <x:c r="D666" t="s">
        <x:v>331</x:v>
      </x:c>
      <x:c r="F666" t="s">
        <x:v>321</x:v>
      </x:c>
    </x:row>
    <x:row r="667">
      <x:c r="A667">
        <x:v>8482408</x:v>
      </x:c>
      <x:c r="B667" s="4" t="b">
        <x:v>1</x:v>
      </x:c>
      <x:c r="C667" t="s">
        <x:v>1024</x:v>
      </x:c>
      <x:c r="D667" t="s">
        <x:v>358</x:v>
      </x:c>
      <x:c r="E667" t="s">
        <x:v>393</x:v>
      </x:c>
      <x:c r="F667" t="s">
        <x:v>321</x:v>
      </x:c>
    </x:row>
    <x:row r="668">
      <x:c r="A668">
        <x:v>8482067</x:v>
      </x:c>
      <x:c r="B668" s="4" t="b">
        <x:v>1</x:v>
      </x:c>
      <x:c r="C668" t="s">
        <x:v>1025</x:v>
      </x:c>
      <x:c r="D668" t="s">
        <x:v>331</x:v>
      </x:c>
      <x:c r="F668" t="s">
        <x:v>321</x:v>
      </x:c>
    </x:row>
    <x:row r="669">
      <x:c r="A669">
        <x:v>8482703</x:v>
      </x:c>
      <x:c r="B669" s="4" t="b">
        <x:v>1</x:v>
      </x:c>
      <x:c r="C669" t="s">
        <x:v>1026</x:v>
      </x:c>
      <x:c r="D669" t="s">
        <x:v>339</x:v>
      </x:c>
      <x:c r="E669" t="s">
        <x:v>427</x:v>
      </x:c>
      <x:c r="F669" t="s">
        <x:v>321</x:v>
      </x:c>
    </x:row>
    <x:row r="670">
      <x:c r="A670">
        <x:v>8483731</x:v>
      </x:c>
      <x:c r="B670" s="4" t="b">
        <x:v>1</x:v>
      </x:c>
      <x:c r="C670" t="s">
        <x:v>1027</x:v>
      </x:c>
      <x:c r="D670" t="s">
        <x:v>358</x:v>
      </x:c>
      <x:c r="F670" t="s">
        <x:v>321</x:v>
      </x:c>
    </x:row>
    <x:row r="671">
      <x:c r="A671">
        <x:v>8481517</x:v>
      </x:c>
      <x:c r="B671" s="4" t="b">
        <x:v>1</x:v>
      </x:c>
      <x:c r="C671" t="s">
        <x:v>1028</x:v>
      </x:c>
      <x:c r="D671" t="s">
        <x:v>326</x:v>
      </x:c>
      <x:c r="F671" t="s">
        <x:v>321</x:v>
      </x:c>
    </x:row>
    <x:row r="672">
      <x:c r="A672">
        <x:v>8480813</x:v>
      </x:c>
      <x:c r="B672" s="4" t="b">
        <x:v>1</x:v>
      </x:c>
      <x:c r="C672" t="s">
        <x:v>1029</x:v>
      </x:c>
      <x:c r="D672" t="s">
        <x:v>319</x:v>
      </x:c>
      <x:c r="E672" t="s">
        <x:v>383</x:v>
      </x:c>
      <x:c r="F672" t="s">
        <x:v>321</x:v>
      </x:c>
    </x:row>
    <x:row r="673">
      <x:c r="A673">
        <x:v>8480829</x:v>
      </x:c>
      <x:c r="B673" s="4" t="b">
        <x:v>1</x:v>
      </x:c>
      <x:c r="C673" t="s">
        <x:v>1030</x:v>
      </x:c>
      <x:c r="D673" t="s">
        <x:v>339</x:v>
      </x:c>
      <x:c r="E673" t="s">
        <x:v>343</x:v>
      </x:c>
      <x:c r="F673" t="s">
        <x:v>321</x:v>
      </x:c>
    </x:row>
    <x:row r="674">
      <x:c r="A674">
        <x:v>8483398</x:v>
      </x:c>
      <x:c r="B674" s="4" t="b">
        <x:v>1</x:v>
      </x:c>
      <x:c r="C674" t="s">
        <x:v>1031</x:v>
      </x:c>
      <x:c r="D674" t="s">
        <x:v>331</x:v>
      </x:c>
      <x:c r="F674" t="s">
        <x:v>321</x:v>
      </x:c>
    </x:row>
    <x:row r="675">
      <x:c r="A675">
        <x:v>8477467</x:v>
      </x:c>
      <x:c r="B675" s="4" t="b">
        <x:v>1</x:v>
      </x:c>
      <x:c r="C675" t="s">
        <x:v>1032</x:v>
      </x:c>
      <x:c r="D675" t="s">
        <x:v>331</x:v>
      </x:c>
      <x:c r="F675" t="s">
        <x:v>321</x:v>
      </x:c>
    </x:row>
    <x:row r="676">
      <x:c r="A676">
        <x:v>8475235</x:v>
      </x:c>
      <x:c r="B676" s="4" t="b">
        <x:v>1</x:v>
      </x:c>
      <x:c r="C676" t="s">
        <x:v>1033</x:v>
      </x:c>
      <x:c r="D676" t="s">
        <x:v>358</x:v>
      </x:c>
      <x:c r="E676" t="s">
        <x:v>386</x:v>
      </x:c>
      <x:c r="F676" t="s">
        <x:v>321</x:v>
      </x:c>
    </x:row>
    <x:row r="677">
      <x:c r="A677">
        <x:v>8480058</x:v>
      </x:c>
      <x:c r="B677" s="4" t="b">
        <x:v>1</x:v>
      </x:c>
      <x:c r="C677" t="s">
        <x:v>1034</x:v>
      </x:c>
      <x:c r="D677" t="s">
        <x:v>331</x:v>
      </x:c>
      <x:c r="F677" t="s">
        <x:v>321</x:v>
      </x:c>
    </x:row>
    <x:row r="678">
      <x:c r="A678">
        <x:v>8479026</x:v>
      </x:c>
      <x:c r="B678" s="4" t="b">
        <x:v>1</x:v>
      </x:c>
      <x:c r="C678" t="s">
        <x:v>1035</x:v>
      </x:c>
      <x:c r="D678" t="s">
        <x:v>331</x:v>
      </x:c>
      <x:c r="F678" t="s">
        <x:v>321</x:v>
      </x:c>
    </x:row>
    <x:row r="679">
      <x:c r="A679">
        <x:v>8475246</x:v>
      </x:c>
      <x:c r="B679" s="4" t="b">
        <x:v>1</x:v>
      </x:c>
      <x:c r="C679" t="s">
        <x:v>1036</x:v>
      </x:c>
      <x:c r="D679" t="s">
        <x:v>331</x:v>
      </x:c>
      <x:c r="E679" t="s">
        <x:v>584</x:v>
      </x:c>
      <x:c r="F679" t="s">
        <x:v>321</x:v>
      </x:c>
    </x:row>
    <x:row r="680">
      <x:c r="A680">
        <x:v>8482634</x:v>
      </x:c>
      <x:c r="B680" s="4" t="b">
        <x:v>1</x:v>
      </x:c>
      <x:c r="C680" t="s">
        <x:v>1037</x:v>
      </x:c>
      <x:c r="D680" t="s">
        <x:v>329</x:v>
      </x:c>
      <x:c r="E680" t="s">
        <x:v>334</x:v>
      </x:c>
      <x:c r="F680" t="s">
        <x:v>321</x:v>
      </x:c>
    </x:row>
    <x:row r="681">
      <x:c r="A681">
        <x:v>8482768</x:v>
      </x:c>
      <x:c r="B681" s="4" t="b">
        <x:v>1</x:v>
      </x:c>
      <x:c r="C681" t="s">
        <x:v>1038</x:v>
      </x:c>
      <x:c r="D681" t="s">
        <x:v>339</x:v>
      </x:c>
      <x:c r="E681" t="s">
        <x:v>324</x:v>
      </x:c>
      <x:c r="F681" t="s">
        <x:v>321</x:v>
      </x:c>
    </x:row>
    <x:row r="682">
      <x:c r="A682">
        <x:v>8476979</x:v>
      </x:c>
      <x:c r="B682" s="4" t="b">
        <x:v>1</x:v>
      </x:c>
      <x:c r="C682" t="s">
        <x:v>1039</x:v>
      </x:c>
      <x:c r="D682" t="s">
        <x:v>331</x:v>
      </x:c>
      <x:c r="F682" t="s">
        <x:v>321</x:v>
      </x:c>
    </x:row>
    <x:row r="683">
      <x:c r="A683">
        <x:v>8477070</x:v>
      </x:c>
      <x:c r="B683" s="4" t="b">
        <x:v>1</x:v>
      </x:c>
      <x:c r="C683" t="s">
        <x:v>1040</x:v>
      </x:c>
      <x:c r="D683" t="s">
        <x:v>319</x:v>
      </x:c>
      <x:c r="F683" t="s">
        <x:v>321</x:v>
      </x:c>
    </x:row>
    <x:row r="684">
      <x:c r="A684">
        <x:v>8480196</x:v>
      </x:c>
      <x:c r="B684" s="4" t="b">
        <x:v>1</x:v>
      </x:c>
      <x:c r="C684" t="s">
        <x:v>1041</x:v>
      </x:c>
      <x:c r="D684" t="s">
        <x:v>331</x:v>
      </x:c>
      <x:c r="F684" t="s">
        <x:v>321</x:v>
      </x:c>
    </x:row>
    <x:row r="685">
      <x:c r="A685">
        <x:v>8481056</x:v>
      </x:c>
      <x:c r="B685" s="4" t="b">
        <x:v>1</x:v>
      </x:c>
      <x:c r="C685" t="s">
        <x:v>1042</x:v>
      </x:c>
      <x:c r="D685" t="s">
        <x:v>331</x:v>
      </x:c>
      <x:c r="E685" t="s">
        <x:v>368</x:v>
      </x:c>
      <x:c r="F685" t="s">
        <x:v>321</x:v>
      </x:c>
    </x:row>
    <x:row r="686">
      <x:c r="A686">
        <x:v>8481575</x:v>
      </x:c>
      <x:c r="B686" s="4" t="b">
        <x:v>1</x:v>
      </x:c>
      <x:c r="C686" t="s">
        <x:v>1043</x:v>
      </x:c>
      <x:c r="D686" t="s">
        <x:v>331</x:v>
      </x:c>
      <x:c r="F686" t="s">
        <x:v>321</x:v>
      </x:c>
    </x:row>
    <x:row r="687">
      <x:c r="A687">
        <x:v>8482666</x:v>
      </x:c>
      <x:c r="B687" s="4" t="b">
        <x:v>1</x:v>
      </x:c>
      <x:c r="C687" t="s">
        <x:v>1044</x:v>
      </x:c>
      <x:c r="D687" t="s">
        <x:v>331</x:v>
      </x:c>
      <x:c r="F687" t="s">
        <x:v>321</x:v>
      </x:c>
    </x:row>
    <x:row r="688">
      <x:c r="A688">
        <x:v>8478211</x:v>
      </x:c>
      <x:c r="B688" s="4" t="b">
        <x:v>1</x:v>
      </x:c>
      <x:c r="C688" t="s">
        <x:v>1045</x:v>
      </x:c>
      <x:c r="D688" t="s">
        <x:v>358</x:v>
      </x:c>
      <x:c r="F688" t="s">
        <x:v>321</x:v>
      </x:c>
    </x:row>
    <x:row r="689">
      <x:c r="A689">
        <x:v>8479416</x:v>
      </x:c>
      <x:c r="B689" s="4" t="b">
        <x:v>1</x:v>
      </x:c>
      <x:c r="C689" t="s">
        <x:v>1046</x:v>
      </x:c>
      <x:c r="D689" t="s">
        <x:v>331</x:v>
      </x:c>
      <x:c r="F689" t="s">
        <x:v>321</x:v>
      </x:c>
    </x:row>
    <x:row r="690">
      <x:c r="A690">
        <x:v>8477971</x:v>
      </x:c>
      <x:c r="B690" s="4" t="b">
        <x:v>1</x:v>
      </x:c>
      <x:c r="C690" t="s">
        <x:v>1047</x:v>
      </x:c>
      <x:c r="D690" t="s">
        <x:v>331</x:v>
      </x:c>
      <x:c r="F690" t="s">
        <x:v>321</x:v>
      </x:c>
    </x:row>
    <x:row r="691">
      <x:c r="A691">
        <x:v>8475797</x:v>
      </x:c>
      <x:c r="B691" s="4" t="b">
        <x:v>1</x:v>
      </x:c>
      <x:c r="C691" t="s">
        <x:v>1048</x:v>
      </x:c>
      <x:c r="D691" t="s">
        <x:v>331</x:v>
      </x:c>
      <x:c r="F691" t="s">
        <x:v>321</x:v>
      </x:c>
    </x:row>
    <x:row r="692">
      <x:c r="A692">
        <x:v>8476285</x:v>
      </x:c>
      <x:c r="B692" s="4" t="b">
        <x:v>1</x:v>
      </x:c>
      <x:c r="C692" t="s">
        <x:v>1049</x:v>
      </x:c>
      <x:c r="D692" t="s">
        <x:v>319</x:v>
      </x:c>
      <x:c r="F692" t="s">
        <x:v>321</x:v>
      </x:c>
    </x:row>
    <x:row r="693">
      <x:c r="A693">
        <x:v>8479602</x:v>
      </x:c>
      <x:c r="B693" s="4" t="b">
        <x:v>1</x:v>
      </x:c>
      <x:c r="C693" t="s">
        <x:v>1050</x:v>
      </x:c>
      <x:c r="D693" t="s">
        <x:v>331</x:v>
      </x:c>
      <x:c r="F693" t="s">
        <x:v>321</x:v>
      </x:c>
    </x:row>
    <x:row r="694">
      <x:c r="A694">
        <x:v>8479523</x:v>
      </x:c>
      <x:c r="B694" s="4" t="b">
        <x:v>1</x:v>
      </x:c>
      <x:c r="C694" t="s">
        <x:v>1051</x:v>
      </x:c>
      <x:c r="D694" t="s">
        <x:v>331</x:v>
      </x:c>
      <x:c r="E694" t="s">
        <x:v>340</x:v>
      </x:c>
      <x:c r="F694" t="s">
        <x:v>321</x:v>
      </x:c>
    </x:row>
    <x:row r="695">
      <x:c r="A695">
        <x:v>8481186</x:v>
      </x:c>
      <x:c r="B695" s="4" t="b">
        <x:v>1</x:v>
      </x:c>
      <x:c r="C695" t="s">
        <x:v>1052</x:v>
      </x:c>
      <x:c r="D695" t="s">
        <x:v>323</x:v>
      </x:c>
      <x:c r="E695" t="s">
        <x:v>324</x:v>
      </x:c>
      <x:c r="F695" t="s">
        <x:v>321</x:v>
      </x:c>
    </x:row>
    <x:row r="696">
      <x:c r="A696">
        <x:v>8480084</x:v>
      </x:c>
      <x:c r="B696" s="4" t="b">
        <x:v>1</x:v>
      </x:c>
      <x:c r="C696" t="s">
        <x:v>1053</x:v>
      </x:c>
      <x:c r="D696" t="s">
        <x:v>331</x:v>
      </x:c>
      <x:c r="E696" t="s">
        <x:v>364</x:v>
      </x:c>
      <x:c r="F696" t="s">
        <x:v>321</x:v>
      </x:c>
    </x:row>
    <x:row r="697">
      <x:c r="A697">
        <x:v>8484958</x:v>
      </x:c>
      <x:c r="B697" s="4" t="b">
        <x:v>1</x:v>
      </x:c>
      <x:c r="C697" t="s">
        <x:v>1054</x:v>
      </x:c>
      <x:c r="D697" t="s">
        <x:v>326</x:v>
      </x:c>
      <x:c r="E697" t="s">
        <x:v>576</x:v>
      </x:c>
      <x:c r="F697" t="s">
        <x:v>321</x:v>
      </x:c>
    </x:row>
    <x:row r="698">
      <x:c r="A698">
        <x:v>8483500</x:v>
      </x:c>
      <x:c r="B698" s="4" t="b">
        <x:v>1</x:v>
      </x:c>
      <x:c r="C698" t="s">
        <x:v>1055</x:v>
      </x:c>
      <x:c r="D698" t="s">
        <x:v>339</x:v>
      </x:c>
      <x:c r="F698" t="s">
        <x:v>321</x:v>
      </x:c>
    </x:row>
    <x:row r="699">
      <x:c r="A699">
        <x:v>8482070</x:v>
      </x:c>
      <x:c r="B699" s="4" t="b">
        <x:v>1</x:v>
      </x:c>
      <x:c r="C699" t="s">
        <x:v>1056</x:v>
      </x:c>
      <x:c r="D699" t="s">
        <x:v>326</x:v>
      </x:c>
      <x:c r="F699" t="s">
        <x:v>321</x:v>
      </x:c>
    </x:row>
    <x:row r="700">
      <x:c r="A700">
        <x:v>8481609</x:v>
      </x:c>
      <x:c r="B700" s="4" t="b">
        <x:v>1</x:v>
      </x:c>
      <x:c r="C700" t="s">
        <x:v>1057</x:v>
      </x:c>
      <x:c r="D700" t="s">
        <x:v>331</x:v>
      </x:c>
      <x:c r="F700" t="s">
        <x:v>321</x:v>
      </x:c>
    </x:row>
    <x:row r="701">
      <x:c r="A701">
        <x:v>8484428</x:v>
      </x:c>
      <x:c r="B701" s="4" t="b">
        <x:v>1</x:v>
      </x:c>
      <x:c r="C701" t="s">
        <x:v>1058</x:v>
      </x:c>
      <x:c r="D701" t="s">
        <x:v>331</x:v>
      </x:c>
      <x:c r="F701" t="s">
        <x:v>321</x:v>
      </x:c>
    </x:row>
    <x:row r="702">
      <x:c r="A702">
        <x:v>8480326</x:v>
      </x:c>
      <x:c r="B702" s="4" t="b">
        <x:v>1</x:v>
      </x:c>
      <x:c r="C702" t="s">
        <x:v>1059</x:v>
      </x:c>
      <x:c r="D702" t="s">
        <x:v>329</x:v>
      </x:c>
      <x:c r="F702" t="s">
        <x:v>321</x:v>
      </x:c>
    </x:row>
    <x:row r="703">
      <x:c r="A703">
        <x:v>8484150</x:v>
      </x:c>
      <x:c r="B703" s="4" t="b">
        <x:v>1</x:v>
      </x:c>
      <x:c r="C703" t="s">
        <x:v>1060</x:v>
      </x:c>
      <x:c r="D703" t="s">
        <x:v>331</x:v>
      </x:c>
      <x:c r="F703" t="s">
        <x:v>321</x:v>
      </x:c>
    </x:row>
    <x:row r="704">
      <x:c r="A704">
        <x:v>8481161</x:v>
      </x:c>
      <x:c r="B704" s="4" t="b">
        <x:v>1</x:v>
      </x:c>
      <x:c r="C704" t="s">
        <x:v>1061</x:v>
      </x:c>
      <x:c r="D704" t="s">
        <x:v>331</x:v>
      </x:c>
      <x:c r="F704" t="s">
        <x:v>321</x:v>
      </x:c>
    </x:row>
    <x:row r="705">
      <x:c r="A705">
        <x:v>8483406</x:v>
      </x:c>
      <x:c r="B705" s="4" t="b">
        <x:v>1</x:v>
      </x:c>
      <x:c r="C705" t="s">
        <x:v>1062</x:v>
      </x:c>
      <x:c r="D705" t="s">
        <x:v>326</x:v>
      </x:c>
      <x:c r="E705" t="s">
        <x:v>379</x:v>
      </x:c>
      <x:c r="F705" t="s">
        <x:v>321</x:v>
      </x:c>
    </x:row>
    <x:row r="706">
      <x:c r="A706">
        <x:v>8482117</x:v>
      </x:c>
      <x:c r="B706" s="4" t="b">
        <x:v>1</x:v>
      </x:c>
      <x:c r="C706" t="s">
        <x:v>1063</x:v>
      </x:c>
      <x:c r="D706" t="s">
        <x:v>339</x:v>
      </x:c>
      <x:c r="F706" t="s">
        <x:v>321</x:v>
      </x:c>
    </x:row>
    <x:row r="707">
      <x:c r="A707">
        <x:v>8479291</x:v>
      </x:c>
      <x:c r="B707" s="4" t="b">
        <x:v>1</x:v>
      </x:c>
      <x:c r="C707" t="s">
        <x:v>1064</x:v>
      </x:c>
      <x:c r="D707" t="s">
        <x:v>319</x:v>
      </x:c>
      <x:c r="E707" t="s">
        <x:v>584</x:v>
      </x:c>
      <x:c r="F707" t="s">
        <x:v>321</x:v>
      </x:c>
    </x:row>
    <x:row r="708">
      <x:c r="A708">
        <x:v>8481600</x:v>
      </x:c>
      <x:c r="B708" s="4" t="b">
        <x:v>1</x:v>
      </x:c>
      <x:c r="C708" t="s">
        <x:v>1065</x:v>
      </x:c>
      <x:c r="D708" t="s">
        <x:v>331</x:v>
      </x:c>
      <x:c r="F708" t="s">
        <x:v>321</x:v>
      </x:c>
    </x:row>
    <x:row r="709">
      <x:c r="A709">
        <x:v>8479348</x:v>
      </x:c>
      <x:c r="B709" s="4" t="b">
        <x:v>1</x:v>
      </x:c>
      <x:c r="C709" t="s">
        <x:v>1066</x:v>
      </x:c>
      <x:c r="D709" t="s">
        <x:v>331</x:v>
      </x:c>
      <x:c r="F709" t="s">
        <x:v>321</x:v>
      </x:c>
    </x:row>
    <x:row r="710">
      <x:c r="A710">
        <x:v>8484305</x:v>
      </x:c>
      <x:c r="B710" s="4" t="b">
        <x:v>1</x:v>
      </x:c>
      <x:c r="C710" t="s">
        <x:v>1067</x:v>
      </x:c>
      <x:c r="D710" t="s">
        <x:v>331</x:v>
      </x:c>
      <x:c r="F710" t="s">
        <x:v>321</x:v>
      </x:c>
    </x:row>
    <x:row r="711">
      <x:c r="A711">
        <x:v>8484386</x:v>
      </x:c>
      <x:c r="B711" s="4" t="b">
        <x:v>1</x:v>
      </x:c>
      <x:c r="C711" t="s">
        <x:v>1068</x:v>
      </x:c>
      <x:c r="D711" t="s">
        <x:v>331</x:v>
      </x:c>
      <x:c r="F711" t="s">
        <x:v>321</x:v>
      </x:c>
    </x:row>
    <x:row r="712">
      <x:c r="A712">
        <x:v>8478176</x:v>
      </x:c>
      <x:c r="B712" s="4" t="b">
        <x:v>1</x:v>
      </x:c>
      <x:c r="C712" t="s">
        <x:v>1069</x:v>
      </x:c>
      <x:c r="D712" t="s">
        <x:v>331</x:v>
      </x:c>
      <x:c r="F712" t="s">
        <x:v>321</x:v>
      </x:c>
    </x:row>
    <x:row r="713">
      <x:c r="A713">
        <x:v>8480070</x:v>
      </x:c>
      <x:c r="B713" s="4" t="b">
        <x:v>1</x:v>
      </x:c>
      <x:c r="C713" t="s">
        <x:v>1070</x:v>
      </x:c>
      <x:c r="D713" t="s">
        <x:v>331</x:v>
      </x:c>
      <x:c r="F713" t="s">
        <x:v>321</x:v>
      </x:c>
    </x:row>
    <x:row r="714">
      <x:c r="A714">
        <x:v>8477993</x:v>
      </x:c>
      <x:c r="B714" s="4" t="b">
        <x:v>1</x:v>
      </x:c>
      <x:c r="C714" t="s">
        <x:v>1071</x:v>
      </x:c>
      <x:c r="D714" t="s">
        <x:v>319</x:v>
      </x:c>
      <x:c r="F714" t="s">
        <x:v>321</x:v>
      </x:c>
    </x:row>
    <x:row r="715">
      <x:c r="A715">
        <x:v>8476988</x:v>
      </x:c>
      <x:c r="B715" s="4" t="b">
        <x:v>1</x:v>
      </x:c>
      <x:c r="C715" t="s">
        <x:v>1072</x:v>
      </x:c>
      <x:c r="D715" t="s">
        <x:v>331</x:v>
      </x:c>
      <x:c r="E715" t="s">
        <x:v>584</x:v>
      </x:c>
      <x:c r="F715" t="s">
        <x:v>321</x:v>
      </x:c>
    </x:row>
    <x:row r="716">
      <x:c r="A716">
        <x:v>8482141</x:v>
      </x:c>
      <x:c r="B716" s="4" t="b">
        <x:v>1</x:v>
      </x:c>
      <x:c r="C716" t="s">
        <x:v>1073</x:v>
      </x:c>
      <x:c r="D716" t="s">
        <x:v>331</x:v>
      </x:c>
      <x:c r="F716" t="s">
        <x:v>321</x:v>
      </x:c>
    </x:row>
    <x:row r="717">
      <x:c r="A717">
        <x:v>8483890</x:v>
      </x:c>
      <x:c r="B717" s="4" t="b">
        <x:v>1</x:v>
      </x:c>
      <x:c r="C717" t="s">
        <x:v>1074</x:v>
      </x:c>
      <x:c r="D717" t="s">
        <x:v>326</x:v>
      </x:c>
      <x:c r="E717" t="s">
        <x:v>354</x:v>
      </x:c>
      <x:c r="F717" t="s">
        <x:v>321</x:v>
      </x:c>
    </x:row>
    <x:row r="718">
      <x:c r="A718">
        <x:v>8475461</x:v>
      </x:c>
      <x:c r="B718" s="4" t="b">
        <x:v>1</x:v>
      </x:c>
      <x:c r="C718" t="s">
        <x:v>1075</x:v>
      </x:c>
      <x:c r="D718" t="s">
        <x:v>339</x:v>
      </x:c>
      <x:c r="F718" t="s">
        <x:v>321</x:v>
      </x:c>
    </x:row>
    <x:row r="719">
      <x:c r="A719">
        <x:v>8482192</x:v>
      </x:c>
      <x:c r="B719" s="4" t="b">
        <x:v>1</x:v>
      </x:c>
      <x:c r="C719" t="s">
        <x:v>1076</x:v>
      </x:c>
      <x:c r="D719" t="s">
        <x:v>331</x:v>
      </x:c>
      <x:c r="F719" t="s">
        <x:v>321</x:v>
      </x:c>
    </x:row>
    <x:row r="720">
      <x:c r="A720">
        <x:v>8482072</x:v>
      </x:c>
      <x:c r="B720" s="4" t="b">
        <x:v>1</x:v>
      </x:c>
      <x:c r="C720" t="s">
        <x:v>1077</x:v>
      </x:c>
      <x:c r="D720" t="s">
        <x:v>331</x:v>
      </x:c>
      <x:c r="F720" t="s">
        <x:v>321</x:v>
      </x:c>
    </x:row>
    <x:row r="721">
      <x:c r="A721">
        <x:v>8477947</x:v>
      </x:c>
      <x:c r="B721" s="4" t="b">
        <x:v>1</x:v>
      </x:c>
      <x:c r="C721" t="s">
        <x:v>1078</x:v>
      </x:c>
      <x:c r="D721" t="s">
        <x:v>358</x:v>
      </x:c>
      <x:c r="E721" t="s">
        <x:v>584</x:v>
      </x:c>
      <x:c r="F721" t="s">
        <x:v>321</x:v>
      </x:c>
    </x:row>
    <x:row r="722">
      <x:c r="A722">
        <x:v>8478400</x:v>
      </x:c>
      <x:c r="B722" s="4" t="b">
        <x:v>1</x:v>
      </x:c>
      <x:c r="C722" t="s">
        <x:v>1079</x:v>
      </x:c>
      <x:c r="D722" t="s">
        <x:v>323</x:v>
      </x:c>
      <x:c r="F722" t="s">
        <x:v>321</x:v>
      </x:c>
    </x:row>
    <x:row r="723">
      <x:c r="A723">
        <x:v>8481562</x:v>
      </x:c>
      <x:c r="B723" s="4" t="b">
        <x:v>1</x:v>
      </x:c>
      <x:c r="C723" t="s">
        <x:v>1080</x:v>
      </x:c>
      <x:c r="D723" t="s">
        <x:v>331</x:v>
      </x:c>
      <x:c r="F723" t="s">
        <x:v>321</x:v>
      </x:c>
    </x:row>
    <x:row r="724">
      <x:c r="A724">
        <x:v>8481178</x:v>
      </x:c>
      <x:c r="B724" s="4" t="b">
        <x:v>1</x:v>
      </x:c>
      <x:c r="C724" t="s">
        <x:v>1081</x:v>
      </x:c>
      <x:c r="D724" t="s">
        <x:v>331</x:v>
      </x:c>
      <x:c r="E724" t="s">
        <x:v>343</x:v>
      </x:c>
      <x:c r="F724" t="s">
        <x:v>321</x:v>
      </x:c>
    </x:row>
    <x:row r="725">
      <x:c r="A725">
        <x:v>8482641</x:v>
      </x:c>
      <x:c r="B725" s="4" t="b">
        <x:v>1</x:v>
      </x:c>
      <x:c r="C725" t="s">
        <x:v>1082</x:v>
      </x:c>
      <x:c r="D725" t="s">
        <x:v>331</x:v>
      </x:c>
      <x:c r="E725" t="s">
        <x:v>345</x:v>
      </x:c>
      <x:c r="F725" t="s">
        <x:v>321</x:v>
      </x:c>
    </x:row>
    <x:row r="726">
      <x:c r="A726">
        <x:v>8478062</x:v>
      </x:c>
      <x:c r="B726" s="4" t="b">
        <x:v>1</x:v>
      </x:c>
      <x:c r="C726" t="s">
        <x:v>1083</x:v>
      </x:c>
      <x:c r="D726" t="s">
        <x:v>331</x:v>
      </x:c>
      <x:c r="F726" t="s">
        <x:v>321</x:v>
      </x:c>
    </x:row>
    <x:row r="727">
      <x:c r="A727">
        <x:v>8482911</x:v>
      </x:c>
      <x:c r="B727" s="4" t="b">
        <x:v>1</x:v>
      </x:c>
      <x:c r="C727" t="s">
        <x:v>1084</x:v>
      </x:c>
      <x:c r="D727" t="s">
        <x:v>331</x:v>
      </x:c>
      <x:c r="F727" t="s">
        <x:v>321</x:v>
      </x:c>
    </x:row>
    <x:row r="728">
      <x:c r="A728">
        <x:v>8483630</x:v>
      </x:c>
      <x:c r="B728" s="4" t="b">
        <x:v>1</x:v>
      </x:c>
      <x:c r="C728" t="s">
        <x:v>1085</x:v>
      </x:c>
      <x:c r="D728" t="s">
        <x:v>333</x:v>
      </x:c>
      <x:c r="F728" t="s">
        <x:v>321</x:v>
      </x:c>
    </x:row>
    <x:row r="729">
      <x:c r="A729">
        <x:v>8483432</x:v>
      </x:c>
      <x:c r="B729" s="4" t="b">
        <x:v>1</x:v>
      </x:c>
      <x:c r="C729" t="s">
        <x:v>1086</x:v>
      </x:c>
      <x:c r="D729" t="s">
        <x:v>319</x:v>
      </x:c>
      <x:c r="F729" t="s">
        <x:v>321</x:v>
      </x:c>
    </x:row>
    <x:row r="730">
      <x:c r="A730">
        <x:v>8478846</x:v>
      </x:c>
      <x:c r="B730" s="4" t="b">
        <x:v>1</x:v>
      </x:c>
      <x:c r="C730" t="s">
        <x:v>1087</x:v>
      </x:c>
      <x:c r="D730" t="s">
        <x:v>331</x:v>
      </x:c>
      <x:c r="F730" t="s">
        <x:v>321</x:v>
      </x:c>
    </x:row>
    <x:row r="731">
      <x:c r="A731">
        <x:v>8477981</x:v>
      </x:c>
      <x:c r="B731" s="4" t="b">
        <x:v>1</x:v>
      </x:c>
      <x:c r="C731" t="s">
        <x:v>1088</x:v>
      </x:c>
      <x:c r="D731" t="s">
        <x:v>331</x:v>
      </x:c>
      <x:c r="F731" t="s">
        <x:v>321</x:v>
      </x:c>
    </x:row>
    <x:row r="732">
      <x:c r="A732">
        <x:v>8476953</x:v>
      </x:c>
      <x:c r="B732" s="4" t="b">
        <x:v>1</x:v>
      </x:c>
      <x:c r="C732" t="s">
        <x:v>1089</x:v>
      </x:c>
      <x:c r="D732" t="s">
        <x:v>331</x:v>
      </x:c>
      <x:c r="F732" t="s">
        <x:v>321</x:v>
      </x:c>
    </x:row>
    <x:row r="733">
      <x:c r="A733">
        <x:v>8475968</x:v>
      </x:c>
      <x:c r="B733" s="4" t="b">
        <x:v>1</x:v>
      </x:c>
      <x:c r="C733" t="s">
        <x:v>1090</x:v>
      </x:c>
      <x:c r="D733" t="s">
        <x:v>326</x:v>
      </x:c>
      <x:c r="F733" t="s">
        <x:v>321</x:v>
      </x:c>
    </x:row>
    <x:row r="734">
      <x:c r="A734">
        <x:v>8481422</x:v>
      </x:c>
      <x:c r="B734" s="4" t="b">
        <x:v>1</x:v>
      </x:c>
      <x:c r="C734" t="s">
        <x:v>1091</x:v>
      </x:c>
      <x:c r="D734" t="s">
        <x:v>358</x:v>
      </x:c>
      <x:c r="F734" t="s">
        <x:v>321</x:v>
      </x:c>
    </x:row>
    <x:row r="735">
      <x:c r="A735">
        <x:v>8479533</x:v>
      </x:c>
      <x:c r="B735" s="4" t="b">
        <x:v>1</x:v>
      </x:c>
      <x:c r="C735" t="s">
        <x:v>1092</x:v>
      </x:c>
      <x:c r="D735" t="s">
        <x:v>358</x:v>
      </x:c>
      <x:c r="F735" t="s">
        <x:v>321</x:v>
      </x:c>
    </x:row>
    <x:row r="736">
      <x:c r="A736">
        <x:v>8482807</x:v>
      </x:c>
      <x:c r="B736" s="4" t="b">
        <x:v>1</x:v>
      </x:c>
      <x:c r="C736" t="s">
        <x:v>1093</x:v>
      </x:c>
      <x:c r="D736" t="s">
        <x:v>331</x:v>
      </x:c>
      <x:c r="F736" t="s">
        <x:v>321</x:v>
      </x:c>
    </x:row>
    <x:row r="737">
      <x:c r="A737">
        <x:v>8478967</x:v>
      </x:c>
      <x:c r="B737" s="4" t="b">
        <x:v>1</x:v>
      </x:c>
      <x:c r="C737" t="s">
        <x:v>1094</x:v>
      </x:c>
      <x:c r="D737" t="s">
        <x:v>319</x:v>
      </x:c>
      <x:c r="F737" t="s">
        <x:v>321</x:v>
      </x:c>
    </x:row>
    <x:row r="738">
      <x:c r="A738">
        <x:v>8483466</x:v>
      </x:c>
      <x:c r="B738" s="4" t="b">
        <x:v>1</x:v>
      </x:c>
      <x:c r="C738" t="s">
        <x:v>1095</x:v>
      </x:c>
      <x:c r="D738" t="s">
        <x:v>331</x:v>
      </x:c>
      <x:c r="E738" t="s">
        <x:v>436</x:v>
      </x:c>
      <x:c r="F738" t="s">
        <x:v>321</x:v>
      </x:c>
    </x:row>
    <x:row r="739">
      <x:c r="A739">
        <x:v>8483460</x:v>
      </x:c>
      <x:c r="B739" s="4" t="b">
        <x:v>1</x:v>
      </x:c>
      <x:c r="C739" t="s">
        <x:v>1096</x:v>
      </x:c>
      <x:c r="D739" t="s">
        <x:v>331</x:v>
      </x:c>
      <x:c r="E739" t="s">
        <x:v>427</x:v>
      </x:c>
      <x:c r="F739" t="s">
        <x:v>321</x:v>
      </x:c>
    </x:row>
    <x:row r="740">
      <x:c r="A740">
        <x:v>8485512</x:v>
      </x:c>
      <x:c r="B740" s="4" t="b">
        <x:v>1</x:v>
      </x:c>
      <x:c r="C740" t="s">
        <x:v>1097</x:v>
      </x:c>
      <x:c r="D740" t="s">
        <x:v>319</x:v>
      </x:c>
      <x:c r="E740" t="s">
        <x:v>393</x:v>
      </x:c>
      <x:c r="F740" t="s">
        <x:v>321</x:v>
      </x:c>
    </x:row>
    <x:row r="741">
      <x:c r="A741">
        <x:v>8481577</x:v>
      </x:c>
      <x:c r="B741" s="4" t="b">
        <x:v>1</x:v>
      </x:c>
      <x:c r="C741" t="s">
        <x:v>1098</x:v>
      </x:c>
      <x:c r="D741" t="s">
        <x:v>333</x:v>
      </x:c>
      <x:c r="E741" t="s">
        <x:v>370</x:v>
      </x:c>
      <x:c r="F741" t="s">
        <x:v>321</x:v>
      </x:c>
    </x:row>
    <x:row r="742">
      <x:c r="A742">
        <x:v>8483447</x:v>
      </x:c>
      <x:c r="B742" s="4" t="b">
        <x:v>1</x:v>
      </x:c>
      <x:c r="C742" t="s">
        <x:v>1099</x:v>
      </x:c>
      <x:c r="D742" t="s">
        <x:v>323</x:v>
      </x:c>
      <x:c r="E742" t="s">
        <x:v>327</x:v>
      </x:c>
      <x:c r="F742" t="s">
        <x:v>321</x:v>
      </x:c>
    </x:row>
    <x:row r="743">
      <x:c r="A743">
        <x:v>8480823</x:v>
      </x:c>
      <x:c r="B743" s="4" t="b">
        <x:v>1</x:v>
      </x:c>
      <x:c r="C743" t="s">
        <x:v>1100</x:v>
      </x:c>
      <x:c r="D743" t="s">
        <x:v>331</x:v>
      </x:c>
      <x:c r="F743" t="s">
        <x:v>321</x:v>
      </x:c>
    </x:row>
    <x:row r="744">
      <x:c r="A744">
        <x:v>8481743</x:v>
      </x:c>
      <x:c r="B744" s="4" t="b">
        <x:v>1</x:v>
      </x:c>
      <x:c r="C744" t="s">
        <x:v>1101</x:v>
      </x:c>
      <x:c r="D744" t="s">
        <x:v>331</x:v>
      </x:c>
      <x:c r="F744" t="s">
        <x:v>321</x:v>
      </x:c>
    </x:row>
    <x:row r="745">
      <x:c r="A745">
        <x:v>8478841</x:v>
      </x:c>
      <x:c r="B745" s="4" t="b">
        <x:v>1</x:v>
      </x:c>
      <x:c r="C745" t="s">
        <x:v>1102</x:v>
      </x:c>
      <x:c r="D745" t="s">
        <x:v>331</x:v>
      </x:c>
      <x:c r="F745" t="s">
        <x:v>321</x:v>
      </x:c>
    </x:row>
    <x:row r="746">
      <x:c r="A746">
        <x:v>8478452</x:v>
      </x:c>
      <x:c r="B746" s="4" t="b">
        <x:v>1</x:v>
      </x:c>
      <x:c r="C746" t="s">
        <x:v>1103</x:v>
      </x:c>
      <x:c r="D746" t="s">
        <x:v>331</x:v>
      </x:c>
      <x:c r="F746" t="s">
        <x:v>321</x:v>
      </x:c>
    </x:row>
    <x:row r="747">
      <x:c r="A747">
        <x:v>8482516</x:v>
      </x:c>
      <x:c r="B747" s="4" t="b">
        <x:v>1</x:v>
      </x:c>
      <x:c r="C747" t="s">
        <x:v>1104</x:v>
      </x:c>
      <x:c r="D747" t="s">
        <x:v>331</x:v>
      </x:c>
      <x:c r="F747" t="s">
        <x:v>321</x:v>
      </x:c>
    </x:row>
    <x:row r="748">
      <x:c r="A748">
        <x:v>8477846</x:v>
      </x:c>
      <x:c r="B748" s="4" t="b">
        <x:v>1</x:v>
      </x:c>
      <x:c r="C748" t="s">
        <x:v>1105</x:v>
      </x:c>
      <x:c r="D748" t="s">
        <x:v>323</x:v>
      </x:c>
      <x:c r="F748" t="s">
        <x:v>321</x:v>
      </x:c>
    </x:row>
    <x:row r="749">
      <x:c r="A749">
        <x:v>8482742</x:v>
      </x:c>
      <x:c r="B749" s="4" t="b">
        <x:v>1</x:v>
      </x:c>
      <x:c r="C749" t="s">
        <x:v>1106</x:v>
      </x:c>
      <x:c r="D749" t="s">
        <x:v>339</x:v>
      </x:c>
      <x:c r="F749" t="s">
        <x:v>321</x:v>
      </x:c>
    </x:row>
    <x:row r="750">
      <x:c r="A750">
        <x:v>8482107</x:v>
      </x:c>
      <x:c r="B750" s="4" t="b">
        <x:v>1</x:v>
      </x:c>
      <x:c r="C750" t="s">
        <x:v>1107</x:v>
      </x:c>
      <x:c r="D750" t="s">
        <x:v>331</x:v>
      </x:c>
      <x:c r="F750" t="s">
        <x:v>321</x:v>
      </x:c>
    </x:row>
    <x:row r="751">
      <x:c r="A751">
        <x:v>8481812</x:v>
      </x:c>
      <x:c r="B751" s="4" t="b">
        <x:v>1</x:v>
      </x:c>
      <x:c r="C751" t="s">
        <x:v>1108</x:v>
      </x:c>
      <x:c r="D751" t="s">
        <x:v>331</x:v>
      </x:c>
      <x:c r="F751" t="s">
        <x:v>321</x:v>
      </x:c>
    </x:row>
    <x:row r="752">
      <x:c r="A752">
        <x:v>8481725</x:v>
      </x:c>
      <x:c r="B752" s="4" t="b">
        <x:v>1</x:v>
      </x:c>
      <x:c r="C752" t="s">
        <x:v>1109</x:v>
      </x:c>
      <x:c r="D752" t="s">
        <x:v>358</x:v>
      </x:c>
      <x:c r="F752" t="s">
        <x:v>321</x:v>
      </x:c>
    </x:row>
    <x:row r="753">
      <x:c r="A753">
        <x:v>8483503</x:v>
      </x:c>
      <x:c r="B753" s="4" t="b">
        <x:v>1</x:v>
      </x:c>
      <x:c r="C753" t="s">
        <x:v>1110</x:v>
      </x:c>
      <x:c r="D753" t="s">
        <x:v>331</x:v>
      </x:c>
      <x:c r="F753" t="s">
        <x:v>321</x:v>
      </x:c>
    </x:row>
    <x:row r="754">
      <x:c r="A754">
        <x:v>8484309</x:v>
      </x:c>
      <x:c r="B754" s="4" t="b">
        <x:v>1</x:v>
      </x:c>
      <x:c r="C754" t="s">
        <x:v>1111</x:v>
      </x:c>
      <x:c r="D754" t="s">
        <x:v>331</x:v>
      </x:c>
      <x:c r="F754" t="s">
        <x:v>321</x:v>
      </x:c>
    </x:row>
    <x:row r="755">
      <x:c r="A755">
        <x:v>8484136</x:v>
      </x:c>
      <x:c r="B755" s="4" t="b">
        <x:v>1</x:v>
      </x:c>
      <x:c r="C755" t="s">
        <x:v>1112</x:v>
      </x:c>
      <x:c r="D755" t="s">
        <x:v>319</x:v>
      </x:c>
      <x:c r="E755" t="s">
        <x:v>420</x:v>
      </x:c>
      <x:c r="F755" t="s">
        <x:v>321</x:v>
      </x:c>
    </x:row>
    <x:row r="756">
      <x:c r="A756">
        <x:v>8482861</x:v>
      </x:c>
      <x:c r="B756" s="4" t="b">
        <x:v>1</x:v>
      </x:c>
      <x:c r="C756" t="s">
        <x:v>1113</x:v>
      </x:c>
      <x:c r="D756" t="s">
        <x:v>331</x:v>
      </x:c>
      <x:c r="F756" t="s">
        <x:v>321</x:v>
      </x:c>
    </x:row>
    <x:row r="757">
      <x:c r="A757">
        <x:v>8480831</x:v>
      </x:c>
      <x:c r="B757" s="4" t="b">
        <x:v>1</x:v>
      </x:c>
      <x:c r="C757" t="s">
        <x:v>1114</x:v>
      </x:c>
      <x:c r="D757" t="s">
        <x:v>331</x:v>
      </x:c>
      <x:c r="E757" t="s">
        <x:v>320</x:v>
      </x:c>
      <x:c r="F757" t="s">
        <x:v>321</x:v>
      </x:c>
    </x:row>
    <x:row r="758">
      <x:c r="A758">
        <x:v>8482981</x:v>
      </x:c>
      <x:c r="B758" s="4" t="b">
        <x:v>1</x:v>
      </x:c>
      <x:c r="C758" t="s">
        <x:v>1115</x:v>
      </x:c>
      <x:c r="D758" t="s">
        <x:v>331</x:v>
      </x:c>
      <x:c r="F758" t="s">
        <x:v>321</x:v>
      </x:c>
    </x:row>
    <x:row r="759">
      <x:c r="A759">
        <x:v>8485702</x:v>
      </x:c>
      <x:c r="B759" s="4" t="b">
        <x:v>1</x:v>
      </x:c>
      <x:c r="C759" t="s">
        <x:v>1116</x:v>
      </x:c>
      <x:c r="D759" t="s">
        <x:v>326</x:v>
      </x:c>
      <x:c r="E759" t="s">
        <x:v>345</x:v>
      </x:c>
      <x:c r="F759" t="s">
        <x:v>321</x:v>
      </x:c>
    </x:row>
    <x:row r="760">
      <x:c r="A760">
        <x:v>8477073</x:v>
      </x:c>
      <x:c r="B760" s="4" t="b">
        <x:v>1</x:v>
      </x:c>
      <x:c r="C760" t="s">
        <x:v>1117</x:v>
      </x:c>
      <x:c r="D760" t="s">
        <x:v>358</x:v>
      </x:c>
      <x:c r="E760" t="s">
        <x:v>370</x:v>
      </x:c>
      <x:c r="F760" t="s">
        <x:v>321</x:v>
      </x:c>
    </x:row>
    <x:row r="761">
      <x:c r="A761">
        <x:v>8481461</x:v>
      </x:c>
      <x:c r="B761" s="4" t="b">
        <x:v>1</x:v>
      </x:c>
      <x:c r="C761" t="s">
        <x:v>1118</x:v>
      </x:c>
      <x:c r="D761" t="s">
        <x:v>331</x:v>
      </x:c>
      <x:c r="E761" t="s">
        <x:v>393</x:v>
      </x:c>
      <x:c r="F761" t="s">
        <x:v>321</x:v>
      </x:c>
    </x:row>
    <x:row r="762">
      <x:c r="A762">
        <x:v>8484188</x:v>
      </x:c>
      <x:c r="B762" s="4" t="b">
        <x:v>1</x:v>
      </x:c>
      <x:c r="C762" t="s">
        <x:v>1119</x:v>
      </x:c>
      <x:c r="D762" t="s">
        <x:v>331</x:v>
      </x:c>
      <x:c r="F762" t="s">
        <x:v>321</x:v>
      </x:c>
    </x:row>
    <x:row r="763">
      <x:c r="A763">
        <x:v>8477463</x:v>
      </x:c>
      <x:c r="B763" s="4" t="b">
        <x:v>1</x:v>
      </x:c>
      <x:c r="C763" t="s">
        <x:v>1120</x:v>
      </x:c>
      <x:c r="D763" t="s">
        <x:v>331</x:v>
      </x:c>
      <x:c r="F763" t="s">
        <x:v>321</x:v>
      </x:c>
    </x:row>
    <x:row r="764">
      <x:c r="A764">
        <x:v>8479941</x:v>
      </x:c>
      <x:c r="B764" s="4" t="b">
        <x:v>1</x:v>
      </x:c>
      <x:c r="C764" t="s">
        <x:v>1121</x:v>
      </x:c>
      <x:c r="D764" t="s">
        <x:v>323</x:v>
      </x:c>
      <x:c r="E764" t="s">
        <x:v>361</x:v>
      </x:c>
      <x:c r="F764" t="s">
        <x:v>321</x:v>
      </x:c>
    </x:row>
    <x:row r="765">
      <x:c r="A765">
        <x:v>8483756</x:v>
      </x:c>
      <x:c r="B765" s="4" t="b">
        <x:v>1</x:v>
      </x:c>
      <x:c r="C765" t="s">
        <x:v>1122</x:v>
      </x:c>
      <x:c r="D765" t="s">
        <x:v>326</x:v>
      </x:c>
      <x:c r="E765" t="s">
        <x:v>379</x:v>
      </x:c>
      <x:c r="F765" t="s">
        <x:v>321</x:v>
      </x:c>
    </x:row>
    <x:row r="766">
      <x:c r="A766">
        <x:v>8484768</x:v>
      </x:c>
      <x:c r="B766" s="4" t="b">
        <x:v>1</x:v>
      </x:c>
      <x:c r="C766" t="s">
        <x:v>1123</x:v>
      </x:c>
      <x:c r="D766" t="s">
        <x:v>331</x:v>
      </x:c>
      <x:c r="E766" t="s">
        <x:v>576</x:v>
      </x:c>
      <x:c r="F766" t="s">
        <x:v>321</x:v>
      </x:c>
    </x:row>
    <x:row r="767">
      <x:c r="A767">
        <x:v>8479362</x:v>
      </x:c>
      <x:c r="B767" s="4" t="b">
        <x:v>1</x:v>
      </x:c>
      <x:c r="C767" t="s">
        <x:v>1124</x:v>
      </x:c>
      <x:c r="D767" t="s">
        <x:v>358</x:v>
      </x:c>
      <x:c r="F767" t="s">
        <x:v>321</x:v>
      </x:c>
    </x:row>
    <x:row r="768">
      <x:c r="A768">
        <x:v>8482859</x:v>
      </x:c>
      <x:c r="B768" s="4" t="b">
        <x:v>1</x:v>
      </x:c>
      <x:c r="C768" t="s">
        <x:v>1125</x:v>
      </x:c>
      <x:c r="D768" t="s">
        <x:v>319</x:v>
      </x:c>
      <x:c r="E768" t="s">
        <x:v>340</x:v>
      </x:c>
      <x:c r="F768" t="s">
        <x:v>321</x:v>
      </x:c>
    </x:row>
    <x:row r="769">
      <x:c r="A769">
        <x:v>8475780</x:v>
      </x:c>
      <x:c r="B769" s="4" t="b">
        <x:v>1</x:v>
      </x:c>
      <x:c r="C769" t="s">
        <x:v>1126</x:v>
      </x:c>
      <x:c r="D769" t="s">
        <x:v>326</x:v>
      </x:c>
      <x:c r="E769" t="s">
        <x:v>584</x:v>
      </x:c>
      <x:c r="F769" t="s">
        <x:v>321</x:v>
      </x:c>
    </x:row>
    <x:row r="770">
      <x:c r="A770">
        <x:v>8476994</x:v>
      </x:c>
      <x:c r="B770" s="4" t="b">
        <x:v>1</x:v>
      </x:c>
      <x:c r="C770" t="s">
        <x:v>1127</x:v>
      </x:c>
      <x:c r="D770" t="s">
        <x:v>319</x:v>
      </x:c>
      <x:c r="E770" t="s">
        <x:v>324</x:v>
      </x:c>
      <x:c r="F770" t="s">
        <x:v>321</x:v>
      </x:c>
    </x:row>
    <x:row r="771">
      <x:c r="A771">
        <x:v>8479393</x:v>
      </x:c>
      <x:c r="B771" s="4" t="b">
        <x:v>1</x:v>
      </x:c>
      <x:c r="C771" t="s">
        <x:v>1128</x:v>
      </x:c>
      <x:c r="D771" t="s">
        <x:v>358</x:v>
      </x:c>
      <x:c r="F771" t="s">
        <x:v>321</x:v>
      </x:c>
    </x:row>
    <x:row r="772">
      <x:c r="A772">
        <x:v>8481535</x:v>
      </x:c>
      <x:c r="B772" s="4" t="b">
        <x:v>1</x:v>
      </x:c>
      <x:c r="C772" t="s">
        <x:v>1129</x:v>
      </x:c>
      <x:c r="D772" t="s">
        <x:v>333</x:v>
      </x:c>
      <x:c r="E772" t="s">
        <x:v>372</x:v>
      </x:c>
      <x:c r="F772" t="s">
        <x:v>321</x:v>
      </x:c>
    </x:row>
    <x:row r="773">
      <x:c r="A773">
        <x:v>8481237</x:v>
      </x:c>
      <x:c r="B773" s="4" t="b">
        <x:v>1</x:v>
      </x:c>
      <x:c r="C773" t="s">
        <x:v>1130</x:v>
      </x:c>
      <x:c r="D773" t="s">
        <x:v>319</x:v>
      </x:c>
      <x:c r="F773" t="s">
        <x:v>321</x:v>
      </x:c>
    </x:row>
    <x:row r="774">
      <x:c r="A774">
        <x:v>8478043</x:v>
      </x:c>
      <x:c r="B774" s="4" t="b">
        <x:v>1</x:v>
      </x:c>
      <x:c r="C774" t="s">
        <x:v>1131</x:v>
      </x:c>
      <x:c r="D774" t="s">
        <x:v>329</x:v>
      </x:c>
      <x:c r="E774" t="s">
        <x:v>400</x:v>
      </x:c>
      <x:c r="F774" t="s">
        <x:v>321</x:v>
      </x:c>
    </x:row>
    <x:row r="775">
      <x:c r="A775">
        <x:v>8482169</x:v>
      </x:c>
      <x:c r="B775" s="4" t="b">
        <x:v>1</x:v>
      </x:c>
      <x:c r="C775" t="s">
        <x:v>1132</x:v>
      </x:c>
      <x:c r="D775" t="s">
        <x:v>331</x:v>
      </x:c>
      <x:c r="F775" t="s">
        <x:v>321</x:v>
      </x:c>
    </x:row>
    <x:row r="776">
      <x:c r="A776">
        <x:v>8481820</x:v>
      </x:c>
      <x:c r="B776" s="4" t="b">
        <x:v>1</x:v>
      </x:c>
      <x:c r="C776" t="s">
        <x:v>1133</x:v>
      </x:c>
      <x:c r="D776" t="s">
        <x:v>331</x:v>
      </x:c>
      <x:c r="F776" t="s">
        <x:v>321</x:v>
      </x:c>
    </x:row>
    <x:row r="777">
      <x:c r="A777">
        <x:v>8481587</x:v>
      </x:c>
      <x:c r="B777" s="4" t="b">
        <x:v>1</x:v>
      </x:c>
      <x:c r="C777" t="s">
        <x:v>1134</x:v>
      </x:c>
      <x:c r="D777" t="s">
        <x:v>331</x:v>
      </x:c>
      <x:c r="F777" t="s">
        <x:v>321</x:v>
      </x:c>
    </x:row>
    <x:row r="778">
      <x:c r="A778">
        <x:v>8481599</x:v>
      </x:c>
      <x:c r="B778" s="4" t="b">
        <x:v>1</x:v>
      </x:c>
      <x:c r="C778" t="s">
        <x:v>1135</x:v>
      </x:c>
      <x:c r="D778" t="s">
        <x:v>331</x:v>
      </x:c>
      <x:c r="F778" t="s">
        <x:v>321</x:v>
      </x:c>
    </x:row>
    <x:row r="779">
      <x:c r="A779">
        <x:v>8483472</x:v>
      </x:c>
      <x:c r="B779" s="4" t="b">
        <x:v>1</x:v>
      </x:c>
      <x:c r="C779" t="s">
        <x:v>1136</x:v>
      </x:c>
      <x:c r="D779" t="s">
        <x:v>331</x:v>
      </x:c>
      <x:c r="F779" t="s">
        <x:v>321</x:v>
      </x:c>
    </x:row>
    <x:row r="780">
      <x:c r="A780">
        <x:v>8484794</x:v>
      </x:c>
      <x:c r="B780" s="4" t="b">
        <x:v>1</x:v>
      </x:c>
      <x:c r="C780" t="s">
        <x:v>1137</x:v>
      </x:c>
      <x:c r="D780" t="s">
        <x:v>326</x:v>
      </x:c>
      <x:c r="F780" t="s">
        <x:v>321</x:v>
      </x:c>
    </x:row>
    <x:row r="781">
      <x:c r="A781">
        <x:v>8482873</x:v>
      </x:c>
      <x:c r="B781" s="4" t="b">
        <x:v>1</x:v>
      </x:c>
      <x:c r="C781" t="s">
        <x:v>1138</x:v>
      </x:c>
      <x:c r="D781" t="s">
        <x:v>331</x:v>
      </x:c>
      <x:c r="F781" t="s">
        <x:v>321</x:v>
      </x:c>
    </x:row>
    <x:row r="782">
      <x:c r="A782">
        <x:v>8484197</x:v>
      </x:c>
      <x:c r="B782" s="4" t="b">
        <x:v>1</x:v>
      </x:c>
      <x:c r="C782" t="s">
        <x:v>1139</x:v>
      </x:c>
      <x:c r="D782" t="s">
        <x:v>339</x:v>
      </x:c>
      <x:c r="F782" t="s">
        <x:v>321</x:v>
      </x:c>
    </x:row>
    <x:row r="783">
      <x:c r="A783">
        <x:v>8479383</x:v>
      </x:c>
      <x:c r="B783" s="4" t="b">
        <x:v>1</x:v>
      </x:c>
      <x:c r="C783" t="s">
        <x:v>1140</x:v>
      </x:c>
      <x:c r="D783" t="s">
        <x:v>358</x:v>
      </x:c>
      <x:c r="E783" t="s">
        <x:v>320</x:v>
      </x:c>
      <x:c r="F783" t="s">
        <x:v>321</x:v>
      </x:c>
    </x:row>
    <x:row r="784">
      <x:c r="A784">
        <x:v>8482993</x:v>
      </x:c>
      <x:c r="B784" s="4" t="b">
        <x:v>1</x:v>
      </x:c>
      <x:c r="C784" t="s">
        <x:v>1141</x:v>
      </x:c>
      <x:c r="D784" t="s">
        <x:v>323</x:v>
      </x:c>
      <x:c r="F784" t="s">
        <x:v>321</x:v>
      </x:c>
    </x:row>
    <x:row r="785">
      <x:c r="A785">
        <x:v>8480842</x:v>
      </x:c>
      <x:c r="B785" s="4" t="b">
        <x:v>1</x:v>
      </x:c>
      <x:c r="C785" t="s">
        <x:v>1142</x:v>
      </x:c>
      <x:c r="D785" t="s">
        <x:v>319</x:v>
      </x:c>
      <x:c r="F785" t="s">
        <x:v>321</x:v>
      </x:c>
    </x:row>
    <x:row r="786">
      <x:c r="A786">
        <x:v>8481003</x:v>
      </x:c>
      <x:c r="B786" s="4" t="b">
        <x:v>1</x:v>
      </x:c>
      <x:c r="C786" t="s">
        <x:v>1143</x:v>
      </x:c>
      <x:c r="D786" t="s">
        <x:v>331</x:v>
      </x:c>
      <x:c r="F786" t="s">
        <x:v>321</x:v>
      </x:c>
    </x:row>
    <x:row r="787">
      <x:c r="A787">
        <x:v>8482777</x:v>
      </x:c>
      <x:c r="B787" s="4" t="b">
        <x:v>1</x:v>
      </x:c>
      <x:c r="C787" t="s">
        <x:v>1144</x:v>
      </x:c>
      <x:c r="D787" t="s">
        <x:v>331</x:v>
      </x:c>
      <x:c r="F787" t="s">
        <x:v>321</x:v>
      </x:c>
    </x:row>
    <x:row r="788">
      <x:c r="A788">
        <x:v>8481521</x:v>
      </x:c>
      <x:c r="B788" s="4" t="b">
        <x:v>1</x:v>
      </x:c>
      <x:c r="C788" t="s">
        <x:v>1145</x:v>
      </x:c>
      <x:c r="D788" t="s">
        <x:v>331</x:v>
      </x:c>
      <x:c r="F788" t="s">
        <x:v>321</x:v>
      </x:c>
    </x:row>
    <x:row r="789">
      <x:c r="A789">
        <x:v>8483448</x:v>
      </x:c>
      <x:c r="B789" s="4" t="b">
        <x:v>1</x:v>
      </x:c>
      <x:c r="C789" t="s">
        <x:v>1146</x:v>
      </x:c>
      <x:c r="D789" t="s">
        <x:v>331</x:v>
      </x:c>
      <x:c r="F789" t="s">
        <x:v>321</x:v>
      </x:c>
    </x:row>
    <x:row r="790">
      <x:c r="A790">
        <x:v>8483686</x:v>
      </x:c>
      <x:c r="B790" s="4" t="b">
        <x:v>1</x:v>
      </x:c>
      <x:c r="C790" t="s">
        <x:v>1147</x:v>
      </x:c>
      <x:c r="D790" t="s">
        <x:v>331</x:v>
      </x:c>
      <x:c r="F790" t="s">
        <x:v>321</x:v>
      </x:c>
    </x:row>
    <x:row r="791">
      <x:c r="A791">
        <x:v>8484220</x:v>
      </x:c>
      <x:c r="B791" s="4" t="b">
        <x:v>1</x:v>
      </x:c>
      <x:c r="C791" t="s">
        <x:v>1148</x:v>
      </x:c>
      <x:c r="D791" t="s">
        <x:v>331</x:v>
      </x:c>
      <x:c r="F791" t="s">
        <x:v>321</x:v>
      </x:c>
    </x:row>
    <x:row r="792">
      <x:c r="A792">
        <x:v>8484180</x:v>
      </x:c>
      <x:c r="B792" s="4" t="b">
        <x:v>1</x:v>
      </x:c>
      <x:c r="C792" t="s">
        <x:v>1149</x:v>
      </x:c>
      <x:c r="D792" t="s">
        <x:v>339</x:v>
      </x:c>
      <x:c r="F792" t="s">
        <x:v>321</x:v>
      </x:c>
    </x:row>
    <x:row r="793">
      <x:c r="A793">
        <x:v>8479578</x:v>
      </x:c>
      <x:c r="B793" s="4" t="b">
        <x:v>1</x:v>
      </x:c>
      <x:c r="C793" t="s">
        <x:v>1150</x:v>
      </x:c>
      <x:c r="D793" t="s">
        <x:v>331</x:v>
      </x:c>
      <x:c r="F793" t="s">
        <x:v>321</x:v>
      </x:c>
    </x:row>
    <x:row r="794">
      <x:c r="A794">
        <x:v>8484256</x:v>
      </x:c>
      <x:c r="B794" s="4" t="b">
        <x:v>1</x:v>
      </x:c>
      <x:c r="C794" t="s">
        <x:v>1151</x:v>
      </x:c>
      <x:c r="D794" t="s">
        <x:v>331</x:v>
      </x:c>
      <x:c r="F794" t="s">
        <x:v>321</x:v>
      </x:c>
    </x:row>
    <x:row r="795">
      <x:c r="A795">
        <x:v>8477085</x:v>
      </x:c>
      <x:c r="B795" s="4" t="b">
        <x:v>1</x:v>
      </x:c>
      <x:c r="C795" t="s">
        <x:v>1152</x:v>
      </x:c>
      <x:c r="D795" t="s">
        <x:v>331</x:v>
      </x:c>
      <x:c r="F795" t="s">
        <x:v>321</x:v>
      </x:c>
    </x:row>
    <x:row r="796">
      <x:c r="A796">
        <x:v>8478888</x:v>
      </x:c>
      <x:c r="B796" s="4" t="b">
        <x:v>1</x:v>
      </x:c>
      <x:c r="C796" t="s">
        <x:v>1153</x:v>
      </x:c>
      <x:c r="D796" t="s">
        <x:v>319</x:v>
      </x:c>
      <x:c r="F796" t="s">
        <x:v>321</x:v>
      </x:c>
    </x:row>
    <x:row r="797">
      <x:c r="A797">
        <x:v>8480083</x:v>
      </x:c>
      <x:c r="B797" s="4" t="b">
        <x:v>1</x:v>
      </x:c>
      <x:c r="C797" t="s">
        <x:v>1154</x:v>
      </x:c>
      <x:c r="D797" t="s">
        <x:v>358</x:v>
      </x:c>
      <x:c r="E797" t="s">
        <x:v>584</x:v>
      </x:c>
      <x:c r="F797" t="s">
        <x:v>321</x:v>
      </x:c>
    </x:row>
    <x:row r="798">
      <x:c r="A798">
        <x:v>8480840</x:v>
      </x:c>
      <x:c r="B798" s="4" t="b">
        <x:v>1</x:v>
      </x:c>
      <x:c r="C798" t="s">
        <x:v>1155</x:v>
      </x:c>
      <x:c r="D798" t="s">
        <x:v>319</x:v>
      </x:c>
      <x:c r="F798" t="s">
        <x:v>321</x:v>
      </x:c>
    </x:row>
    <x:row r="799">
      <x:c r="A799">
        <x:v>8478446</x:v>
      </x:c>
      <x:c r="B799" s="4" t="b">
        <x:v>1</x:v>
      </x:c>
      <x:c r="C799" t="s">
        <x:v>1156</x:v>
      </x:c>
      <x:c r="D799" t="s">
        <x:v>319</x:v>
      </x:c>
      <x:c r="F799" t="s">
        <x:v>321</x:v>
      </x:c>
    </x:row>
    <x:row r="800">
      <x:c r="A800">
        <x:v>8480750</x:v>
      </x:c>
      <x:c r="B800" s="4" t="b">
        <x:v>1</x:v>
      </x:c>
      <x:c r="C800" t="s">
        <x:v>1157</x:v>
      </x:c>
      <x:c r="D800" t="s">
        <x:v>319</x:v>
      </x:c>
      <x:c r="F800" t="s">
        <x:v>321</x:v>
      </x:c>
    </x:row>
    <x:row r="801">
      <x:c r="A801">
        <x:v>8482874</x:v>
      </x:c>
      <x:c r="B801" s="4" t="b">
        <x:v>1</x:v>
      </x:c>
      <x:c r="C801" t="s">
        <x:v>1158</x:v>
      </x:c>
      <x:c r="D801" t="s">
        <x:v>326</x:v>
      </x:c>
      <x:c r="F801" t="s">
        <x:v>321</x:v>
      </x:c>
    </x:row>
    <x:row r="802">
      <x:c r="A802">
        <x:v>8483669</x:v>
      </x:c>
      <x:c r="B802" s="4" t="b">
        <x:v>1</x:v>
      </x:c>
      <x:c r="C802" t="s">
        <x:v>1159</x:v>
      </x:c>
      <x:c r="D802" t="s">
        <x:v>339</x:v>
      </x:c>
      <x:c r="F802" t="s">
        <x:v>321</x:v>
      </x:c>
    </x:row>
    <x:row r="803">
      <x:c r="A803">
        <x:v>8477473</x:v>
      </x:c>
      <x:c r="B803" s="4" t="b">
        <x:v>1</x:v>
      </x:c>
      <x:c r="C803" t="s">
        <x:v>1160</x:v>
      </x:c>
      <x:c r="D803" t="s">
        <x:v>326</x:v>
      </x:c>
      <x:c r="E803" t="s">
        <x:v>393</x:v>
      </x:c>
      <x:c r="F803" t="s">
        <x:v>321</x:v>
      </x:c>
    </x:row>
    <x:row r="804">
      <x:c r="A804">
        <x:v>8481704</x:v>
      </x:c>
      <x:c r="B804" s="4" t="b">
        <x:v>1</x:v>
      </x:c>
      <x:c r="C804" t="s">
        <x:v>1161</x:v>
      </x:c>
      <x:c r="D804" t="s">
        <x:v>319</x:v>
      </x:c>
      <x:c r="F804" t="s">
        <x:v>321</x:v>
      </x:c>
    </x:row>
    <x:row r="805">
      <x:c r="A805">
        <x:v>8476858</x:v>
      </x:c>
      <x:c r="B805" s="4" t="b">
        <x:v>1</x:v>
      </x:c>
      <x:c r="C805" t="s">
        <x:v>1162</x:v>
      </x:c>
      <x:c r="D805" t="s">
        <x:v>333</x:v>
      </x:c>
      <x:c r="F805" t="s">
        <x:v>321</x:v>
      </x:c>
    </x:row>
    <x:row r="806">
      <x:c r="A806">
        <x:v>8483482</x:v>
      </x:c>
      <x:c r="B806" s="4" t="b">
        <x:v>1</x:v>
      </x:c>
      <x:c r="C806" t="s">
        <x:v>1163</x:v>
      </x:c>
      <x:c r="D806" t="s">
        <x:v>331</x:v>
      </x:c>
      <x:c r="F806" t="s">
        <x:v>321</x:v>
      </x:c>
    </x:row>
    <x:row r="807">
      <x:c r="A807">
        <x:v>8482125</x:v>
      </x:c>
      <x:c r="B807" s="4" t="b">
        <x:v>1</x:v>
      </x:c>
      <x:c r="C807" t="s">
        <x:v>1164</x:v>
      </x:c>
      <x:c r="D807" t="s">
        <x:v>326</x:v>
      </x:c>
      <x:c r="F807" t="s">
        <x:v>321</x:v>
      </x:c>
    </x:row>
    <x:row r="808">
      <x:c r="A808">
        <x:v>8481754</x:v>
      </x:c>
      <x:c r="B808" s="4" t="b">
        <x:v>1</x:v>
      </x:c>
      <x:c r="C808" t="s">
        <x:v>1165</x:v>
      </x:c>
      <x:c r="D808" t="s">
        <x:v>319</x:v>
      </x:c>
      <x:c r="E808" t="s">
        <x:v>393</x:v>
      </x:c>
      <x:c r="F808" t="s">
        <x:v>321</x:v>
      </x:c>
    </x:row>
    <x:row r="809">
      <x:c r="A809">
        <x:v>8484859</x:v>
      </x:c>
      <x:c r="B809" s="4" t="b">
        <x:v>1</x:v>
      </x:c>
      <x:c r="C809" t="s">
        <x:v>1166</x:v>
      </x:c>
      <x:c r="D809" t="s">
        <x:v>331</x:v>
      </x:c>
      <x:c r="F809" t="s">
        <x:v>321</x:v>
      </x:c>
    </x:row>
    <x:row r="810">
      <x:c r="A810">
        <x:v>8477460</x:v>
      </x:c>
      <x:c r="B810" s="4" t="b">
        <x:v>1</x:v>
      </x:c>
      <x:c r="C810" t="s">
        <x:v>1167</x:v>
      </x:c>
      <x:c r="D810" t="s">
        <x:v>339</x:v>
      </x:c>
      <x:c r="F810" t="s">
        <x:v>321</x:v>
      </x:c>
    </x:row>
    <x:row r="811">
      <x:c r="A811">
        <x:v>8484140</x:v>
      </x:c>
      <x:c r="B811" s="4" t="b">
        <x:v>1</x:v>
      </x:c>
      <x:c r="C811" t="s">
        <x:v>1168</x:v>
      </x:c>
      <x:c r="D811" t="s">
        <x:v>331</x:v>
      </x:c>
      <x:c r="F811" t="s">
        <x:v>321</x:v>
      </x:c>
    </x:row>
    <x:row r="812">
      <x:c r="A812">
        <x:v>8477205</x:v>
      </x:c>
      <x:c r="B812" s="4" t="b">
        <x:v>1</x:v>
      </x:c>
      <x:c r="C812" t="s">
        <x:v>1169</x:v>
      </x:c>
      <x:c r="D812" t="s">
        <x:v>331</x:v>
      </x:c>
      <x:c r="F812" t="s">
        <x:v>321</x:v>
      </x:c>
    </x:row>
    <x:row r="813">
      <x:c r="A813">
        <x:v>8484800</x:v>
      </x:c>
      <x:c r="B813" s="4" t="b">
        <x:v>1</x:v>
      </x:c>
      <x:c r="C813" t="s">
        <x:v>1170</x:v>
      </x:c>
      <x:c r="D813" t="s">
        <x:v>339</x:v>
      </x:c>
      <x:c r="E813" t="s">
        <x:v>481</x:v>
      </x:c>
      <x:c r="F813" t="s">
        <x:v>321</x:v>
      </x:c>
    </x:row>
    <x:row r="814">
      <x:c r="A814">
        <x:v>8483684</x:v>
      </x:c>
      <x:c r="B814" s="4" t="b">
        <x:v>1</x:v>
      </x:c>
      <x:c r="C814" t="s">
        <x:v>1171</x:v>
      </x:c>
      <x:c r="D814" t="s">
        <x:v>331</x:v>
      </x:c>
      <x:c r="F814" t="s">
        <x:v>321</x:v>
      </x:c>
    </x:row>
    <x:row r="815">
      <x:c r="A815">
        <x:v>8479933</x:v>
      </x:c>
      <x:c r="B815" s="4" t="b">
        <x:v>1</x:v>
      </x:c>
      <x:c r="C815" t="s">
        <x:v>1172</x:v>
      </x:c>
      <x:c r="D815" t="s">
        <x:v>319</x:v>
      </x:c>
      <x:c r="F815" t="s">
        <x:v>321</x:v>
      </x:c>
    </x:row>
    <x:row r="816">
      <x:c r="A816">
        <x:v>8482174</x:v>
      </x:c>
      <x:c r="B816" s="4" t="b">
        <x:v>1</x:v>
      </x:c>
      <x:c r="C816" t="s">
        <x:v>1173</x:v>
      </x:c>
      <x:c r="D816" t="s">
        <x:v>331</x:v>
      </x:c>
      <x:c r="F816" t="s">
        <x:v>321</x:v>
      </x:c>
    </x:row>
    <x:row r="817">
      <x:c r="A817">
        <x:v>8478465</x:v>
      </x:c>
      <x:c r="B817" s="4" t="b">
        <x:v>1</x:v>
      </x:c>
      <x:c r="C817" t="s">
        <x:v>1174</x:v>
      </x:c>
      <x:c r="D817" t="s">
        <x:v>331</x:v>
      </x:c>
      <x:c r="F817" t="s">
        <x:v>321</x:v>
      </x:c>
    </x:row>
    <x:row r="818">
      <x:c r="A818">
        <x:v>8484999</x:v>
      </x:c>
      <x:c r="B818" s="4" t="b">
        <x:v>1</x:v>
      </x:c>
      <x:c r="C818" t="s">
        <x:v>1175</x:v>
      </x:c>
      <x:c r="D818" t="s">
        <x:v>339</x:v>
      </x:c>
      <x:c r="E818" t="s">
        <x:v>402</x:v>
      </x:c>
      <x:c r="F818" t="s">
        <x:v>321</x:v>
      </x:c>
    </x:row>
    <x:row r="819">
      <x:c r="A819">
        <x:v>8479304</x:v>
      </x:c>
      <x:c r="B819" s="4" t="b">
        <x:v>1</x:v>
      </x:c>
      <x:c r="C819" t="s">
        <x:v>1176</x:v>
      </x:c>
      <x:c r="D819" t="s">
        <x:v>319</x:v>
      </x:c>
      <x:c r="F819" t="s">
        <x:v>321</x:v>
      </x:c>
    </x:row>
    <x:row r="820">
      <x:c r="A820">
        <x:v>8476495</x:v>
      </x:c>
      <x:c r="B820" s="4" t="b">
        <x:v>1</x:v>
      </x:c>
      <x:c r="C820" t="s">
        <x:v>1177</x:v>
      </x:c>
      <x:c r="D820" t="s">
        <x:v>319</x:v>
      </x:c>
      <x:c r="F820" t="s">
        <x:v>321</x:v>
      </x:c>
    </x:row>
    <x:row r="821">
      <x:c r="A821">
        <x:v>8481534</x:v>
      </x:c>
      <x:c r="B821" s="4" t="b">
        <x:v>1</x:v>
      </x:c>
      <x:c r="C821" t="s">
        <x:v>1178</x:v>
      </x:c>
      <x:c r="D821" t="s">
        <x:v>326</x:v>
      </x:c>
      <x:c r="F821" t="s">
        <x:v>321</x:v>
      </x:c>
    </x:row>
    <x:row r="822">
      <x:c r="A822">
        <x:v>8477034</x:v>
      </x:c>
      <x:c r="B822" s="4" t="b">
        <x:v>1</x:v>
      </x:c>
      <x:c r="C822" t="s">
        <x:v>1179</x:v>
      </x:c>
      <x:c r="D822" t="s">
        <x:v>331</x:v>
      </x:c>
      <x:c r="F822" t="s">
        <x:v>321</x:v>
      </x:c>
    </x:row>
    <x:row r="823">
      <x:c r="A823">
        <x:v>8478011</x:v>
      </x:c>
      <x:c r="B823" s="4" t="b">
        <x:v>1</x:v>
      </x:c>
      <x:c r="C823" t="s">
        <x:v>1180</x:v>
      </x:c>
      <x:c r="D823" t="s">
        <x:v>331</x:v>
      </x:c>
      <x:c r="F823" t="s">
        <x:v>321</x:v>
      </x:c>
    </x:row>
    <x:row r="824">
      <x:c r="A824">
        <x:v>8483497</x:v>
      </x:c>
      <x:c r="B824" s="4" t="b">
        <x:v>1</x:v>
      </x:c>
      <x:c r="C824" t="s">
        <x:v>1181</x:v>
      </x:c>
      <x:c r="D824" t="s">
        <x:v>326</x:v>
      </x:c>
      <x:c r="E824" t="s">
        <x:v>481</x:v>
      </x:c>
      <x:c r="F824" t="s">
        <x:v>321</x:v>
      </x:c>
    </x:row>
    <x:row r="825">
      <x:c r="A825">
        <x:v>8484940</x:v>
      </x:c>
      <x:c r="B825" s="4" t="b">
        <x:v>1</x:v>
      </x:c>
      <x:c r="C825" t="s">
        <x:v>1182</x:v>
      </x:c>
      <x:c r="D825" t="s">
        <x:v>331</x:v>
      </x:c>
      <x:c r="E825" t="s">
        <x:v>584</x:v>
      </x:c>
      <x:c r="F825" t="s">
        <x:v>321</x:v>
      </x:c>
    </x:row>
    <x:row r="826">
      <x:c r="A826">
        <x:v>8481077</x:v>
      </x:c>
      <x:c r="B826" s="4" t="b">
        <x:v>1</x:v>
      </x:c>
      <x:c r="C826" t="s">
        <x:v>1183</x:v>
      </x:c>
      <x:c r="D826" t="s">
        <x:v>358</x:v>
      </x:c>
      <x:c r="F826" t="s">
        <x:v>321</x:v>
      </x:c>
    </x:row>
    <x:row r="827">
      <x:c r="A827">
        <x:v>8481592</x:v>
      </x:c>
      <x:c r="B827" s="4" t="b">
        <x:v>1</x:v>
      </x:c>
      <x:c r="C827" t="s">
        <x:v>1184</x:v>
      </x:c>
      <x:c r="D827" t="s">
        <x:v>358</x:v>
      </x:c>
      <x:c r="F827" t="s">
        <x:v>321</x:v>
      </x:c>
    </x:row>
    <x:row r="828">
      <x:c r="A828">
        <x:v>8478146</x:v>
      </x:c>
      <x:c r="B828" s="4" t="b">
        <x:v>1</x:v>
      </x:c>
      <x:c r="C828" t="s">
        <x:v>1185</x:v>
      </x:c>
      <x:c r="D828" t="s">
        <x:v>319</x:v>
      </x:c>
      <x:c r="F828" t="s">
        <x:v>321</x:v>
      </x:c>
    </x:row>
    <x:row r="829">
      <x:c r="A829">
        <x:v>8481655</x:v>
      </x:c>
      <x:c r="B829" s="4" t="b">
        <x:v>1</x:v>
      </x:c>
      <x:c r="C829" t="s">
        <x:v>1186</x:v>
      </x:c>
      <x:c r="D829" t="s">
        <x:v>326</x:v>
      </x:c>
      <x:c r="E829" t="s">
        <x:v>400</x:v>
      </x:c>
      <x:c r="F829" t="s">
        <x:v>321</x:v>
      </x:c>
    </x:row>
    <x:row r="830">
      <x:c r="A830">
        <x:v>8483513</x:v>
      </x:c>
      <x:c r="B830" s="4" t="b">
        <x:v>1</x:v>
      </x:c>
      <x:c r="C830" t="s">
        <x:v>1187</x:v>
      </x:c>
      <x:c r="D830" t="s">
        <x:v>358</x:v>
      </x:c>
      <x:c r="E830" t="s">
        <x:v>372</x:v>
      </x:c>
      <x:c r="F830" t="s">
        <x:v>321</x:v>
      </x:c>
    </x:row>
    <x:row r="831">
      <x:c r="A831">
        <x:v>8483429</x:v>
      </x:c>
      <x:c r="B831" s="4" t="b">
        <x:v>1</x:v>
      </x:c>
      <x:c r="C831" t="s">
        <x:v>1188</x:v>
      </x:c>
      <x:c r="D831" t="s">
        <x:v>331</x:v>
      </x:c>
      <x:c r="F831" t="s">
        <x:v>321</x:v>
      </x:c>
    </x:row>
    <x:row r="832">
      <x:c r="A832">
        <x:v>8485493</x:v>
      </x:c>
      <x:c r="B832" s="4" t="b">
        <x:v>1</x:v>
      </x:c>
      <x:c r="C832" t="s">
        <x:v>1189</x:v>
      </x:c>
      <x:c r="D832" t="s">
        <x:v>326</x:v>
      </x:c>
      <x:c r="F832" t="s">
        <x:v>321</x:v>
      </x:c>
    </x:row>
    <x:row r="833">
      <x:c r="A833">
        <x:v>8480259</x:v>
      </x:c>
      <x:c r="B833" s="4" t="b">
        <x:v>1</x:v>
      </x:c>
      <x:c r="C833" t="s">
        <x:v>1190</x:v>
      </x:c>
      <x:c r="D833" t="s">
        <x:v>319</x:v>
      </x:c>
      <x:c r="E833" t="s">
        <x:v>576</x:v>
      </x:c>
      <x:c r="F833" t="s">
        <x:v>321</x:v>
      </x:c>
    </x:row>
    <x:row r="834">
      <x:c r="A834">
        <x:v>8482700</x:v>
      </x:c>
      <x:c r="B834" s="4" t="b">
        <x:v>1</x:v>
      </x:c>
      <x:c r="C834" t="s">
        <x:v>1191</x:v>
      </x:c>
      <x:c r="D834" t="s">
        <x:v>331</x:v>
      </x:c>
      <x:c r="F834" t="s">
        <x:v>321</x:v>
      </x:c>
    </x:row>
    <x:row r="835">
      <x:c r="A835">
        <x:v>8482896</x:v>
      </x:c>
      <x:c r="B835" s="4" t="b">
        <x:v>1</x:v>
      </x:c>
      <x:c r="C835" t="s">
        <x:v>1192</x:v>
      </x:c>
      <x:c r="D835" t="s">
        <x:v>319</x:v>
      </x:c>
      <x:c r="F835" t="s">
        <x:v>321</x:v>
      </x:c>
    </x:row>
    <x:row r="836">
      <x:c r="A836">
        <x:v>8479984</x:v>
      </x:c>
      <x:c r="B836" s="4" t="b">
        <x:v>1</x:v>
      </x:c>
      <x:c r="C836" t="s">
        <x:v>1193</x:v>
      </x:c>
      <x:c r="D836" t="s">
        <x:v>331</x:v>
      </x:c>
      <x:c r="F836" t="s">
        <x:v>321</x:v>
      </x:c>
    </x:row>
    <x:row r="837">
      <x:c r="A837">
        <x:v>8481567</x:v>
      </x:c>
      <x:c r="B837" s="4" t="b">
        <x:v>1</x:v>
      </x:c>
      <x:c r="C837" t="s">
        <x:v>1194</x:v>
      </x:c>
      <x:c r="D837" t="s">
        <x:v>331</x:v>
      </x:c>
      <x:c r="F837" t="s">
        <x:v>321</x:v>
      </x:c>
    </x:row>
    <x:row r="838">
      <x:c r="A838">
        <x:v>8485509</x:v>
      </x:c>
      <x:c r="B838" s="4" t="b">
        <x:v>1</x:v>
      </x:c>
      <x:c r="C838" t="s">
        <x:v>1195</x:v>
      </x:c>
      <x:c r="D838" t="s">
        <x:v>331</x:v>
      </x:c>
      <x:c r="F838" t="s">
        <x:v>321</x:v>
      </x:c>
    </x:row>
    <x:row r="839">
      <x:c r="A839">
        <x:v>8482726</x:v>
      </x:c>
      <x:c r="B839" s="4" t="b">
        <x:v>1</x:v>
      </x:c>
      <x:c r="C839" t="s">
        <x:v>1196</x:v>
      </x:c>
      <x:c r="D839" t="s">
        <x:v>319</x:v>
      </x:c>
      <x:c r="F839" t="s">
        <x:v>321</x:v>
      </x:c>
    </x:row>
    <x:row r="840">
      <x:c r="A840">
        <x:v>8479705</x:v>
      </x:c>
      <x:c r="B840" s="4" t="b">
        <x:v>1</x:v>
      </x:c>
      <x:c r="C840" t="s">
        <x:v>1197</x:v>
      </x:c>
      <x:c r="D840" t="s">
        <x:v>358</x:v>
      </x:c>
      <x:c r="E840" t="s">
        <x:v>327</x:v>
      </x:c>
      <x:c r="F840" t="s">
        <x:v>321</x:v>
      </x:c>
    </x:row>
    <x:row r="841">
      <x:c r="A841">
        <x:v>8477401</x:v>
      </x:c>
      <x:c r="B841" s="4" t="b">
        <x:v>1</x:v>
      </x:c>
      <x:c r="C841" t="s">
        <x:v>1198</x:v>
      </x:c>
      <x:c r="D841" t="s">
        <x:v>319</x:v>
      </x:c>
      <x:c r="F841" t="s">
        <x:v>321</x:v>
      </x:c>
    </x:row>
    <x:row r="842">
      <x:c r="A842">
        <x:v>8482148</x:v>
      </x:c>
      <x:c r="B842" s="4" t="b">
        <x:v>1</x:v>
      </x:c>
      <x:c r="C842" t="s">
        <x:v>1199</x:v>
      </x:c>
      <x:c r="D842" t="s">
        <x:v>319</x:v>
      </x:c>
      <x:c r="E842" t="s">
        <x:v>427</x:v>
      </x:c>
      <x:c r="F842" t="s">
        <x:v>321</x:v>
      </x:c>
    </x:row>
    <x:row r="843">
      <x:c r="A843">
        <x:v>8477406</x:v>
      </x:c>
      <x:c r="B843" s="4" t="b">
        <x:v>1</x:v>
      </x:c>
      <x:c r="C843" t="s">
        <x:v>1200</x:v>
      </x:c>
      <x:c r="D843" t="s">
        <x:v>329</x:v>
      </x:c>
      <x:c r="F843" t="s">
        <x:v>321</x:v>
      </x:c>
    </x:row>
    <x:row r="844">
      <x:c r="A844">
        <x:v>8483465</x:v>
      </x:c>
      <x:c r="B844" s="4" t="b">
        <x:v>1</x:v>
      </x:c>
      <x:c r="C844" t="s">
        <x:v>1201</x:v>
      </x:c>
      <x:c r="D844" t="s">
        <x:v>326</x:v>
      </x:c>
      <x:c r="E844" t="s">
        <x:v>372</x:v>
      </x:c>
      <x:c r="F844" t="s">
        <x:v>321</x:v>
      </x:c>
    </x:row>
    <x:row r="845">
      <x:c r="A845">
        <x:v>8484938</x:v>
      </x:c>
      <x:c r="B845" s="4" t="b">
        <x:v>1</x:v>
      </x:c>
      <x:c r="C845" t="s">
        <x:v>1202</x:v>
      </x:c>
      <x:c r="D845" t="s">
        <x:v>323</x:v>
      </x:c>
      <x:c r="F845" t="s">
        <x:v>321</x:v>
      </x:c>
    </x:row>
    <x:row r="846">
      <x:c r="A846">
        <x:v>8481541</x:v>
      </x:c>
      <x:c r="B846" s="4" t="b">
        <x:v>1</x:v>
      </x:c>
      <x:c r="C846" t="s">
        <x:v>1203</x:v>
      </x:c>
      <x:c r="D846" t="s">
        <x:v>331</x:v>
      </x:c>
      <x:c r="F846" t="s">
        <x:v>321</x:v>
      </x:c>
    </x:row>
    <x:row r="847">
      <x:c r="A847">
        <x:v>8477996</x:v>
      </x:c>
      <x:c r="B847" s="4" t="b">
        <x:v>1</x:v>
      </x:c>
      <x:c r="C847" t="s">
        <x:v>1204</x:v>
      </x:c>
      <x:c r="D847" t="s">
        <x:v>319</x:v>
      </x:c>
      <x:c r="E847" t="s">
        <x:v>584</x:v>
      </x:c>
      <x:c r="F847" t="s">
        <x:v>321</x:v>
      </x:c>
    </x:row>
    <x:row r="848">
      <x:c r="A848">
        <x:v>8481367</x:v>
      </x:c>
      <x:c r="B848" s="4" t="b">
        <x:v>1</x:v>
      </x:c>
      <x:c r="C848" t="s">
        <x:v>1205</x:v>
      </x:c>
      <x:c r="D848" t="s">
        <x:v>331</x:v>
      </x:c>
      <x:c r="F848" t="s">
        <x:v>321</x:v>
      </x:c>
    </x:row>
    <x:row r="849">
      <x:c r="A849">
        <x:v>8482824</x:v>
      </x:c>
      <x:c r="B849" s="4" t="b">
        <x:v>1</x:v>
      </x:c>
      <x:c r="C849" t="s">
        <x:v>1206</x:v>
      </x:c>
      <x:c r="D849" t="s">
        <x:v>331</x:v>
      </x:c>
      <x:c r="F849" t="s">
        <x:v>321</x:v>
      </x:c>
    </x:row>
    <x:row r="850">
      <x:c r="A850">
        <x:v>8481133</x:v>
      </x:c>
      <x:c r="B850" s="4" t="b">
        <x:v>1</x:v>
      </x:c>
      <x:c r="C850" t="s">
        <x:v>1207</x:v>
      </x:c>
      <x:c r="D850" t="s">
        <x:v>358</x:v>
      </x:c>
      <x:c r="F850" t="s">
        <x:v>321</x:v>
      </x:c>
    </x:row>
    <x:row r="851">
      <x:c r="A851">
        <x:v>8479423</x:v>
      </x:c>
      <x:c r="B851" s="4" t="b">
        <x:v>1</x:v>
      </x:c>
      <x:c r="C851" t="s">
        <x:v>1208</x:v>
      </x:c>
      <x:c r="D851" t="s">
        <x:v>326</x:v>
      </x:c>
      <x:c r="F851" t="s">
        <x:v>321</x:v>
      </x:c>
    </x:row>
    <x:row r="852">
      <x:c r="A852">
        <x:v>8484906</x:v>
      </x:c>
      <x:c r="B852" s="4" t="b">
        <x:v>1</x:v>
      </x:c>
      <x:c r="C852" t="s">
        <x:v>1209</x:v>
      </x:c>
      <x:c r="D852" t="s">
        <x:v>331</x:v>
      </x:c>
      <x:c r="F852" t="s">
        <x:v>321</x:v>
      </x:c>
    </x:row>
    <x:row r="853">
      <x:c r="A853">
        <x:v>8479942</x:v>
      </x:c>
      <x:c r="B853" s="4" t="b">
        <x:v>1</x:v>
      </x:c>
      <x:c r="C853" t="s">
        <x:v>1210</x:v>
      </x:c>
      <x:c r="D853" t="s">
        <x:v>326</x:v>
      </x:c>
      <x:c r="F853" t="s">
        <x:v>321</x:v>
      </x:c>
    </x:row>
    <x:row r="854">
      <x:c r="A854">
        <x:v>8482091</x:v>
      </x:c>
      <x:c r="B854" s="4" t="b">
        <x:v>1</x:v>
      </x:c>
      <x:c r="C854" t="s">
        <x:v>1211</x:v>
      </x:c>
      <x:c r="D854" t="s">
        <x:v>331</x:v>
      </x:c>
      <x:c r="F854" t="s">
        <x:v>321</x:v>
      </x:c>
    </x:row>
    <x:row r="855">
      <x:c r="A855">
        <x:v>8475857</x:v>
      </x:c>
      <x:c r="B855" s="4" t="b">
        <x:v>1</x:v>
      </x:c>
      <x:c r="C855" t="s">
        <x:v>1212</x:v>
      </x:c>
      <x:c r="D855" t="s">
        <x:v>331</x:v>
      </x:c>
      <x:c r="F855" t="s">
        <x:v>321</x:v>
      </x:c>
    </x:row>
    <x:row r="856">
      <x:c r="A856">
        <x:v>8482877</x:v>
      </x:c>
      <x:c r="B856" s="4" t="b">
        <x:v>1</x:v>
      </x:c>
      <x:c r="C856" t="s">
        <x:v>1213</x:v>
      </x:c>
      <x:c r="D856" t="s">
        <x:v>333</x:v>
      </x:c>
      <x:c r="E856" t="s">
        <x:v>383</x:v>
      </x:c>
      <x:c r="F856" t="s">
        <x:v>321</x:v>
      </x:c>
    </x:row>
    <x:row r="857">
      <x:c r="A857">
        <x:v>8479944</x:v>
      </x:c>
      <x:c r="B857" s="4" t="b">
        <x:v>1</x:v>
      </x:c>
      <x:c r="C857" t="s">
        <x:v>1214</x:v>
      </x:c>
      <x:c r="D857" t="s">
        <x:v>319</x:v>
      </x:c>
      <x:c r="F857" t="s">
        <x:v>321</x:v>
      </x:c>
    </x:row>
    <x:row r="858">
      <x:c r="A858">
        <x:v>8476329</x:v>
      </x:c>
      <x:c r="B858" s="4" t="b">
        <x:v>1</x:v>
      </x:c>
      <x:c r="C858" t="s">
        <x:v>1215</x:v>
      </x:c>
      <x:c r="D858" t="s">
        <x:v>323</x:v>
      </x:c>
      <x:c r="E858" t="s">
        <x:v>584</x:v>
      </x:c>
      <x:c r="F858" t="s">
        <x:v>321</x:v>
      </x:c>
    </x:row>
    <x:row r="859">
      <x:c r="A859">
        <x:v>8480467</x:v>
      </x:c>
      <x:c r="B859" s="4" t="b">
        <x:v>1</x:v>
      </x:c>
      <x:c r="C859" t="s">
        <x:v>1216</x:v>
      </x:c>
      <x:c r="D859" t="s">
        <x:v>331</x:v>
      </x:c>
      <x:c r="F859" t="s">
        <x:v>321</x:v>
      </x:c>
    </x:row>
    <x:row r="860">
      <x:c r="A860">
        <x:v>8483494</x:v>
      </x:c>
      <x:c r="B860" s="4" t="b">
        <x:v>1</x:v>
      </x:c>
      <x:c r="C860" t="s">
        <x:v>1217</x:v>
      </x:c>
      <x:c r="D860" t="s">
        <x:v>331</x:v>
      </x:c>
      <x:c r="F860" t="s">
        <x:v>321</x:v>
      </x:c>
    </x:row>
    <x:row r="861">
      <x:c r="A861">
        <x:v>8483676</x:v>
      </x:c>
      <x:c r="B861" s="4" t="b">
        <x:v>1</x:v>
      </x:c>
      <x:c r="C861" t="s">
        <x:v>1218</x:v>
      </x:c>
      <x:c r="D861" t="s">
        <x:v>319</x:v>
      </x:c>
      <x:c r="F861" t="s">
        <x:v>321</x:v>
      </x:c>
    </x:row>
    <x:row r="862">
      <x:c r="A862">
        <x:v>8475310</x:v>
      </x:c>
      <x:c r="B862" s="4" t="b">
        <x:v>1</x:v>
      </x:c>
      <x:c r="C862" t="s">
        <x:v>1219</x:v>
      </x:c>
      <x:c r="D862" t="s">
        <x:v>358</x:v>
      </x:c>
      <x:c r="E862" t="s">
        <x:v>584</x:v>
      </x:c>
      <x:c r="F862" t="s">
        <x:v>321</x:v>
      </x:c>
    </x:row>
    <x:row r="863">
      <x:c r="A863">
        <x:v>8479368</x:v>
      </x:c>
      <x:c r="B863" s="4" t="b">
        <x:v>1</x:v>
      </x:c>
      <x:c r="C863" t="s">
        <x:v>1220</x:v>
      </x:c>
      <x:c r="D863" t="s">
        <x:v>358</x:v>
      </x:c>
      <x:c r="F863" t="s">
        <x:v>321</x:v>
      </x:c>
    </x:row>
    <x:row r="864">
      <x:c r="A864">
        <x:v>8484152</x:v>
      </x:c>
      <x:c r="B864" s="4" t="b">
        <x:v>1</x:v>
      </x:c>
      <x:c r="C864" t="s">
        <x:v>1221</x:v>
      </x:c>
      <x:c r="D864" t="s">
        <x:v>331</x:v>
      </x:c>
      <x:c r="F864" t="s">
        <x:v>321</x:v>
      </x:c>
    </x:row>
    <x:row r="865">
      <x:c r="A865">
        <x:v>8477522</x:v>
      </x:c>
      <x:c r="B865" s="4" t="b">
        <x:v>1</x:v>
      </x:c>
      <x:c r="C865" t="s">
        <x:v>1222</x:v>
      </x:c>
      <x:c r="D865" t="s">
        <x:v>331</x:v>
      </x:c>
      <x:c r="E865" t="s">
        <x:v>320</x:v>
      </x:c>
      <x:c r="F865" t="s">
        <x:v>321</x:v>
      </x:c>
    </x:row>
    <x:row r="866">
      <x:c r="A866">
        <x:v>8483470</x:v>
      </x:c>
      <x:c r="B866" s="4" t="b">
        <x:v>1</x:v>
      </x:c>
      <x:c r="C866" t="s">
        <x:v>1223</x:v>
      </x:c>
      <x:c r="D866" t="s">
        <x:v>331</x:v>
      </x:c>
      <x:c r="F866" t="s">
        <x:v>321</x:v>
      </x:c>
    </x:row>
    <x:row r="867">
      <x:c r="A867">
        <x:v>8482251</x:v>
      </x:c>
      <x:c r="B867" s="4" t="b">
        <x:v>1</x:v>
      </x:c>
      <x:c r="C867" t="s">
        <x:v>1224</x:v>
      </x:c>
      <x:c r="D867" t="s">
        <x:v>331</x:v>
      </x:c>
      <x:c r="F867" t="s">
        <x:v>321</x:v>
      </x:c>
    </x:row>
    <x:row r="868">
      <x:c r="B868" s="4" t="b">
        <x:v>1</x:v>
      </x:c>
      <x:c r="C868" t="s">
        <x:v>1225</x:v>
      </x:c>
      <x:c r="D868" t="s">
        <x:v>331</x:v>
      </x:c>
      <x:c r="F868" t="s">
        <x:v>321</x:v>
      </x:c>
    </x:row>
    <x:row r="869">
      <x:c r="A869">
        <x:v>8478424</x:v>
      </x:c>
      <x:c r="B869" s="4" t="b">
        <x:v>1</x:v>
      </x:c>
      <x:c r="C869" t="s">
        <x:v>1226</x:v>
      </x:c>
      <x:c r="D869" t="s">
        <x:v>319</x:v>
      </x:c>
      <x:c r="F869" t="s">
        <x:v>321</x:v>
      </x:c>
    </x:row>
    <x:row r="870">
      <x:c r="A870">
        <x:v>8483467</x:v>
      </x:c>
      <x:c r="B870" s="4" t="b">
        <x:v>1</x:v>
      </x:c>
      <x:c r="C870" t="s">
        <x:v>1227</x:v>
      </x:c>
      <x:c r="D870" t="s">
        <x:v>331</x:v>
      </x:c>
      <x:c r="F870" t="s">
        <x:v>321</x:v>
      </x:c>
    </x:row>
    <x:row r="871">
      <x:c r="A871">
        <x:v>8483487</x:v>
      </x:c>
      <x:c r="B871" s="4" t="b">
        <x:v>1</x:v>
      </x:c>
      <x:c r="C871" t="s">
        <x:v>1228</x:v>
      </x:c>
      <x:c r="D871" t="s">
        <x:v>329</x:v>
      </x:c>
      <x:c r="F871" t="s">
        <x:v>321</x:v>
      </x:c>
    </x:row>
    <x:row r="872">
      <x:c r="A872">
        <x:v>8480222</x:v>
      </x:c>
      <x:c r="B872" s="4" t="b">
        <x:v>1</x:v>
      </x:c>
      <x:c r="C872" t="s">
        <x:v>1229</x:v>
      </x:c>
      <x:c r="D872" t="s">
        <x:v>331</x:v>
      </x:c>
      <x:c r="E872" t="s">
        <x:v>584</x:v>
      </x:c>
      <x:c r="F872" t="s">
        <x:v>321</x:v>
      </x:c>
    </x:row>
    <x:row r="873">
      <x:c r="A873">
        <x:v>8482751</x:v>
      </x:c>
      <x:c r="B873" s="4" t="b">
        <x:v>1</x:v>
      </x:c>
      <x:c r="C873" t="s">
        <x:v>1230</x:v>
      </x:c>
      <x:c r="D873" t="s">
        <x:v>323</x:v>
      </x:c>
      <x:c r="F873" t="s">
        <x:v>321</x:v>
      </x:c>
    </x:row>
    <x:row r="874">
      <x:c r="A874">
        <x:v>8481110</x:v>
      </x:c>
      <x:c r="B874" s="4" t="b">
        <x:v>1</x:v>
      </x:c>
      <x:c r="C874" t="s">
        <x:v>1231</x:v>
      </x:c>
      <x:c r="D874" t="s">
        <x:v>331</x:v>
      </x:c>
      <x:c r="F874" t="s">
        <x:v>321</x:v>
      </x:c>
    </x:row>
    <x:row r="875">
      <x:c r="A875">
        <x:v>8477887</x:v>
      </x:c>
      <x:c r="B875" s="4" t="b">
        <x:v>1</x:v>
      </x:c>
      <x:c r="C875" t="s">
        <x:v>1232</x:v>
      </x:c>
      <x:c r="D875" t="s">
        <x:v>323</x:v>
      </x:c>
      <x:c r="F875" t="s">
        <x:v>321</x:v>
      </x:c>
    </x:row>
    <x:row r="876">
      <x:c r="A876">
        <x:v>8482860</x:v>
      </x:c>
      <x:c r="B876" s="4" t="b">
        <x:v>1</x:v>
      </x:c>
      <x:c r="C876" t="s">
        <x:v>1233</x:v>
      </x:c>
      <x:c r="D876" t="s">
        <x:v>331</x:v>
      </x:c>
      <x:c r="F876" t="s">
        <x:v>321</x:v>
      </x:c>
    </x:row>
    <x:row r="877">
      <x:c r="A877">
        <x:v>8479022</x:v>
      </x:c>
      <x:c r="B877" s="4" t="b">
        <x:v>1</x:v>
      </x:c>
      <x:c r="C877" t="s">
        <x:v>1234</x:v>
      </x:c>
      <x:c r="D877" t="s">
        <x:v>339</x:v>
      </x:c>
      <x:c r="E877" t="s">
        <x:v>584</x:v>
      </x:c>
      <x:c r="F877" t="s">
        <x:v>321</x:v>
      </x:c>
    </x:row>
    <x:row r="878">
      <x:c r="A878">
        <x:v>8481560</x:v>
      </x:c>
      <x:c r="B878" s="4" t="b">
        <x:v>1</x:v>
      </x:c>
      <x:c r="C878" t="s">
        <x:v>1235</x:v>
      </x:c>
      <x:c r="D878" t="s">
        <x:v>326</x:v>
      </x:c>
      <x:c r="F878" t="s">
        <x:v>321</x:v>
      </x:c>
    </x:row>
    <x:row r="879">
      <x:c r="A879">
        <x:v>8483763</x:v>
      </x:c>
      <x:c r="B879" s="4" t="b">
        <x:v>1</x:v>
      </x:c>
      <x:c r="C879" t="s">
        <x:v>1236</x:v>
      </x:c>
      <x:c r="D879" t="s">
        <x:v>331</x:v>
      </x:c>
      <x:c r="F879" t="s">
        <x:v>321</x:v>
      </x:c>
    </x:row>
    <x:row r="880">
      <x:c r="A880">
        <x:v>8481518</x:v>
      </x:c>
      <x:c r="B880" s="4" t="b">
        <x:v>1</x:v>
      </x:c>
      <x:c r="C880" t="s">
        <x:v>1237</x:v>
      </x:c>
      <x:c r="D880" t="s">
        <x:v>358</x:v>
      </x:c>
      <x:c r="F880" t="s">
        <x:v>321</x:v>
      </x:c>
    </x:row>
    <x:row r="881">
      <x:c r="A881">
        <x:v>8482399</x:v>
      </x:c>
      <x:c r="B881" s="4" t="b">
        <x:v>1</x:v>
      </x:c>
      <x:c r="C881" t="s">
        <x:v>1238</x:v>
      </x:c>
      <x:c r="D881" t="s">
        <x:v>331</x:v>
      </x:c>
      <x:c r="F881" t="s">
        <x:v>321</x:v>
      </x:c>
    </x:row>
    <x:row r="882">
      <x:c r="A882">
        <x:v>8480884</x:v>
      </x:c>
      <x:c r="B882" s="4" t="b">
        <x:v>1</x:v>
      </x:c>
      <x:c r="C882" t="s">
        <x:v>1239</x:v>
      </x:c>
      <x:c r="D882" t="s">
        <x:v>331</x:v>
      </x:c>
      <x:c r="F882" t="s">
        <x:v>321</x:v>
      </x:c>
    </x:row>
    <x:row r="883">
      <x:c r="A883">
        <x:v>8484933</x:v>
      </x:c>
      <x:c r="B883" s="4" t="b">
        <x:v>1</x:v>
      </x:c>
      <x:c r="C883" t="s">
        <x:v>1240</x:v>
      </x:c>
      <x:c r="D883" t="s">
        <x:v>331</x:v>
      </x:c>
      <x:c r="F883" t="s">
        <x:v>321</x:v>
      </x:c>
    </x:row>
    <x:row r="884">
      <x:c r="A884">
        <x:v>8484203</x:v>
      </x:c>
      <x:c r="B884" s="4" t="b">
        <x:v>1</x:v>
      </x:c>
      <x:c r="C884" t="s">
        <x:v>1241</x:v>
      </x:c>
      <x:c r="D884" t="s">
        <x:v>329</x:v>
      </x:c>
      <x:c r="F884" t="s">
        <x:v>321</x:v>
      </x:c>
    </x:row>
    <x:row r="885">
      <x:c r="A885">
        <x:v>8481532</x:v>
      </x:c>
      <x:c r="B885" s="4" t="b">
        <x:v>1</x:v>
      </x:c>
      <x:c r="C885" t="s">
        <x:v>1242</x:v>
      </x:c>
      <x:c r="D885" t="s">
        <x:v>319</x:v>
      </x:c>
      <x:c r="E885" t="s">
        <x:v>379</x:v>
      </x:c>
      <x:c r="F885" t="s">
        <x:v>321</x:v>
      </x:c>
    </x:row>
    <x:row r="886">
      <x:c r="A886">
        <x:v>8484148</x:v>
      </x:c>
      <x:c r="B886" s="4" t="b">
        <x:v>1</x:v>
      </x:c>
      <x:c r="C886" t="s">
        <x:v>1243</x:v>
      </x:c>
      <x:c r="D886" t="s">
        <x:v>331</x:v>
      </x:c>
      <x:c r="F886" t="s">
        <x:v>321</x:v>
      </x:c>
    </x:row>
    <x:row r="887">
      <x:c r="A887">
        <x:v>8481159</x:v>
      </x:c>
      <x:c r="B887" s="4" t="b">
        <x:v>1</x:v>
      </x:c>
      <x:c r="C887" t="s">
        <x:v>1244</x:v>
      </x:c>
      <x:c r="D887" t="s">
        <x:v>331</x:v>
      </x:c>
      <x:c r="F887" t="s">
        <x:v>321</x:v>
      </x:c>
    </x:row>
    <x:row r="888">
      <x:c r="A888">
        <x:v>8478040</x:v>
      </x:c>
      <x:c r="B888" s="4" t="b">
        <x:v>1</x:v>
      </x:c>
      <x:c r="C888" t="s">
        <x:v>1245</x:v>
      </x:c>
      <x:c r="D888" t="s">
        <x:v>326</x:v>
      </x:c>
      <x:c r="F888" t="s">
        <x:v>321</x:v>
      </x:c>
    </x:row>
    <x:row r="889">
      <x:c r="A889">
        <x:v>8484388</x:v>
      </x:c>
      <x:c r="B889" s="4" t="b">
        <x:v>1</x:v>
      </x:c>
      <x:c r="C889" t="s">
        <x:v>1246</x:v>
      </x:c>
      <x:c r="D889" t="s">
        <x:v>358</x:v>
      </x:c>
      <x:c r="F889" t="s">
        <x:v>321</x:v>
      </x:c>
    </x:row>
    <x:row r="890">
      <x:c r="A890">
        <x:v>8482888</x:v>
      </x:c>
      <x:c r="B890" s="4" t="b">
        <x:v>1</x:v>
      </x:c>
      <x:c r="C890" t="s">
        <x:v>1247</x:v>
      </x:c>
      <x:c r="D890" t="s">
        <x:v>331</x:v>
      </x:c>
      <x:c r="F890" t="s">
        <x:v>321</x:v>
      </x:c>
    </x:row>
    <x:row r="891">
      <x:c r="A891">
        <x:v>8482785</x:v>
      </x:c>
      <x:c r="B891" s="4" t="b">
        <x:v>1</x:v>
      </x:c>
      <x:c r="C891" t="s">
        <x:v>1248</x:v>
      </x:c>
      <x:c r="D891" t="s">
        <x:v>319</x:v>
      </x:c>
      <x:c r="F891" t="s">
        <x:v>321</x:v>
      </x:c>
    </x:row>
    <x:row r="892">
      <x:c r="A892">
        <x:v>8483531</x:v>
      </x:c>
      <x:c r="B892" s="4" t="b">
        <x:v>1</x:v>
      </x:c>
      <x:c r="C892" t="s">
        <x:v>1249</x:v>
      </x:c>
      <x:c r="D892" t="s">
        <x:v>358</x:v>
      </x:c>
      <x:c r="F892" t="s">
        <x:v>321</x:v>
      </x:c>
    </x:row>
    <x:row r="893">
      <x:c r="A893">
        <x:v>8484160</x:v>
      </x:c>
      <x:c r="B893" s="4" t="b">
        <x:v>1</x:v>
      </x:c>
      <x:c r="C893" t="s">
        <x:v>1250</x:v>
      </x:c>
      <x:c r="D893" t="s">
        <x:v>319</x:v>
      </x:c>
      <x:c r="F893" t="s">
        <x:v>321</x:v>
      </x:c>
    </x:row>
    <x:row r="894">
      <x:c r="A894">
        <x:v>8478881</x:v>
      </x:c>
      <x:c r="B894" s="4" t="b">
        <x:v>1</x:v>
      </x:c>
      <x:c r="C894" t="s">
        <x:v>1251</x:v>
      </x:c>
      <x:c r="D894" t="s">
        <x:v>358</x:v>
      </x:c>
      <x:c r="F894" t="s">
        <x:v>321</x:v>
      </x:c>
    </x:row>
    <x:row r="895">
      <x:c r="A895">
        <x:v>8484833</x:v>
      </x:c>
      <x:c r="B895" s="4" t="b">
        <x:v>1</x:v>
      </x:c>
      <x:c r="C895" t="s">
        <x:v>1252</x:v>
      </x:c>
      <x:c r="D895" t="s">
        <x:v>331</x:v>
      </x:c>
      <x:c r="F895" t="s">
        <x:v>321</x:v>
      </x:c>
    </x:row>
    <x:row r="896">
      <x:c r="A896">
        <x:v>8482090</x:v>
      </x:c>
      <x:c r="B896" s="4" t="b">
        <x:v>1</x:v>
      </x:c>
      <x:c r="C896" t="s">
        <x:v>1253</x:v>
      </x:c>
      <x:c r="D896" t="s">
        <x:v>319</x:v>
      </x:c>
      <x:c r="F896" t="s">
        <x:v>321</x:v>
      </x:c>
    </x:row>
    <x:row r="897">
      <x:c r="A897">
        <x:v>8483590</x:v>
      </x:c>
      <x:c r="B897" s="4" t="b">
        <x:v>1</x:v>
      </x:c>
      <x:c r="C897" t="s">
        <x:v>1254</x:v>
      </x:c>
      <x:c r="D897" t="s">
        <x:v>331</x:v>
      </x:c>
      <x:c r="F897" t="s">
        <x:v>321</x:v>
      </x:c>
    </x:row>
    <x:row r="898">
      <x:c r="A898">
        <x:v>8482451</x:v>
      </x:c>
      <x:c r="B898" s="4" t="b">
        <x:v>1</x:v>
      </x:c>
      <x:c r="C898" t="s">
        <x:v>1255</x:v>
      </x:c>
      <x:c r="D898" t="s">
        <x:v>358</x:v>
      </x:c>
      <x:c r="F898" t="s">
        <x:v>321</x:v>
      </x:c>
    </x:row>
    <x:row r="899">
      <x:c r="A899">
        <x:v>8483538</x:v>
      </x:c>
      <x:c r="B899" s="4" t="b">
        <x:v>1</x:v>
      </x:c>
      <x:c r="C899" t="s">
        <x:v>1256</x:v>
      </x:c>
      <x:c r="D899" t="s">
        <x:v>319</x:v>
      </x:c>
      <x:c r="F899" t="s">
        <x:v>321</x:v>
      </x:c>
    </x:row>
    <x:row r="900">
      <x:c r="A900">
        <x:v>8484756</x:v>
      </x:c>
      <x:c r="B900" s="4" t="b">
        <x:v>1</x:v>
      </x:c>
      <x:c r="C900" t="s">
        <x:v>1257</x:v>
      </x:c>
      <x:c r="D900" t="s">
        <x:v>331</x:v>
      </x:c>
      <x:c r="E900" t="s">
        <x:v>584</x:v>
      </x:c>
      <x:c r="F900" t="s">
        <x:v>321</x:v>
      </x:c>
    </x:row>
    <x:row r="901">
      <x:c r="A901">
        <x:v>8481720</x:v>
      </x:c>
      <x:c r="B901" s="4" t="b">
        <x:v>1</x:v>
      </x:c>
      <x:c r="C901" t="s">
        <x:v>1258</x:v>
      </x:c>
      <x:c r="D901" t="s">
        <x:v>339</x:v>
      </x:c>
      <x:c r="F901" t="s">
        <x:v>321</x:v>
      </x:c>
    </x:row>
    <x:row r="902">
      <x:c r="A902">
        <x:v>8479644</x:v>
      </x:c>
      <x:c r="B902" s="4" t="b">
        <x:v>1</x:v>
      </x:c>
      <x:c r="C902" t="s">
        <x:v>1259</x:v>
      </x:c>
      <x:c r="D902" t="s">
        <x:v>326</x:v>
      </x:c>
      <x:c r="F902" t="s">
        <x:v>321</x:v>
      </x:c>
    </x:row>
    <x:row r="903">
      <x:c r="A903">
        <x:v>8482719</x:v>
      </x:c>
      <x:c r="B903" s="4" t="b">
        <x:v>1</x:v>
      </x:c>
      <x:c r="C903" t="s">
        <x:v>1260</x:v>
      </x:c>
      <x:c r="D903" t="s">
        <x:v>331</x:v>
      </x:c>
      <x:c r="F903" t="s">
        <x:v>321</x:v>
      </x:c>
    </x:row>
    <x:row r="904">
      <x:c r="A904">
        <x:v>8476425</x:v>
      </x:c>
      <x:c r="B904" s="4" t="b">
        <x:v>1</x:v>
      </x:c>
      <x:c r="C904" t="s">
        <x:v>1261</x:v>
      </x:c>
      <x:c r="D904" t="s">
        <x:v>339</x:v>
      </x:c>
      <x:c r="F904" t="s">
        <x:v>321</x:v>
      </x:c>
    </x:row>
    <x:row r="905">
      <x:c r="A905">
        <x:v>8484287</x:v>
      </x:c>
      <x:c r="B905" s="4" t="b">
        <x:v>1</x:v>
      </x:c>
      <x:c r="C905" t="s">
        <x:v>1262</x:v>
      </x:c>
      <x:c r="D905" t="s">
        <x:v>331</x:v>
      </x:c>
      <x:c r="F905" t="s">
        <x:v>321</x:v>
      </x:c>
    </x:row>
    <x:row r="906">
      <x:c r="A906">
        <x:v>8479968</x:v>
      </x:c>
      <x:c r="B906" s="4" t="b">
        <x:v>1</x:v>
      </x:c>
      <x:c r="C906" t="s">
        <x:v>1263</x:v>
      </x:c>
      <x:c r="D906" t="s">
        <x:v>323</x:v>
      </x:c>
      <x:c r="F906" t="s">
        <x:v>321</x:v>
      </x:c>
    </x:row>
    <x:row r="907">
      <x:c r="A907">
        <x:v>8481115</x:v>
      </x:c>
      <x:c r="B907" s="4" t="b">
        <x:v>1</x:v>
      </x:c>
      <x:c r="C907" t="s">
        <x:v>1264</x:v>
      </x:c>
      <x:c r="D907" t="s">
        <x:v>319</x:v>
      </x:c>
      <x:c r="E907" t="s">
        <x:v>584</x:v>
      </x:c>
      <x:c r="F907" t="s">
        <x:v>321</x:v>
      </x:c>
    </x:row>
    <x:row r="908">
      <x:c r="A908">
        <x:v>8484262</x:v>
      </x:c>
      <x:c r="B908" s="4" t="b">
        <x:v>1</x:v>
      </x:c>
      <x:c r="C908" t="s">
        <x:v>1265</x:v>
      </x:c>
      <x:c r="D908" t="s">
        <x:v>331</x:v>
      </x:c>
      <x:c r="F908" t="s">
        <x:v>321</x:v>
      </x:c>
    </x:row>
    <x:row r="909">
      <x:c r="A909">
        <x:v>8475939</x:v>
      </x:c>
      <x:c r="B909" s="4" t="b">
        <x:v>1</x:v>
      </x:c>
      <x:c r="C909" t="s">
        <x:v>1266</x:v>
      </x:c>
      <x:c r="D909" t="s">
        <x:v>331</x:v>
      </x:c>
      <x:c r="F909" t="s">
        <x:v>321</x:v>
      </x:c>
    </x:row>
    <x:row r="910">
      <x:c r="A910">
        <x:v>8483569</x:v>
      </x:c>
      <x:c r="B910" s="4" t="b">
        <x:v>1</x:v>
      </x:c>
      <x:c r="C910" t="s">
        <x:v>1267</x:v>
      </x:c>
      <x:c r="D910" t="s">
        <x:v>331</x:v>
      </x:c>
      <x:c r="F910" t="s">
        <x:v>321</x:v>
      </x:c>
    </x:row>
    <x:row r="911">
      <x:c r="A911">
        <x:v>8484901</x:v>
      </x:c>
      <x:c r="B911" s="4" t="b">
        <x:v>1</x:v>
      </x:c>
      <x:c r="C911" t="s">
        <x:v>1268</x:v>
      </x:c>
      <x:c r="D911" t="s">
        <x:v>319</x:v>
      </x:c>
      <x:c r="F911" t="s">
        <x:v>321</x:v>
      </x:c>
    </x:row>
    <x:row r="912">
      <x:c r="B912" s="4" t="b">
        <x:v>1</x:v>
      </x:c>
      <x:c r="C912" t="s">
        <x:v>1269</x:v>
      </x:c>
      <x:c r="D912" t="s">
        <x:v>358</x:v>
      </x:c>
      <x:c r="E912" t="s">
        <x:v>584</x:v>
      </x:c>
      <x:c r="F912" t="s">
        <x:v>321</x:v>
      </x:c>
    </x:row>
    <x:row r="913">
      <x:c r="A913">
        <x:v>8477126</x:v>
      </x:c>
      <x:c r="B913" s="4" t="b">
        <x:v>1</x:v>
      </x:c>
      <x:c r="C913" t="s">
        <x:v>1270</x:v>
      </x:c>
      <x:c r="D913" t="s">
        <x:v>319</x:v>
      </x:c>
      <x:c r="F913" t="s">
        <x:v>321</x:v>
      </x:c>
    </x:row>
    <x:row r="914">
      <x:c r="A914">
        <x:v>8483471</x:v>
      </x:c>
      <x:c r="B914" s="4" t="b">
        <x:v>1</x:v>
      </x:c>
      <x:c r="C914" t="s">
        <x:v>1271</x:v>
      </x:c>
      <x:c r="D914" t="s">
        <x:v>323</x:v>
      </x:c>
      <x:c r="E914" t="s">
        <x:v>348</x:v>
      </x:c>
      <x:c r="F914" t="s">
        <x:v>321</x:v>
      </x:c>
    </x:row>
    <x:row r="915">
      <x:c r="A915">
        <x:v>8474604</x:v>
      </x:c>
      <x:c r="B915" s="4" t="b">
        <x:v>1</x:v>
      </x:c>
      <x:c r="C915" t="s">
        <x:v>1272</x:v>
      </x:c>
      <x:c r="D915" t="s">
        <x:v>331</x:v>
      </x:c>
      <x:c r="F915" t="s">
        <x:v>321</x:v>
      </x:c>
    </x:row>
    <x:row r="916">
      <x:c r="A916">
        <x:v>8475413</x:v>
      </x:c>
      <x:c r="B916" s="4" t="b">
        <x:v>1</x:v>
      </x:c>
      <x:c r="C916" t="s">
        <x:v>1273</x:v>
      </x:c>
      <x:c r="D916" t="s">
        <x:v>329</x:v>
      </x:c>
      <x:c r="F916" t="s">
        <x:v>321</x:v>
      </x:c>
    </x:row>
    <x:row r="917">
      <x:c r="A917">
        <x:v>8484822</x:v>
      </x:c>
      <x:c r="B917" s="4" t="b">
        <x:v>1</x:v>
      </x:c>
      <x:c r="C917" t="s">
        <x:v>1274</x:v>
      </x:c>
      <x:c r="D917" t="s">
        <x:v>331</x:v>
      </x:c>
      <x:c r="F917" t="s">
        <x:v>321</x:v>
      </x:c>
    </x:row>
    <x:row r="918">
      <x:c r="A918">
        <x:v>8479321</x:v>
      </x:c>
      <x:c r="B918" s="4" t="b">
        <x:v>1</x:v>
      </x:c>
      <x:c r="C918" t="s">
        <x:v>1275</x:v>
      </x:c>
      <x:c r="D918" t="s">
        <x:v>331</x:v>
      </x:c>
      <x:c r="F918" t="s">
        <x:v>321</x:v>
      </x:c>
    </x:row>
    <x:row r="919">
      <x:c r="A919">
        <x:v>8484803</x:v>
      </x:c>
      <x:c r="B919" s="4" t="b">
        <x:v>1</x:v>
      </x:c>
      <x:c r="C919" t="s">
        <x:v>1276</x:v>
      </x:c>
      <x:c r="D919" t="s">
        <x:v>358</x:v>
      </x:c>
      <x:c r="F919" t="s">
        <x:v>321</x:v>
      </x:c>
    </x:row>
    <x:row r="920">
      <x:c r="A920">
        <x:v>8482118</x:v>
      </x:c>
      <x:c r="B920" s="4" t="b">
        <x:v>1</x:v>
      </x:c>
      <x:c r="C920" t="s">
        <x:v>1277</x:v>
      </x:c>
      <x:c r="D920" t="s">
        <x:v>326</x:v>
      </x:c>
      <x:c r="F920" t="s">
        <x:v>321</x:v>
      </x:c>
    </x:row>
    <x:row r="921">
      <x:c r="A921">
        <x:v>8483424</x:v>
      </x:c>
      <x:c r="B921" s="4" t="b">
        <x:v>1</x:v>
      </x:c>
      <x:c r="C921" t="s">
        <x:v>1278</x:v>
      </x:c>
      <x:c r="D921" t="s">
        <x:v>319</x:v>
      </x:c>
      <x:c r="F921" t="s">
        <x:v>321</x:v>
      </x:c>
    </x:row>
    <x:row r="922">
      <x:c r="A922">
        <x:v>8475766</x:v>
      </x:c>
      <x:c r="B922" s="4" t="b">
        <x:v>1</x:v>
      </x:c>
      <x:c r="C922" t="s">
        <x:v>1279</x:v>
      </x:c>
      <x:c r="D922" t="s">
        <x:v>358</x:v>
      </x:c>
      <x:c r="F922" t="s">
        <x:v>321</x:v>
      </x:c>
    </x:row>
    <x:row r="923">
      <x:c r="A923">
        <x:v>8483699</x:v>
      </x:c>
      <x:c r="B923" s="4" t="b">
        <x:v>1</x:v>
      </x:c>
      <x:c r="C923" t="s">
        <x:v>1280</x:v>
      </x:c>
      <x:c r="D923" t="s">
        <x:v>331</x:v>
      </x:c>
      <x:c r="F923" t="s">
        <x:v>321</x:v>
      </x:c>
    </x:row>
    <x:row r="924">
      <x:c r="A924">
        <x:v>8484149</x:v>
      </x:c>
      <x:c r="B924" s="4" t="b">
        <x:v>1</x:v>
      </x:c>
      <x:c r="C924" t="s">
        <x:v>1281</x:v>
      </x:c>
      <x:c r="D924" t="s">
        <x:v>326</x:v>
      </x:c>
      <x:c r="F924" t="s">
        <x:v>321</x:v>
      </x:c>
    </x:row>
    <x:row r="925">
      <x:c r="A925">
        <x:v>8481679</x:v>
      </x:c>
      <x:c r="B925" s="4" t="b">
        <x:v>1</x:v>
      </x:c>
      <x:c r="C925" t="s">
        <x:v>1282</x:v>
      </x:c>
      <x:c r="D925" t="s">
        <x:v>331</x:v>
      </x:c>
      <x:c r="F925" t="s">
        <x:v>321</x:v>
      </x:c>
    </x:row>
    <x:row r="926">
      <x:c r="B926" s="4" t="b">
        <x:v>1</x:v>
      </x:c>
      <x:c r="C926" t="s">
        <x:v>1283</x:v>
      </x:c>
      <x:c r="D926" t="s">
        <x:v>331</x:v>
      </x:c>
      <x:c r="F926" t="s">
        <x:v>321</x:v>
      </x:c>
    </x:row>
    <x:row r="927">
      <x:c r="A927">
        <x:v>8477419</x:v>
      </x:c>
      <x:c r="B927" s="4" t="b">
        <x:v>1</x:v>
      </x:c>
      <x:c r="C927" t="s">
        <x:v>1284</x:v>
      </x:c>
      <x:c r="D927" t="s">
        <x:v>331</x:v>
      </x:c>
      <x:c r="F927" t="s">
        <x:v>321</x:v>
      </x:c>
    </x:row>
    <x:row r="928">
      <x:c r="A928">
        <x:v>8484177</x:v>
      </x:c>
      <x:c r="B928" s="4" t="b">
        <x:v>1</x:v>
      </x:c>
      <x:c r="C928" t="s">
        <x:v>1285</x:v>
      </x:c>
      <x:c r="D928" t="s">
        <x:v>326</x:v>
      </x:c>
      <x:c r="F928" t="s">
        <x:v>321</x:v>
      </x:c>
    </x:row>
    <x:row r="929">
      <x:c r="A929">
        <x:v>8483476</x:v>
      </x:c>
      <x:c r="B929" s="4" t="b">
        <x:v>1</x:v>
      </x:c>
      <x:c r="C929" t="s">
        <x:v>1286</x:v>
      </x:c>
      <x:c r="D929" t="s">
        <x:v>326</x:v>
      </x:c>
      <x:c r="E929" t="s">
        <x:v>420</x:v>
      </x:c>
      <x:c r="F929" t="s">
        <x:v>321</x:v>
      </x:c>
    </x:row>
    <x:row r="930">
      <x:c r="A930">
        <x:v>8482942</x:v>
      </x:c>
      <x:c r="B930" s="4" t="b">
        <x:v>1</x:v>
      </x:c>
      <x:c r="C930" t="s">
        <x:v>1287</x:v>
      </x:c>
      <x:c r="D930" t="s">
        <x:v>331</x:v>
      </x:c>
      <x:c r="F930" t="s">
        <x:v>321</x:v>
      </x:c>
    </x:row>
    <x:row r="931">
      <x:c r="A931">
        <x:v>8481491</x:v>
      </x:c>
      <x:c r="B931" s="4" t="b">
        <x:v>1</x:v>
      </x:c>
      <x:c r="C931" t="s">
        <x:v>1288</x:v>
      </x:c>
      <x:c r="D931" t="s">
        <x:v>319</x:v>
      </x:c>
      <x:c r="F931" t="s">
        <x:v>321</x:v>
      </x:c>
    </x:row>
    <x:row r="932">
      <x:c r="A932">
        <x:v>8482923</x:v>
      </x:c>
      <x:c r="B932" s="4" t="b">
        <x:v>1</x:v>
      </x:c>
      <x:c r="C932" t="s">
        <x:v>1289</x:v>
      </x:c>
      <x:c r="D932" t="s">
        <x:v>331</x:v>
      </x:c>
      <x:c r="F932" t="s">
        <x:v>321</x:v>
      </x:c>
    </x:row>
    <x:row r="933">
      <x:c r="A933">
        <x:v>8479945</x:v>
      </x:c>
      <x:c r="B933" s="4" t="b">
        <x:v>1</x:v>
      </x:c>
      <x:c r="C933" t="s">
        <x:v>1290</x:v>
      </x:c>
      <x:c r="D933" t="s">
        <x:v>331</x:v>
      </x:c>
      <x:c r="F933" t="s">
        <x:v>321</x:v>
      </x:c>
    </x:row>
    <x:row r="934">
      <x:c r="A934">
        <x:v>8482209</x:v>
      </x:c>
      <x:c r="B934" s="4" t="b">
        <x:v>1</x:v>
      </x:c>
      <x:c r="C934" t="s">
        <x:v>1291</x:v>
      </x:c>
      <x:c r="D934" t="s">
        <x:v>339</x:v>
      </x:c>
      <x:c r="F934" t="s">
        <x:v>321</x:v>
      </x:c>
    </x:row>
    <x:row r="935">
      <x:c r="A935">
        <x:v>8484115</x:v>
      </x:c>
      <x:c r="B935" s="4" t="b">
        <x:v>1</x:v>
      </x:c>
      <x:c r="C935" t="s">
        <x:v>1292</x:v>
      </x:c>
      <x:c r="D935" t="s">
        <x:v>331</x:v>
      </x:c>
      <x:c r="F935" t="s">
        <x:v>321</x:v>
      </x:c>
    </x:row>
    <x:row r="936">
      <x:c r="A936">
        <x:v>8480056</x:v>
      </x:c>
      <x:c r="B936" s="4" t="b">
        <x:v>1</x:v>
      </x:c>
      <x:c r="C936" t="s">
        <x:v>1293</x:v>
      </x:c>
      <x:c r="D936" t="s">
        <x:v>331</x:v>
      </x:c>
      <x:c r="F936" t="s">
        <x:v>321</x:v>
      </x:c>
    </x:row>
    <x:row r="937">
      <x:c r="A937">
        <x:v>8485511</x:v>
      </x:c>
      <x:c r="B937" s="4" t="b">
        <x:v>1</x:v>
      </x:c>
      <x:c r="C937" t="s">
        <x:v>1294</x:v>
      </x:c>
      <x:c r="D937" t="s">
        <x:v>326</x:v>
      </x:c>
      <x:c r="F937" t="s">
        <x:v>321</x:v>
      </x:c>
    </x:row>
    <x:row r="938">
      <x:c r="A938">
        <x:v>8483455</x:v>
      </x:c>
      <x:c r="B938" s="4" t="b">
        <x:v>1</x:v>
      </x:c>
      <x:c r="C938" t="s">
        <x:v>1295</x:v>
      </x:c>
      <x:c r="D938" t="s">
        <x:v>358</x:v>
      </x:c>
      <x:c r="F938" t="s">
        <x:v>321</x:v>
      </x:c>
    </x:row>
    <x:row r="939">
      <x:c r="A939">
        <x:v>8481556</x:v>
      </x:c>
      <x:c r="B939" s="4" t="b">
        <x:v>1</x:v>
      </x:c>
      <x:c r="C939" t="s">
        <x:v>1296</x:v>
      </x:c>
      <x:c r="D939" t="s">
        <x:v>319</x:v>
      </x:c>
      <x:c r="F939" t="s">
        <x:v>321</x:v>
      </x:c>
    </x:row>
    <x:row r="940">
      <x:c r="A940">
        <x:v>8483771</x:v>
      </x:c>
      <x:c r="B940" s="4" t="b">
        <x:v>1</x:v>
      </x:c>
      <x:c r="C940" t="s">
        <x:v>1297</x:v>
      </x:c>
      <x:c r="D940" t="s">
        <x:v>333</x:v>
      </x:c>
      <x:c r="F940" t="s">
        <x:v>321</x:v>
      </x:c>
    </x:row>
    <x:row r="941">
      <x:c r="A941">
        <x:v>8481486</x:v>
      </x:c>
      <x:c r="B941" s="4" t="b">
        <x:v>1</x:v>
      </x:c>
      <x:c r="C941" t="s">
        <x:v>1298</x:v>
      </x:c>
      <x:c r="D941" t="s">
        <x:v>331</x:v>
      </x:c>
      <x:c r="F941" t="s">
        <x:v>321</x:v>
      </x:c>
    </x:row>
    <x:row r="942">
      <x:c r="A942">
        <x:v>8483438</x:v>
      </x:c>
      <x:c r="B942" s="4" t="b">
        <x:v>1</x:v>
      </x:c>
      <x:c r="C942" t="s">
        <x:v>1299</x:v>
      </x:c>
      <x:c r="D942" t="s">
        <x:v>331</x:v>
      </x:c>
      <x:c r="F942" t="s">
        <x:v>321</x:v>
      </x:c>
    </x:row>
    <x:row r="943">
      <x:c r="A943">
        <x:v>8482678</x:v>
      </x:c>
      <x:c r="B943" s="4" t="b">
        <x:v>1</x:v>
      </x:c>
      <x:c r="C943" t="s">
        <x:v>1300</x:v>
      </x:c>
      <x:c r="D943" t="s">
        <x:v>331</x:v>
      </x:c>
      <x:c r="F943" t="s">
        <x:v>321</x:v>
      </x:c>
    </x:row>
    <x:row r="944">
      <x:c r="A944">
        <x:v>8477979</x:v>
      </x:c>
      <x:c r="B944" s="4" t="b">
        <x:v>1</x:v>
      </x:c>
      <x:c r="C944" t="s">
        <x:v>1301</x:v>
      </x:c>
      <x:c r="D944" t="s">
        <x:v>326</x:v>
      </x:c>
      <x:c r="E944" t="s">
        <x:v>584</x:v>
      </x:c>
      <x:c r="F944" t="s">
        <x:v>321</x:v>
      </x:c>
    </x:row>
    <x:row r="945">
      <x:c r="A945">
        <x:v>8480874</x:v>
      </x:c>
      <x:c r="B945" s="4" t="b">
        <x:v>1</x:v>
      </x:c>
      <x:c r="C945" t="s">
        <x:v>1302</x:v>
      </x:c>
      <x:c r="D945" t="s">
        <x:v>331</x:v>
      </x:c>
      <x:c r="F945" t="s">
        <x:v>321</x:v>
      </x:c>
    </x:row>
    <x:row r="946">
      <x:c r="A946">
        <x:v>8482787</x:v>
      </x:c>
      <x:c r="B946" s="4" t="b">
        <x:v>1</x:v>
      </x:c>
      <x:c r="C946" t="s">
        <x:v>1303</x:v>
      </x:c>
      <x:c r="D946" t="s">
        <x:v>333</x:v>
      </x:c>
      <x:c r="F946" t="s">
        <x:v>321</x:v>
      </x:c>
    </x:row>
    <x:row r="947">
      <x:c r="A947">
        <x:v>8476907</x:v>
      </x:c>
      <x:c r="B947" s="4" t="b">
        <x:v>1</x:v>
      </x:c>
      <x:c r="C947" t="s">
        <x:v>1304</x:v>
      </x:c>
      <x:c r="D947" t="s">
        <x:v>358</x:v>
      </x:c>
      <x:c r="F947" t="s">
        <x:v>321</x:v>
      </x:c>
    </x:row>
    <x:row r="948">
      <x:c r="A948">
        <x:v>8483521</x:v>
      </x:c>
      <x:c r="B948" s="4" t="b">
        <x:v>1</x:v>
      </x:c>
      <x:c r="C948" t="s">
        <x:v>1305</x:v>
      </x:c>
      <x:c r="D948" t="s">
        <x:v>331</x:v>
      </x:c>
      <x:c r="F948" t="s">
        <x:v>321</x:v>
      </x:c>
    </x:row>
    <x:row r="949">
      <x:c r="A949">
        <x:v>8477392</x:v>
      </x:c>
      <x:c r="B949" s="4" t="b">
        <x:v>1</x:v>
      </x:c>
      <x:c r="C949" t="s">
        <x:v>1306</x:v>
      </x:c>
      <x:c r="D949" t="s">
        <x:v>326</x:v>
      </x:c>
      <x:c r="E949" t="s">
        <x:v>584</x:v>
      </x:c>
      <x:c r="F949" t="s">
        <x:v>321</x:v>
      </x:c>
    </x:row>
    <x:row r="950">
      <x:c r="A950">
        <x:v>8482103</x:v>
      </x:c>
      <x:c r="B950" s="4" t="b">
        <x:v>1</x:v>
      </x:c>
      <x:c r="C950" t="s">
        <x:v>1307</x:v>
      </x:c>
      <x:c r="D950" t="s">
        <x:v>326</x:v>
      </x:c>
      <x:c r="F950" t="s">
        <x:v>321</x:v>
      </x:c>
    </x:row>
    <x:row r="951">
      <x:c r="A951">
        <x:v>8480828</x:v>
      </x:c>
      <x:c r="B951" s="4" t="b">
        <x:v>1</x:v>
      </x:c>
      <x:c r="C951" t="s">
        <x:v>1308</x:v>
      </x:c>
      <x:c r="D951" t="s">
        <x:v>331</x:v>
      </x:c>
      <x:c r="F951" t="s">
        <x:v>321</x:v>
      </x:c>
    </x:row>
    <x:row r="952">
      <x:c r="A952">
        <x:v>8483766</x:v>
      </x:c>
      <x:c r="B952" s="4" t="b">
        <x:v>1</x:v>
      </x:c>
      <x:c r="C952" t="s">
        <x:v>1309</x:v>
      </x:c>
      <x:c r="D952" t="s">
        <x:v>331</x:v>
      </x:c>
      <x:c r="F952" t="s">
        <x:v>321</x:v>
      </x:c>
    </x:row>
    <x:row r="953">
      <x:c r="A953">
        <x:v>8483666</x:v>
      </x:c>
      <x:c r="B953" s="4" t="b">
        <x:v>1</x:v>
      </x:c>
      <x:c r="C953" t="s">
        <x:v>1310</x:v>
      </x:c>
      <x:c r="D953" t="s">
        <x:v>331</x:v>
      </x:c>
      <x:c r="F953" t="s">
        <x:v>321</x:v>
      </x:c>
    </x:row>
    <x:row r="954">
      <x:c r="A954">
        <x:v>8482172</x:v>
      </x:c>
      <x:c r="B954" s="4" t="b">
        <x:v>1</x:v>
      </x:c>
      <x:c r="C954" t="s">
        <x:v>1311</x:v>
      </x:c>
      <x:c r="D954" t="s">
        <x:v>339</x:v>
      </x:c>
      <x:c r="F954" t="s">
        <x:v>321</x:v>
      </x:c>
    </x:row>
    <x:row r="955">
      <x:c r="A955">
        <x:v>8483764</x:v>
      </x:c>
      <x:c r="B955" s="4" t="b">
        <x:v>1</x:v>
      </x:c>
      <x:c r="C955" t="s">
        <x:v>1312</x:v>
      </x:c>
      <x:c r="D955" t="s">
        <x:v>331</x:v>
      </x:c>
      <x:c r="F955" t="s">
        <x:v>321</x:v>
      </x:c>
    </x:row>
    <x:row r="956">
      <x:c r="A956">
        <x:v>8482953</x:v>
      </x:c>
      <x:c r="B956" s="4" t="b">
        <x:v>1</x:v>
      </x:c>
      <x:c r="C956" t="s">
        <x:v>1313</x:v>
      </x:c>
      <x:c r="D956" t="s">
        <x:v>358</x:v>
      </x:c>
      <x:c r="F956" t="s">
        <x:v>321</x:v>
      </x:c>
    </x:row>
    <x:row r="957">
      <x:c r="A957">
        <x:v>8481572</x:v>
      </x:c>
      <x:c r="B957" s="4" t="b">
        <x:v>1</x:v>
      </x:c>
      <x:c r="C957" t="s">
        <x:v>1314</x:v>
      </x:c>
      <x:c r="D957" t="s">
        <x:v>331</x:v>
      </x:c>
      <x:c r="E957" t="s">
        <x:v>354</x:v>
      </x:c>
      <x:c r="F957" t="s">
        <x:v>321</x:v>
      </x:c>
    </x:row>
    <x:row r="958">
      <x:c r="A958">
        <x:v>8482711</x:v>
      </x:c>
      <x:c r="B958" s="4" t="b">
        <x:v>1</x:v>
      </x:c>
      <x:c r="C958" t="s">
        <x:v>1315</x:v>
      </x:c>
      <x:c r="D958" t="s">
        <x:v>331</x:v>
      </x:c>
      <x:c r="F958" t="s">
        <x:v>321</x:v>
      </x:c>
    </x:row>
    <x:row r="959">
      <x:c r="B959" s="4" t="b">
        <x:v>1</x:v>
      </x:c>
      <x:c r="C959" t="s">
        <x:v>1316</x:v>
      </x:c>
      <x:c r="D959" t="s">
        <x:v>358</x:v>
      </x:c>
      <x:c r="F959" t="s">
        <x:v>321</x:v>
      </x:c>
    </x:row>
    <x:row r="960">
      <x:c r="A960">
        <x:v>8481564</x:v>
      </x:c>
      <x:c r="B960" s="4" t="b">
        <x:v>1</x:v>
      </x:c>
      <x:c r="C960" t="s">
        <x:v>1317</x:v>
      </x:c>
      <x:c r="D960" t="s">
        <x:v>331</x:v>
      </x:c>
      <x:c r="F960" t="s">
        <x:v>321</x:v>
      </x:c>
    </x:row>
    <x:row r="961">
      <x:c r="A961">
        <x:v>8482499</x:v>
      </x:c>
      <x:c r="B961" s="4" t="b">
        <x:v>1</x:v>
      </x:c>
      <x:c r="C961" t="s">
        <x:v>1318</x:v>
      </x:c>
      <x:c r="D961" t="s">
        <x:v>331</x:v>
      </x:c>
      <x:c r="F961" t="s">
        <x:v>321</x:v>
      </x:c>
    </x:row>
    <x:row r="962">
      <x:c r="A962">
        <x:v>8478481</x:v>
      </x:c>
      <x:c r="B962" s="4" t="b">
        <x:v>1</x:v>
      </x:c>
      <x:c r="C962" t="s">
        <x:v>1319</x:v>
      </x:c>
      <x:c r="D962" t="s">
        <x:v>331</x:v>
      </x:c>
      <x:c r="F962" t="s">
        <x:v>321</x:v>
      </x:c>
    </x:row>
    <x:row r="963">
      <x:c r="A963">
        <x:v>8479328</x:v>
      </x:c>
      <x:c r="B963" s="4" t="b">
        <x:v>1</x:v>
      </x:c>
      <x:c r="C963" t="s">
        <x:v>1320</x:v>
      </x:c>
      <x:c r="D963" t="s">
        <x:v>333</x:v>
      </x:c>
      <x:c r="F963" t="s">
        <x:v>321</x:v>
      </x:c>
    </x:row>
    <x:row r="964">
      <x:c r="A964">
        <x:v>8485472</x:v>
      </x:c>
      <x:c r="B964" s="4" t="b">
        <x:v>1</x:v>
      </x:c>
      <x:c r="C964" t="s">
        <x:v>1321</x:v>
      </x:c>
      <x:c r="D964" t="s">
        <x:v>331</x:v>
      </x:c>
      <x:c r="F964" t="s">
        <x:v>321</x:v>
      </x:c>
    </x:row>
    <x:row r="965">
      <x:c r="A965">
        <x:v>8483567</x:v>
      </x:c>
      <x:c r="B965" s="4" t="b">
        <x:v>1</x:v>
      </x:c>
      <x:c r="C965" t="s">
        <x:v>1322</x:v>
      </x:c>
      <x:c r="D965" t="s">
        <x:v>329</x:v>
      </x:c>
      <x:c r="F965" t="s">
        <x:v>321</x:v>
      </x:c>
    </x:row>
    <x:row r="966">
      <x:c r="A966">
        <x:v>8476391</x:v>
      </x:c>
      <x:c r="B966" s="4" t="b">
        <x:v>1</x:v>
      </x:c>
      <x:c r="C966" t="s">
        <x:v>1323</x:v>
      </x:c>
      <x:c r="D966" t="s">
        <x:v>319</x:v>
      </x:c>
      <x:c r="E966" t="s">
        <x:v>584</x:v>
      </x:c>
      <x:c r="F966" t="s">
        <x:v>321</x:v>
      </x:c>
    </x:row>
    <x:row r="967">
      <x:c r="A967">
        <x:v>8480876</x:v>
      </x:c>
      <x:c r="B967" s="4" t="b">
        <x:v>1</x:v>
      </x:c>
      <x:c r="C967" t="s">
        <x:v>1324</x:v>
      </x:c>
      <x:c r="D967" t="s">
        <x:v>319</x:v>
      </x:c>
      <x:c r="F967" t="s">
        <x:v>321</x:v>
      </x:c>
    </x:row>
    <x:row r="968">
      <x:c r="A968">
        <x:v>8482171</x:v>
      </x:c>
      <x:c r="B968" s="4" t="b">
        <x:v>1</x:v>
      </x:c>
      <x:c r="C968" t="s">
        <x:v>1325</x:v>
      </x:c>
      <x:c r="D968" t="s">
        <x:v>331</x:v>
      </x:c>
      <x:c r="F968" t="s">
        <x:v>321</x:v>
      </x:c>
    </x:row>
    <x:row r="969">
      <x:c r="A969">
        <x:v>8484464</x:v>
      </x:c>
      <x:c r="B969" s="4" t="b">
        <x:v>1</x:v>
      </x:c>
      <x:c r="C969" t="s">
        <x:v>1326</x:v>
      </x:c>
      <x:c r="D969" t="s">
        <x:v>331</x:v>
      </x:c>
      <x:c r="F969" t="s">
        <x:v>321</x:v>
      </x:c>
    </x:row>
    <x:row r="970">
      <x:c r="A970">
        <x:v>8481569</x:v>
      </x:c>
      <x:c r="B970" s="4" t="b">
        <x:v>1</x:v>
      </x:c>
      <x:c r="C970" t="s">
        <x:v>1327</x:v>
      </x:c>
      <x:c r="D970" t="s">
        <x:v>331</x:v>
      </x:c>
      <x:c r="F970" t="s">
        <x:v>321</x:v>
      </x:c>
    </x:row>
    <x:row r="971">
      <x:c r="A971">
        <x:v>8483687</x:v>
      </x:c>
      <x:c r="B971" s="4" t="b">
        <x:v>1</x:v>
      </x:c>
      <x:c r="C971" t="s">
        <x:v>1328</x:v>
      </x:c>
      <x:c r="D971" t="s">
        <x:v>331</x:v>
      </x:c>
      <x:c r="F971" t="s">
        <x:v>321</x:v>
      </x:c>
    </x:row>
    <x:row r="972">
      <x:c r="A972">
        <x:v>8477972</x:v>
      </x:c>
      <x:c r="B972" s="4" t="b">
        <x:v>1</x:v>
      </x:c>
      <x:c r="C972" t="s">
        <x:v>1329</x:v>
      </x:c>
      <x:c r="D972" t="s">
        <x:v>331</x:v>
      </x:c>
      <x:c r="F972" t="s">
        <x:v>321</x:v>
      </x:c>
    </x:row>
    <x:row r="973">
      <x:c r="A973">
        <x:v>8482765</x:v>
      </x:c>
      <x:c r="B973" s="4" t="b">
        <x:v>1</x:v>
      </x:c>
      <x:c r="C973" t="s">
        <x:v>1330</x:v>
      </x:c>
      <x:c r="D973" t="s">
        <x:v>329</x:v>
      </x:c>
      <x:c r="F973" t="s">
        <x:v>321</x:v>
      </x:c>
    </x:row>
    <x:row r="974">
      <x:c r="A974">
        <x:v>8483428</x:v>
      </x:c>
      <x:c r="B974" s="4" t="b">
        <x:v>1</x:v>
      </x:c>
      <x:c r="C974" t="s">
        <x:v>1331</x:v>
      </x:c>
      <x:c r="D974" t="s">
        <x:v>319</x:v>
      </x:c>
      <x:c r="F974" t="s">
        <x:v>321</x:v>
      </x:c>
    </x:row>
    <x:row r="975">
      <x:c r="A975">
        <x:v>8476924</x:v>
      </x:c>
      <x:c r="B975" s="4" t="b">
        <x:v>1</x:v>
      </x:c>
      <x:c r="C975" t="s">
        <x:v>1332</x:v>
      </x:c>
      <x:c r="D975" t="s">
        <x:v>333</x:v>
      </x:c>
      <x:c r="F975" t="s">
        <x:v>321</x:v>
      </x:c>
    </x:row>
    <x:row r="976">
      <x:c r="A976">
        <x:v>8478408</x:v>
      </x:c>
      <x:c r="B976" s="4" t="b">
        <x:v>1</x:v>
      </x:c>
      <x:c r="C976" t="s">
        <x:v>1333</x:v>
      </x:c>
      <x:c r="D976" t="s">
        <x:v>331</x:v>
      </x:c>
      <x:c r="F976" t="s">
        <x:v>321</x:v>
      </x:c>
    </x:row>
    <x:row r="977">
      <x:c r="A977">
        <x:v>8478409</x:v>
      </x:c>
      <x:c r="B977" s="4" t="b">
        <x:v>1</x:v>
      </x:c>
      <x:c r="C977" t="s">
        <x:v>1334</x:v>
      </x:c>
      <x:c r="D977" t="s">
        <x:v>319</x:v>
      </x:c>
      <x:c r="E977" t="s">
        <x:v>584</x:v>
      </x:c>
      <x:c r="F977" t="s">
        <x:v>321</x:v>
      </x:c>
    </x:row>
    <x:row r="978">
      <x:c r="A978">
        <x:v>8482132</x:v>
      </x:c>
      <x:c r="B978" s="4" t="b">
        <x:v>1</x:v>
      </x:c>
      <x:c r="C978" t="s">
        <x:v>1335</x:v>
      </x:c>
      <x:c r="D978" t="s">
        <x:v>358</x:v>
      </x:c>
      <x:c r="F978" t="s">
        <x:v>321</x:v>
      </x:c>
    </x:row>
    <x:row r="979">
      <x:c r="A979">
        <x:v>8482623</x:v>
      </x:c>
      <x:c r="B979" s="4" t="b">
        <x:v>1</x:v>
      </x:c>
      <x:c r="C979" t="s">
        <x:v>1336</x:v>
      </x:c>
      <x:c r="D979" t="s">
        <x:v>319</x:v>
      </x:c>
      <x:c r="F979" t="s">
        <x:v>321</x:v>
      </x:c>
    </x:row>
    <x:row r="980">
      <x:c r="A980">
        <x:v>8483829</x:v>
      </x:c>
      <x:c r="B980" s="4" t="b">
        <x:v>1</x:v>
      </x:c>
      <x:c r="C980" t="s">
        <x:v>1337</x:v>
      </x:c>
      <x:c r="D980" t="s">
        <x:v>331</x:v>
      </x:c>
      <x:c r="F980" t="s">
        <x:v>321</x:v>
      </x:c>
    </x:row>
    <x:row r="981">
      <x:c r="A981">
        <x:v>8481726</x:v>
      </x:c>
      <x:c r="B981" s="4" t="b">
        <x:v>1</x:v>
      </x:c>
      <x:c r="C981" t="s">
        <x:v>1338</x:v>
      </x:c>
      <x:c r="D981" t="s">
        <x:v>319</x:v>
      </x:c>
      <x:c r="F981" t="s">
        <x:v>321</x:v>
      </x:c>
    </x:row>
    <x:row r="982">
      <x:c r="A982">
        <x:v>8484135</x:v>
      </x:c>
      <x:c r="B982" s="4" t="b">
        <x:v>1</x:v>
      </x:c>
      <x:c r="C982" t="s">
        <x:v>1339</x:v>
      </x:c>
      <x:c r="D982" t="s">
        <x:v>323</x:v>
      </x:c>
      <x:c r="E982" t="s">
        <x:v>348</x:v>
      </x:c>
      <x:c r="F982" t="s">
        <x:v>321</x:v>
      </x:c>
    </x:row>
    <x:row r="983">
      <x:c r="A983">
        <x:v>8483712</x:v>
      </x:c>
      <x:c r="B983" s="4" t="b">
        <x:v>1</x:v>
      </x:c>
      <x:c r="C983" t="s">
        <x:v>1340</x:v>
      </x:c>
      <x:c r="D983" t="s">
        <x:v>331</x:v>
      </x:c>
      <x:c r="F983" t="s">
        <x:v>321</x:v>
      </x:c>
    </x:row>
    <x:row r="984">
      <x:c r="A984">
        <x:v>8483078</x:v>
      </x:c>
      <x:c r="B984" s="4" t="b">
        <x:v>1</x:v>
      </x:c>
      <x:c r="C984" t="s">
        <x:v>1341</x:v>
      </x:c>
      <x:c r="D984" t="s">
        <x:v>331</x:v>
      </x:c>
      <x:c r="F984" t="s">
        <x:v>321</x:v>
      </x:c>
    </x:row>
    <x:row r="985">
      <x:c r="A985">
        <x:v>8481547</x:v>
      </x:c>
      <x:c r="B985" s="4" t="b">
        <x:v>1</x:v>
      </x:c>
      <x:c r="C985" t="s">
        <x:v>1342</x:v>
      </x:c>
      <x:c r="D985" t="s">
        <x:v>331</x:v>
      </x:c>
      <x:c r="F985" t="s">
        <x:v>321</x:v>
      </x:c>
    </x:row>
    <x:row r="986">
      <x:c r="A986">
        <x:v>8484534</x:v>
      </x:c>
      <x:c r="B986" s="4" t="b">
        <x:v>1</x:v>
      </x:c>
      <x:c r="C986" t="s">
        <x:v>1343</x:v>
      </x:c>
      <x:c r="D986" t="s">
        <x:v>331</x:v>
      </x:c>
      <x:c r="F986" t="s">
        <x:v>321</x:v>
      </x:c>
    </x:row>
    <x:row r="987">
      <x:c r="A987">
        <x:v>8485500</x:v>
      </x:c>
      <x:c r="B987" s="4" t="b">
        <x:v>1</x:v>
      </x:c>
      <x:c r="C987" t="s">
        <x:v>1344</x:v>
      </x:c>
      <x:c r="D987" t="s">
        <x:v>331</x:v>
      </x:c>
      <x:c r="F987" t="s">
        <x:v>321</x:v>
      </x:c>
    </x:row>
    <x:row r="988">
      <x:c r="A988">
        <x:v>8482920</x:v>
      </x:c>
      <x:c r="B988" s="4" t="b">
        <x:v>1</x:v>
      </x:c>
      <x:c r="C988" t="s">
        <x:v>1345</x:v>
      </x:c>
      <x:c r="D988" t="s">
        <x:v>331</x:v>
      </x:c>
      <x:c r="F988" t="s">
        <x:v>321</x:v>
      </x:c>
    </x:row>
    <x:row r="989">
      <x:c r="A989">
        <x:v>8483430</x:v>
      </x:c>
      <x:c r="B989" s="4" t="b">
        <x:v>1</x:v>
      </x:c>
      <x:c r="C989" t="s">
        <x:v>1346</x:v>
      </x:c>
      <x:c r="D989" t="s">
        <x:v>331</x:v>
      </x:c>
      <x:c r="F989" t="s">
        <x:v>321</x:v>
      </x:c>
    </x:row>
    <x:row r="990">
      <x:c r="A990">
        <x:v>8484934</x:v>
      </x:c>
      <x:c r="B990" s="4" t="b">
        <x:v>1</x:v>
      </x:c>
      <x:c r="C990" t="s">
        <x:v>1347</x:v>
      </x:c>
      <x:c r="D990" t="s">
        <x:v>331</x:v>
      </x:c>
      <x:c r="F990" t="s">
        <x:v>321</x:v>
      </x:c>
    </x:row>
    <x:row r="991">
      <x:c r="A991">
        <x:v>8480211</x:v>
      </x:c>
      <x:c r="B991" s="4" t="b">
        <x:v>1</x:v>
      </x:c>
      <x:c r="C991" t="s">
        <x:v>1348</x:v>
      </x:c>
      <x:c r="D991" t="s">
        <x:v>331</x:v>
      </x:c>
      <x:c r="E991" t="s">
        <x:v>584</x:v>
      </x:c>
      <x:c r="F991" t="s">
        <x:v>321</x:v>
      </x:c>
    </x:row>
    <x:row r="992">
      <x:c r="A992">
        <x:v>8484509</x:v>
      </x:c>
      <x:c r="B992" s="4" t="b">
        <x:v>1</x:v>
      </x:c>
      <x:c r="C992" t="s">
        <x:v>1349</x:v>
      </x:c>
      <x:c r="D992" t="s">
        <x:v>319</x:v>
      </x:c>
      <x:c r="F992" t="s">
        <x:v>321</x:v>
      </x:c>
    </x:row>
    <x:row r="993">
      <x:c r="A993">
        <x:v>8484777</x:v>
      </x:c>
      <x:c r="B993" s="4" t="b">
        <x:v>1</x:v>
      </x:c>
      <x:c r="C993" t="s">
        <x:v>1350</x:v>
      </x:c>
      <x:c r="D993" t="s">
        <x:v>331</x:v>
      </x:c>
      <x:c r="F993" t="s">
        <x:v>321</x:v>
      </x:c>
    </x:row>
    <x:row r="994">
      <x:c r="A994">
        <x:v>8483733</x:v>
      </x:c>
      <x:c r="B994" s="4" t="b">
        <x:v>1</x:v>
      </x:c>
      <x:c r="C994" t="s">
        <x:v>1351</x:v>
      </x:c>
      <x:c r="D994" t="s">
        <x:v>326</x:v>
      </x:c>
      <x:c r="F994" t="s">
        <x:v>321</x:v>
      </x:c>
    </x:row>
    <x:row r="995">
      <x:c r="A995">
        <x:v>8482731</x:v>
      </x:c>
      <x:c r="B995" s="4" t="b">
        <x:v>1</x:v>
      </x:c>
      <x:c r="C995" t="s">
        <x:v>1352</x:v>
      </x:c>
      <x:c r="D995" t="s">
        <x:v>331</x:v>
      </x:c>
      <x:c r="F995" t="s">
        <x:v>321</x:v>
      </x:c>
    </x:row>
    <x:row r="996">
      <x:c r="A996">
        <x:v>8479543</x:v>
      </x:c>
      <x:c r="B996" s="4" t="b">
        <x:v>1</x:v>
      </x:c>
      <x:c r="C996" t="s">
        <x:v>1353</x:v>
      </x:c>
      <x:c r="D996" t="s">
        <x:v>358</x:v>
      </x:c>
      <x:c r="F996" t="s">
        <x:v>321</x:v>
      </x:c>
    </x:row>
    <x:row r="997">
      <x:c r="A997">
        <x:v>8482947</x:v>
      </x:c>
      <x:c r="B997" s="4" t="b">
        <x:v>1</x:v>
      </x:c>
      <x:c r="C997" t="s">
        <x:v>1354</x:v>
      </x:c>
      <x:c r="D997" t="s">
        <x:v>319</x:v>
      </x:c>
      <x:c r="F997" t="s">
        <x:v>321</x:v>
      </x:c>
    </x:row>
    <x:row r="998">
      <x:c r="A998">
        <x:v>8480321</x:v>
      </x:c>
      <x:c r="B998" s="4" t="b">
        <x:v>1</x:v>
      </x:c>
      <x:c r="C998" t="s">
        <x:v>1355</x:v>
      </x:c>
      <x:c r="D998" t="s">
        <x:v>331</x:v>
      </x:c>
      <x:c r="F998" t="s">
        <x:v>321</x:v>
      </x:c>
    </x:row>
    <x:row r="999">
      <x:c r="A999">
        <x:v>8483491</x:v>
      </x:c>
      <x:c r="B999" s="4" t="b">
        <x:v>1</x:v>
      </x:c>
      <x:c r="C999" t="s">
        <x:v>1356</x:v>
      </x:c>
      <x:c r="D999" t="s">
        <x:v>358</x:v>
      </x:c>
      <x:c r="F999" t="s">
        <x:v>321</x:v>
      </x:c>
    </x:row>
    <x:row r="1000">
      <x:c r="A1000">
        <x:v>8483728</x:v>
      </x:c>
      <x:c r="B1000" s="4" t="b">
        <x:v>1</x:v>
      </x:c>
      <x:c r="C1000" t="s">
        <x:v>1357</x:v>
      </x:c>
      <x:c r="D1000" t="s">
        <x:v>319</x:v>
      </x:c>
      <x:c r="F1000" t="s">
        <x:v>321</x:v>
      </x:c>
    </x:row>
    <x:row r="1001">
      <x:c r="A1001">
        <x:v>8482460</x:v>
      </x:c>
      <x:c r="B1001" s="4" t="b">
        <x:v>1</x:v>
      </x:c>
      <x:c r="C1001" t="s">
        <x:v>1358</x:v>
      </x:c>
      <x:c r="D1001" t="s">
        <x:v>326</x:v>
      </x:c>
      <x:c r="F1001" t="s">
        <x:v>321</x:v>
      </x:c>
    </x:row>
    <x:row r="1002">
      <x:c r="A1002">
        <x:v>8476418</x:v>
      </x:c>
      <x:c r="B1002" s="4" t="b">
        <x:v>1</x:v>
      </x:c>
      <x:c r="C1002" t="s">
        <x:v>1359</x:v>
      </x:c>
      <x:c r="D1002" t="s">
        <x:v>331</x:v>
      </x:c>
      <x:c r="F1002" t="s">
        <x:v>321</x:v>
      </x:c>
    </x:row>
    <x:row r="1003">
      <x:c r="A1003">
        <x:v>8482893</x:v>
      </x:c>
      <x:c r="B1003" s="4" t="b">
        <x:v>1</x:v>
      </x:c>
      <x:c r="C1003" t="s">
        <x:v>1360</x:v>
      </x:c>
      <x:c r="D1003" t="s">
        <x:v>331</x:v>
      </x:c>
      <x:c r="F1003" t="s">
        <x:v>321</x:v>
      </x:c>
    </x:row>
    <x:row r="1004">
      <x:c r="A1004">
        <x:v>8480887</x:v>
      </x:c>
      <x:c r="B1004" s="4" t="b">
        <x:v>1</x:v>
      </x:c>
      <x:c r="C1004" t="s">
        <x:v>1361</x:v>
      </x:c>
      <x:c r="D1004" t="s">
        <x:v>331</x:v>
      </x:c>
      <x:c r="F1004" t="s">
        <x:v>321</x:v>
      </x:c>
    </x:row>
    <x:row r="1005">
      <x:c r="A1005">
        <x:v>8482747</x:v>
      </x:c>
      <x:c r="B1005" s="4" t="b">
        <x:v>1</x:v>
      </x:c>
      <x:c r="C1005" t="s">
        <x:v>1362</x:v>
      </x:c>
      <x:c r="D1005" t="s">
        <x:v>358</x:v>
      </x:c>
      <x:c r="F1005" t="s">
        <x:v>321</x:v>
      </x:c>
    </x:row>
    <x:row r="1006">
      <x:c r="A1006">
        <x:v>8479772</x:v>
      </x:c>
      <x:c r="B1006" s="4" t="b">
        <x:v>1</x:v>
      </x:c>
      <x:c r="C1006" t="s">
        <x:v>1363</x:v>
      </x:c>
      <x:c r="D1006" t="s">
        <x:v>323</x:v>
      </x:c>
      <x:c r="F1006" t="s">
        <x:v>321</x:v>
      </x:c>
    </x:row>
    <x:row r="1007">
      <x:c r="A1007">
        <x:v>8481543</x:v>
      </x:c>
      <x:c r="B1007" s="4" t="b">
        <x:v>1</x:v>
      </x:c>
      <x:c r="C1007" t="s">
        <x:v>1364</x:v>
      </x:c>
      <x:c r="D1007" t="s">
        <x:v>319</x:v>
      </x:c>
      <x:c r="F1007" t="s">
        <x:v>321</x:v>
      </x:c>
    </x:row>
    <x:row r="1008">
      <x:c r="A1008">
        <x:v>8476952</x:v>
      </x:c>
      <x:c r="B1008" s="4" t="b">
        <x:v>1</x:v>
      </x:c>
      <x:c r="C1008" t="s">
        <x:v>1365</x:v>
      </x:c>
      <x:c r="D1008" t="s">
        <x:v>319</x:v>
      </x:c>
      <x:c r="F1008" t="s">
        <x:v>321</x:v>
      </x:c>
    </x:row>
    <x:row r="1009">
      <x:c r="A1009">
        <x:v>8484610</x:v>
      </x:c>
      <x:c r="B1009" s="4" t="b">
        <x:v>1</x:v>
      </x:c>
      <x:c r="C1009" t="s">
        <x:v>1366</x:v>
      </x:c>
      <x:c r="D1009" t="s">
        <x:v>331</x:v>
      </x:c>
      <x:c r="F1009" t="s">
        <x:v>321</x:v>
      </x:c>
    </x:row>
    <x:row r="1010">
      <x:c r="A1010">
        <x:v>8484163</x:v>
      </x:c>
      <x:c r="B1010" s="4" t="b">
        <x:v>1</x:v>
      </x:c>
      <x:c r="C1010" t="s">
        <x:v>1367</x:v>
      </x:c>
      <x:c r="D1010" t="s">
        <x:v>331</x:v>
      </x:c>
      <x:c r="F1010" t="s">
        <x:v>321</x:v>
      </x:c>
    </x:row>
    <x:row r="1011">
      <x:c r="A1011">
        <x:v>8483407</x:v>
      </x:c>
      <x:c r="B1011" s="4" t="b">
        <x:v>1</x:v>
      </x:c>
      <x:c r="C1011" t="s">
        <x:v>1368</x:v>
      </x:c>
      <x:c r="D1011" t="s">
        <x:v>331</x:v>
      </x:c>
      <x:c r="E1011" t="s">
        <x:v>584</x:v>
      </x:c>
      <x:c r="F1011" t="s">
        <x:v>321</x:v>
      </x:c>
    </x:row>
    <x:row r="1012">
      <x:c r="A1012">
        <x:v>8485508</x:v>
      </x:c>
      <x:c r="B1012" s="4" t="b">
        <x:v>1</x:v>
      </x:c>
      <x:c r="C1012" t="s">
        <x:v>1369</x:v>
      </x:c>
      <x:c r="D1012" t="s">
        <x:v>331</x:v>
      </x:c>
      <x:c r="F1012" t="s">
        <x:v>321</x:v>
      </x:c>
    </x:row>
    <x:row r="1013">
      <x:c r="A1013">
        <x:v>8484814</x:v>
      </x:c>
      <x:c r="B1013" s="4" t="b">
        <x:v>1</x:v>
      </x:c>
      <x:c r="C1013" t="s">
        <x:v>1370</x:v>
      </x:c>
      <x:c r="D1013" t="s">
        <x:v>331</x:v>
      </x:c>
      <x:c r="E1013" t="s">
        <x:v>584</x:v>
      </x:c>
      <x:c r="F1013" t="s">
        <x:v>321</x:v>
      </x:c>
    </x:row>
    <x:row r="1014">
      <x:c r="A1014">
        <x:v>8482808</x:v>
      </x:c>
      <x:c r="B1014" s="4" t="b">
        <x:v>1</x:v>
      </x:c>
      <x:c r="C1014" t="s">
        <x:v>1371</x:v>
      </x:c>
      <x:c r="D1014" t="s">
        <x:v>331</x:v>
      </x:c>
      <x:c r="F1014" t="s">
        <x:v>321</x:v>
      </x:c>
    </x:row>
    <x:row r="1015">
      <x:c r="A1015">
        <x:v>8482187</x:v>
      </x:c>
      <x:c r="B1015" s="4" t="b">
        <x:v>1</x:v>
      </x:c>
      <x:c r="C1015" t="s">
        <x:v>1372</x:v>
      </x:c>
      <x:c r="D1015" t="s">
        <x:v>331</x:v>
      </x:c>
      <x:c r="F1015" t="s">
        <x:v>321</x:v>
      </x:c>
    </x:row>
    <x:row r="1016">
      <x:c r="A1016">
        <x:v>8478981</x:v>
      </x:c>
      <x:c r="B1016" s="4" t="b">
        <x:v>1</x:v>
      </x:c>
      <x:c r="C1016" t="s">
        <x:v>1373</x:v>
      </x:c>
      <x:c r="D1016" t="s">
        <x:v>331</x:v>
      </x:c>
      <x:c r="E1016" t="s">
        <x:v>584</x:v>
      </x:c>
      <x:c r="F1016" t="s">
        <x:v>321</x:v>
      </x:c>
    </x:row>
    <x:row r="1017">
      <x:c r="A1017">
        <x:v>8482866</x:v>
      </x:c>
      <x:c r="B1017" s="4" t="b">
        <x:v>1</x:v>
      </x:c>
      <x:c r="C1017" t="s">
        <x:v>1374</x:v>
      </x:c>
      <x:c r="D1017" t="s">
        <x:v>331</x:v>
      </x:c>
      <x:c r="F1017" t="s">
        <x:v>321</x:v>
      </x:c>
    </x:row>
    <x:row r="1018">
      <x:c r="A1018">
        <x:v>8479718</x:v>
      </x:c>
      <x:c r="B1018" s="4" t="b">
        <x:v>1</x:v>
      </x:c>
      <x:c r="C1018" t="s">
        <x:v>1375</x:v>
      </x:c>
      <x:c r="D1018" t="s">
        <x:v>329</x:v>
      </x:c>
      <x:c r="F1018" t="s">
        <x:v>321</x:v>
      </x:c>
    </x:row>
    <x:row r="1019">
      <x:c r="A1019">
        <x:v>8479514</x:v>
      </x:c>
      <x:c r="B1019" s="4" t="b">
        <x:v>1</x:v>
      </x:c>
      <x:c r="C1019" t="s">
        <x:v>1376</x:v>
      </x:c>
      <x:c r="D1019" t="s">
        <x:v>323</x:v>
      </x:c>
      <x:c r="E1019" t="s">
        <x:v>584</x:v>
      </x:c>
      <x:c r="F1019" t="s">
        <x:v>321</x:v>
      </x:c>
    </x:row>
    <x:row r="1020">
      <x:c r="A1020">
        <x:v>8480292</x:v>
      </x:c>
      <x:c r="B1020" s="4" t="b">
        <x:v>1</x:v>
      </x:c>
      <x:c r="C1020" t="s">
        <x:v>1377</x:v>
      </x:c>
      <x:c r="D1020" t="s">
        <x:v>326</x:v>
      </x:c>
      <x:c r="E1020" t="s">
        <x:v>361</x:v>
      </x:c>
      <x:c r="F1020" t="s">
        <x:v>321</x:v>
      </x:c>
    </x:row>
    <x:row r="1021">
      <x:c r="A1021">
        <x:v>8480021</x:v>
      </x:c>
      <x:c r="B1021" s="4" t="b">
        <x:v>1</x:v>
      </x:c>
      <x:c r="C1021" t="s">
        <x:v>1378</x:v>
      </x:c>
      <x:c r="D1021" t="s">
        <x:v>319</x:v>
      </x:c>
      <x:c r="F1021" t="s">
        <x:v>321</x:v>
      </x:c>
    </x:row>
    <x:row r="1022">
      <x:c r="A1022">
        <x:v>8484146</x:v>
      </x:c>
      <x:c r="B1022" s="4" t="b">
        <x:v>1</x:v>
      </x:c>
      <x:c r="C1022" t="s">
        <x:v>1379</x:v>
      </x:c>
      <x:c r="D1022" t="s">
        <x:v>331</x:v>
      </x:c>
      <x:c r="F1022" t="s">
        <x:v>321</x:v>
      </x:c>
    </x:row>
    <x:row r="1023">
      <x:c r="A1023">
        <x:v>8482802</x:v>
      </x:c>
      <x:c r="B1023" s="4" t="b">
        <x:v>1</x:v>
      </x:c>
      <x:c r="C1023" t="s">
        <x:v>1380</x:v>
      </x:c>
      <x:c r="D1023" t="s">
        <x:v>358</x:v>
      </x:c>
      <x:c r="F1023" t="s">
        <x:v>321</x:v>
      </x:c>
    </x:row>
    <x:row r="1024">
      <x:c r="A1024">
        <x:v>8484392</x:v>
      </x:c>
      <x:c r="B1024" s="4" t="b">
        <x:v>1</x:v>
      </x:c>
      <x:c r="C1024" t="s">
        <x:v>1381</x:v>
      </x:c>
      <x:c r="D1024" t="s">
        <x:v>333</x:v>
      </x:c>
      <x:c r="F1024" t="s">
        <x:v>321</x:v>
      </x:c>
    </x:row>
    <x:row r="1025">
      <x:c r="A1025">
        <x:v>8480245</x:v>
      </x:c>
      <x:c r="B1025" s="4" t="b">
        <x:v>1</x:v>
      </x:c>
      <x:c r="C1025" t="s">
        <x:v>1382</x:v>
      </x:c>
      <x:c r="D1025" t="s">
        <x:v>326</x:v>
      </x:c>
      <x:c r="F1025" t="s">
        <x:v>321</x:v>
      </x:c>
    </x:row>
    <x:row r="1026">
      <x:c r="A1026">
        <x:v>8482758</x:v>
      </x:c>
      <x:c r="B1026" s="4" t="b">
        <x:v>1</x:v>
      </x:c>
      <x:c r="C1026" t="s">
        <x:v>1383</x:v>
      </x:c>
      <x:c r="D1026" t="s">
        <x:v>326</x:v>
      </x:c>
      <x:c r="E1026" t="s">
        <x:v>350</x:v>
      </x:c>
      <x:c r="F1026" t="s">
        <x:v>321</x:v>
      </x:c>
    </x:row>
    <x:row r="1027">
      <x:c r="A1027">
        <x:v>8483505</x:v>
      </x:c>
      <x:c r="B1027" s="4" t="b">
        <x:v>1</x:v>
      </x:c>
      <x:c r="C1027" t="s">
        <x:v>1384</x:v>
      </x:c>
      <x:c r="D1027" t="s">
        <x:v>323</x:v>
      </x:c>
      <x:c r="F1027" t="s">
        <x:v>321</x:v>
      </x:c>
    </x:row>
    <x:row r="1028">
      <x:c r="A1028">
        <x:v>8484214</x:v>
      </x:c>
      <x:c r="B1028" s="4" t="b">
        <x:v>1</x:v>
      </x:c>
      <x:c r="C1028" t="s">
        <x:v>1385</x:v>
      </x:c>
      <x:c r="D1028" t="s">
        <x:v>319</x:v>
      </x:c>
      <x:c r="F1028" t="s">
        <x:v>321</x:v>
      </x:c>
    </x:row>
    <x:row r="1029">
      <x:c r="A1029">
        <x:v>8480808</x:v>
      </x:c>
      <x:c r="B1029" s="4" t="b">
        <x:v>1</x:v>
      </x:c>
      <x:c r="C1029" t="s">
        <x:v>1386</x:v>
      </x:c>
      <x:c r="D1029" t="s">
        <x:v>331</x:v>
      </x:c>
      <x:c r="F1029" t="s">
        <x:v>321</x:v>
      </x:c>
    </x:row>
    <x:row r="1030">
      <x:c r="A1030">
        <x:v>8482098</x:v>
      </x:c>
      <x:c r="B1030" s="4" t="b">
        <x:v>1</x:v>
      </x:c>
      <x:c r="C1030" t="s">
        <x:v>1387</x:v>
      </x:c>
      <x:c r="D1030" t="s">
        <x:v>331</x:v>
      </x:c>
      <x:c r="F1030" t="s">
        <x:v>321</x:v>
      </x:c>
    </x:row>
    <x:row r="1031">
      <x:c r="A1031">
        <x:v>8486178</x:v>
      </x:c>
      <x:c r="B1031" s="4" t="b">
        <x:v>1</x:v>
      </x:c>
      <x:c r="C1031" t="s">
        <x:v>1388</x:v>
      </x:c>
      <x:c r="D1031" t="s">
        <x:v>331</x:v>
      </x:c>
      <x:c r="F1031" t="s">
        <x:v>321</x:v>
      </x:c>
    </x:row>
    <x:row r="1032">
      <x:c r="A1032">
        <x:v>8480257</x:v>
      </x:c>
      <x:c r="B1032" s="4" t="b">
        <x:v>1</x:v>
      </x:c>
      <x:c r="C1032" t="s">
        <x:v>1389</x:v>
      </x:c>
      <x:c r="D1032" t="s">
        <x:v>331</x:v>
      </x:c>
      <x:c r="F1032" t="s">
        <x:v>321</x:v>
      </x:c>
    </x:row>
    <x:row r="1033">
      <x:c r="A1033">
        <x:v>8480998</x:v>
      </x:c>
      <x:c r="B1033" s="4" t="b">
        <x:v>1</x:v>
      </x:c>
      <x:c r="C1033" t="s">
        <x:v>1390</x:v>
      </x:c>
      <x:c r="D1033" t="s">
        <x:v>331</x:v>
      </x:c>
      <x:c r="F1033" t="s">
        <x:v>321</x:v>
      </x:c>
    </x:row>
    <x:row r="1034">
      <x:c r="A1034">
        <x:v>8480075</x:v>
      </x:c>
      <x:c r="B1034" s="4" t="b">
        <x:v>1</x:v>
      </x:c>
      <x:c r="C1034" t="s">
        <x:v>1391</x:v>
      </x:c>
      <x:c r="D1034" t="s">
        <x:v>331</x:v>
      </x:c>
      <x:c r="F1034" t="s">
        <x:v>321</x:v>
      </x:c>
    </x:row>
    <x:row r="1035">
      <x:c r="A1035">
        <x:v>8479595</x:v>
      </x:c>
      <x:c r="B1035" s="4" t="b">
        <x:v>1</x:v>
      </x:c>
      <x:c r="C1035" t="s">
        <x:v>1392</x:v>
      </x:c>
      <x:c r="D1035" t="s">
        <x:v>331</x:v>
      </x:c>
      <x:c r="F1035" t="s">
        <x:v>321</x:v>
      </x:c>
    </x:row>
    <x:row r="1036">
      <x:c r="A1036">
        <x:v>8481228</x:v>
      </x:c>
      <x:c r="B1036" s="4" t="b">
        <x:v>1</x:v>
      </x:c>
      <x:c r="C1036" t="s">
        <x:v>1393</x:v>
      </x:c>
      <x:c r="D1036" t="s">
        <x:v>319</x:v>
      </x:c>
      <x:c r="F1036" t="s">
        <x:v>321</x:v>
      </x:c>
    </x:row>
    <x:row r="1037">
      <x:c r="A1037">
        <x:v>8483427</x:v>
      </x:c>
      <x:c r="B1037" s="4" t="b">
        <x:v>1</x:v>
      </x:c>
      <x:c r="C1037" t="s">
        <x:v>1394</x:v>
      </x:c>
      <x:c r="D1037" t="s">
        <x:v>331</x:v>
      </x:c>
      <x:c r="F1037" t="s">
        <x:v>321</x:v>
      </x:c>
    </x:row>
    <x:row r="1038">
      <x:c r="A1038">
        <x:v>8482676</x:v>
      </x:c>
      <x:c r="B1038" s="4" t="b">
        <x:v>1</x:v>
      </x:c>
      <x:c r="C1038" t="s">
        <x:v>1395</x:v>
      </x:c>
      <x:c r="D1038" t="s">
        <x:v>331</x:v>
      </x:c>
      <x:c r="F1038" t="s">
        <x:v>321</x:v>
      </x:c>
    </x:row>
    <x:row r="1039">
      <x:c r="A1039">
        <x:v>8482952</x:v>
      </x:c>
      <x:c r="B1039" s="4" t="b">
        <x:v>1</x:v>
      </x:c>
      <x:c r="C1039" t="s">
        <x:v>1396</x:v>
      </x:c>
      <x:c r="D1039" t="s">
        <x:v>331</x:v>
      </x:c>
      <x:c r="F1039" t="s">
        <x:v>321</x:v>
      </x:c>
    </x:row>
    <x:row r="1040">
      <x:c r="A1040">
        <x:v>8483481</x:v>
      </x:c>
      <x:c r="B1040" s="4" t="b">
        <x:v>1</x:v>
      </x:c>
      <x:c r="C1040" t="s">
        <x:v>1397</x:v>
      </x:c>
      <x:c r="D1040" t="s">
        <x:v>319</x:v>
      </x:c>
      <x:c r="F1040" t="s">
        <x:v>321</x:v>
      </x:c>
    </x:row>
    <x:row r="1041">
      <x:c r="A1041">
        <x:v>8483059</x:v>
      </x:c>
      <x:c r="B1041" s="4" t="b">
        <x:v>1</x:v>
      </x:c>
      <x:c r="C1041" t="s">
        <x:v>1398</x:v>
      </x:c>
      <x:c r="D1041" t="s">
        <x:v>331</x:v>
      </x:c>
      <x:c r="F1041" t="s">
        <x:v>321</x:v>
      </x:c>
    </x:row>
    <x:row r="1042">
      <x:c r="B1042" s="4" t="b">
        <x:v>1</x:v>
      </x:c>
      <x:c r="C1042" t="s">
        <x:v>1399</x:v>
      </x:c>
      <x:c r="D1042" t="s">
        <x:v>331</x:v>
      </x:c>
      <x:c r="F1042" t="s">
        <x:v>321</x:v>
      </x:c>
    </x:row>
    <x:row r="1043">
      <x:c r="A1043">
        <x:v>8484174</x:v>
      </x:c>
      <x:c r="B1043" s="4" t="b">
        <x:v>1</x:v>
      </x:c>
      <x:c r="C1043" t="s">
        <x:v>1400</x:v>
      </x:c>
      <x:c r="D1043" t="s">
        <x:v>331</x:v>
      </x:c>
      <x:c r="F1043" t="s">
        <x:v>321</x:v>
      </x:c>
    </x:row>
    <x:row r="1044">
      <x:c r="A1044">
        <x:v>8482631</x:v>
      </x:c>
      <x:c r="B1044" s="4" t="b">
        <x:v>1</x:v>
      </x:c>
      <x:c r="C1044" t="s">
        <x:v>1401</x:v>
      </x:c>
      <x:c r="D1044" t="s">
        <x:v>358</x:v>
      </x:c>
      <x:c r="F1044" t="s">
        <x:v>321</x:v>
      </x:c>
    </x:row>
    <x:row r="1045">
      <x:c r="A1045">
        <x:v>8484196</x:v>
      </x:c>
      <x:c r="B1045" s="4" t="b">
        <x:v>1</x:v>
      </x:c>
      <x:c r="C1045" t="s">
        <x:v>1402</x:v>
      </x:c>
      <x:c r="D1045" t="s">
        <x:v>331</x:v>
      </x:c>
      <x:c r="F1045" t="s">
        <x:v>321</x:v>
      </x:c>
    </x:row>
    <x:row r="1046">
      <x:c r="A1046">
        <x:v>8482693</x:v>
      </x:c>
      <x:c r="B1046" s="4" t="b">
        <x:v>1</x:v>
      </x:c>
      <x:c r="C1046" t="s">
        <x:v>1403</x:v>
      </x:c>
      <x:c r="D1046" t="s">
        <x:v>331</x:v>
      </x:c>
      <x:c r="F1046" t="s">
        <x:v>321</x:v>
      </x:c>
    </x:row>
    <x:row r="1047">
      <x:c r="A1047">
        <x:v>8481019</x:v>
      </x:c>
      <x:c r="B1047" s="4" t="b">
        <x:v>1</x:v>
      </x:c>
      <x:c r="C1047" t="s">
        <x:v>1404</x:v>
      </x:c>
      <x:c r="D1047" t="s">
        <x:v>319</x:v>
      </x:c>
      <x:c r="F1047" t="s">
        <x:v>321</x:v>
      </x:c>
    </x:row>
    <x:row r="1048">
      <x:c r="A1048">
        <x:v>8481550</x:v>
      </x:c>
      <x:c r="B1048" s="4" t="b">
        <x:v>1</x:v>
      </x:c>
      <x:c r="C1048" t="s">
        <x:v>1405</x:v>
      </x:c>
      <x:c r="D1048" t="s">
        <x:v>358</x:v>
      </x:c>
      <x:c r="F1048" t="s">
        <x:v>321</x:v>
      </x:c>
    </x:row>
    <x:row r="1049">
      <x:c r="A1049">
        <x:v>8482692</x:v>
      </x:c>
      <x:c r="B1049" s="4" t="b">
        <x:v>1</x:v>
      </x:c>
      <x:c r="C1049" t="s">
        <x:v>1406</x:v>
      </x:c>
      <x:c r="D1049" t="s">
        <x:v>331</x:v>
      </x:c>
      <x:c r="F1049" t="s">
        <x:v>321</x:v>
      </x:c>
    </x:row>
    <x:row r="1050">
      <x:c r="A1050">
        <x:v>8483395</x:v>
      </x:c>
      <x:c r="B1050" s="4" t="b">
        <x:v>1</x:v>
      </x:c>
      <x:c r="C1050" t="s">
        <x:v>1407</x:v>
      </x:c>
      <x:c r="D1050" t="s">
        <x:v>358</x:v>
      </x:c>
      <x:c r="F1050" t="s">
        <x:v>321</x:v>
      </x:c>
    </x:row>
    <x:row r="1051">
      <x:c r="A1051">
        <x:v>8480851</x:v>
      </x:c>
      <x:c r="B1051" s="4" t="b">
        <x:v>1</x:v>
      </x:c>
      <x:c r="C1051" t="s">
        <x:v>1408</x:v>
      </x:c>
      <x:c r="D1051" t="s">
        <x:v>319</x:v>
      </x:c>
      <x:c r="F1051" t="s">
        <x:v>321</x:v>
      </x:c>
    </x:row>
    <x:row r="1052">
      <x:c r="A1052">
        <x:v>8481732</x:v>
      </x:c>
      <x:c r="B1052" s="4" t="b">
        <x:v>1</x:v>
      </x:c>
      <x:c r="C1052" t="s">
        <x:v>1409</x:v>
      </x:c>
      <x:c r="D1052" t="s">
        <x:v>358</x:v>
      </x:c>
      <x:c r="F1052" t="s">
        <x:v>321</x:v>
      </x:c>
    </x:row>
    <x:row r="1053">
      <x:c r="A1053">
        <x:v>8481827</x:v>
      </x:c>
      <x:c r="B1053" s="4" t="b">
        <x:v>1</x:v>
      </x:c>
      <x:c r="C1053" t="s">
        <x:v>1410</x:v>
      </x:c>
      <x:c r="D1053" t="s">
        <x:v>333</x:v>
      </x:c>
      <x:c r="F1053" t="s">
        <x:v>321</x:v>
      </x:c>
    </x:row>
    <x:row r="1054">
      <x:c r="A1054">
        <x:v>8482763</x:v>
      </x:c>
      <x:c r="B1054" s="4" t="b">
        <x:v>1</x:v>
      </x:c>
      <x:c r="C1054" t="s">
        <x:v>1411</x:v>
      </x:c>
      <x:c r="D1054" t="s">
        <x:v>326</x:v>
      </x:c>
      <x:c r="F1054" t="s">
        <x:v>321</x:v>
      </x:c>
    </x:row>
    <x:row r="1055">
      <x:c r="A1055">
        <x:v>8480853</x:v>
      </x:c>
      <x:c r="B1055" s="4" t="b">
        <x:v>1</x:v>
      </x:c>
      <x:c r="C1055" t="s">
        <x:v>1412</x:v>
      </x:c>
      <x:c r="D1055" t="s">
        <x:v>319</x:v>
      </x:c>
      <x:c r="F1055" t="s">
        <x:v>321</x:v>
      </x:c>
    </x:row>
    <x:row r="1056">
      <x:c r="A1056">
        <x:v>8481703</x:v>
      </x:c>
      <x:c r="B1056" s="4" t="b">
        <x:v>1</x:v>
      </x:c>
      <x:c r="C1056" t="s">
        <x:v>1413</x:v>
      </x:c>
      <x:c r="D1056" t="s">
        <x:v>326</x:v>
      </x:c>
      <x:c r="F1056" t="s">
        <x:v>321</x:v>
      </x:c>
    </x:row>
    <x:row r="1057">
      <x:c r="A1057">
        <x:v>8477353</x:v>
      </x:c>
      <x:c r="B1057" s="4" t="b">
        <x:v>1</x:v>
      </x:c>
      <x:c r="C1057" t="s">
        <x:v>1414</x:v>
      </x:c>
      <x:c r="D1057" t="s">
        <x:v>329</x:v>
      </x:c>
      <x:c r="F1057" t="s">
        <x:v>321</x:v>
      </x:c>
    </x:row>
    <x:row r="1058">
      <x:c r="A1058">
        <x:v>8485138</x:v>
      </x:c>
      <x:c r="B1058" s="4" t="b">
        <x:v>1</x:v>
      </x:c>
      <x:c r="C1058" t="s">
        <x:v>1415</x:v>
      </x:c>
      <x:c r="D1058" t="s">
        <x:v>331</x:v>
      </x:c>
      <x:c r="F1058" t="s">
        <x:v>321</x:v>
      </x:c>
    </x:row>
    <x:row r="1059">
      <x:c r="A1059">
        <x:v>8483695</x:v>
      </x:c>
      <x:c r="B1059" s="4" t="b">
        <x:v>1</x:v>
      </x:c>
      <x:c r="C1059" t="s">
        <x:v>1416</x:v>
      </x:c>
      <x:c r="D1059" t="s">
        <x:v>319</x:v>
      </x:c>
      <x:c r="F1059" t="s">
        <x:v>321</x:v>
      </x:c>
    </x:row>
    <x:row r="1060">
      <x:c r="A1060">
        <x:v>8482901</x:v>
      </x:c>
      <x:c r="B1060" s="4" t="b">
        <x:v>1</x:v>
      </x:c>
      <x:c r="C1060" t="s">
        <x:v>1417</x:v>
      </x:c>
      <x:c r="D1060" t="s">
        <x:v>331</x:v>
      </x:c>
      <x:c r="F1060" t="s">
        <x:v>321</x:v>
      </x:c>
    </x:row>
    <x:row r="1061">
      <x:c r="A1061">
        <x:v>8480886</x:v>
      </x:c>
      <x:c r="B1061" s="4" t="b">
        <x:v>1</x:v>
      </x:c>
      <x:c r="C1061" t="s">
        <x:v>1418</x:v>
      </x:c>
      <x:c r="D1061" t="s">
        <x:v>331</x:v>
      </x:c>
      <x:c r="F1061" t="s">
        <x:v>321</x:v>
      </x:c>
    </x:row>
    <x:row r="1062">
      <x:c r="A1062">
        <x:v>8482686</x:v>
      </x:c>
      <x:c r="B1062" s="4" t="b">
        <x:v>1</x:v>
      </x:c>
      <x:c r="C1062" t="s">
        <x:v>1419</x:v>
      </x:c>
      <x:c r="D1062" t="s">
        <x:v>331</x:v>
      </x:c>
      <x:c r="F1062" t="s">
        <x:v>321</x:v>
      </x:c>
    </x:row>
    <x:row r="1063">
      <x:c r="A1063">
        <x:v>8482698</x:v>
      </x:c>
      <x:c r="B1063" s="4" t="b">
        <x:v>1</x:v>
      </x:c>
      <x:c r="C1063" t="s">
        <x:v>1420</x:v>
      </x:c>
      <x:c r="D1063" t="s">
        <x:v>339</x:v>
      </x:c>
      <x:c r="F1063" t="s">
        <x:v>321</x:v>
      </x:c>
    </x:row>
    <x:row r="1064">
      <x:c r="A1064">
        <x:v>8483109</x:v>
      </x:c>
      <x:c r="B1064" s="4" t="b">
        <x:v>1</x:v>
      </x:c>
      <x:c r="C1064" t="s">
        <x:v>1421</x:v>
      </x:c>
      <x:c r="D1064" t="s">
        <x:v>331</x:v>
      </x:c>
      <x:c r="F1064" t="s">
        <x:v>321</x:v>
      </x:c>
    </x:row>
    <x:row r="1065">
      <x:c r="A1065">
        <x:v>8477631</x:v>
      </x:c>
      <x:c r="B1065" s="4" t="b">
        <x:v>1</x:v>
      </x:c>
      <x:c r="C1065" t="s">
        <x:v>1422</x:v>
      </x:c>
      <x:c r="D1065" t="s">
        <x:v>358</x:v>
      </x:c>
      <x:c r="F1065" t="s">
        <x:v>321</x:v>
      </x:c>
    </x:row>
    <x:row r="1066">
      <x:c r="A1066">
        <x:v>8480241</x:v>
      </x:c>
      <x:c r="B1066" s="4" t="b">
        <x:v>1</x:v>
      </x:c>
      <x:c r="C1066" t="s">
        <x:v>1423</x:v>
      </x:c>
      <x:c r="D1066" t="s">
        <x:v>331</x:v>
      </x:c>
      <x:c r="F1066" t="s">
        <x:v>321</x:v>
      </x:c>
    </x:row>
    <x:row r="1067">
      <x:c r="A1067">
        <x:v>8484200</x:v>
      </x:c>
      <x:c r="B1067" s="4" t="b">
        <x:v>1</x:v>
      </x:c>
      <x:c r="C1067" t="s">
        <x:v>1424</x:v>
      </x:c>
      <x:c r="D1067" t="s">
        <x:v>358</x:v>
      </x:c>
      <x:c r="F1067" t="s">
        <x:v>321</x:v>
      </x:c>
    </x:row>
    <x:row r="1068">
      <x:c r="A1068">
        <x:v>8481712</x:v>
      </x:c>
      <x:c r="B1068" s="4" t="b">
        <x:v>1</x:v>
      </x:c>
      <x:c r="C1068" t="s">
        <x:v>1425</x:v>
      </x:c>
      <x:c r="D1068" t="s">
        <x:v>333</x:v>
      </x:c>
      <x:c r="F1068" t="s">
        <x:v>321</x:v>
      </x:c>
    </x:row>
    <x:row r="1069">
      <x:c r="A1069">
        <x:v>8477255</x:v>
      </x:c>
      <x:c r="B1069" s="4" t="b">
        <x:v>1</x:v>
      </x:c>
      <x:c r="C1069" t="s">
        <x:v>1426</x:v>
      </x:c>
      <x:c r="D1069" t="s">
        <x:v>358</x:v>
      </x:c>
      <x:c r="F1069" t="s">
        <x:v>321</x:v>
      </x:c>
    </x:row>
    <x:row r="1070">
      <x:c r="A1070">
        <x:v>8476421</x:v>
      </x:c>
      <x:c r="B1070" s="4" t="b">
        <x:v>1</x:v>
      </x:c>
      <x:c r="C1070" t="s">
        <x:v>1427</x:v>
      </x:c>
      <x:c r="D1070" t="s">
        <x:v>331</x:v>
      </x:c>
      <x:c r="F1070" t="s">
        <x:v>321</x:v>
      </x:c>
    </x:row>
    <x:row r="1071">
      <x:c r="A1071">
        <x:v>8482922</x:v>
      </x:c>
      <x:c r="B1071" s="4" t="b">
        <x:v>1</x:v>
      </x:c>
      <x:c r="C1071" t="s">
        <x:v>1428</x:v>
      </x:c>
      <x:c r="D1071" t="s">
        <x:v>331</x:v>
      </x:c>
      <x:c r="F1071" t="s">
        <x:v>321</x:v>
      </x:c>
    </x:row>
    <x:row r="1072">
      <x:c r="A1072">
        <x:v>8481774</x:v>
      </x:c>
      <x:c r="B1072" s="4" t="b">
        <x:v>1</x:v>
      </x:c>
      <x:c r="C1072" t="s">
        <x:v>1429</x:v>
      </x:c>
      <x:c r="D1072" t="s">
        <x:v>331</x:v>
      </x:c>
      <x:c r="F1072" t="s">
        <x:v>321</x:v>
      </x:c>
    </x:row>
    <x:row r="1073">
      <x:c r="A1073">
        <x:v>8482194</x:v>
      </x:c>
      <x:c r="B1073" s="4" t="b">
        <x:v>1</x:v>
      </x:c>
      <x:c r="C1073" t="s">
        <x:v>1430</x:v>
      </x:c>
      <x:c r="D1073" t="s">
        <x:v>331</x:v>
      </x:c>
      <x:c r="F1073" t="s">
        <x:v>321</x:v>
      </x:c>
    </x:row>
    <x:row r="1074">
      <x:c r="A1074">
        <x:v>8485457</x:v>
      </x:c>
      <x:c r="B1074" s="4" t="b">
        <x:v>1</x:v>
      </x:c>
      <x:c r="C1074" t="s">
        <x:v>1431</x:v>
      </x:c>
      <x:c r="D1074" t="s">
        <x:v>331</x:v>
      </x:c>
      <x:c r="F1074" t="s">
        <x:v>321</x:v>
      </x:c>
    </x:row>
    <x:row r="1075">
      <x:c r="A1075">
        <x:v>8484433</x:v>
      </x:c>
      <x:c r="B1075" s="4" t="b">
        <x:v>1</x:v>
      </x:c>
      <x:c r="C1075" t="s">
        <x:v>1432</x:v>
      </x:c>
      <x:c r="D1075" t="s">
        <x:v>331</x:v>
      </x:c>
      <x:c r="F1075" t="s">
        <x:v>321</x:v>
      </x:c>
    </x:row>
    <x:row r="1076">
      <x:c r="A1076">
        <x:v>8481538</x:v>
      </x:c>
      <x:c r="B1076" s="4" t="b">
        <x:v>1</x:v>
      </x:c>
      <x:c r="C1076" t="s">
        <x:v>1433</x:v>
      </x:c>
      <x:c r="D1076" t="s">
        <x:v>323</x:v>
      </x:c>
      <x:c r="F1076" t="s">
        <x:v>321</x:v>
      </x:c>
    </x:row>
    <x:row r="1077">
      <x:c r="A1077">
        <x:v>8482804</x:v>
      </x:c>
      <x:c r="B1077" s="4" t="b">
        <x:v>1</x:v>
      </x:c>
      <x:c r="C1077" t="s">
        <x:v>1434</x:v>
      </x:c>
      <x:c r="D1077" t="s">
        <x:v>331</x:v>
      </x:c>
      <x:c r="F1077" t="s">
        <x:v>321</x:v>
      </x:c>
    </x:row>
    <x:row r="1078">
      <x:c r="A1078">
        <x:v>8484922</x:v>
      </x:c>
      <x:c r="B1078" s="4" t="b">
        <x:v>1</x:v>
      </x:c>
      <x:c r="C1078" t="s">
        <x:v>1435</x:v>
      </x:c>
      <x:c r="D1078" t="s">
        <x:v>331</x:v>
      </x:c>
      <x:c r="F1078" t="s">
        <x:v>321</x:v>
      </x:c>
    </x:row>
    <x:row r="1079">
      <x:c r="A1079">
        <x:v>8483442</x:v>
      </x:c>
      <x:c r="B1079" s="4" t="b">
        <x:v>1</x:v>
      </x:c>
      <x:c r="C1079" t="s">
        <x:v>1436</x:v>
      </x:c>
      <x:c r="D1079" t="s">
        <x:v>326</x:v>
      </x:c>
      <x:c r="F1079" t="s">
        <x:v>321</x:v>
      </x:c>
    </x:row>
    <x:row r="1080">
      <x:c r="A1080">
        <x:v>8480789</x:v>
      </x:c>
      <x:c r="B1080" s="4" t="b">
        <x:v>1</x:v>
      </x:c>
      <x:c r="C1080" t="s">
        <x:v>1437</x:v>
      </x:c>
      <x:c r="D1080" t="s">
        <x:v>326</x:v>
      </x:c>
      <x:c r="E1080" t="s">
        <x:v>343</x:v>
      </x:c>
      <x:c r="F1080" t="s">
        <x:v>321</x:v>
      </x:c>
    </x:row>
    <x:row r="1081">
      <x:c r="A1081">
        <x:v>8468503</x:v>
      </x:c>
      <x:c r="B1081" s="4" t="b">
        <x:v>1</x:v>
      </x:c>
      <x:c r="C1081" t="s">
        <x:v>1438</x:v>
      </x:c>
      <x:c r="D1081" t="s">
        <x:v>323</x:v>
      </x:c>
      <x:c r="F1081" t="s">
        <x:v>321</x:v>
      </x:c>
    </x:row>
    <x:row r="1082">
      <x:c r="A1082">
        <x:v>8483085</x:v>
      </x:c>
      <x:c r="B1082" s="4" t="b">
        <x:v>1</x:v>
      </x:c>
      <x:c r="C1082" t="s">
        <x:v>1439</x:v>
      </x:c>
      <x:c r="D1082" t="s">
        <x:v>331</x:v>
      </x:c>
      <x:c r="F1082" t="s">
        <x:v>321</x:v>
      </x:c>
    </x:row>
    <x:row r="1083">
      <x:c r="A1083">
        <x:v>8482096</x:v>
      </x:c>
      <x:c r="B1083" s="4" t="b">
        <x:v>1</x:v>
      </x:c>
      <x:c r="C1083" t="s">
        <x:v>1440</x:v>
      </x:c>
      <x:c r="D1083" t="s">
        <x:v>331</x:v>
      </x:c>
      <x:c r="F1083" t="s">
        <x:v>321</x:v>
      </x:c>
    </x:row>
    <x:row r="1084">
      <x:c r="A1084">
        <x:v>8483397</x:v>
      </x:c>
      <x:c r="B1084" s="4" t="b">
        <x:v>1</x:v>
      </x:c>
      <x:c r="C1084" t="s">
        <x:v>1441</x:v>
      </x:c>
      <x:c r="D1084" t="s">
        <x:v>319</x:v>
      </x:c>
      <x:c r="F1084" t="s">
        <x:v>321</x:v>
      </x:c>
    </x:row>
    <x:row r="1085">
      <x:c r="A1085">
        <x:v>8484741</x:v>
      </x:c>
      <x:c r="B1085" s="4" t="b">
        <x:v>1</x:v>
      </x:c>
      <x:c r="C1085" t="s">
        <x:v>1442</x:v>
      </x:c>
      <x:c r="D1085" t="s">
        <x:v>331</x:v>
      </x:c>
      <x:c r="F1085" t="s">
        <x:v>321</x:v>
      </x:c>
    </x:row>
    <x:row r="1086">
      <x:c r="A1086">
        <x:v>8484202</x:v>
      </x:c>
      <x:c r="B1086" s="4" t="b">
        <x:v>1</x:v>
      </x:c>
      <x:c r="C1086" t="s">
        <x:v>1443</x:v>
      </x:c>
      <x:c r="D1086" t="s">
        <x:v>331</x:v>
      </x:c>
      <x:c r="F1086" t="s">
        <x:v>321</x:v>
      </x:c>
    </x:row>
    <x:row r="1087">
      <x:c r="A1087">
        <x:v>8481715</x:v>
      </x:c>
      <x:c r="B1087" s="4" t="b">
        <x:v>1</x:v>
      </x:c>
      <x:c r="C1087" t="s">
        <x:v>1444</x:v>
      </x:c>
      <x:c r="D1087" t="s">
        <x:v>331</x:v>
      </x:c>
      <x:c r="F1087" t="s">
        <x:v>321</x:v>
      </x:c>
    </x:row>
    <x:row r="1088">
      <x:c r="A1088">
        <x:v>8482890</x:v>
      </x:c>
      <x:c r="B1088" s="4" t="b">
        <x:v>1</x:v>
      </x:c>
      <x:c r="C1088" t="s">
        <x:v>1445</x:v>
      </x:c>
      <x:c r="D1088" t="s">
        <x:v>331</x:v>
      </x:c>
      <x:c r="F1088" t="s">
        <x:v>321</x:v>
      </x:c>
    </x:row>
    <x:row r="1089">
      <x:c r="A1089">
        <x:v>8478912</x:v>
      </x:c>
      <x:c r="B1089" s="4" t="b">
        <x:v>1</x:v>
      </x:c>
      <x:c r="C1089" t="s">
        <x:v>1446</x:v>
      </x:c>
      <x:c r="D1089" t="s">
        <x:v>319</x:v>
      </x:c>
      <x:c r="E1089" t="s">
        <x:v>584</x:v>
      </x:c>
      <x:c r="F1089" t="s">
        <x:v>321</x:v>
      </x:c>
    </x:row>
    <x:row r="1090">
      <x:c r="A1090">
        <x:v>8485019</x:v>
      </x:c>
      <x:c r="B1090" s="4" t="b">
        <x:v>1</x:v>
      </x:c>
      <x:c r="C1090" t="s">
        <x:v>1447</x:v>
      </x:c>
      <x:c r="D1090" t="s">
        <x:v>331</x:v>
      </x:c>
      <x:c r="F1090" t="s">
        <x:v>321</x:v>
      </x:c>
    </x:row>
    <x:row r="1091">
      <x:c r="A1091">
        <x:v>8484275</x:v>
      </x:c>
      <x:c r="B1091" s="4" t="b">
        <x:v>1</x:v>
      </x:c>
      <x:c r="C1091" t="s">
        <x:v>1448</x:v>
      </x:c>
      <x:c r="D1091" t="s">
        <x:v>358</x:v>
      </x:c>
      <x:c r="F1091" t="s">
        <x:v>321</x:v>
      </x:c>
    </x:row>
    <x:row r="1092">
      <x:c r="A1092">
        <x:v>8481570</x:v>
      </x:c>
      <x:c r="B1092" s="4" t="b">
        <x:v>1</x:v>
      </x:c>
      <x:c r="C1092" t="s">
        <x:v>1449</x:v>
      </x:c>
      <x:c r="D1092" t="s">
        <x:v>331</x:v>
      </x:c>
      <x:c r="F1092" t="s">
        <x:v>321</x:v>
      </x:c>
    </x:row>
    <x:row r="1093">
      <x:c r="A1093">
        <x:v>8484772</x:v>
      </x:c>
      <x:c r="B1093" s="4" t="b">
        <x:v>1</x:v>
      </x:c>
      <x:c r="C1093" t="s">
        <x:v>1450</x:v>
      </x:c>
      <x:c r="D1093" t="s">
        <x:v>331</x:v>
      </x:c>
      <x:c r="F1093" t="s">
        <x:v>321</x:v>
      </x:c>
    </x:row>
    <x:row r="1094">
      <x:c r="A1094">
        <x:v>8483675</x:v>
      </x:c>
      <x:c r="B1094" s="4" t="b">
        <x:v>1</x:v>
      </x:c>
      <x:c r="C1094" t="s">
        <x:v>1451</x:v>
      </x:c>
      <x:c r="D1094" t="s">
        <x:v>319</x:v>
      </x:c>
      <x:c r="F1094" t="s">
        <x:v>321</x:v>
      </x:c>
    </x:row>
    <x:row r="1095">
      <x:c r="A1095">
        <x:v>8484406</x:v>
      </x:c>
      <x:c r="B1095" s="4" t="b">
        <x:v>1</x:v>
      </x:c>
      <x:c r="C1095" t="s">
        <x:v>1452</x:v>
      </x:c>
      <x:c r="D1095" t="s">
        <x:v>319</x:v>
      </x:c>
      <x:c r="F1095" t="s">
        <x:v>321</x:v>
      </x:c>
    </x:row>
    <x:row r="1096">
      <x:c r="A1096">
        <x:v>8482759</x:v>
      </x:c>
      <x:c r="B1096" s="4" t="b">
        <x:v>1</x:v>
      </x:c>
      <x:c r="C1096" t="s">
        <x:v>1453</x:v>
      </x:c>
      <x:c r="D1096" t="s">
        <x:v>319</x:v>
      </x:c>
      <x:c r="F1096" t="s">
        <x:v>321</x:v>
      </x:c>
    </x:row>
    <x:row r="1097">
      <x:c r="A1097">
        <x:v>8480441</x:v>
      </x:c>
      <x:c r="B1097" s="4" t="b">
        <x:v>1</x:v>
      </x:c>
      <x:c r="C1097" t="s">
        <x:v>1454</x:v>
      </x:c>
      <x:c r="D1097" t="s">
        <x:v>326</x:v>
      </x:c>
      <x:c r="F1097" t="s">
        <x:v>321</x:v>
      </x:c>
    </x:row>
    <x:row r="1098">
      <x:c r="A1098">
        <x:v>8482682</x:v>
      </x:c>
      <x:c r="B1098" s="4" t="b">
        <x:v>1</x:v>
      </x:c>
      <x:c r="C1098" t="s">
        <x:v>1455</x:v>
      </x:c>
      <x:c r="D1098" t="s">
        <x:v>333</x:v>
      </x:c>
      <x:c r="F1098" t="s">
        <x:v>321</x:v>
      </x:c>
    </x:row>
    <x:row r="1099">
      <x:c r="A1099">
        <x:v>8484797</x:v>
      </x:c>
      <x:c r="B1099" s="4" t="b">
        <x:v>1</x:v>
      </x:c>
      <x:c r="C1099" t="s">
        <x:v>1456</x:v>
      </x:c>
      <x:c r="D1099" t="s">
        <x:v>323</x:v>
      </x:c>
      <x:c r="F1099" t="s">
        <x:v>321</x:v>
      </x:c>
    </x:row>
    <x:row r="1100">
      <x:c r="A1100">
        <x:v>8482766</x:v>
      </x:c>
      <x:c r="B1100" s="4" t="b">
        <x:v>1</x:v>
      </x:c>
      <x:c r="C1100" t="s">
        <x:v>1457</x:v>
      </x:c>
      <x:c r="D1100" t="s">
        <x:v>358</x:v>
      </x:c>
      <x:c r="F1100" t="s">
        <x:v>321</x:v>
      </x:c>
    </x:row>
    <x:row r="1101">
      <x:c r="A1101">
        <x:v>8483546</x:v>
      </x:c>
      <x:c r="B1101" s="4" t="b">
        <x:v>1</x:v>
      </x:c>
      <x:c r="C1101" t="s">
        <x:v>1458</x:v>
      </x:c>
      <x:c r="D1101" t="s">
        <x:v>331</x:v>
      </x:c>
      <x:c r="F1101" t="s">
        <x:v>321</x:v>
      </x:c>
    </x:row>
    <x:row r="1102">
      <x:c r="A1102">
        <x:v>8483732</x:v>
      </x:c>
      <x:c r="B1102" s="4" t="b">
        <x:v>1</x:v>
      </x:c>
      <x:c r="C1102" t="s">
        <x:v>1459</x:v>
      </x:c>
      <x:c r="D1102" t="s">
        <x:v>331</x:v>
      </x:c>
      <x:c r="F1102" t="s">
        <x:v>321</x:v>
      </x:c>
    </x:row>
    <x:row r="1103">
      <x:c r="A1103">
        <x:v>8485468</x:v>
      </x:c>
      <x:c r="B1103" s="4" t="b">
        <x:v>1</x:v>
      </x:c>
      <x:c r="C1103" t="s">
        <x:v>1460</x:v>
      </x:c>
      <x:c r="D1103" t="s">
        <x:v>331</x:v>
      </x:c>
      <x:c r="F1103" t="s">
        <x:v>321</x:v>
      </x:c>
    </x:row>
    <x:row r="1104">
      <x:c r="A1104">
        <x:v>8482453</x:v>
      </x:c>
      <x:c r="B1104" s="4" t="b">
        <x:v>1</x:v>
      </x:c>
      <x:c r="C1104" t="s">
        <x:v>1461</x:v>
      </x:c>
      <x:c r="D1104" t="s">
        <x:v>331</x:v>
      </x:c>
      <x:c r="F1104" t="s">
        <x:v>321</x:v>
      </x:c>
    </x:row>
    <x:row r="1105">
      <x:c r="A1105">
        <x:v>8482143</x:v>
      </x:c>
      <x:c r="B1105" s="4" t="b">
        <x:v>1</x:v>
      </x:c>
      <x:c r="C1105" t="s">
        <x:v>1462</x:v>
      </x:c>
      <x:c r="D1105" t="s">
        <x:v>331</x:v>
      </x:c>
      <x:c r="F1105" t="s">
        <x:v>321</x:v>
      </x:c>
    </x:row>
    <x:row r="1106">
      <x:c r="A1106">
        <x:v>8485484</x:v>
      </x:c>
      <x:c r="B1106" s="4" t="b">
        <x:v>1</x:v>
      </x:c>
      <x:c r="C1106" t="s">
        <x:v>1463</x:v>
      </x:c>
      <x:c r="D1106" t="s">
        <x:v>331</x:v>
      </x:c>
      <x:c r="F1106" t="s">
        <x:v>321</x:v>
      </x:c>
    </x:row>
    <x:row r="1107">
      <x:c r="A1107">
        <x:v>8483745</x:v>
      </x:c>
      <x:c r="B1107" s="4" t="b">
        <x:v>1</x:v>
      </x:c>
      <x:c r="C1107" t="s">
        <x:v>1464</x:v>
      </x:c>
      <x:c r="D1107" t="s">
        <x:v>331</x:v>
      </x:c>
      <x:c r="F1107" t="s">
        <x:v>321</x:v>
      </x:c>
    </x:row>
    <x:row r="1108">
      <x:c r="A1108">
        <x:v>8480252</x:v>
      </x:c>
      <x:c r="B1108" s="4" t="b">
        <x:v>1</x:v>
      </x:c>
      <x:c r="C1108" t="s">
        <x:v>1465</x:v>
      </x:c>
      <x:c r="D1108" t="s">
        <x:v>319</x:v>
      </x:c>
      <x:c r="F1108" t="s">
        <x:v>321</x:v>
      </x:c>
    </x:row>
    <x:row r="1109">
      <x:c r="A1109">
        <x:v>8485539</x:v>
      </x:c>
      <x:c r="B1109" s="4" t="b">
        <x:v>1</x:v>
      </x:c>
      <x:c r="C1109" t="s">
        <x:v>1466</x:v>
      </x:c>
      <x:c r="D1109" t="s">
        <x:v>319</x:v>
      </x:c>
      <x:c r="F1109" t="s">
        <x:v>321</x:v>
      </x:c>
    </x:row>
    <x:row r="1110">
      <x:c r="A1110">
        <x:v>8479656</x:v>
      </x:c>
      <x:c r="B1110" s="4" t="b">
        <x:v>1</x:v>
      </x:c>
      <x:c r="C1110" t="s">
        <x:v>1467</x:v>
      </x:c>
      <x:c r="D1110" t="s">
        <x:v>326</x:v>
      </x:c>
      <x:c r="F1110" t="s">
        <x:v>321</x:v>
      </x:c>
    </x:row>
    <x:row r="1111">
      <x:c r="A1111">
        <x:v>8482683</x:v>
      </x:c>
      <x:c r="B1111" s="4" t="b">
        <x:v>1</x:v>
      </x:c>
      <x:c r="C1111" t="s">
        <x:v>1468</x:v>
      </x:c>
      <x:c r="D1111" t="s">
        <x:v>331</x:v>
      </x:c>
      <x:c r="F1111" t="s">
        <x:v>321</x:v>
      </x:c>
    </x:row>
    <x:row r="1112">
      <x:c r="A1112">
        <x:v>8486056</x:v>
      </x:c>
      <x:c r="B1112" s="4" t="b">
        <x:v>1</x:v>
      </x:c>
      <x:c r="C1112" t="s">
        <x:v>1469</x:v>
      </x:c>
      <x:c r="D1112" t="s">
        <x:v>319</x:v>
      </x:c>
      <x:c r="E1112" t="s">
        <x:v>576</x:v>
      </x:c>
      <x:c r="F1112" t="s">
        <x:v>321</x:v>
      </x:c>
    </x:row>
    <x:row r="1113">
      <x:c r="A1113">
        <x:v>8483435</x:v>
      </x:c>
      <x:c r="B1113" s="4" t="b">
        <x:v>1</x:v>
      </x:c>
      <x:c r="C1113" t="s">
        <x:v>1470</x:v>
      </x:c>
      <x:c r="D1113" t="s">
        <x:v>331</x:v>
      </x:c>
      <x:c r="F1113" t="s">
        <x:v>321</x:v>
      </x:c>
    </x:row>
    <x:row r="1114">
      <x:c r="A1114">
        <x:v>8485251</x:v>
      </x:c>
      <x:c r="B1114" s="4" t="b">
        <x:v>1</x:v>
      </x:c>
      <x:c r="C1114" t="s">
        <x:v>1471</x:v>
      </x:c>
      <x:c r="D1114" t="s">
        <x:v>323</x:v>
      </x:c>
      <x:c r="E1114" t="s">
        <x:v>436</x:v>
      </x:c>
      <x:c r="F1114" t="s">
        <x:v>321</x:v>
      </x:c>
    </x:row>
    <x:row r="1115">
      <x:c r="A1115">
        <x:v>8482801</x:v>
      </x:c>
      <x:c r="B1115" s="4" t="b">
        <x:v>1</x:v>
      </x:c>
      <x:c r="C1115" t="s">
        <x:v>1472</x:v>
      </x:c>
      <x:c r="D1115" t="s">
        <x:v>331</x:v>
      </x:c>
      <x:c r="F1115" t="s">
        <x:v>321</x:v>
      </x:c>
    </x:row>
    <x:row r="1116">
      <x:c r="A1116">
        <x:v>8484168</x:v>
      </x:c>
      <x:c r="B1116" s="4" t="b">
        <x:v>1</x:v>
      </x:c>
      <x:c r="C1116" t="s">
        <x:v>1473</x:v>
      </x:c>
      <x:c r="D1116" t="s">
        <x:v>319</x:v>
      </x:c>
      <x:c r="F1116" t="s">
        <x:v>321</x:v>
      </x:c>
    </x:row>
    <x:row r="1117">
      <x:c r="A1117">
        <x:v>8482806</x:v>
      </x:c>
      <x:c r="B1117" s="4" t="b">
        <x:v>1</x:v>
      </x:c>
      <x:c r="C1117" t="s">
        <x:v>1474</x:v>
      </x:c>
      <x:c r="D1117" t="s">
        <x:v>331</x:v>
      </x:c>
      <x:c r="F1117" t="s">
        <x:v>321</x:v>
      </x:c>
    </x:row>
    <x:row r="1118">
      <x:c r="A1118">
        <x:v>8478937</x:v>
      </x:c>
      <x:c r="B1118" s="4" t="b">
        <x:v>1</x:v>
      </x:c>
      <x:c r="C1118" t="s">
        <x:v>1475</x:v>
      </x:c>
      <x:c r="D1118" t="s">
        <x:v>331</x:v>
      </x:c>
      <x:c r="F1118" t="s">
        <x:v>321</x:v>
      </x:c>
    </x:row>
    <x:row r="1119">
      <x:c r="A1119">
        <x:v>8485499</x:v>
      </x:c>
      <x:c r="B1119" s="4" t="b">
        <x:v>1</x:v>
      </x:c>
      <x:c r="C1119" t="s">
        <x:v>1476</x:v>
      </x:c>
      <x:c r="D1119" t="s">
        <x:v>331</x:v>
      </x:c>
      <x:c r="F1119" t="s">
        <x:v>321</x:v>
      </x:c>
    </x:row>
    <x:row r="1120">
      <x:c r="A1120">
        <x:v>8474100</x:v>
      </x:c>
      <x:c r="B1120" s="4" t="b">
        <x:v>1</x:v>
      </x:c>
      <x:c r="C1120" t="s">
        <x:v>1477</x:v>
      </x:c>
      <x:c r="D1120" t="s">
        <x:v>331</x:v>
      </x:c>
      <x:c r="E1120" t="s">
        <x:v>584</x:v>
      </x:c>
      <x:c r="F1120" t="s">
        <x:v>321</x:v>
      </x:c>
    </x:row>
    <x:row r="1121">
      <x:c r="A1121">
        <x:v>8482167</x:v>
      </x:c>
      <x:c r="B1121" s="4" t="b">
        <x:v>1</x:v>
      </x:c>
      <x:c r="C1121" t="s">
        <x:v>1478</x:v>
      </x:c>
      <x:c r="D1121" t="s">
        <x:v>358</x:v>
      </x:c>
      <x:c r="F1121" t="s">
        <x:v>321</x:v>
      </x:c>
    </x:row>
    <x:row r="1122">
      <x:c r="A1122">
        <x:v>8484280</x:v>
      </x:c>
      <x:c r="B1122" s="4" t="b">
        <x:v>1</x:v>
      </x:c>
      <x:c r="C1122" t="s">
        <x:v>1479</x:v>
      </x:c>
      <x:c r="D1122" t="s">
        <x:v>358</x:v>
      </x:c>
      <x:c r="F1122" t="s">
        <x:v>321</x:v>
      </x:c>
    </x:row>
    <x:row r="1123">
      <x:c r="B1123" s="4" t="b">
        <x:v>1</x:v>
      </x:c>
      <x:c r="C1123" t="s">
        <x:v>1480</x:v>
      </x:c>
      <x:c r="D1123" t="s">
        <x:v>331</x:v>
      </x:c>
      <x:c r="F1123" t="s">
        <x:v>321</x:v>
      </x:c>
    </x:row>
    <x:row r="1124">
      <x:c r="A1124">
        <x:v>8484139</x:v>
      </x:c>
      <x:c r="B1124" s="4" t="b">
        <x:v>1</x:v>
      </x:c>
      <x:c r="C1124" t="s">
        <x:v>1481</x:v>
      </x:c>
      <x:c r="D1124" t="s">
        <x:v>331</x:v>
      </x:c>
      <x:c r="F1124" t="s">
        <x:v>321</x:v>
      </x:c>
    </x:row>
    <x:row r="1125">
      <x:c r="A1125">
        <x:v>8478147</x:v>
      </x:c>
      <x:c r="B1125" s="4" t="b">
        <x:v>1</x:v>
      </x:c>
      <x:c r="C1125" t="s">
        <x:v>1482</x:v>
      </x:c>
      <x:c r="D1125" t="s">
        <x:v>358</x:v>
      </x:c>
      <x:c r="F1125" t="s">
        <x:v>321</x:v>
      </x:c>
    </x:row>
    <x:row r="1126">
      <x:c r="A1126">
        <x:v>8479994</x:v>
      </x:c>
      <x:c r="B1126" s="4" t="b">
        <x:v>1</x:v>
      </x:c>
      <x:c r="C1126" t="s">
        <x:v>1483</x:v>
      </x:c>
      <x:c r="D1126" t="s">
        <x:v>329</x:v>
      </x:c>
      <x:c r="F1126" t="s">
        <x:v>321</x:v>
      </x:c>
    </x:row>
    <x:row r="1127">
      <x:c r="A1127">
        <x:v>8483760</x:v>
      </x:c>
      <x:c r="B1127" s="4" t="b">
        <x:v>1</x:v>
      </x:c>
      <x:c r="C1127" t="s">
        <x:v>1484</x:v>
      </x:c>
      <x:c r="D1127" t="s">
        <x:v>331</x:v>
      </x:c>
      <x:c r="F1127" t="s">
        <x:v>321</x:v>
      </x:c>
    </x:row>
    <x:row r="1128">
      <x:c r="A1128">
        <x:v>8482160</x:v>
      </x:c>
      <x:c r="B1128" s="4" t="b">
        <x:v>1</x:v>
      </x:c>
      <x:c r="C1128" t="s">
        <x:v>1485</x:v>
      </x:c>
      <x:c r="D1128" t="s">
        <x:v>333</x:v>
      </x:c>
      <x:c r="F1128" t="s">
        <x:v>321</x:v>
      </x:c>
    </x:row>
    <x:row r="1129">
      <x:c r="A1129">
        <x:v>8482673</x:v>
      </x:c>
      <x:c r="B1129" s="4" t="b">
        <x:v>1</x:v>
      </x:c>
      <x:c r="C1129" t="s">
        <x:v>1486</x:v>
      </x:c>
      <x:c r="D1129" t="s">
        <x:v>319</x:v>
      </x:c>
      <x:c r="F1129" t="s">
        <x:v>321</x:v>
      </x:c>
    </x:row>
    <x:row r="1130">
      <x:c r="A1130">
        <x:v>8484781</x:v>
      </x:c>
      <x:c r="B1130" s="4" t="b">
        <x:v>1</x:v>
      </x:c>
      <x:c r="C1130" t="s">
        <x:v>1487</x:v>
      </x:c>
      <x:c r="D1130" t="s">
        <x:v>331</x:v>
      </x:c>
      <x:c r="F1130" t="s">
        <x:v>321</x:v>
      </x:c>
    </x:row>
    <x:row r="1131">
      <x:c r="A1131">
        <x:v>8482839</x:v>
      </x:c>
      <x:c r="B1131" s="4" t="b">
        <x:v>1</x:v>
      </x:c>
      <x:c r="C1131" t="s">
        <x:v>1488</x:v>
      </x:c>
      <x:c r="D1131" t="s">
        <x:v>331</x:v>
      </x:c>
      <x:c r="F1131" t="s">
        <x:v>321</x:v>
      </x:c>
    </x:row>
    <x:row r="1132">
      <x:c r="A1132">
        <x:v>8482781</x:v>
      </x:c>
      <x:c r="B1132" s="4" t="b">
        <x:v>1</x:v>
      </x:c>
      <x:c r="C1132" t="s">
        <x:v>1489</x:v>
      </x:c>
      <x:c r="D1132" t="s">
        <x:v>331</x:v>
      </x:c>
      <x:c r="F1132" t="s">
        <x:v>321</x:v>
      </x:c>
    </x:row>
    <x:row r="1133">
      <x:c r="A1133">
        <x:v>8483463</x:v>
      </x:c>
      <x:c r="B1133" s="4" t="b">
        <x:v>1</x:v>
      </x:c>
      <x:c r="C1133" t="s">
        <x:v>1490</x:v>
      </x:c>
      <x:c r="D1133" t="s">
        <x:v>319</x:v>
      </x:c>
      <x:c r="F1133" t="s">
        <x:v>321</x:v>
      </x:c>
    </x:row>
    <x:row r="1134">
      <x:c r="A1134">
        <x:v>8484238</x:v>
      </x:c>
      <x:c r="B1134" s="4" t="b">
        <x:v>1</x:v>
      </x:c>
      <x:c r="C1134" t="s">
        <x:v>1491</x:v>
      </x:c>
      <x:c r="D1134" t="s">
        <x:v>319</x:v>
      </x:c>
      <x:c r="F1134" t="s">
        <x:v>321</x:v>
      </x:c>
    </x:row>
    <x:row r="1135">
      <x:c r="A1135">
        <x:v>8482916</x:v>
      </x:c>
      <x:c r="B1135" s="4" t="b">
        <x:v>1</x:v>
      </x:c>
      <x:c r="C1135" t="s">
        <x:v>1492</x:v>
      </x:c>
      <x:c r="D1135" t="s">
        <x:v>331</x:v>
      </x:c>
      <x:c r="F1135" t="s">
        <x:v>321</x:v>
      </x:c>
    </x:row>
    <x:row r="1136">
      <x:c r="A1136">
        <x:v>8482663</x:v>
      </x:c>
      <x:c r="B1136" s="4" t="b">
        <x:v>1</x:v>
      </x:c>
      <x:c r="C1136" t="s">
        <x:v>1493</x:v>
      </x:c>
      <x:c r="D1136" t="s">
        <x:v>319</x:v>
      </x:c>
      <x:c r="F1136" t="s">
        <x:v>321</x:v>
      </x:c>
    </x:row>
    <x:row r="1137">
      <x:c r="A1137">
        <x:v>8483498</x:v>
      </x:c>
      <x:c r="B1137" s="4" t="b">
        <x:v>1</x:v>
      </x:c>
      <x:c r="C1137" t="s">
        <x:v>1494</x:v>
      </x:c>
      <x:c r="D1137" t="s">
        <x:v>331</x:v>
      </x:c>
      <x:c r="F1137" t="s">
        <x:v>321</x:v>
      </x:c>
    </x:row>
    <x:row r="1138">
      <x:c r="A1138">
        <x:v>8486157</x:v>
      </x:c>
      <x:c r="B1138" s="4" t="b">
        <x:v>1</x:v>
      </x:c>
      <x:c r="C1138" t="s">
        <x:v>1495</x:v>
      </x:c>
      <x:c r="D1138" t="s">
        <x:v>331</x:v>
      </x:c>
      <x:c r="F1138" t="s">
        <x:v>321</x:v>
      </x:c>
    </x:row>
    <x:row r="1139">
      <x:c r="A1139">
        <x:v>8483012</x:v>
      </x:c>
      <x:c r="B1139" s="4" t="b">
        <x:v>1</x:v>
      </x:c>
      <x:c r="C1139" t="s">
        <x:v>1496</x:v>
      </x:c>
      <x:c r="D1139" t="s">
        <x:v>319</x:v>
      </x:c>
      <x:c r="F1139" t="s">
        <x:v>321</x:v>
      </x:c>
    </x:row>
    <x:row r="1140">
      <x:c r="A1140">
        <x:v>8479547</x:v>
      </x:c>
      <x:c r="B1140" s="4" t="b">
        <x:v>1</x:v>
      </x:c>
      <x:c r="C1140" t="s">
        <x:v>1497</x:v>
      </x:c>
      <x:c r="D1140" t="s">
        <x:v>319</x:v>
      </x:c>
      <x:c r="F1140" t="s">
        <x:v>321</x:v>
      </x:c>
    </x:row>
    <x:row r="1141">
      <x:c r="A1141">
        <x:v>8482749</x:v>
      </x:c>
      <x:c r="B1141" s="4" t="b">
        <x:v>1</x:v>
      </x:c>
      <x:c r="C1141" t="s">
        <x:v>1498</x:v>
      </x:c>
      <x:c r="D1141" t="s">
        <x:v>326</x:v>
      </x:c>
      <x:c r="F1141" t="s">
        <x:v>321</x:v>
      </x:c>
    </x:row>
    <x:row r="1142">
      <x:c r="A1142">
        <x:v>8482081</x:v>
      </x:c>
      <x:c r="B1142" s="4" t="b">
        <x:v>1</x:v>
      </x:c>
      <x:c r="C1142" t="s">
        <x:v>1499</x:v>
      </x:c>
      <x:c r="D1142" t="s">
        <x:v>339</x:v>
      </x:c>
      <x:c r="F1142" t="s">
        <x:v>321</x:v>
      </x:c>
    </x:row>
    <x:row r="1143">
      <x:c r="A1143">
        <x:v>8481683</x:v>
      </x:c>
      <x:c r="B1143" s="4" t="b">
        <x:v>1</x:v>
      </x:c>
      <x:c r="C1143" t="s">
        <x:v>1500</x:v>
      </x:c>
      <x:c r="D1143" t="s">
        <x:v>358</x:v>
      </x:c>
      <x:c r="F1143" t="s">
        <x:v>321</x:v>
      </x:c>
    </x:row>
    <x:row r="1144">
      <x:c r="A1144">
        <x:v>8486118</x:v>
      </x:c>
      <x:c r="B1144" s="4" t="b">
        <x:v>1</x:v>
      </x:c>
      <x:c r="C1144" t="s">
        <x:v>1501</x:v>
      </x:c>
      <x:c r="D1144" t="s">
        <x:v>331</x:v>
      </x:c>
      <x:c r="F1144" t="s">
        <x:v>321</x:v>
      </x:c>
    </x:row>
    <x:row r="1145">
      <x:c r="A1145">
        <x:v>8482478</x:v>
      </x:c>
      <x:c r="B1145" s="4" t="b">
        <x:v>1</x:v>
      </x:c>
      <x:c r="C1145" t="s">
        <x:v>1502</x:v>
      </x:c>
      <x:c r="D1145" t="s">
        <x:v>331</x:v>
      </x:c>
      <x:c r="F1145" t="s">
        <x:v>321</x:v>
      </x:c>
    </x:row>
    <x:row r="1146">
      <x:c r="A1146">
        <x:v>8482652</x:v>
      </x:c>
      <x:c r="B1146" s="4" t="b">
        <x:v>1</x:v>
      </x:c>
      <x:c r="C1146" t="s">
        <x:v>1503</x:v>
      </x:c>
      <x:c r="D1146" t="s">
        <x:v>326</x:v>
      </x:c>
      <x:c r="F1146" t="s">
        <x:v>321</x:v>
      </x:c>
    </x:row>
    <x:row r="1147">
      <x:c r="A1147">
        <x:v>8481745</x:v>
      </x:c>
      <x:c r="B1147" s="4" t="b">
        <x:v>1</x:v>
      </x:c>
      <x:c r="C1147" t="s">
        <x:v>1504</x:v>
      </x:c>
      <x:c r="D1147" t="s">
        <x:v>331</x:v>
      </x:c>
      <x:c r="F1147" t="s">
        <x:v>321</x:v>
      </x:c>
    </x:row>
    <x:row r="1148">
      <x:c r="A1148">
        <x:v>8482496</x:v>
      </x:c>
      <x:c r="B1148" s="4" t="b">
        <x:v>1</x:v>
      </x:c>
      <x:c r="C1148" t="s">
        <x:v>1505</x:v>
      </x:c>
      <x:c r="D1148" t="s">
        <x:v>319</x:v>
      </x:c>
      <x:c r="F1148" t="s">
        <x:v>321</x:v>
      </x:c>
    </x:row>
    <x:row r="1149">
      <x:c r="A1149">
        <x:v>8481576</x:v>
      </x:c>
      <x:c r="B1149" s="4" t="b">
        <x:v>1</x:v>
      </x:c>
      <x:c r="C1149" t="s">
        <x:v>1506</x:v>
      </x:c>
      <x:c r="D1149" t="s">
        <x:v>319</x:v>
      </x:c>
      <x:c r="F1149" t="s">
        <x:v>321</x:v>
      </x:c>
    </x:row>
    <x:row r="1150">
      <x:c r="A1150">
        <x:v>8477995</x:v>
      </x:c>
      <x:c r="B1150" s="4" t="b">
        <x:v>1</x:v>
      </x:c>
      <x:c r="C1150" t="s">
        <x:v>1507</x:v>
      </x:c>
      <x:c r="D1150" t="s">
        <x:v>331</x:v>
      </x:c>
      <x:c r="E1150" t="s">
        <x:v>354</x:v>
      </x:c>
      <x:c r="F1150" t="s">
        <x:v>321</x:v>
      </x:c>
    </x:row>
    <x:row r="1151">
      <x:c r="A1151">
        <x:v>8481591</x:v>
      </x:c>
      <x:c r="B1151" s="4" t="b">
        <x:v>1</x:v>
      </x:c>
      <x:c r="C1151" t="s">
        <x:v>1508</x:v>
      </x:c>
      <x:c r="D1151" t="s">
        <x:v>333</x:v>
      </x:c>
      <x:c r="F1151" t="s">
        <x:v>321</x:v>
      </x:c>
    </x:row>
    <x:row r="1152">
      <x:c r="A1152">
        <x:v>8484159</x:v>
      </x:c>
      <x:c r="B1152" s="4" t="b">
        <x:v>1</x:v>
      </x:c>
      <x:c r="C1152" t="s">
        <x:v>1509</x:v>
      </x:c>
      <x:c r="D1152" t="s">
        <x:v>358</x:v>
      </x:c>
      <x:c r="F1152" t="s">
        <x:v>321</x:v>
      </x:c>
    </x:row>
    <x:row r="1153">
      <x:c r="A1153">
        <x:v>8478442</x:v>
      </x:c>
      <x:c r="B1153" s="4" t="b">
        <x:v>1</x:v>
      </x:c>
      <x:c r="C1153" t="s">
        <x:v>1510</x:v>
      </x:c>
      <x:c r="D1153" t="s">
        <x:v>319</x:v>
      </x:c>
      <x:c r="F1153" t="s">
        <x:v>321</x:v>
      </x:c>
    </x:row>
    <x:row r="1154">
      <x:c r="A1154">
        <x:v>8481065</x:v>
      </x:c>
      <x:c r="B1154" s="4" t="b">
        <x:v>1</x:v>
      </x:c>
      <x:c r="C1154" t="s">
        <x:v>1511</x:v>
      </x:c>
      <x:c r="D1154" t="s">
        <x:v>358</x:v>
      </x:c>
      <x:c r="E1154" t="s">
        <x:v>584</x:v>
      </x:c>
      <x:c r="F1154" t="s">
        <x:v>321</x:v>
      </x:c>
    </x:row>
    <x:row r="1155">
      <x:c r="A1155">
        <x:v>8479176</x:v>
      </x:c>
      <x:c r="B1155" s="4" t="b">
        <x:v>1</x:v>
      </x:c>
      <x:c r="C1155" t="s">
        <x:v>1512</x:v>
      </x:c>
      <x:c r="D1155" t="s">
        <x:v>358</x:v>
      </x:c>
      <x:c r="F1155" t="s">
        <x:v>321</x:v>
      </x:c>
    </x:row>
    <x:row r="1156">
      <x:c r="B1156" s="4" t="b">
        <x:v>1</x:v>
      </x:c>
      <x:c r="C1156" t="s">
        <x:v>1513</x:v>
      </x:c>
      <x:c r="D1156" t="s">
        <x:v>323</x:v>
      </x:c>
      <x:c r="F1156" t="s">
        <x:v>321</x:v>
      </x:c>
    </x:row>
    <x:row r="1157">
      <x:c r="A1157">
        <x:v>8484818</x:v>
      </x:c>
      <x:c r="B1157" s="4" t="b">
        <x:v>1</x:v>
      </x:c>
      <x:c r="C1157" t="s">
        <x:v>1514</x:v>
      </x:c>
      <x:c r="D1157" t="s">
        <x:v>333</x:v>
      </x:c>
      <x:c r="F1157" t="s">
        <x:v>321</x:v>
      </x:c>
    </x:row>
    <x:row r="1158">
      <x:c r="A1158">
        <x:v>8484869</x:v>
      </x:c>
      <x:c r="B1158" s="4" t="b">
        <x:v>1</x:v>
      </x:c>
      <x:c r="C1158" t="s">
        <x:v>1515</x:v>
      </x:c>
      <x:c r="D1158" t="s">
        <x:v>358</x:v>
      </x:c>
      <x:c r="F1158" t="s">
        <x:v>321</x:v>
      </x:c>
    </x:row>
    <x:row r="1159">
      <x:c r="A1159">
        <x:v>8484821</x:v>
      </x:c>
      <x:c r="B1159" s="4" t="b">
        <x:v>1</x:v>
      </x:c>
      <x:c r="C1159" t="s">
        <x:v>1516</x:v>
      </x:c>
      <x:c r="D1159" t="s">
        <x:v>358</x:v>
      </x:c>
      <x:c r="F1159" t="s">
        <x:v>321</x:v>
      </x:c>
    </x:row>
    <x:row r="1160">
      <x:c r="A1160">
        <x:v>8483748</x:v>
      </x:c>
      <x:c r="B1160" s="4" t="b">
        <x:v>1</x:v>
      </x:c>
      <x:c r="C1160" t="s">
        <x:v>1517</x:v>
      </x:c>
      <x:c r="D1160" t="s">
        <x:v>326</x:v>
      </x:c>
      <x:c r="F1160" t="s">
        <x:v>321</x:v>
      </x:c>
    </x:row>
    <x:row r="1161">
      <x:c r="A1161">
        <x:v>8481658</x:v>
      </x:c>
      <x:c r="B1161" s="4" t="b">
        <x:v>1</x:v>
      </x:c>
      <x:c r="C1161" t="s">
        <x:v>1518</x:v>
      </x:c>
      <x:c r="D1161" t="s">
        <x:v>331</x:v>
      </x:c>
      <x:c r="F1161" t="s">
        <x:v>321</x:v>
      </x:c>
    </x:row>
    <x:row r="1162">
      <x:c r="A1162">
        <x:v>8482154</x:v>
      </x:c>
      <x:c r="B1162" s="4" t="b">
        <x:v>1</x:v>
      </x:c>
      <x:c r="C1162" t="s">
        <x:v>1519</x:v>
      </x:c>
      <x:c r="D1162" t="s">
        <x:v>358</x:v>
      </x:c>
      <x:c r="F1162" t="s">
        <x:v>321</x:v>
      </x:c>
    </x:row>
    <x:row r="1163">
      <x:c r="A1163">
        <x:v>8483704</x:v>
      </x:c>
      <x:c r="B1163" s="4" t="b">
        <x:v>1</x:v>
      </x:c>
      <x:c r="C1163" t="s">
        <x:v>1520</x:v>
      </x:c>
      <x:c r="D1163" t="s">
        <x:v>339</x:v>
      </x:c>
      <x:c r="F1163" t="s">
        <x:v>321</x:v>
      </x:c>
    </x:row>
    <x:row r="1164">
      <x:c r="A1164">
        <x:v>8483062</x:v>
      </x:c>
      <x:c r="B1164" s="4" t="b">
        <x:v>1</x:v>
      </x:c>
      <x:c r="C1164" t="s">
        <x:v>1521</x:v>
      </x:c>
      <x:c r="D1164" t="s">
        <x:v>326</x:v>
      </x:c>
      <x:c r="F1164" t="s">
        <x:v>321</x:v>
      </x:c>
    </x:row>
    <x:row r="1165">
      <x:c r="A1165">
        <x:v>8484815</x:v>
      </x:c>
      <x:c r="B1165" s="4" t="b">
        <x:v>1</x:v>
      </x:c>
      <x:c r="C1165" t="s">
        <x:v>1522</x:v>
      </x:c>
      <x:c r="D1165" t="s">
        <x:v>331</x:v>
      </x:c>
      <x:c r="F1165" t="s">
        <x:v>321</x:v>
      </x:c>
    </x:row>
    <x:row r="1166">
      <x:c r="A1166">
        <x:v>8485425</x:v>
      </x:c>
      <x:c r="B1166" s="4" t="b">
        <x:v>1</x:v>
      </x:c>
      <x:c r="C1166" t="s">
        <x:v>1523</x:v>
      </x:c>
      <x:c r="D1166" t="s">
        <x:v>331</x:v>
      </x:c>
      <x:c r="F1166" t="s">
        <x:v>321</x:v>
      </x:c>
    </x:row>
    <x:row r="1167">
      <x:c r="A1167">
        <x:v>8482525</x:v>
      </x:c>
      <x:c r="B1167" s="4" t="b">
        <x:v>1</x:v>
      </x:c>
      <x:c r="C1167" t="s">
        <x:v>1524</x:v>
      </x:c>
      <x:c r="D1167" t="s">
        <x:v>323</x:v>
      </x:c>
      <x:c r="F1167" t="s">
        <x:v>321</x:v>
      </x:c>
    </x:row>
    <x:row r="1168">
      <x:c r="A1168">
        <x:v>8482902</x:v>
      </x:c>
      <x:c r="B1168" s="4" t="b">
        <x:v>1</x:v>
      </x:c>
      <x:c r="C1168" t="s">
        <x:v>1525</x:v>
      </x:c>
      <x:c r="D1168" t="s">
        <x:v>331</x:v>
      </x:c>
      <x:c r="F1168" t="s">
        <x:v>321</x:v>
      </x:c>
    </x:row>
    <x:row r="1169">
      <x:c r="A1169">
        <x:v>8484380</x:v>
      </x:c>
      <x:c r="B1169" s="4" t="b">
        <x:v>1</x:v>
      </x:c>
      <x:c r="C1169" t="s">
        <x:v>1526</x:v>
      </x:c>
      <x:c r="D1169" t="s">
        <x:v>319</x:v>
      </x:c>
      <x:c r="F1169" t="s">
        <x:v>321</x:v>
      </x:c>
    </x:row>
    <x:row r="1170">
      <x:c r="A1170">
        <x:v>8481086</x:v>
      </x:c>
      <x:c r="B1170" s="4" t="b">
        <x:v>1</x:v>
      </x:c>
      <x:c r="C1170" t="s">
        <x:v>1527</x:v>
      </x:c>
      <x:c r="D1170" t="s">
        <x:v>331</x:v>
      </x:c>
      <x:c r="F1170" t="s">
        <x:v>321</x:v>
      </x:c>
    </x:row>
    <x:row r="1171">
      <x:c r="A1171">
        <x:v>8486146</x:v>
      </x:c>
      <x:c r="B1171" s="4" t="b">
        <x:v>1</x:v>
      </x:c>
      <x:c r="C1171" t="s">
        <x:v>1528</x:v>
      </x:c>
      <x:c r="D1171" t="s">
        <x:v>331</x:v>
      </x:c>
      <x:c r="F1171" t="s">
        <x:v>321</x:v>
      </x:c>
    </x:row>
    <x:row r="1172">
      <x:c r="A1172">
        <x:v>8485105</x:v>
      </x:c>
      <x:c r="B1172" s="4" t="b">
        <x:v>1</x:v>
      </x:c>
      <x:c r="C1172" t="s">
        <x:v>1529</x:v>
      </x:c>
      <x:c r="D1172" t="s">
        <x:v>319</x:v>
      </x:c>
      <x:c r="F1172" t="s">
        <x:v>321</x:v>
      </x:c>
    </x:row>
    <x:row r="1173">
      <x:c r="A1173">
        <x:v>8482214</x:v>
      </x:c>
      <x:c r="B1173" s="4" t="b">
        <x:v>1</x:v>
      </x:c>
      <x:c r="C1173" t="s">
        <x:v>1530</x:v>
      </x:c>
      <x:c r="D1173" t="s">
        <x:v>319</x:v>
      </x:c>
      <x:c r="F1173" t="s">
        <x:v>321</x:v>
      </x:c>
    </x:row>
    <x:row r="1174">
      <x:c r="A1174">
        <x:v>8481566</x:v>
      </x:c>
      <x:c r="B1174" s="4" t="b">
        <x:v>1</x:v>
      </x:c>
      <x:c r="C1174" t="s">
        <x:v>1531</x:v>
      </x:c>
      <x:c r="D1174" t="s">
        <x:v>331</x:v>
      </x:c>
      <x:c r="F1174" t="s">
        <x:v>321</x:v>
      </x:c>
    </x:row>
    <x:row r="1175">
      <x:c r="A1175">
        <x:v>8485459</x:v>
      </x:c>
      <x:c r="B1175" s="4" t="b">
        <x:v>1</x:v>
      </x:c>
      <x:c r="C1175" t="s">
        <x:v>1532</x:v>
      </x:c>
      <x:c r="D1175" t="s">
        <x:v>331</x:v>
      </x:c>
      <x:c r="F1175" t="s">
        <x:v>321</x:v>
      </x:c>
    </x:row>
    <x:row r="1176">
      <x:c r="A1176">
        <x:v>8484130</x:v>
      </x:c>
      <x:c r="B1176" s="4" t="b">
        <x:v>1</x:v>
      </x:c>
      <x:c r="C1176" t="s">
        <x:v>1533</x:v>
      </x:c>
      <x:c r="D1176" t="s">
        <x:v>331</x:v>
      </x:c>
      <x:c r="F1176" t="s">
        <x:v>321</x:v>
      </x:c>
    </x:row>
    <x:row r="1177">
      <x:c r="A1177">
        <x:v>8483545</x:v>
      </x:c>
      <x:c r="B1177" s="4" t="b">
        <x:v>1</x:v>
      </x:c>
      <x:c r="C1177" t="s">
        <x:v>1534</x:v>
      </x:c>
      <x:c r="D1177" t="s">
        <x:v>331</x:v>
      </x:c>
      <x:c r="E1177" t="s">
        <x:v>584</x:v>
      </x:c>
      <x:c r="F1177" t="s">
        <x:v>321</x:v>
      </x:c>
    </x:row>
    <x:row r="1178">
      <x:c r="A1178">
        <x:v>8478914</x:v>
      </x:c>
      <x:c r="B1178" s="4" t="b">
        <x:v>1</x:v>
      </x:c>
      <x:c r="C1178" t="s">
        <x:v>1535</x:v>
      </x:c>
      <x:c r="D1178" t="s">
        <x:v>319</x:v>
      </x:c>
      <x:c r="F1178" t="s">
        <x:v>321</x:v>
      </x:c>
    </x:row>
    <x:row r="1179">
      <x:c r="A1179">
        <x:v>8482458</x:v>
      </x:c>
      <x:c r="B1179" s="4" t="b">
        <x:v>1</x:v>
      </x:c>
      <x:c r="C1179" t="s">
        <x:v>1536</x:v>
      </x:c>
      <x:c r="D1179" t="s">
        <x:v>319</x:v>
      </x:c>
      <x:c r="F1179" t="s">
        <x:v>321</x:v>
      </x:c>
    </x:row>
    <x:row r="1180">
      <x:c r="A1180">
        <x:v>8478056</x:v>
      </x:c>
      <x:c r="B1180" s="4" t="b">
        <x:v>1</x:v>
      </x:c>
      <x:c r="C1180" t="s">
        <x:v>1537</x:v>
      </x:c>
      <x:c r="D1180" t="s">
        <x:v>319</x:v>
      </x:c>
      <x:c r="E1180" t="s">
        <x:v>584</x:v>
      </x:c>
      <x:c r="F1180" t="s">
        <x:v>321</x:v>
      </x:c>
    </x:row>
    <x:row r="1181">
      <x:c r="A1181">
        <x:v>8485998</x:v>
      </x:c>
      <x:c r="B1181" s="4" t="b">
        <x:v>1</x:v>
      </x:c>
      <x:c r="C1181" t="s">
        <x:v>1538</x:v>
      </x:c>
      <x:c r="D1181" t="s">
        <x:v>331</x:v>
      </x:c>
      <x:c r="F1181" t="s">
        <x:v>321</x:v>
      </x:c>
    </x:row>
    <x:row r="1182">
      <x:c r="B1182" s="4" t="b">
        <x:v>1</x:v>
      </x:c>
      <x:c r="C1182" t="s">
        <x:v>1539</x:v>
      </x:c>
      <x:c r="D1182" t="s">
        <x:v>331</x:v>
      </x:c>
      <x:c r="F1182" t="s">
        <x:v>321</x:v>
      </x:c>
    </x:row>
    <x:row r="1183">
      <x:c r="A1183">
        <x:v>8483003</x:v>
      </x:c>
      <x:c r="B1183" s="4" t="b">
        <x:v>1</x:v>
      </x:c>
      <x:c r="C1183" t="s">
        <x:v>1540</x:v>
      </x:c>
      <x:c r="D1183" t="s">
        <x:v>331</x:v>
      </x:c>
      <x:c r="F1183" t="s">
        <x:v>321</x:v>
      </x:c>
    </x:row>
    <x:row r="1184">
      <x:c r="A1184">
        <x:v>8486158</x:v>
      </x:c>
      <x:c r="B1184" s="4" t="b">
        <x:v>1</x:v>
      </x:c>
      <x:c r="C1184" t="s">
        <x:v>1541</x:v>
      </x:c>
      <x:c r="D1184" t="s">
        <x:v>331</x:v>
      </x:c>
      <x:c r="F1184" t="s">
        <x:v>321</x:v>
      </x:c>
    </x:row>
    <x:row r="1185">
      <x:c r="A1185">
        <x:v>8480019</x:v>
      </x:c>
      <x:c r="B1185" s="4" t="b">
        <x:v>1</x:v>
      </x:c>
      <x:c r="C1185" t="s">
        <x:v>1542</x:v>
      </x:c>
      <x:c r="D1185" t="s">
        <x:v>358</x:v>
      </x:c>
      <x:c r="F1185" t="s">
        <x:v>321</x:v>
      </x:c>
    </x:row>
    <x:row r="1186">
      <x:c r="A1186">
        <x:v>8486155</x:v>
      </x:c>
      <x:c r="B1186" s="4" t="b">
        <x:v>1</x:v>
      </x:c>
      <x:c r="C1186" t="s">
        <x:v>1543</x:v>
      </x:c>
      <x:c r="D1186" t="s">
        <x:v>331</x:v>
      </x:c>
      <x:c r="F1186" t="s">
        <x:v>321</x:v>
      </x:c>
    </x:row>
    <x:row r="1187">
      <x:c r="B1187" s="4" t="b">
        <x:v>1</x:v>
      </x:c>
      <x:c r="C1187" t="s">
        <x:v>1544</x:v>
      </x:c>
      <x:c r="D1187" t="s">
        <x:v>331</x:v>
      </x:c>
      <x:c r="E1187" t="s">
        <x:v>584</x:v>
      </x:c>
      <x:c r="F1187" t="s">
        <x:v>321</x:v>
      </x:c>
    </x:row>
    <x:row r="1188">
      <x:c r="A1188">
        <x:v>8483920</x:v>
      </x:c>
      <x:c r="B1188" s="4" t="b">
        <x:v>1</x:v>
      </x:c>
      <x:c r="C1188" t="s">
        <x:v>1545</x:v>
      </x:c>
      <x:c r="D1188" t="s">
        <x:v>326</x:v>
      </x:c>
      <x:c r="F1188" t="s">
        <x:v>321</x:v>
      </x:c>
    </x:row>
    <x:row r="1189">
      <x:c r="A1189">
        <x:v>8478867</x:v>
      </x:c>
      <x:c r="B1189" s="4" t="b">
        <x:v>1</x:v>
      </x:c>
      <x:c r="C1189" t="s">
        <x:v>1546</x:v>
      </x:c>
      <x:c r="D1189" t="s">
        <x:v>326</x:v>
      </x:c>
      <x:c r="F1189" t="s">
        <x:v>321</x:v>
      </x:c>
    </x:row>
    <x:row r="1190">
      <x:c r="A1190">
        <x:v>8479594</x:v>
      </x:c>
      <x:c r="B1190" s="4" t="b">
        <x:v>1</x:v>
      </x:c>
      <x:c r="C1190" t="s">
        <x:v>1547</x:v>
      </x:c>
      <x:c r="D1190" t="s">
        <x:v>331</x:v>
      </x:c>
      <x:c r="E1190" t="s">
        <x:v>584</x:v>
      </x:c>
      <x:c r="F1190" t="s">
        <x:v>321</x:v>
      </x:c>
    </x:row>
    <x:row r="1191">
      <x:c r="A1191">
        <x:v>8479746</x:v>
      </x:c>
      <x:c r="B1191" s="4" t="b">
        <x:v>1</x:v>
      </x:c>
      <x:c r="C1191" t="s">
        <x:v>1548</x:v>
      </x:c>
      <x:c r="D1191" t="s">
        <x:v>358</x:v>
      </x:c>
      <x:c r="F1191" t="s">
        <x:v>321</x:v>
      </x:c>
    </x:row>
    <x:row r="1192">
      <x:c r="A1192">
        <x:v>8476353</x:v>
      </x:c>
      <x:c r="B1192" s="4" t="b">
        <x:v>1</x:v>
      </x:c>
      <x:c r="C1192" t="s">
        <x:v>1549</x:v>
      </x:c>
      <x:c r="D1192" t="s">
        <x:v>358</x:v>
      </x:c>
      <x:c r="F1192" t="s">
        <x:v>321</x:v>
      </x:c>
    </x:row>
    <x:row r="1193">
      <x:c r="A1193">
        <x:v>8484224</x:v>
      </x:c>
      <x:c r="B1193" s="4" t="b">
        <x:v>1</x:v>
      </x:c>
      <x:c r="C1193" t="s">
        <x:v>1550</x:v>
      </x:c>
      <x:c r="D1193" t="s">
        <x:v>319</x:v>
      </x:c>
      <x:c r="F1193" t="s">
        <x:v>321</x:v>
      </x:c>
    </x:row>
    <x:row r="1194">
      <x:c r="A1194">
        <x:v>8486120</x:v>
      </x:c>
      <x:c r="B1194" s="4" t="b">
        <x:v>1</x:v>
      </x:c>
      <x:c r="C1194" t="s">
        <x:v>1551</x:v>
      </x:c>
      <x:c r="D1194" t="s">
        <x:v>331</x:v>
      </x:c>
      <x:c r="F1194" t="s">
        <x:v>321</x:v>
      </x:c>
    </x:row>
    <x:row r="1195">
      <x:c r="A1195">
        <x:v>8484834</x:v>
      </x:c>
      <x:c r="B1195" s="4" t="b">
        <x:v>1</x:v>
      </x:c>
      <x:c r="C1195" t="s">
        <x:v>1552</x:v>
      </x:c>
      <x:c r="D1195" t="s">
        <x:v>358</x:v>
      </x:c>
      <x:c r="F1195" t="s">
        <x:v>321</x:v>
      </x:c>
    </x:row>
    <x:row r="1196">
      <x:c r="A1196">
        <x:v>8483696</x:v>
      </x:c>
      <x:c r="B1196" s="4" t="b">
        <x:v>1</x:v>
      </x:c>
      <x:c r="C1196" t="s">
        <x:v>1553</x:v>
      </x:c>
      <x:c r="D1196" t="s">
        <x:v>326</x:v>
      </x:c>
      <x:c r="F1196" t="s">
        <x:v>321</x:v>
      </x:c>
    </x:row>
    <x:row r="1197">
      <x:c r="A1197">
        <x:v>8485516</x:v>
      </x:c>
      <x:c r="B1197" s="4" t="b">
        <x:v>1</x:v>
      </x:c>
      <x:c r="C1197" t="s">
        <x:v>1554</x:v>
      </x:c>
      <x:c r="D1197" t="s">
        <x:v>331</x:v>
      </x:c>
      <x:c r="E1197" t="s">
        <x:v>584</x:v>
      </x:c>
      <x:c r="F1197" t="s">
        <x:v>321</x:v>
      </x:c>
    </x:row>
    <x:row r="1198">
      <x:c r="A1198">
        <x:v>8484908</x:v>
      </x:c>
      <x:c r="B1198" s="4" t="b">
        <x:v>1</x:v>
      </x:c>
      <x:c r="C1198" t="s">
        <x:v>1555</x:v>
      </x:c>
      <x:c r="D1198" t="s">
        <x:v>331</x:v>
      </x:c>
      <x:c r="F1198" t="s">
        <x:v>321</x:v>
      </x:c>
    </x:row>
    <x:row r="1199">
      <x:c r="A1199">
        <x:v>8484263</x:v>
      </x:c>
      <x:c r="B1199" s="4" t="b">
        <x:v>1</x:v>
      </x:c>
      <x:c r="C1199" t="s">
        <x:v>1556</x:v>
      </x:c>
      <x:c r="D1199" t="s">
        <x:v>331</x:v>
      </x:c>
      <x:c r="F1199" t="s">
        <x:v>321</x:v>
      </x:c>
    </x:row>
    <x:row r="1200">
      <x:c r="A1200">
        <x:v>8482106</x:v>
      </x:c>
      <x:c r="B1200" s="4" t="b">
        <x:v>1</x:v>
      </x:c>
      <x:c r="C1200" t="s">
        <x:v>1557</x:v>
      </x:c>
      <x:c r="D1200" t="s">
        <x:v>329</x:v>
      </x:c>
      <x:c r="F1200" t="s">
        <x:v>321</x:v>
      </x:c>
    </x:row>
    <x:row r="1201">
      <x:c r="A1201">
        <x:v>8482138</x:v>
      </x:c>
      <x:c r="B1201" s="4" t="b">
        <x:v>1</x:v>
      </x:c>
      <x:c r="C1201" t="s">
        <x:v>1558</x:v>
      </x:c>
      <x:c r="D1201" t="s">
        <x:v>331</x:v>
      </x:c>
      <x:c r="F1201" t="s">
        <x:v>321</x:v>
      </x:c>
    </x:row>
    <x:row r="1202">
      <x:c r="A1202">
        <x:v>8483444</x:v>
      </x:c>
      <x:c r="B1202" s="4" t="b">
        <x:v>1</x:v>
      </x:c>
      <x:c r="C1202" t="s">
        <x:v>1559</x:v>
      </x:c>
      <x:c r="D1202" t="s">
        <x:v>319</x:v>
      </x:c>
      <x:c r="F1202" t="s">
        <x:v>321</x:v>
      </x:c>
    </x:row>
    <x:row r="1203">
      <x:c r="A1203">
        <x:v>8482635</x:v>
      </x:c>
      <x:c r="B1203" s="4" t="b">
        <x:v>1</x:v>
      </x:c>
      <x:c r="C1203" t="s">
        <x:v>1560</x:v>
      </x:c>
      <x:c r="D1203" t="s">
        <x:v>333</x:v>
      </x:c>
      <x:c r="E1203" t="s">
        <x:v>584</x:v>
      </x:c>
      <x:c r="F1203" t="s">
        <x:v>321</x:v>
      </x:c>
    </x:row>
    <x:row r="1204">
      <x:c r="A1204">
        <x:v>8480017</x:v>
      </x:c>
      <x:c r="B1204" s="4" t="b">
        <x:v>1</x:v>
      </x:c>
      <x:c r="C1204" t="s">
        <x:v>1561</x:v>
      </x:c>
      <x:c r="D1204" t="s">
        <x:v>358</x:v>
      </x:c>
      <x:c r="F1204" t="s">
        <x:v>321</x:v>
      </x:c>
    </x:row>
    <x:row r="1205">
      <x:c r="A1205">
        <x:v>8481070</x:v>
      </x:c>
      <x:c r="B1205" s="4" t="b">
        <x:v>1</x:v>
      </x:c>
      <x:c r="C1205" t="s">
        <x:v>1562</x:v>
      </x:c>
      <x:c r="D1205" t="s">
        <x:v>358</x:v>
      </x:c>
      <x:c r="E1205" t="s">
        <x:v>584</x:v>
      </x:c>
      <x:c r="F1205" t="s">
        <x:v>321</x:v>
      </x:c>
    </x:row>
    <x:row r="1206">
      <x:c r="A1206">
        <x:v>8483433</x:v>
      </x:c>
      <x:c r="B1206" s="4" t="b">
        <x:v>1</x:v>
      </x:c>
      <x:c r="C1206" t="s">
        <x:v>1563</x:v>
      </x:c>
      <x:c r="D1206" t="s">
        <x:v>326</x:v>
      </x:c>
      <x:c r="F1206" t="s">
        <x:v>321</x:v>
      </x:c>
    </x:row>
    <x:row r="1207">
      <x:c r="A1207">
        <x:v>8485461</x:v>
      </x:c>
      <x:c r="B1207" s="4" t="b">
        <x:v>1</x:v>
      </x:c>
      <x:c r="C1207" t="s">
        <x:v>1564</x:v>
      </x:c>
      <x:c r="D1207" t="s">
        <x:v>323</x:v>
      </x:c>
      <x:c r="F1207" t="s">
        <x:v>321</x:v>
      </x:c>
    </x:row>
    <x:row r="1208">
      <x:c r="A1208">
        <x:v>8481051</x:v>
      </x:c>
      <x:c r="B1208" s="4" t="b">
        <x:v>1</x:v>
      </x:c>
      <x:c r="C1208" t="s">
        <x:v>1565</x:v>
      </x:c>
      <x:c r="D1208" t="s">
        <x:v>331</x:v>
      </x:c>
      <x:c r="F1208" t="s">
        <x:v>321</x:v>
      </x:c>
    </x:row>
    <x:row r="1209">
      <x:c r="A1209">
        <x:v>8485193</x:v>
      </x:c>
      <x:c r="B1209" s="4" t="b">
        <x:v>1</x:v>
      </x:c>
      <x:c r="C1209" t="s">
        <x:v>1566</x:v>
      </x:c>
      <x:c r="D1209" t="s">
        <x:v>331</x:v>
      </x:c>
      <x:c r="E1209" t="s">
        <x:v>584</x:v>
      </x:c>
      <x:c r="F1209" t="s">
        <x:v>321</x:v>
      </x:c>
    </x:row>
    <x:row r="1210">
      <x:c r="A1210">
        <x:v>8480984</x:v>
      </x:c>
      <x:c r="B1210" s="4" t="b">
        <x:v>1</x:v>
      </x:c>
      <x:c r="C1210" t="s">
        <x:v>1567</x:v>
      </x:c>
      <x:c r="D1210" t="s">
        <x:v>331</x:v>
      </x:c>
      <x:c r="F1210" t="s">
        <x:v>321</x:v>
      </x:c>
    </x:row>
    <x:row r="1211">
      <x:c r="A1211">
        <x:v>8484248</x:v>
      </x:c>
      <x:c r="B1211" s="4" t="b">
        <x:v>1</x:v>
      </x:c>
      <x:c r="C1211" t="s">
        <x:v>1568</x:v>
      </x:c>
      <x:c r="D1211" t="s">
        <x:v>358</x:v>
      </x:c>
      <x:c r="F1211" t="s">
        <x:v>321</x:v>
      </x:c>
    </x:row>
    <x:row r="1212">
      <x:c r="A1212">
        <x:v>8479516</x:v>
      </x:c>
      <x:c r="B1212" s="4" t="b">
        <x:v>1</x:v>
      </x:c>
      <x:c r="C1212" t="s">
        <x:v>1569</x:v>
      </x:c>
      <x:c r="D1212" t="s">
        <x:v>319</x:v>
      </x:c>
      <x:c r="E1212" t="s">
        <x:v>584</x:v>
      </x:c>
      <x:c r="F1212" t="s">
        <x:v>321</x:v>
      </x:c>
    </x:row>
    <x:row r="1213">
      <x:c r="A1213">
        <x:v>8480291</x:v>
      </x:c>
      <x:c r="B1213" s="4" t="b">
        <x:v>1</x:v>
      </x:c>
      <x:c r="C1213" t="s">
        <x:v>1570</x:v>
      </x:c>
      <x:c r="D1213" t="s">
        <x:v>319</x:v>
      </x:c>
      <x:c r="F1213" t="s">
        <x:v>321</x:v>
      </x:c>
    </x:row>
    <x:row r="1214">
      <x:c r="A1214">
        <x:v>8483518</x:v>
      </x:c>
      <x:c r="B1214" s="4" t="b">
        <x:v>1</x:v>
      </x:c>
      <x:c r="C1214" t="s">
        <x:v>1571</x:v>
      </x:c>
      <x:c r="D1214" t="s">
        <x:v>326</x:v>
      </x:c>
      <x:c r="F1214" t="s">
        <x:v>321</x:v>
      </x:c>
    </x:row>
    <x:row r="1215">
      <x:c r="A1215">
        <x:v>8473529</x:v>
      </x:c>
      <x:c r="B1215" s="4" t="b">
        <x:v>1</x:v>
      </x:c>
      <x:c r="C1215" t="s">
        <x:v>1572</x:v>
      </x:c>
      <x:c r="D1215" t="s">
        <x:v>331</x:v>
      </x:c>
      <x:c r="F1215" t="s">
        <x:v>321</x:v>
      </x:c>
    </x:row>
    <x:row r="1216">
      <x:c r="A1216">
        <x:v>8482153</x:v>
      </x:c>
      <x:c r="B1216" s="4" t="b">
        <x:v>1</x:v>
      </x:c>
      <x:c r="C1216" t="s">
        <x:v>1573</x:v>
      </x:c>
      <x:c r="D1216" t="s">
        <x:v>333</x:v>
      </x:c>
      <x:c r="F1216" t="s">
        <x:v>321</x:v>
      </x:c>
    </x:row>
    <x:row r="1217">
      <x:c r="A1217">
        <x:v>8482206</x:v>
      </x:c>
      <x:c r="B1217" s="4" t="b">
        <x:v>1</x:v>
      </x:c>
      <x:c r="C1217" t="s">
        <x:v>1574</x:v>
      </x:c>
      <x:c r="D1217" t="s">
        <x:v>326</x:v>
      </x:c>
      <x:c r="F1217" t="s">
        <x:v>321</x:v>
      </x:c>
    </x:row>
    <x:row r="1218">
      <x:c r="A1218">
        <x:v>8481861</x:v>
      </x:c>
      <x:c r="B1218" s="4" t="b">
        <x:v>1</x:v>
      </x:c>
      <x:c r="C1218" t="s">
        <x:v>1575</x:v>
      </x:c>
      <x:c r="D1218" t="s">
        <x:v>331</x:v>
      </x:c>
      <x:c r="F1218" t="s">
        <x:v>321</x:v>
      </x:c>
    </x:row>
    <x:row r="1219">
      <x:c r="A1219">
        <x:v>8478477</x:v>
      </x:c>
      <x:c r="B1219" s="4" t="b">
        <x:v>1</x:v>
      </x:c>
      <x:c r="C1219" t="s">
        <x:v>1576</x:v>
      </x:c>
      <x:c r="D1219" t="s">
        <x:v>319</x:v>
      </x:c>
      <x:c r="E1219" t="s">
        <x:v>584</x:v>
      </x:c>
      <x:c r="F1219" t="s">
        <x:v>321</x:v>
      </x:c>
    </x:row>
    <x:row r="1220">
      <x:c r="A1220">
        <x:v>8484891</x:v>
      </x:c>
      <x:c r="B1220" s="4" t="b">
        <x:v>1</x:v>
      </x:c>
      <x:c r="C1220" t="s">
        <x:v>1577</x:v>
      </x:c>
      <x:c r="D1220" t="s">
        <x:v>358</x:v>
      </x:c>
      <x:c r="F1220" t="s">
        <x:v>321</x:v>
      </x:c>
    </x:row>
    <x:row r="1221">
      <x:c r="A1221">
        <x:v>8481578</x:v>
      </x:c>
      <x:c r="B1221" s="4" t="b">
        <x:v>1</x:v>
      </x:c>
      <x:c r="C1221" t="s">
        <x:v>1578</x:v>
      </x:c>
      <x:c r="D1221" t="s">
        <x:v>326</x:v>
      </x:c>
      <x:c r="F1221" t="s">
        <x:v>321</x:v>
      </x:c>
    </x:row>
    <x:row r="1222">
      <x:c r="A1222">
        <x:v>8479972</x:v>
      </x:c>
      <x:c r="B1222" s="4" t="b">
        <x:v>1</x:v>
      </x:c>
      <x:c r="C1222" t="s">
        <x:v>1579</x:v>
      </x:c>
      <x:c r="D1222" t="s">
        <x:v>319</x:v>
      </x:c>
      <x:c r="F1222" t="s">
        <x:v>321</x:v>
      </x:c>
    </x:row>
    <x:row r="1223">
      <x:c r="A1223">
        <x:v>8479379</x:v>
      </x:c>
      <x:c r="B1223" s="4" t="b">
        <x:v>1</x:v>
      </x:c>
      <x:c r="C1223" t="s">
        <x:v>1580</x:v>
      </x:c>
      <x:c r="D1223" t="s">
        <x:v>326</x:v>
      </x:c>
      <x:c r="F1223" t="s">
        <x:v>321</x:v>
      </x:c>
    </x:row>
    <x:row r="1224">
      <x:c r="A1224">
        <x:v>8480248</x:v>
      </x:c>
      <x:c r="B1224" s="4" t="b">
        <x:v>1</x:v>
      </x:c>
      <x:c r="C1224" t="s">
        <x:v>1581</x:v>
      </x:c>
      <x:c r="D1224" t="s">
        <x:v>319</x:v>
      </x:c>
      <x:c r="E1224" t="s">
        <x:v>584</x:v>
      </x:c>
      <x:c r="F1224" t="s">
        <x:v>321</x:v>
      </x:c>
    </x:row>
    <x:row r="1225">
      <x:c r="A1225">
        <x:v>8482468</x:v>
      </x:c>
      <x:c r="B1225" s="4" t="b">
        <x:v>1</x:v>
      </x:c>
      <x:c r="C1225" t="s">
        <x:v>1582</x:v>
      </x:c>
      <x:c r="D1225" t="s">
        <x:v>331</x:v>
      </x:c>
      <x:c r="F1225" t="s">
        <x:v>321</x:v>
      </x:c>
    </x:row>
    <x:row r="1226">
      <x:c r="A1226">
        <x:v>8479315</x:v>
      </x:c>
      <x:c r="B1226" s="4" t="b">
        <x:v>1</x:v>
      </x:c>
      <x:c r="C1226" t="s">
        <x:v>1583</x:v>
      </x:c>
      <x:c r="D1226" t="s">
        <x:v>326</x:v>
      </x:c>
      <x:c r="F1226" t="s">
        <x:v>321</x:v>
      </x:c>
    </x:row>
    <x:row r="1227">
      <x:c r="A1227">
        <x:v>8483683</x:v>
      </x:c>
      <x:c r="B1227" s="4" t="b">
        <x:v>1</x:v>
      </x:c>
      <x:c r="C1227" t="s">
        <x:v>1584</x:v>
      </x:c>
      <x:c r="D1227" t="s">
        <x:v>331</x:v>
      </x:c>
      <x:c r="F1227" t="s">
        <x:v>321</x:v>
      </x:c>
    </x:row>
    <x:row r="1228">
      <x:c r="A1228">
        <x:v>8484246</x:v>
      </x:c>
      <x:c r="B1228" s="4" t="b">
        <x:v>1</x:v>
      </x:c>
      <x:c r="C1228" t="s">
        <x:v>1585</x:v>
      </x:c>
      <x:c r="D1228" t="s">
        <x:v>331</x:v>
      </x:c>
      <x:c r="F1228" t="s">
        <x:v>321</x:v>
      </x:c>
    </x:row>
    <x:row r="1229">
      <x:c r="A1229">
        <x:v>8484461</x:v>
      </x:c>
      <x:c r="B1229" s="4" t="b">
        <x:v>1</x:v>
      </x:c>
      <x:c r="C1229" t="s">
        <x:v>1586</x:v>
      </x:c>
      <x:c r="D1229" t="s">
        <x:v>339</x:v>
      </x:c>
      <x:c r="F1229" t="s">
        <x:v>321</x:v>
      </x:c>
    </x:row>
    <x:row r="1230">
      <x:c r="A1230">
        <x:v>8484217</x:v>
      </x:c>
      <x:c r="B1230" s="4" t="b">
        <x:v>1</x:v>
      </x:c>
      <x:c r="C1230" t="s">
        <x:v>1587</x:v>
      </x:c>
      <x:c r="D1230" t="s">
        <x:v>331</x:v>
      </x:c>
      <x:c r="F1230" t="s">
        <x:v>321</x:v>
      </x:c>
    </x:row>
    <x:row r="1231">
      <x:c r="A1231">
        <x:v>8484836</x:v>
      </x:c>
      <x:c r="B1231" s="4" t="b">
        <x:v>1</x:v>
      </x:c>
      <x:c r="C1231" t="s">
        <x:v>1588</x:v>
      </x:c>
      <x:c r="D1231" t="s">
        <x:v>329</x:v>
      </x:c>
      <x:c r="F1231" t="s">
        <x:v>321</x:v>
      </x:c>
    </x:row>
    <x:row r="1232">
      <x:c r="A1232">
        <x:v>8482654</x:v>
      </x:c>
      <x:c r="B1232" s="4" t="b">
        <x:v>1</x:v>
      </x:c>
      <x:c r="C1232" t="s">
        <x:v>1589</x:v>
      </x:c>
      <x:c r="D1232" t="s">
        <x:v>319</x:v>
      </x:c>
      <x:c r="F1232" t="s">
        <x:v>321</x:v>
      </x:c>
    </x:row>
    <x:row r="1233">
      <x:c r="A1233">
        <x:v>8479986</x:v>
      </x:c>
      <x:c r="B1233" s="4" t="b">
        <x:v>1</x:v>
      </x:c>
      <x:c r="C1233" t="s">
        <x:v>1590</x:v>
      </x:c>
      <x:c r="D1233" t="s">
        <x:v>326</x:v>
      </x:c>
      <x:c r="E1233" t="s">
        <x:v>584</x:v>
      </x:c>
      <x:c r="F1233" t="s">
        <x:v>321</x:v>
      </x:c>
    </x:row>
    <x:row r="1234">
      <x:c r="A1234">
        <x:v>8480274</x:v>
      </x:c>
      <x:c r="B1234" s="4" t="b">
        <x:v>1</x:v>
      </x:c>
      <x:c r="C1234" t="s">
        <x:v>1591</x:v>
      </x:c>
      <x:c r="D1234" t="s">
        <x:v>331</x:v>
      </x:c>
      <x:c r="F1234" t="s">
        <x:v>321</x:v>
      </x:c>
    </x:row>
    <x:row r="1235">
      <x:c r="A1235">
        <x:v>8483692</x:v>
      </x:c>
      <x:c r="B1235" s="4" t="b">
        <x:v>1</x:v>
      </x:c>
      <x:c r="C1235" t="s">
        <x:v>1592</x:v>
      </x:c>
      <x:c r="D1235" t="s">
        <x:v>331</x:v>
      </x:c>
      <x:c r="F1235" t="s">
        <x:v>321</x:v>
      </x:c>
    </x:row>
    <x:row r="1236">
      <x:c r="A1236">
        <x:v>8486006</x:v>
      </x:c>
      <x:c r="B1236" s="4" t="b">
        <x:v>1</x:v>
      </x:c>
      <x:c r="C1236" t="s">
        <x:v>1593</x:v>
      </x:c>
      <x:c r="D1236" t="s">
        <x:v>331</x:v>
      </x:c>
      <x:c r="F1236" t="s">
        <x:v>321</x:v>
      </x:c>
    </x:row>
    <x:row r="1237">
      <x:c r="A1237">
        <x:v>8484393</x:v>
      </x:c>
      <x:c r="B1237" s="4" t="b">
        <x:v>1</x:v>
      </x:c>
      <x:c r="C1237" t="s">
        <x:v>1594</x:v>
      </x:c>
      <x:c r="D1237" t="s">
        <x:v>358</x:v>
      </x:c>
      <x:c r="F1237" t="s">
        <x:v>321</x:v>
      </x:c>
    </x:row>
    <x:row r="1238">
      <x:c r="A1238">
        <x:v>8484198</x:v>
      </x:c>
      <x:c r="B1238" s="4" t="b">
        <x:v>1</x:v>
      </x:c>
      <x:c r="C1238" t="s">
        <x:v>1595</x:v>
      </x:c>
      <x:c r="D1238" t="s">
        <x:v>331</x:v>
      </x:c>
      <x:c r="F1238" t="s">
        <x:v>321</x:v>
      </x:c>
    </x:row>
    <x:row r="1239">
      <x:c r="A1239">
        <x:v>8483400</x:v>
      </x:c>
      <x:c r="B1239" s="4" t="b">
        <x:v>1</x:v>
      </x:c>
      <x:c r="C1239" t="s">
        <x:v>1596</x:v>
      </x:c>
      <x:c r="D1239" t="s">
        <x:v>331</x:v>
      </x:c>
      <x:c r="F1239" t="s">
        <x:v>321</x:v>
      </x:c>
    </x:row>
    <x:row r="1240">
      <x:c r="A1240">
        <x:v>8483841</x:v>
      </x:c>
      <x:c r="B1240" s="4" t="b">
        <x:v>1</x:v>
      </x:c>
      <x:c r="C1240" t="s">
        <x:v>1597</x:v>
      </x:c>
      <x:c r="D1240" t="s">
        <x:v>339</x:v>
      </x:c>
      <x:c r="F1240" t="s">
        <x:v>321</x:v>
      </x:c>
    </x:row>
    <x:row r="1241">
      <x:c r="A1241">
        <x:v>8484123</x:v>
      </x:c>
      <x:c r="B1241" s="4" t="b">
        <x:v>1</x:v>
      </x:c>
      <x:c r="C1241" t="s">
        <x:v>1598</x:v>
      </x:c>
      <x:c r="D1241" t="s">
        <x:v>329</x:v>
      </x:c>
      <x:c r="F1241" t="s">
        <x:v>321</x:v>
      </x:c>
    </x:row>
    <x:row r="1242">
      <x:c r="A1242">
        <x:v>8483105</x:v>
      </x:c>
      <x:c r="B1242" s="4" t="b">
        <x:v>1</x:v>
      </x:c>
      <x:c r="C1242" t="s">
        <x:v>1599</x:v>
      </x:c>
      <x:c r="D1242" t="s">
        <x:v>319</x:v>
      </x:c>
      <x:c r="F1242" t="s">
        <x:v>321</x:v>
      </x:c>
    </x:row>
    <x:row r="1243">
      <x:c r="A1243">
        <x:v>8483901</x:v>
      </x:c>
      <x:c r="B1243" s="4" t="b">
        <x:v>1</x:v>
      </x:c>
      <x:c r="C1243" t="s">
        <x:v>1600</x:v>
      </x:c>
      <x:c r="D1243" t="s">
        <x:v>331</x:v>
      </x:c>
      <x:c r="F1243" t="s">
        <x:v>321</x:v>
      </x:c>
    </x:row>
    <x:row r="1244">
      <x:c r="A1244">
        <x:v>8480999</x:v>
      </x:c>
      <x:c r="B1244" s="4" t="b">
        <x:v>1</x:v>
      </x:c>
      <x:c r="C1244" t="s">
        <x:v>1601</x:v>
      </x:c>
      <x:c r="D1244" t="s">
        <x:v>331</x:v>
      </x:c>
      <x:c r="F1244" t="s">
        <x:v>321</x:v>
      </x:c>
    </x:row>
    <x:row r="1245">
      <x:c r="A1245">
        <x:v>8484383</x:v>
      </x:c>
      <x:c r="B1245" s="4" t="b">
        <x:v>1</x:v>
      </x:c>
      <x:c r="C1245" t="s">
        <x:v>1602</x:v>
      </x:c>
      <x:c r="D1245" t="s">
        <x:v>319</x:v>
      </x:c>
      <x:c r="F1245" t="s">
        <x:v>321</x:v>
      </x:c>
    </x:row>
    <x:row r="1246">
      <x:c r="A1246">
        <x:v>8486182</x:v>
      </x:c>
      <x:c r="B1246" s="4" t="b">
        <x:v>1</x:v>
      </x:c>
      <x:c r="C1246" t="s">
        <x:v>1603</x:v>
      </x:c>
      <x:c r="D1246" t="s">
        <x:v>331</x:v>
      </x:c>
      <x:c r="F1246" t="s">
        <x:v>321</x:v>
      </x:c>
    </x:row>
    <x:row r="1247">
      <x:c r="A1247">
        <x:v>8481561</x:v>
      </x:c>
      <x:c r="B1247" s="4" t="b">
        <x:v>1</x:v>
      </x:c>
      <x:c r="C1247" t="s">
        <x:v>1604</x:v>
      </x:c>
      <x:c r="D1247" t="s">
        <x:v>339</x:v>
      </x:c>
      <x:c r="F1247" t="s">
        <x:v>321</x:v>
      </x:c>
    </x:row>
    <x:row r="1248">
      <x:c r="A1248">
        <x:v>8482727</x:v>
      </x:c>
      <x:c r="B1248" s="4" t="b">
        <x:v>1</x:v>
      </x:c>
      <x:c r="C1248" t="s">
        <x:v>1605</x:v>
      </x:c>
      <x:c r="D1248" t="s">
        <x:v>326</x:v>
      </x:c>
      <x:c r="F1248" t="s">
        <x:v>321</x:v>
      </x:c>
    </x:row>
    <x:row r="1249">
      <x:c r="A1249">
        <x:v>8481849</x:v>
      </x:c>
      <x:c r="B1249" s="4" t="b">
        <x:v>1</x:v>
      </x:c>
      <x:c r="C1249" t="s">
        <x:v>1606</x:v>
      </x:c>
      <x:c r="D1249" t="s">
        <x:v>331</x:v>
      </x:c>
      <x:c r="F1249" t="s">
        <x:v>321</x:v>
      </x:c>
    </x:row>
    <x:row r="1250">
      <x:c r="A1250">
        <x:v>8481790</x:v>
      </x:c>
      <x:c r="B1250" s="4" t="b">
        <x:v>1</x:v>
      </x:c>
      <x:c r="C1250" t="s">
        <x:v>1607</x:v>
      </x:c>
      <x:c r="D1250" t="s">
        <x:v>331</x:v>
      </x:c>
      <x:c r="F1250" t="s">
        <x:v>321</x:v>
      </x:c>
    </x:row>
    <x:row r="1251">
      <x:c r="A1251">
        <x:v>8484151</x:v>
      </x:c>
      <x:c r="B1251" s="4" t="b">
        <x:v>1</x:v>
      </x:c>
      <x:c r="C1251" t="s">
        <x:v>1608</x:v>
      </x:c>
      <x:c r="D1251" t="s">
        <x:v>331</x:v>
      </x:c>
      <x:c r="F1251" t="s">
        <x:v>321</x:v>
      </x:c>
    </x:row>
    <x:row r="1252">
      <x:c r="A1252">
        <x:v>8477314</x:v>
      </x:c>
      <x:c r="B1252" s="4" t="b">
        <x:v>1</x:v>
      </x:c>
      <x:c r="C1252" t="s">
        <x:v>1609</x:v>
      </x:c>
      <x:c r="D1252" t="s">
        <x:v>319</x:v>
      </x:c>
      <x:c r="F1252" t="s">
        <x:v>321</x:v>
      </x:c>
    </x:row>
    <x:row r="1253">
      <x:c r="A1253">
        <x:v>8486154</x:v>
      </x:c>
      <x:c r="B1253" s="4" t="b">
        <x:v>1</x:v>
      </x:c>
      <x:c r="C1253" t="s">
        <x:v>1610</x:v>
      </x:c>
      <x:c r="D1253" t="s">
        <x:v>331</x:v>
      </x:c>
      <x:c r="F1253" t="s">
        <x:v>321</x:v>
      </x:c>
    </x:row>
    <x:row r="1254">
      <x:c r="A1254">
        <x:v>8483834</x:v>
      </x:c>
      <x:c r="B1254" s="4" t="b">
        <x:v>1</x:v>
      </x:c>
      <x:c r="C1254" t="s">
        <x:v>1611</x:v>
      </x:c>
      <x:c r="D1254" t="s">
        <x:v>331</x:v>
      </x:c>
      <x:c r="F1254" t="s">
        <x:v>321</x:v>
      </x:c>
    </x:row>
    <x:row r="1255">
      <x:c r="A1255">
        <x:v>8483533</x:v>
      </x:c>
      <x:c r="B1255" s="4" t="b">
        <x:v>1</x:v>
      </x:c>
      <x:c r="C1255" t="s">
        <x:v>1612</x:v>
      </x:c>
      <x:c r="D1255" t="s">
        <x:v>331</x:v>
      </x:c>
      <x:c r="E1255" t="s">
        <x:v>584</x:v>
      </x:c>
      <x:c r="F1255" t="s">
        <x:v>321</x:v>
      </x:c>
    </x:row>
    <x:row r="1256">
      <x:c r="A1256">
        <x:v>8483039</x:v>
      </x:c>
      <x:c r="B1256" s="4" t="b">
        <x:v>1</x:v>
      </x:c>
      <x:c r="C1256" t="s">
        <x:v>1613</x:v>
      </x:c>
      <x:c r="D1256" t="s">
        <x:v>319</x:v>
      </x:c>
      <x:c r="F1256" t="s">
        <x:v>321</x:v>
      </x:c>
    </x:row>
    <x:row r="1257">
      <x:c r="A1257">
        <x:v>8483103</x:v>
      </x:c>
      <x:c r="B1257" s="4" t="b">
        <x:v>1</x:v>
      </x:c>
      <x:c r="C1257" t="s">
        <x:v>1614</x:v>
      </x:c>
      <x:c r="D1257" t="s">
        <x:v>331</x:v>
      </x:c>
      <x:c r="F1257" t="s">
        <x:v>321</x:v>
      </x:c>
    </x:row>
    <x:row r="1258">
      <x:c r="A1258">
        <x:v>8484523</x:v>
      </x:c>
      <x:c r="B1258" s="4" t="b">
        <x:v>1</x:v>
      </x:c>
      <x:c r="C1258" t="s">
        <x:v>1615</x:v>
      </x:c>
      <x:c r="D1258" t="s">
        <x:v>331</x:v>
      </x:c>
      <x:c r="F1258" t="s">
        <x:v>321</x:v>
      </x:c>
    </x:row>
    <x:row r="1259">
      <x:c r="A1259">
        <x:v>8484537</x:v>
      </x:c>
      <x:c r="B1259" s="4" t="b">
        <x:v>1</x:v>
      </x:c>
      <x:c r="C1259" t="s">
        <x:v>1616</x:v>
      </x:c>
      <x:c r="D1259" t="s">
        <x:v>319</x:v>
      </x:c>
      <x:c r="F1259" t="s">
        <x:v>321</x:v>
      </x:c>
    </x:row>
    <x:row r="1260">
      <x:c r="A1260">
        <x:v>8480468</x:v>
      </x:c>
      <x:c r="B1260" s="4" t="b">
        <x:v>1</x:v>
      </x:c>
      <x:c r="C1260" t="s">
        <x:v>1617</x:v>
      </x:c>
      <x:c r="D1260" t="s">
        <x:v>358</x:v>
      </x:c>
      <x:c r="F1260" t="s">
        <x:v>321</x:v>
      </x:c>
    </x:row>
    <x:row r="1261">
      <x:c r="A1261">
        <x:v>8481239</x:v>
      </x:c>
      <x:c r="B1261" s="4" t="b">
        <x:v>1</x:v>
      </x:c>
      <x:c r="C1261" t="s">
        <x:v>1618</x:v>
      </x:c>
      <x:c r="D1261" t="s">
        <x:v>333</x:v>
      </x:c>
      <x:c r="F1261" t="s">
        <x:v>321</x:v>
      </x:c>
    </x:row>
    <x:row r="1262">
      <x:c r="A1262">
        <x:v>8481585</x:v>
      </x:c>
      <x:c r="B1262" s="4" t="b">
        <x:v>1</x:v>
      </x:c>
      <x:c r="C1262" t="s">
        <x:v>1619</x:v>
      </x:c>
      <x:c r="D1262" t="s">
        <x:v>358</x:v>
      </x:c>
      <x:c r="F1262" t="s">
        <x:v>321</x:v>
      </x:c>
    </x:row>
    <x:row r="1263">
      <x:c r="A1263">
        <x:v>8481093</x:v>
      </x:c>
      <x:c r="B1263" s="4" t="b">
        <x:v>1</x:v>
      </x:c>
      <x:c r="C1263" t="s">
        <x:v>1620</x:v>
      </x:c>
      <x:c r="D1263" t="s">
        <x:v>358</x:v>
      </x:c>
      <x:c r="E1263" t="s">
        <x:v>584</x:v>
      </x:c>
      <x:c r="F1263" t="s">
        <x:v>321</x:v>
      </x:c>
    </x:row>
    <x:row r="1264">
      <x:c r="B1264" s="4" t="b">
        <x:v>1</x:v>
      </x:c>
      <x:c r="C1264" t="s">
        <x:v>1621</x:v>
      </x:c>
      <x:c r="D1264" t="s">
        <x:v>331</x:v>
      </x:c>
      <x:c r="E1264" t="s">
        <x:v>584</x:v>
      </x:c>
      <x:c r="F1264" t="s">
        <x:v>321</x:v>
      </x:c>
    </x:row>
    <x:row r="1265">
      <x:c r="A1265">
        <x:v>8484173</x:v>
      </x:c>
      <x:c r="B1265" s="4" t="b">
        <x:v>1</x:v>
      </x:c>
      <x:c r="C1265" t="s">
        <x:v>1622</x:v>
      </x:c>
      <x:c r="D1265" t="s">
        <x:v>326</x:v>
      </x:c>
      <x:c r="E1265" t="s">
        <x:v>327</x:v>
      </x:c>
      <x:c r="F1265" t="s">
        <x:v>321</x:v>
      </x:c>
    </x:row>
    <x:row r="1266">
      <x:c r="A1266">
        <x:v>8482459</x:v>
      </x:c>
      <x:c r="B1266" s="4" t="b">
        <x:v>1</x:v>
      </x:c>
      <x:c r="C1266" t="s">
        <x:v>1623</x:v>
      </x:c>
      <x:c r="D1266" t="s">
        <x:v>331</x:v>
      </x:c>
      <x:c r="F1266" t="s">
        <x:v>321</x:v>
      </x:c>
    </x:row>
    <x:row r="1267">
      <x:c r="A1267">
        <x:v>8483509</x:v>
      </x:c>
      <x:c r="B1267" s="4" t="b">
        <x:v>1</x:v>
      </x:c>
      <x:c r="C1267" t="s">
        <x:v>1624</x:v>
      </x:c>
      <x:c r="D1267" t="s">
        <x:v>331</x:v>
      </x:c>
      <x:c r="F1267" t="s">
        <x:v>321</x:v>
      </x:c>
    </x:row>
    <x:row r="1268">
      <x:c r="A1268">
        <x:v>8482950</x:v>
      </x:c>
      <x:c r="B1268" s="4" t="b">
        <x:v>1</x:v>
      </x:c>
      <x:c r="C1268" t="s">
        <x:v>1625</x:v>
      </x:c>
      <x:c r="D1268" t="s">
        <x:v>331</x:v>
      </x:c>
      <x:c r="F1268" t="s">
        <x:v>321</x:v>
      </x:c>
    </x:row>
    <x:row r="1269">
      <x:c r="A1269">
        <x:v>8480825</x:v>
      </x:c>
      <x:c r="B1269" s="4" t="b">
        <x:v>1</x:v>
      </x:c>
      <x:c r="C1269" t="s">
        <x:v>1626</x:v>
      </x:c>
      <x:c r="D1269" t="s">
        <x:v>326</x:v>
      </x:c>
      <x:c r="F1269" t="s">
        <x:v>321</x:v>
      </x:c>
    </x:row>
    <x:row r="1270">
      <x:c r="A1270">
        <x:v>8483651</x:v>
      </x:c>
      <x:c r="B1270" s="4" t="b">
        <x:v>1</x:v>
      </x:c>
      <x:c r="C1270" t="s">
        <x:v>1627</x:v>
      </x:c>
      <x:c r="D1270" t="s">
        <x:v>331</x:v>
      </x:c>
      <x:c r="F1270" t="s">
        <x:v>321</x:v>
      </x:c>
    </x:row>
    <x:row r="1271">
      <x:c r="A1271">
        <x:v>8483090</x:v>
      </x:c>
      <x:c r="B1271" s="4" t="b">
        <x:v>1</x:v>
      </x:c>
      <x:c r="C1271" t="s">
        <x:v>1628</x:v>
      </x:c>
      <x:c r="D1271" t="s">
        <x:v>339</x:v>
      </x:c>
      <x:c r="F1271" t="s">
        <x:v>321</x:v>
      </x:c>
    </x:row>
    <x:row r="1272">
      <x:c r="A1272">
        <x:v>8484766</x:v>
      </x:c>
      <x:c r="B1272" s="4" t="b">
        <x:v>1</x:v>
      </x:c>
      <x:c r="C1272" t="s">
        <x:v>1629</x:v>
      </x:c>
      <x:c r="D1272" t="s">
        <x:v>331</x:v>
      </x:c>
      <x:c r="F1272" t="s">
        <x:v>321</x:v>
      </x:c>
    </x:row>
    <x:row r="1273">
      <x:c r="A1273">
        <x:v>8482101</x:v>
      </x:c>
      <x:c r="B1273" s="4" t="b">
        <x:v>1</x:v>
      </x:c>
      <x:c r="C1273" t="s">
        <x:v>1630</x:v>
      </x:c>
      <x:c r="D1273" t="s">
        <x:v>326</x:v>
      </x:c>
      <x:c r="F1273" t="s">
        <x:v>321</x:v>
      </x:c>
    </x:row>
    <x:row r="1274">
      <x:c r="A1274">
        <x:v>8480007</x:v>
      </x:c>
      <x:c r="B1274" s="4" t="b">
        <x:v>1</x:v>
      </x:c>
      <x:c r="C1274" t="s">
        <x:v>1631</x:v>
      </x:c>
      <x:c r="D1274" t="s">
        <x:v>326</x:v>
      </x:c>
      <x:c r="F1274" t="s">
        <x:v>321</x:v>
      </x:c>
    </x:row>
    <x:row r="1275">
      <x:c r="A1275">
        <x:v>8484162</x:v>
      </x:c>
      <x:c r="B1275" s="4" t="b">
        <x:v>1</x:v>
      </x:c>
      <x:c r="C1275" t="s">
        <x:v>1632</x:v>
      </x:c>
      <x:c r="D1275" t="s">
        <x:v>331</x:v>
      </x:c>
      <x:c r="F1275" t="s">
        <x:v>321</x:v>
      </x:c>
    </x:row>
    <x:row r="1276">
      <x:c r="A1276">
        <x:v>8481762</x:v>
      </x:c>
      <x:c r="B1276" s="4" t="b">
        <x:v>1</x:v>
      </x:c>
      <x:c r="C1276" t="s">
        <x:v>1633</x:v>
      </x:c>
      <x:c r="D1276" t="s">
        <x:v>331</x:v>
      </x:c>
      <x:c r="F1276" t="s">
        <x:v>321</x:v>
      </x:c>
    </x:row>
    <x:row r="1277">
      <x:c r="A1277">
        <x:v>8482724</x:v>
      </x:c>
      <x:c r="B1277" s="4" t="b">
        <x:v>1</x:v>
      </x:c>
      <x:c r="C1277" t="s">
        <x:v>1634</x:v>
      </x:c>
      <x:c r="D1277" t="s">
        <x:v>339</x:v>
      </x:c>
      <x:c r="F1277" t="s">
        <x:v>321</x:v>
      </x:c>
    </x:row>
    <x:row r="1278">
      <x:c r="A1278">
        <x:v>8481848</x:v>
      </x:c>
      <x:c r="B1278" s="4" t="b">
        <x:v>1</x:v>
      </x:c>
      <x:c r="C1278" t="s">
        <x:v>1635</x:v>
      </x:c>
      <x:c r="D1278" t="s">
        <x:v>319</x:v>
      </x:c>
      <x:c r="F1278" t="s">
        <x:v>321</x:v>
      </x:c>
    </x:row>
    <x:row r="1279">
      <x:c r="A1279">
        <x:v>8482479</x:v>
      </x:c>
      <x:c r="B1279" s="4" t="b">
        <x:v>1</x:v>
      </x:c>
      <x:c r="C1279" t="s">
        <x:v>1636</x:v>
      </x:c>
      <x:c r="D1279" t="s">
        <x:v>339</x:v>
      </x:c>
      <x:c r="F1279" t="s">
        <x:v>321</x:v>
      </x:c>
    </x:row>
    <x:row r="1280">
      <x:c r="A1280">
        <x:v>8484403</x:v>
      </x:c>
      <x:c r="B1280" s="4" t="b">
        <x:v>1</x:v>
      </x:c>
      <x:c r="C1280" t="s">
        <x:v>1637</x:v>
      </x:c>
      <x:c r="D1280" t="s">
        <x:v>358</x:v>
      </x:c>
      <x:c r="F1280" t="s">
        <x:v>321</x:v>
      </x:c>
    </x:row>
    <x:row r="1281">
      <x:c r="A1281">
        <x:v>8484396</x:v>
      </x:c>
      <x:c r="B1281" s="4" t="b">
        <x:v>1</x:v>
      </x:c>
      <x:c r="C1281" t="s">
        <x:v>1638</x:v>
      </x:c>
      <x:c r="D1281" t="s">
        <x:v>333</x:v>
      </x:c>
      <x:c r="F1281" t="s">
        <x:v>321</x:v>
      </x:c>
    </x:row>
    <x:row r="1282">
      <x:c r="A1282">
        <x:v>8482152</x:v>
      </x:c>
      <x:c r="B1282" s="4" t="b">
        <x:v>1</x:v>
      </x:c>
      <x:c r="C1282" t="s">
        <x:v>1639</x:v>
      </x:c>
      <x:c r="D1282" t="s">
        <x:v>319</x:v>
      </x:c>
      <x:c r="F1282" t="s">
        <x:v>321</x:v>
      </x:c>
    </x:row>
    <x:row r="1283">
      <x:c r="A1283">
        <x:v>8483496</x:v>
      </x:c>
      <x:c r="B1283" s="4" t="b">
        <x:v>1</x:v>
      </x:c>
      <x:c r="C1283" t="s">
        <x:v>1640</x:v>
      </x:c>
      <x:c r="D1283" t="s">
        <x:v>358</x:v>
      </x:c>
      <x:c r="F1283" t="s">
        <x:v>321</x:v>
      </x:c>
    </x:row>
    <x:row r="1284">
      <x:c r="A1284">
        <x:v>8482080</x:v>
      </x:c>
      <x:c r="B1284" s="4" t="b">
        <x:v>1</x:v>
      </x:c>
      <x:c r="C1284" t="s">
        <x:v>1641</x:v>
      </x:c>
      <x:c r="D1284" t="s">
        <x:v>326</x:v>
      </x:c>
      <x:c r="F1284" t="s">
        <x:v>321</x:v>
      </x:c>
    </x:row>
    <x:row r="1285">
      <x:c r="A1285">
        <x:v>8484966</x:v>
      </x:c>
      <x:c r="B1285" s="4" t="b">
        <x:v>1</x:v>
      </x:c>
      <x:c r="C1285" t="s">
        <x:v>1642</x:v>
      </x:c>
      <x:c r="D1285" t="s">
        <x:v>358</x:v>
      </x:c>
      <x:c r="F1285" t="s">
        <x:v>321</x:v>
      </x:c>
    </x:row>
    <x:row r="1286">
      <x:c r="A1286">
        <x:v>8482120</x:v>
      </x:c>
      <x:c r="B1286" s="4" t="b">
        <x:v>1</x:v>
      </x:c>
      <x:c r="C1286" t="s">
        <x:v>1643</x:v>
      </x:c>
      <x:c r="D1286" t="s">
        <x:v>339</x:v>
      </x:c>
      <x:c r="F1286" t="s">
        <x:v>321</x:v>
      </x:c>
    </x:row>
    <x:row r="1287">
      <x:c r="A1287">
        <x:v>8482134</x:v>
      </x:c>
      <x:c r="B1287" s="4" t="b">
        <x:v>1</x:v>
      </x:c>
      <x:c r="C1287" t="s">
        <x:v>1644</x:v>
      </x:c>
      <x:c r="D1287" t="s">
        <x:v>358</x:v>
      </x:c>
      <x:c r="F1287" t="s">
        <x:v>321</x:v>
      </x:c>
    </x:row>
    <x:row r="1288">
      <x:c r="A1288">
        <x:v>8484128</x:v>
      </x:c>
      <x:c r="B1288" s="4" t="b">
        <x:v>1</x:v>
      </x:c>
      <x:c r="C1288" t="s">
        <x:v>1645</x:v>
      </x:c>
      <x:c r="D1288" t="s">
        <x:v>329</x:v>
      </x:c>
      <x:c r="F1288" t="s">
        <x:v>321</x:v>
      </x:c>
    </x:row>
    <x:row r="1289">
      <x:c r="A1289">
        <x:v>8480060</x:v>
      </x:c>
      <x:c r="B1289" s="4" t="b">
        <x:v>1</x:v>
      </x:c>
      <x:c r="C1289" t="s">
        <x:v>1646</x:v>
      </x:c>
      <x:c r="D1289" t="s">
        <x:v>319</x:v>
      </x:c>
      <x:c r="E1289" t="s">
        <x:v>584</x:v>
      </x:c>
      <x:c r="F1289" t="s">
        <x:v>321</x:v>
      </x:c>
    </x:row>
    <x:row r="1290">
      <x:c r="A1290">
        <x:v>8481690</x:v>
      </x:c>
      <x:c r="B1290" s="4" t="b">
        <x:v>1</x:v>
      </x:c>
      <x:c r="C1290" t="s">
        <x:v>1647</x:v>
      </x:c>
      <x:c r="D1290" t="s">
        <x:v>326</x:v>
      </x:c>
      <x:c r="F1290" t="s">
        <x:v>321</x:v>
      </x:c>
    </x:row>
    <x:row r="1291">
      <x:c r="A1291">
        <x:v>8484165</x:v>
      </x:c>
      <x:c r="B1291" s="4" t="b">
        <x:v>1</x:v>
      </x:c>
      <x:c r="C1291" t="s">
        <x:v>1648</x:v>
      </x:c>
      <x:c r="D1291" t="s">
        <x:v>319</x:v>
      </x:c>
      <x:c r="F1291" t="s">
        <x:v>321</x:v>
      </x:c>
    </x:row>
    <x:row r="1292">
      <x:c r="B1292" s="4" t="b">
        <x:v>1</x:v>
      </x:c>
      <x:c r="C1292" t="s">
        <x:v>1649</x:v>
      </x:c>
      <x:c r="D1292" t="s">
        <x:v>331</x:v>
      </x:c>
      <x:c r="E1292" t="s">
        <x:v>584</x:v>
      </x:c>
      <x:c r="F1292" t="s">
        <x:v>321</x:v>
      </x:c>
    </x:row>
    <x:row r="1293">
      <x:c r="A1293">
        <x:v>8481746</x:v>
      </x:c>
      <x:c r="B1293" s="4" t="b">
        <x:v>1</x:v>
      </x:c>
      <x:c r="C1293" t="s">
        <x:v>1650</x:v>
      </x:c>
      <x:c r="D1293" t="s">
        <x:v>326</x:v>
      </x:c>
      <x:c r="F1293" t="s">
        <x:v>321</x:v>
      </x:c>
    </x:row>
    <x:row r="1294">
      <x:c r="A1294">
        <x:v>8480890</x:v>
      </x:c>
      <x:c r="B1294" s="4" t="b">
        <x:v>1</x:v>
      </x:c>
      <x:c r="C1294" t="s">
        <x:v>1651</x:v>
      </x:c>
      <x:c r="D1294" t="s">
        <x:v>326</x:v>
      </x:c>
      <x:c r="F1294" t="s">
        <x:v>321</x:v>
      </x:c>
    </x:row>
    <x:row r="1295">
      <x:c r="A1295">
        <x:v>8485490</x:v>
      </x:c>
      <x:c r="B1295" s="4" t="b">
        <x:v>1</x:v>
      </x:c>
      <x:c r="C1295" t="s">
        <x:v>1652</x:v>
      </x:c>
      <x:c r="D1295" t="s">
        <x:v>326</x:v>
      </x:c>
      <x:c r="F1295" t="s">
        <x:v>321</x:v>
      </x:c>
    </x:row>
    <x:row r="1296">
      <x:c r="A1296">
        <x:v>8482918</x:v>
      </x:c>
      <x:c r="B1296" s="4" t="b">
        <x:v>1</x:v>
      </x:c>
      <x:c r="C1296" t="s">
        <x:v>1653</x:v>
      </x:c>
      <x:c r="D1296" t="s">
        <x:v>326</x:v>
      </x:c>
      <x:c r="F1296" t="s">
        <x:v>321</x:v>
      </x:c>
    </x:row>
    <x:row r="1297">
      <x:c r="A1297">
        <x:v>8482161</x:v>
      </x:c>
      <x:c r="B1297" s="4" t="b">
        <x:v>1</x:v>
      </x:c>
      <x:c r="C1297" t="s">
        <x:v>1654</x:v>
      </x:c>
      <x:c r="D1297" t="s">
        <x:v>319</x:v>
      </x:c>
      <x:c r="F1297" t="s">
        <x:v>321</x:v>
      </x:c>
    </x:row>
    <x:row r="1298">
      <x:c r="A1298">
        <x:v>8484229</x:v>
      </x:c>
      <x:c r="B1298" s="4" t="b">
        <x:v>1</x:v>
      </x:c>
      <x:c r="C1298" t="s">
        <x:v>1655</x:v>
      </x:c>
      <x:c r="D1298" t="s">
        <x:v>319</x:v>
      </x:c>
      <x:c r="F1298" t="s">
        <x:v>321</x:v>
      </x:c>
    </x:row>
    <x:row r="1299">
      <x:c r="A1299">
        <x:v>8483799</x:v>
      </x:c>
      <x:c r="B1299" s="4" t="b">
        <x:v>1</x:v>
      </x:c>
      <x:c r="C1299" t="s">
        <x:v>1656</x:v>
      </x:c>
      <x:c r="D1299" t="s">
        <x:v>326</x:v>
      </x:c>
      <x:c r="F1299" t="s">
        <x:v>321</x:v>
      </x:c>
    </x:row>
    <x:row r="1300">
      <x:c r="A1300">
        <x:v>8481147</x:v>
      </x:c>
      <x:c r="B1300" s="4" t="b">
        <x:v>1</x:v>
      </x:c>
      <x:c r="C1300" t="s">
        <x:v>1657</x:v>
      </x:c>
      <x:c r="D1300" t="s">
        <x:v>319</x:v>
      </x:c>
      <x:c r="F1300" t="s">
        <x:v>321</x:v>
      </x:c>
    </x:row>
    <x:row r="1301">
      <x:c r="A1301">
        <x:v>8481866</x:v>
      </x:c>
      <x:c r="B1301" s="4" t="b">
        <x:v>1</x:v>
      </x:c>
      <x:c r="C1301" t="s">
        <x:v>1658</x:v>
      </x:c>
      <x:c r="D1301" t="s">
        <x:v>358</x:v>
      </x:c>
      <x:c r="F1301" t="s">
        <x:v>321</x:v>
      </x:c>
    </x:row>
    <x:row r="1302">
      <x:c r="A1302">
        <x:v>8485527</x:v>
      </x:c>
      <x:c r="B1302" s="4" t="b">
        <x:v>1</x:v>
      </x:c>
      <x:c r="C1302" t="s">
        <x:v>1659</x:v>
      </x:c>
      <x:c r="D1302" t="s">
        <x:v>358</x:v>
      </x:c>
      <x:c r="E1302" t="s">
        <x:v>584</x:v>
      </x:c>
      <x:c r="F1302" t="s">
        <x:v>321</x:v>
      </x:c>
    </x:row>
    <x:row r="1303">
      <x:c r="A1303">
        <x:v>8456455</x:v>
      </x:c>
      <x:c r="B1303" s="4" t="b">
        <x:v>1</x:v>
      </x:c>
      <x:c r="C1303" t="s">
        <x:v>1660</x:v>
      </x:c>
      <x:c r="D1303" t="s">
        <x:v>333</x:v>
      </x:c>
      <x:c r="E1303" t="s">
        <x:v>584</x:v>
      </x:c>
      <x:c r="F1303" t="s">
        <x:v>321</x:v>
      </x:c>
    </x:row>
    <x:row r="1304">
      <x:c r="B1304" s="4" t="b">
        <x:v>1</x:v>
      </x:c>
      <x:c r="C1304" t="s">
        <x:v>1661</x:v>
      </x:c>
      <x:c r="D1304" t="s">
        <x:v>329</x:v>
      </x:c>
      <x:c r="F1304" t="s">
        <x:v>321</x:v>
      </x:c>
    </x:row>
    <x:row r="1305">
      <x:c r="A1305">
        <x:v>8482748</x:v>
      </x:c>
      <x:c r="B1305" s="4" t="b">
        <x:v>1</x:v>
      </x:c>
      <x:c r="C1305" t="s">
        <x:v>1662</x:v>
      </x:c>
      <x:c r="D1305" t="s">
        <x:v>319</x:v>
      </x:c>
      <x:c r="F1305" t="s">
        <x:v>321</x:v>
      </x:c>
    </x:row>
    <x:row r="1306">
      <x:c r="A1306">
        <x:v>8484928</x:v>
      </x:c>
      <x:c r="B1306" s="4" t="b">
        <x:v>1</x:v>
      </x:c>
      <x:c r="C1306" t="s">
        <x:v>1663</x:v>
      </x:c>
      <x:c r="D1306" t="s">
        <x:v>329</x:v>
      </x:c>
      <x:c r="E1306" t="s">
        <x:v>584</x:v>
      </x:c>
      <x:c r="F1306" t="s">
        <x:v>321</x:v>
      </x:c>
    </x:row>
    <x:row r="1307">
      <x:c r="A1307">
        <x:v>8483401</x:v>
      </x:c>
      <x:c r="B1307" s="4" t="b">
        <x:v>1</x:v>
      </x:c>
      <x:c r="C1307" t="s">
        <x:v>1664</x:v>
      </x:c>
      <x:c r="D1307" t="s">
        <x:v>326</x:v>
      </x:c>
      <x:c r="F1307" t="s">
        <x:v>321</x:v>
      </x:c>
    </x:row>
    <x:row r="1308">
      <x:c r="A1308">
        <x:v>8481594</x:v>
      </x:c>
      <x:c r="B1308" s="4" t="b">
        <x:v>1</x:v>
      </x:c>
      <x:c r="C1308" t="s">
        <x:v>1665</x:v>
      </x:c>
      <x:c r="D1308" t="s">
        <x:v>326</x:v>
      </x:c>
      <x:c r="F1308" t="s">
        <x:v>321</x:v>
      </x:c>
    </x:row>
    <x:row r="1309">
      <x:c r="A1309">
        <x:v>8483697</x:v>
      </x:c>
      <x:c r="B1309" s="4" t="b">
        <x:v>1</x:v>
      </x:c>
      <x:c r="C1309" t="s">
        <x:v>1666</x:v>
      </x:c>
      <x:c r="D1309" t="s">
        <x:v>323</x:v>
      </x:c>
      <x:c r="F1309" t="s">
        <x:v>321</x:v>
      </x:c>
    </x:row>
    <x:row r="1310">
      <x:c r="A1310">
        <x:v>8484577</x:v>
      </x:c>
      <x:c r="B1310" s="4" t="b">
        <x:v>1</x:v>
      </x:c>
      <x:c r="C1310" t="s">
        <x:v>1667</x:v>
      </x:c>
      <x:c r="D1310" t="s">
        <x:v>331</x:v>
      </x:c>
      <x:c r="F1310" t="s">
        <x:v>321</x:v>
      </x:c>
    </x:row>
    <x:row r="1311">
      <x:c r="A1311">
        <x:v>8485718</x:v>
      </x:c>
      <x:c r="B1311" s="4" t="b">
        <x:v>1</x:v>
      </x:c>
      <x:c r="C1311" t="s">
        <x:v>1668</x:v>
      </x:c>
      <x:c r="D1311" t="s">
        <x:v>323</x:v>
      </x:c>
      <x:c r="F1311" t="s">
        <x:v>321</x:v>
      </x:c>
    </x:row>
    <x:row r="1312">
      <x:c r="A1312">
        <x:v>8476915</x:v>
      </x:c>
      <x:c r="B1312" s="4" t="b">
        <x:v>1</x:v>
      </x:c>
      <x:c r="C1312" t="s">
        <x:v>1669</x:v>
      </x:c>
      <x:c r="D1312" t="s">
        <x:v>358</x:v>
      </x:c>
      <x:c r="F1312" t="s">
        <x:v>321</x:v>
      </x:c>
    </x:row>
    <x:row r="1313">
      <x:c r="A1313">
        <x:v>8483677</x:v>
      </x:c>
      <x:c r="B1313" s="4" t="b">
        <x:v>1</x:v>
      </x:c>
      <x:c r="C1313" t="s">
        <x:v>1670</x:v>
      </x:c>
      <x:c r="D1313" t="s">
        <x:v>339</x:v>
      </x:c>
      <x:c r="F1313" t="s">
        <x:v>321</x:v>
      </x:c>
    </x:row>
    <x:row r="1314">
      <x:c r="A1314">
        <x:v>8483514</x:v>
      </x:c>
      <x:c r="B1314" s="4" t="b">
        <x:v>1</x:v>
      </x:c>
      <x:c r="C1314" t="s">
        <x:v>1671</x:v>
      </x:c>
      <x:c r="D1314" t="s">
        <x:v>326</x:v>
      </x:c>
      <x:c r="F1314" t="s">
        <x:v>321</x:v>
      </x:c>
    </x:row>
    <x:row r="1315">
      <x:c r="A1315">
        <x:v>8483017</x:v>
      </x:c>
      <x:c r="B1315" s="4" t="b">
        <x:v>1</x:v>
      </x:c>
      <x:c r="C1315" t="s">
        <x:v>1672</x:v>
      </x:c>
      <x:c r="D1315" t="s">
        <x:v>331</x:v>
      </x:c>
      <x:c r="F1315" t="s">
        <x:v>321</x:v>
      </x:c>
    </x:row>
    <x:row r="1316">
      <x:c r="A1316">
        <x:v>8484176</x:v>
      </x:c>
      <x:c r="B1316" s="4" t="b">
        <x:v>1</x:v>
      </x:c>
      <x:c r="C1316" t="s">
        <x:v>1673</x:v>
      </x:c>
      <x:c r="D1316" t="s">
        <x:v>326</x:v>
      </x:c>
      <x:c r="F1316" t="s">
        <x:v>321</x:v>
      </x:c>
    </x:row>
    <x:row r="1317">
      <x:c r="A1317">
        <x:v>8486128</x:v>
      </x:c>
      <x:c r="B1317" s="4" t="b">
        <x:v>1</x:v>
      </x:c>
      <x:c r="C1317" t="s">
        <x:v>1674</x:v>
      </x:c>
      <x:c r="D1317" t="s">
        <x:v>331</x:v>
      </x:c>
      <x:c r="F1317" t="s">
        <x:v>321</x:v>
      </x:c>
    </x:row>
    <x:row r="1318">
      <x:c r="A1318">
        <x:v>8484920</x:v>
      </x:c>
      <x:c r="B1318" s="4" t="b">
        <x:v>1</x:v>
      </x:c>
      <x:c r="C1318" t="s">
        <x:v>1675</x:v>
      </x:c>
      <x:c r="D1318" t="s">
        <x:v>333</x:v>
      </x:c>
      <x:c r="F1318" t="s">
        <x:v>321</x:v>
      </x:c>
    </x:row>
    <x:row r="1319">
      <x:c r="A1319">
        <x:v>8483688</x:v>
      </x:c>
      <x:c r="B1319" s="4" t="b">
        <x:v>1</x:v>
      </x:c>
      <x:c r="C1319" t="s">
        <x:v>1676</x:v>
      </x:c>
      <x:c r="D1319" t="s">
        <x:v>326</x:v>
      </x:c>
      <x:c r="F1319" t="s">
        <x:v>321</x:v>
      </x:c>
    </x:row>
    <x:row r="1320">
      <x:c r="A1320">
        <x:v>8481163</x:v>
      </x:c>
      <x:c r="B1320" s="4" t="b">
        <x:v>1</x:v>
      </x:c>
      <x:c r="C1320" t="s">
        <x:v>1677</x:v>
      </x:c>
      <x:c r="D1320" t="s">
        <x:v>339</x:v>
      </x:c>
      <x:c r="F1320" t="s">
        <x:v>321</x:v>
      </x:c>
    </x:row>
    <x:row r="1321">
      <x:c r="A1321">
        <x:v>8479991</x:v>
      </x:c>
      <x:c r="B1321" s="4" t="b">
        <x:v>1</x:v>
      </x:c>
      <x:c r="C1321" t="s">
        <x:v>1678</x:v>
      </x:c>
      <x:c r="D1321" t="s">
        <x:v>319</x:v>
      </x:c>
      <x:c r="E1321" t="s">
        <x:v>584</x:v>
      </x:c>
      <x:c r="F1321" t="s">
        <x:v>321</x:v>
      </x:c>
    </x:row>
    <x:row r="1322">
      <x:c r="A1322">
        <x:v>8482151</x:v>
      </x:c>
      <x:c r="B1322" s="4" t="b">
        <x:v>1</x:v>
      </x:c>
      <x:c r="C1322" t="s">
        <x:v>1679</x:v>
      </x:c>
      <x:c r="D1322" t="s">
        <x:v>323</x:v>
      </x:c>
      <x:c r="F1322" t="s">
        <x:v>321</x:v>
      </x:c>
    </x:row>
    <x:row r="1323">
      <x:c r="A1323">
        <x:v>8482121</x:v>
      </x:c>
      <x:c r="B1323" s="4" t="b">
        <x:v>1</x:v>
      </x:c>
      <x:c r="C1323" t="s">
        <x:v>1680</x:v>
      </x:c>
      <x:c r="D1323" t="s">
        <x:v>319</x:v>
      </x:c>
      <x:c r="F1323" t="s">
        <x:v>321</x:v>
      </x:c>
    </x:row>
    <x:row r="1324">
      <x:c r="A1324">
        <x:v>8482712</x:v>
      </x:c>
      <x:c r="B1324" s="4" t="b">
        <x:v>1</x:v>
      </x:c>
      <x:c r="C1324" t="s">
        <x:v>1681</x:v>
      </x:c>
      <x:c r="D1324" t="s">
        <x:v>323</x:v>
      </x:c>
      <x:c r="E1324" t="s">
        <x:v>372</x:v>
      </x:c>
      <x:c r="F1324" t="s">
        <x:v>321</x:v>
      </x:c>
    </x:row>
    <x:row r="1325">
      <x:c r="A1325">
        <x:v>8482466</x:v>
      </x:c>
      <x:c r="B1325" s="4" t="b">
        <x:v>1</x:v>
      </x:c>
      <x:c r="C1325" t="s">
        <x:v>1682</x:v>
      </x:c>
      <x:c r="D1325" t="s">
        <x:v>326</x:v>
      </x:c>
      <x:c r="F1325" t="s">
        <x:v>321</x:v>
      </x:c>
    </x:row>
    <x:row r="1326">
      <x:c r="A1326">
        <x:v>8485454</x:v>
      </x:c>
      <x:c r="B1326" s="4" t="b">
        <x:v>1</x:v>
      </x:c>
      <x:c r="C1326" t="s">
        <x:v>1683</x:v>
      </x:c>
      <x:c r="D1326" t="s">
        <x:v>319</x:v>
      </x:c>
      <x:c r="F1326" t="s">
        <x:v>321</x:v>
      </x:c>
    </x:row>
    <x:row r="1327">
      <x:c r="A1327">
        <x:v>8485890</x:v>
      </x:c>
      <x:c r="B1327" s="4" t="b">
        <x:v>1</x:v>
      </x:c>
      <x:c r="C1327" t="s">
        <x:v>1684</x:v>
      </x:c>
      <x:c r="D1327" t="s">
        <x:v>331</x:v>
      </x:c>
      <x:c r="F1327" t="s">
        <x:v>321</x:v>
      </x:c>
    </x:row>
    <x:row r="1328">
      <x:c r="B1328" s="4" t="b">
        <x:v>1</x:v>
      </x:c>
      <x:c r="C1328" t="s">
        <x:v>1685</x:v>
      </x:c>
      <x:c r="D1328" t="s">
        <x:v>331</x:v>
      </x:c>
      <x:c r="F1328" t="s">
        <x:v>321</x:v>
      </x:c>
    </x:row>
    <x:row r="1329">
      <x:c r="A1329">
        <x:v>8482744</x:v>
      </x:c>
      <x:c r="B1329" s="4" t="b">
        <x:v>1</x:v>
      </x:c>
      <x:c r="C1329" t="s">
        <x:v>1686</x:v>
      </x:c>
      <x:c r="D1329" t="s">
        <x:v>339</x:v>
      </x:c>
      <x:c r="F1329" t="s">
        <x:v>321</x:v>
      </x:c>
    </x:row>
    <x:row r="1330">
      <x:c r="A1330">
        <x:v>8486179</x:v>
      </x:c>
      <x:c r="B1330" s="4" t="b">
        <x:v>1</x:v>
      </x:c>
      <x:c r="C1330" t="s">
        <x:v>1687</x:v>
      </x:c>
      <x:c r="D1330" t="s">
        <x:v>331</x:v>
      </x:c>
      <x:c r="F1330" t="s">
        <x:v>321</x:v>
      </x:c>
    </x:row>
    <x:row r="1331">
      <x:c r="A1331">
        <x:v>8482616</x:v>
      </x:c>
      <x:c r="B1331" s="4" t="b">
        <x:v>1</x:v>
      </x:c>
      <x:c r="C1331" t="s">
        <x:v>1688</x:v>
      </x:c>
      <x:c r="D1331" t="s">
        <x:v>319</x:v>
      </x:c>
      <x:c r="F1331" t="s">
        <x:v>321</x:v>
      </x:c>
    </x:row>
    <x:row r="1332">
      <x:c r="A1332">
        <x:v>8483453</x:v>
      </x:c>
      <x:c r="B1332" s="4" t="b">
        <x:v>1</x:v>
      </x:c>
      <x:c r="C1332" t="s">
        <x:v>1689</x:v>
      </x:c>
      <x:c r="D1332" t="s">
        <x:v>333</x:v>
      </x:c>
      <x:c r="F1332" t="s">
        <x:v>321</x:v>
      </x:c>
    </x:row>
    <x:row r="1333">
      <x:c r="A1333">
        <x:v>8484242</x:v>
      </x:c>
      <x:c r="B1333" s="4" t="b">
        <x:v>1</x:v>
      </x:c>
      <x:c r="C1333" t="s">
        <x:v>1690</x:v>
      </x:c>
      <x:c r="D1333" t="s">
        <x:v>323</x:v>
      </x:c>
      <x:c r="F1333" t="s">
        <x:v>321</x:v>
      </x:c>
    </x:row>
    <x:row r="1334">
      <x:c r="A1334">
        <x:v>8477320</x:v>
      </x:c>
      <x:c r="B1334" s="4" t="b">
        <x:v>1</x:v>
      </x:c>
      <x:c r="C1334" t="s">
        <x:v>1691</x:v>
      </x:c>
      <x:c r="D1334" t="s">
        <x:v>358</x:v>
      </x:c>
      <x:c r="F1334" t="s">
        <x:v>321</x:v>
      </x:c>
    </x:row>
    <x:row r="1335">
      <x:c r="A1335">
        <x:v>8482746</x:v>
      </x:c>
      <x:c r="B1335" s="4" t="b">
        <x:v>1</x:v>
      </x:c>
      <x:c r="C1335" t="s">
        <x:v>1692</x:v>
      </x:c>
      <x:c r="D1335" t="s">
        <x:v>323</x:v>
      </x:c>
      <x:c r="F1335" t="s">
        <x:v>321</x:v>
      </x:c>
    </x:row>
    <x:row r="1336">
      <x:c r="A1336">
        <x:v>8482674</x:v>
      </x:c>
      <x:c r="B1336" s="4" t="b">
        <x:v>1</x:v>
      </x:c>
      <x:c r="C1336" t="s">
        <x:v>1693</x:v>
      </x:c>
      <x:c r="D1336" t="s">
        <x:v>333</x:v>
      </x:c>
      <x:c r="F1336" t="s">
        <x:v>321</x:v>
      </x:c>
    </x:row>
    <x:row r="1337">
      <x:c r="A1337">
        <x:v>8485463</x:v>
      </x:c>
      <x:c r="B1337" s="4" t="b">
        <x:v>1</x:v>
      </x:c>
      <x:c r="C1337" t="s">
        <x:v>1694</x:v>
      </x:c>
      <x:c r="D1337" t="s">
        <x:v>331</x:v>
      </x:c>
      <x:c r="F1337" t="s">
        <x:v>321</x:v>
      </x:c>
    </x:row>
    <x:row r="1338">
      <x:c r="A1338">
        <x:v>8484888</x:v>
      </x:c>
      <x:c r="B1338" s="4" t="b">
        <x:v>1</x:v>
      </x:c>
      <x:c r="C1338" t="s">
        <x:v>1695</x:v>
      </x:c>
      <x:c r="D1338" t="s">
        <x:v>339</x:v>
      </x:c>
      <x:c r="E1338" t="s">
        <x:v>584</x:v>
      </x:c>
      <x:c r="F1338" t="s">
        <x:v>321</x:v>
      </x:c>
    </x:row>
    <x:row r="1339">
      <x:c r="A1339">
        <x:v>8482136</x:v>
      </x:c>
      <x:c r="B1339" s="4" t="b">
        <x:v>1</x:v>
      </x:c>
      <x:c r="C1339" t="s">
        <x:v>1696</x:v>
      </x:c>
      <x:c r="D1339" t="s">
        <x:v>319</x:v>
      </x:c>
      <x:c r="F1339" t="s">
        <x:v>321</x:v>
      </x:c>
    </x:row>
    <x:row r="1340">
      <x:c r="A1340">
        <x:v>8482263</x:v>
      </x:c>
      <x:c r="B1340" s="4" t="b">
        <x:v>1</x:v>
      </x:c>
      <x:c r="C1340" t="s">
        <x:v>1697</x:v>
      </x:c>
      <x:c r="D1340" t="s">
        <x:v>358</x:v>
      </x:c>
      <x:c r="F1340" t="s">
        <x:v>321</x:v>
      </x:c>
    </x:row>
    <x:row r="1341">
      <x:c r="A1341">
        <x:v>8482739</x:v>
      </x:c>
      <x:c r="B1341" s="4" t="b">
        <x:v>1</x:v>
      </x:c>
      <x:c r="C1341" t="s">
        <x:v>1698</x:v>
      </x:c>
      <x:c r="D1341" t="s">
        <x:v>319</x:v>
      </x:c>
      <x:c r="F1341" t="s">
        <x:v>321</x:v>
      </x:c>
    </x:row>
    <x:row r="1342">
      <x:c r="A1342">
        <x:v>8483452</x:v>
      </x:c>
      <x:c r="B1342" s="4" t="b">
        <x:v>1</x:v>
      </x:c>
      <x:c r="C1342" t="s">
        <x:v>1699</x:v>
      </x:c>
      <x:c r="D1342" t="s">
        <x:v>323</x:v>
      </x:c>
      <x:c r="F1342" t="s">
        <x:v>321</x:v>
      </x:c>
    </x:row>
    <x:row r="1343">
      <x:c r="A1343">
        <x:v>8484243</x:v>
      </x:c>
      <x:c r="B1343" s="4" t="b">
        <x:v>1</x:v>
      </x:c>
      <x:c r="C1343" t="s">
        <x:v>1700</x:v>
      </x:c>
      <x:c r="D1343" t="s">
        <x:v>326</x:v>
      </x:c>
      <x:c r="F1343" t="s">
        <x:v>321</x:v>
      </x:c>
    </x:row>
    <x:row r="1344">
      <x:c r="A1344">
        <x:v>8486149</x:v>
      </x:c>
      <x:c r="B1344" s="4" t="b">
        <x:v>1</x:v>
      </x:c>
      <x:c r="C1344" t="s">
        <x:v>1701</x:v>
      </x:c>
      <x:c r="D1344" t="s">
        <x:v>331</x:v>
      </x:c>
      <x:c r="F1344" t="s">
        <x:v>321</x:v>
      </x:c>
    </x:row>
    <x:row r="1345">
      <x:c r="A1345">
        <x:v>8486127</x:v>
      </x:c>
      <x:c r="B1345" s="4" t="b">
        <x:v>1</x:v>
      </x:c>
      <x:c r="C1345" t="s">
        <x:v>1702</x:v>
      </x:c>
      <x:c r="D1345" t="s">
        <x:v>331</x:v>
      </x:c>
      <x:c r="F1345" t="s">
        <x:v>321</x:v>
      </x:c>
    </x:row>
    <x:row r="1346">
      <x:c r="A1346">
        <x:v>8484616</x:v>
      </x:c>
      <x:c r="B1346" s="4" t="b">
        <x:v>1</x:v>
      </x:c>
      <x:c r="C1346" t="s">
        <x:v>1703</x:v>
      </x:c>
      <x:c r="D1346" t="s">
        <x:v>319</x:v>
      </x:c>
      <x:c r="F1346" t="s">
        <x:v>321</x:v>
      </x:c>
    </x:row>
    <x:row r="1347">
      <x:c r="A1347">
        <x:v>8485551</x:v>
      </x:c>
      <x:c r="B1347" s="4" t="b">
        <x:v>1</x:v>
      </x:c>
      <x:c r="C1347" t="s">
        <x:v>1704</x:v>
      </x:c>
      <x:c r="D1347" t="s">
        <x:v>331</x:v>
      </x:c>
      <x:c r="E1347" t="s">
        <x:v>584</x:v>
      </x:c>
      <x:c r="F1347" t="s">
        <x:v>321</x:v>
      </x:c>
    </x:row>
    <x:row r="1348">
      <x:c r="A1348">
        <x:v>8481558</x:v>
      </x:c>
      <x:c r="B1348" s="4" t="b">
        <x:v>1</x:v>
      </x:c>
      <x:c r="C1348" t="s">
        <x:v>1705</x:v>
      </x:c>
      <x:c r="D1348" t="s">
        <x:v>319</x:v>
      </x:c>
      <x:c r="F1348" t="s">
        <x:v>321</x:v>
      </x:c>
    </x:row>
    <x:row r="1349">
      <x:c r="A1349">
        <x:v>8483511</x:v>
      </x:c>
      <x:c r="B1349" s="4" t="b">
        <x:v>1</x:v>
      </x:c>
      <x:c r="C1349" t="s">
        <x:v>1706</x:v>
      </x:c>
      <x:c r="D1349" t="s">
        <x:v>319</x:v>
      </x:c>
      <x:c r="F1349" t="s">
        <x:v>321</x:v>
      </x:c>
    </x:row>
    <x:row r="1350">
      <x:c r="A1350">
        <x:v>8484255</x:v>
      </x:c>
      <x:c r="B1350" s="4" t="b">
        <x:v>1</x:v>
      </x:c>
      <x:c r="C1350" t="s">
        <x:v>1707</x:v>
      </x:c>
      <x:c r="D1350" t="s">
        <x:v>326</x:v>
      </x:c>
      <x:c r="F1350" t="s">
        <x:v>321</x:v>
      </x:c>
    </x:row>
    <x:row r="1351">
      <x:c r="A1351">
        <x:v>8483579</x:v>
      </x:c>
      <x:c r="B1351" s="4" t="b">
        <x:v>1</x:v>
      </x:c>
      <x:c r="C1351" t="s">
        <x:v>1708</x:v>
      </x:c>
      <x:c r="D1351" t="s">
        <x:v>319</x:v>
      </x:c>
      <x:c r="F1351" t="s">
        <x:v>321</x:v>
      </x:c>
    </x:row>
    <x:row r="1352">
      <x:c r="A1352">
        <x:v>8483652</x:v>
      </x:c>
      <x:c r="B1352" s="4" t="b">
        <x:v>1</x:v>
      </x:c>
      <x:c r="C1352" t="s">
        <x:v>1709</x:v>
      </x:c>
      <x:c r="D1352" t="s">
        <x:v>358</x:v>
      </x:c>
      <x:c r="F1352" t="s">
        <x:v>321</x:v>
      </x:c>
    </x:row>
    <x:row r="1353">
      <x:c r="A1353">
        <x:v>8485469</x:v>
      </x:c>
      <x:c r="B1353" s="4" t="b">
        <x:v>1</x:v>
      </x:c>
      <x:c r="C1353" t="s">
        <x:v>1710</x:v>
      </x:c>
      <x:c r="D1353" t="s">
        <x:v>326</x:v>
      </x:c>
      <x:c r="F1353" t="s">
        <x:v>321</x:v>
      </x:c>
    </x:row>
    <x:row r="1354">
      <x:c r="A1354">
        <x:v>8475748</x:v>
      </x:c>
      <x:c r="B1354" s="4" t="b">
        <x:v>1</x:v>
      </x:c>
      <x:c r="C1354" t="s">
        <x:v>1711</x:v>
      </x:c>
      <x:c r="D1354" t="s">
        <x:v>358</x:v>
      </x:c>
      <x:c r="F1354" t="s">
        <x:v>321</x:v>
      </x:c>
    </x:row>
    <x:row r="1355">
      <x:c r="A1355">
        <x:v>8482162</x:v>
      </x:c>
      <x:c r="B1355" s="4" t="b">
        <x:v>1</x:v>
      </x:c>
      <x:c r="C1355" t="s">
        <x:v>1712</x:v>
      </x:c>
      <x:c r="D1355" t="s">
        <x:v>358</x:v>
      </x:c>
      <x:c r="F1355" t="s">
        <x:v>321</x:v>
      </x:c>
    </x:row>
    <x:row r="1356">
      <x:c r="A1356">
        <x:v>8485467</x:v>
      </x:c>
      <x:c r="B1356" s="4" t="b">
        <x:v>1</x:v>
      </x:c>
      <x:c r="C1356" t="s">
        <x:v>1713</x:v>
      </x:c>
      <x:c r="D1356" t="s">
        <x:v>319</x:v>
      </x:c>
      <x:c r="F1356" t="s">
        <x:v>321</x:v>
      </x:c>
    </x:row>
    <x:row r="1357">
      <x:c r="A1357">
        <x:v>8482133</x:v>
      </x:c>
      <x:c r="B1357" s="4" t="b">
        <x:v>1</x:v>
      </x:c>
      <x:c r="C1357" t="s">
        <x:v>1714</x:v>
      </x:c>
      <x:c r="D1357" t="s">
        <x:v>319</x:v>
      </x:c>
      <x:c r="F1357" t="s">
        <x:v>321</x:v>
      </x:c>
    </x:row>
    <x:row r="1358">
      <x:c r="A1358">
        <x:v>8483930</x:v>
      </x:c>
      <x:c r="B1358" s="4" t="b">
        <x:v>1</x:v>
      </x:c>
      <x:c r="C1358" t="s">
        <x:v>1715</x:v>
      </x:c>
      <x:c r="D1358" t="s">
        <x:v>339</x:v>
      </x:c>
      <x:c r="F1358" t="s">
        <x:v>321</x:v>
      </x:c>
    </x:row>
    <x:row r="1359">
      <x:c r="A1359">
        <x:v>8476576</x:v>
      </x:c>
      <x:c r="B1359" s="4" t="b">
        <x:v>1</x:v>
      </x:c>
      <x:c r="C1359" t="s">
        <x:v>1716</x:v>
      </x:c>
      <x:c r="D1359" t="s">
        <x:v>326</x:v>
      </x:c>
      <x:c r="F1359" t="s">
        <x:v>321</x:v>
      </x:c>
    </x:row>
    <x:row r="1360">
      <x:c r="A1360">
        <x:v>8483486</x:v>
      </x:c>
      <x:c r="B1360" s="4" t="b">
        <x:v>1</x:v>
      </x:c>
      <x:c r="C1360" t="s">
        <x:v>1717</x:v>
      </x:c>
      <x:c r="D1360" t="s">
        <x:v>319</x:v>
      </x:c>
      <x:c r="F1360" t="s">
        <x:v>321</x:v>
      </x:c>
    </x:row>
    <x:row r="1361">
      <x:c r="A1361">
        <x:v>8482882</x:v>
      </x:c>
      <x:c r="B1361" s="4" t="b">
        <x:v>1</x:v>
      </x:c>
      <x:c r="C1361" t="s">
        <x:v>1718</x:v>
      </x:c>
      <x:c r="D1361" t="s">
        <x:v>358</x:v>
      </x:c>
      <x:c r="F1361" t="s">
        <x:v>321</x:v>
      </x:c>
    </x:row>
    <x:row r="1362">
      <x:c r="A1362">
        <x:v>8480249</x:v>
      </x:c>
      <x:c r="B1362" s="4" t="b">
        <x:v>1</x:v>
      </x:c>
      <x:c r="C1362" t="s">
        <x:v>1719</x:v>
      </x:c>
      <x:c r="D1362" t="s">
        <x:v>319</x:v>
      </x:c>
      <x:c r="F1362" t="s">
        <x:v>321</x:v>
      </x:c>
    </x:row>
    <x:row r="1363">
      <x:c r="A1363">
        <x:v>8484271</x:v>
      </x:c>
      <x:c r="B1363" s="4" t="b">
        <x:v>1</x:v>
      </x:c>
      <x:c r="C1363" t="s">
        <x:v>1720</x:v>
      </x:c>
      <x:c r="D1363" t="s">
        <x:v>319</x:v>
      </x:c>
      <x:c r="F1363" t="s">
        <x:v>321</x:v>
      </x:c>
    </x:row>
    <x:row r="1364">
      <x:c r="A1364">
        <x:v>8481004</x:v>
      </x:c>
      <x:c r="B1364" s="4" t="b">
        <x:v>1</x:v>
      </x:c>
      <x:c r="C1364" t="s">
        <x:v>1721</x:v>
      </x:c>
      <x:c r="D1364" t="s">
        <x:v>358</x:v>
      </x:c>
      <x:c r="F1364" t="s">
        <x:v>321</x:v>
      </x:c>
    </x:row>
    <x:row r="1365">
      <x:c r="B1365" s="4" t="b">
        <x:v>1</x:v>
      </x:c>
      <x:c r="C1365" t="s">
        <x:v>1722</x:v>
      </x:c>
      <x:c r="D1365" t="s">
        <x:v>331</x:v>
      </x:c>
      <x:c r="F1365" t="s">
        <x:v>321</x:v>
      </x:c>
    </x:row>
    <x:row r="1366">
      <x:c r="A1366">
        <x:v>8482941</x:v>
      </x:c>
      <x:c r="B1366" s="4" t="b">
        <x:v>1</x:v>
      </x:c>
      <x:c r="C1366" t="s">
        <x:v>1723</x:v>
      </x:c>
      <x:c r="D1366" t="s">
        <x:v>358</x:v>
      </x:c>
      <x:c r="F1366" t="s">
        <x:v>321</x:v>
      </x:c>
    </x:row>
    <x:row r="1367">
      <x:c r="A1367">
        <x:v>8484921</x:v>
      </x:c>
      <x:c r="B1367" s="4" t="b">
        <x:v>1</x:v>
      </x:c>
      <x:c r="C1367" t="s">
        <x:v>1724</x:v>
      </x:c>
      <x:c r="D1367" t="s">
        <x:v>339</x:v>
      </x:c>
      <x:c r="F1367" t="s">
        <x:v>321</x:v>
      </x:c>
    </x:row>
    <x:row r="1368">
      <x:c r="A1368">
        <x:v>8482932</x:v>
      </x:c>
      <x:c r="B1368" s="4" t="b">
        <x:v>1</x:v>
      </x:c>
      <x:c r="C1368" t="s">
        <x:v>1725</x:v>
      </x:c>
      <x:c r="D1368" t="s">
        <x:v>319</x:v>
      </x:c>
      <x:c r="F1368" t="s">
        <x:v>321</x:v>
      </x:c>
    </x:row>
    <x:row r="1369">
      <x:c r="A1369">
        <x:v>8482716</x:v>
      </x:c>
      <x:c r="B1369" s="4" t="b">
        <x:v>1</x:v>
      </x:c>
      <x:c r="C1369" t="s">
        <x:v>1726</x:v>
      </x:c>
      <x:c r="D1369" t="s">
        <x:v>326</x:v>
      </x:c>
      <x:c r="F1369" t="s">
        <x:v>321</x:v>
      </x:c>
    </x:row>
    <x:row r="1370">
      <x:c r="A1370">
        <x:v>8484207</x:v>
      </x:c>
      <x:c r="B1370" s="4" t="b">
        <x:v>1</x:v>
      </x:c>
      <x:c r="C1370" t="s">
        <x:v>1727</x:v>
      </x:c>
      <x:c r="D1370" t="s">
        <x:v>358</x:v>
      </x:c>
      <x:c r="F1370" t="s">
        <x:v>321</x:v>
      </x:c>
    </x:row>
    <x:row r="1371">
      <x:c r="A1371">
        <x:v>8484234</x:v>
      </x:c>
      <x:c r="B1371" s="4" t="b">
        <x:v>1</x:v>
      </x:c>
      <x:c r="C1371" t="s">
        <x:v>1728</x:v>
      </x:c>
      <x:c r="D1371" t="s">
        <x:v>358</x:v>
      </x:c>
      <x:c r="F1371" t="s">
        <x:v>321</x:v>
      </x:c>
    </x:row>
    <x:row r="1372">
      <x:c r="A1372">
        <x:v>8485485</x:v>
      </x:c>
      <x:c r="B1372" s="4" t="b">
        <x:v>1</x:v>
      </x:c>
      <x:c r="C1372" t="s">
        <x:v>1729</x:v>
      </x:c>
      <x:c r="D1372" t="s">
        <x:v>329</x:v>
      </x:c>
      <x:c r="F1372" t="s">
        <x:v>321</x:v>
      </x:c>
    </x:row>
    <x:row r="1373">
      <x:c r="A1373">
        <x:v>8483300</x:v>
      </x:c>
      <x:c r="B1373" s="4" t="b">
        <x:v>1</x:v>
      </x:c>
      <x:c r="C1373" t="s">
        <x:v>1730</x:v>
      </x:c>
      <x:c r="D1373" t="s">
        <x:v>326</x:v>
      </x:c>
      <x:c r="E1373" t="s">
        <x:v>584</x:v>
      </x:c>
      <x:c r="F1373" t="s">
        <x:v>321</x:v>
      </x:c>
    </x:row>
    <x:row r="1374">
      <x:c r="A1374">
        <x:v>8480793</x:v>
      </x:c>
      <x:c r="B1374" s="4" t="b">
        <x:v>1</x:v>
      </x:c>
      <x:c r="C1374" t="s">
        <x:v>1731</x:v>
      </x:c>
      <x:c r="D1374" t="s">
        <x:v>319</x:v>
      </x:c>
      <x:c r="F1374" t="s">
        <x:v>321</x:v>
      </x:c>
    </x:row>
    <x:row r="1375">
      <x:c r="A1375">
        <x:v>8482507</x:v>
      </x:c>
      <x:c r="B1375" s="4" t="b">
        <x:v>1</x:v>
      </x:c>
      <x:c r="C1375" t="s">
        <x:v>1732</x:v>
      </x:c>
      <x:c r="D1375" t="s">
        <x:v>339</x:v>
      </x:c>
      <x:c r="F1375" t="s">
        <x:v>321</x:v>
      </x:c>
    </x:row>
    <x:row r="1376">
      <x:c r="A1376">
        <x:v>8484989</x:v>
      </x:c>
      <x:c r="B1376" s="4" t="b">
        <x:v>1</x:v>
      </x:c>
      <x:c r="C1376" t="s">
        <x:v>1733</x:v>
      </x:c>
      <x:c r="D1376" t="s">
        <x:v>339</x:v>
      </x:c>
      <x:c r="F1376" t="s">
        <x:v>321</x:v>
      </x:c>
    </x:row>
    <x:row r="1377">
      <x:c r="A1377">
        <x:v>8481681</x:v>
      </x:c>
      <x:c r="B1377" s="4" t="b">
        <x:v>1</x:v>
      </x:c>
      <x:c r="C1377" t="s">
        <x:v>1734</x:v>
      </x:c>
      <x:c r="D1377" t="s">
        <x:v>339</x:v>
      </x:c>
      <x:c r="E1377" t="s">
        <x:v>584</x:v>
      </x:c>
      <x:c r="F1377" t="s">
        <x:v>321</x:v>
      </x:c>
    </x:row>
    <x:row r="1378">
      <x:c r="A1378">
        <x:v>8486183</x:v>
      </x:c>
      <x:c r="B1378" s="4" t="b">
        <x:v>1</x:v>
      </x:c>
      <x:c r="C1378" t="s">
        <x:v>1735</x:v>
      </x:c>
      <x:c r="D1378" t="s">
        <x:v>323</x:v>
      </x:c>
      <x:c r="F1378" t="s">
        <x:v>321</x:v>
      </x:c>
    </x:row>
    <x:row r="1379">
      <x:c r="A1379">
        <x:v>8482784</x:v>
      </x:c>
      <x:c r="B1379" s="4" t="b">
        <x:v>1</x:v>
      </x:c>
      <x:c r="C1379" t="s">
        <x:v>1736</x:v>
      </x:c>
      <x:c r="D1379" t="s">
        <x:v>319</x:v>
      </x:c>
      <x:c r="F1379" t="s">
        <x:v>321</x:v>
      </x:c>
    </x:row>
    <x:row r="1380">
      <x:c r="A1380">
        <x:v>8483671</x:v>
      </x:c>
      <x:c r="B1380" s="4" t="b">
        <x:v>1</x:v>
      </x:c>
      <x:c r="C1380" t="s">
        <x:v>1737</x:v>
      </x:c>
      <x:c r="D1380" t="s">
        <x:v>333</x:v>
      </x:c>
      <x:c r="F1380" t="s">
        <x:v>321</x:v>
      </x:c>
    </x:row>
    <x:row r="1381">
      <x:c r="A1381">
        <x:v>8482863</x:v>
      </x:c>
      <x:c r="B1381" s="4" t="b">
        <x:v>1</x:v>
      </x:c>
      <x:c r="C1381" t="s">
        <x:v>1738</x:v>
      </x:c>
      <x:c r="D1381" t="s">
        <x:v>319</x:v>
      </x:c>
      <x:c r="F1381" t="s">
        <x:v>321</x:v>
      </x:c>
    </x:row>
    <x:row r="1382">
      <x:c r="A1382">
        <x:v>8483549</x:v>
      </x:c>
      <x:c r="B1382" s="4" t="b">
        <x:v>1</x:v>
      </x:c>
      <x:c r="C1382" t="s">
        <x:v>1739</x:v>
      </x:c>
      <x:c r="D1382" t="s">
        <x:v>319</x:v>
      </x:c>
      <x:c r="F1382" t="s">
        <x:v>321</x:v>
      </x:c>
    </x:row>
    <x:row r="1383">
      <x:c r="A1383">
        <x:v>8482903</x:v>
      </x:c>
      <x:c r="B1383" s="4" t="b">
        <x:v>1</x:v>
      </x:c>
      <x:c r="C1383" t="s">
        <x:v>1740</x:v>
      </x:c>
      <x:c r="D1383" t="s">
        <x:v>339</x:v>
      </x:c>
      <x:c r="F1383" t="s">
        <x:v>321</x:v>
      </x:c>
    </x:row>
    <x:row r="1384">
      <x:c r="A1384">
        <x:v>8485462</x:v>
      </x:c>
      <x:c r="B1384" s="4" t="b">
        <x:v>1</x:v>
      </x:c>
      <x:c r="C1384" t="s">
        <x:v>1741</x:v>
      </x:c>
      <x:c r="D1384" t="s">
        <x:v>319</x:v>
      </x:c>
      <x:c r="F1384" t="s">
        <x:v>321</x:v>
      </x:c>
    </x:row>
    <x:row r="1385">
      <x:c r="A1385">
        <x:v>8482757</x:v>
      </x:c>
      <x:c r="B1385" s="4" t="b">
        <x:v>1</x:v>
      </x:c>
      <x:c r="C1385" t="s">
        <x:v>1742</x:v>
      </x:c>
      <x:c r="D1385" t="s">
        <x:v>333</x:v>
      </x:c>
      <x:c r="F1385" t="s">
        <x:v>321</x:v>
      </x:c>
    </x:row>
    <x:row r="1386">
      <x:c r="A1386">
        <x:v>8484277</x:v>
      </x:c>
      <x:c r="B1386" s="4" t="b">
        <x:v>1</x:v>
      </x:c>
      <x:c r="C1386" t="s">
        <x:v>1743</x:v>
      </x:c>
      <x:c r="D1386" t="s">
        <x:v>319</x:v>
      </x:c>
      <x:c r="F1386" t="s">
        <x:v>321</x:v>
      </x:c>
    </x:row>
    <x:row r="1387">
      <x:c r="A1387">
        <x:v>8482250</x:v>
      </x:c>
      <x:c r="B1387" s="4" t="b">
        <x:v>1</x:v>
      </x:c>
      <x:c r="C1387" t="s">
        <x:v>1744</x:v>
      </x:c>
      <x:c r="D1387" t="s">
        <x:v>326</x:v>
      </x:c>
      <x:c r="F1387" t="s">
        <x:v>321</x:v>
      </x:c>
    </x:row>
    <x:row r="1388">
      <x:c r="A1388">
        <x:v>8484529</x:v>
      </x:c>
      <x:c r="B1388" s="4" t="b">
        <x:v>1</x:v>
      </x:c>
      <x:c r="C1388" t="s">
        <x:v>1745</x:v>
      </x:c>
      <x:c r="D1388" t="s">
        <x:v>319</x:v>
      </x:c>
      <x:c r="F1388" t="s">
        <x:v>321</x:v>
      </x:c>
    </x:row>
    <x:row r="1389">
      <x:c r="A1389">
        <x:v>8484143</x:v>
      </x:c>
      <x:c r="B1389" s="4" t="b">
        <x:v>1</x:v>
      </x:c>
      <x:c r="C1389" t="s">
        <x:v>1746</x:v>
      </x:c>
      <x:c r="D1389" t="s">
        <x:v>358</x:v>
      </x:c>
      <x:c r="F1389" t="s">
        <x:v>321</x:v>
      </x:c>
    </x:row>
    <x:row r="1390">
      <x:c r="A1390">
        <x:v>8485784</x:v>
      </x:c>
      <x:c r="B1390" s="4" t="b">
        <x:v>1</x:v>
      </x:c>
      <x:c r="C1390" t="s">
        <x:v>1747</x:v>
      </x:c>
      <x:c r="D1390" t="s">
        <x:v>339</x:v>
      </x:c>
      <x:c r="E1390" t="s">
        <x:v>584</x:v>
      </x:c>
      <x:c r="F1390" t="s">
        <x:v>321</x:v>
      </x:c>
    </x:row>
    <x:row r="1391">
      <x:c r="A1391">
        <x:v>8484899</x:v>
      </x:c>
      <x:c r="B1391" s="4" t="b">
        <x:v>1</x:v>
      </x:c>
      <x:c r="C1391" t="s">
        <x:v>1748</x:v>
      </x:c>
      <x:c r="D1391" t="s">
        <x:v>319</x:v>
      </x:c>
      <x:c r="F1391" t="s">
        <x:v>321</x:v>
      </x:c>
    </x:row>
    <x:row r="1392">
      <x:c r="A1392">
        <x:v>8481737</x:v>
      </x:c>
      <x:c r="B1392" s="4" t="b">
        <x:v>1</x:v>
      </x:c>
      <x:c r="C1392" t="s">
        <x:v>1749</x:v>
      </x:c>
      <x:c r="D1392" t="s">
        <x:v>319</x:v>
      </x:c>
      <x:c r="E1392" t="s">
        <x:v>584</x:v>
      </x:c>
      <x:c r="F1392" t="s">
        <x:v>321</x:v>
      </x:c>
    </x:row>
    <x:row r="1393">
      <x:c r="A1393">
        <x:v>8481731</x:v>
      </x:c>
      <x:c r="B1393" s="4" t="b">
        <x:v>1</x:v>
      </x:c>
      <x:c r="C1393" t="s">
        <x:v>1750</x:v>
      </x:c>
      <x:c r="D1393" t="s">
        <x:v>323</x:v>
      </x:c>
      <x:c r="F1393" t="s">
        <x:v>321</x:v>
      </x:c>
    </x:row>
    <x:row r="1394">
      <x:c r="A1394">
        <x:v>8483804</x:v>
      </x:c>
      <x:c r="B1394" s="4" t="b">
        <x:v>1</x:v>
      </x:c>
      <x:c r="C1394" t="s">
        <x:v>1751</x:v>
      </x:c>
      <x:c r="D1394" t="s">
        <x:v>326</x:v>
      </x:c>
      <x:c r="F1394" t="s">
        <x:v>321</x:v>
      </x:c>
    </x:row>
    <x:row r="1395">
      <x:c r="A1395">
        <x:v>8484594</x:v>
      </x:c>
      <x:c r="B1395" s="4" t="b">
        <x:v>1</x:v>
      </x:c>
      <x:c r="C1395" t="s">
        <x:v>1752</x:v>
      </x:c>
      <x:c r="D1395" t="s">
        <x:v>358</x:v>
      </x:c>
      <x:c r="F1395" t="s">
        <x:v>321</x:v>
      </x:c>
    </x:row>
    <x:row r="1396">
      <x:c r="B1396" s="4" t="b">
        <x:v>1</x:v>
      </x:c>
      <x:c r="C1396" t="s">
        <x:v>1753</x:v>
      </x:c>
      <x:c r="D1396" t="s">
        <x:v>339</x:v>
      </x:c>
      <x:c r="F1396" t="s">
        <x:v>321</x:v>
      </x:c>
    </x:row>
    <x:row r="1397">
      <x:c r="A1397">
        <x:v>8484116</x:v>
      </x:c>
      <x:c r="B1397" s="4" t="b">
        <x:v>1</x:v>
      </x:c>
      <x:c r="C1397" t="s">
        <x:v>1754</x:v>
      </x:c>
      <x:c r="D1397" t="s">
        <x:v>358</x:v>
      </x:c>
      <x:c r="F1397" t="s">
        <x:v>321</x:v>
      </x:c>
    </x:row>
    <x:row r="1398">
      <x:c r="A1398">
        <x:v>8481794</x:v>
      </x:c>
      <x:c r="B1398" s="4" t="b">
        <x:v>1</x:v>
      </x:c>
      <x:c r="C1398" t="s">
        <x:v>1755</x:v>
      </x:c>
      <x:c r="D1398" t="s">
        <x:v>319</x:v>
      </x:c>
      <x:c r="F1398" t="s">
        <x:v>321</x:v>
      </x:c>
    </x:row>
    <x:row r="1399">
      <x:c r="A1399">
        <x:v>8484775</x:v>
      </x:c>
      <x:c r="B1399" s="4" t="b">
        <x:v>1</x:v>
      </x:c>
      <x:c r="C1399" t="s">
        <x:v>1756</x:v>
      </x:c>
      <x:c r="D1399" t="s">
        <x:v>319</x:v>
      </x:c>
      <x:c r="F1399" t="s">
        <x:v>321</x:v>
      </x:c>
    </x:row>
    <x:row r="1400">
      <x:c r="A1400">
        <x:v>8481760</x:v>
      </x:c>
      <x:c r="B1400" s="4" t="b">
        <x:v>1</x:v>
      </x:c>
      <x:c r="C1400" t="s">
        <x:v>1757</x:v>
      </x:c>
      <x:c r="D1400" t="s">
        <x:v>319</x:v>
      </x:c>
      <x:c r="E1400" t="s">
        <x:v>584</x:v>
      </x:c>
      <x:c r="F1400" t="s">
        <x:v>321</x:v>
      </x:c>
    </x:row>
    <x:row r="1401">
      <x:c r="A1401">
        <x:v>8483010</x:v>
      </x:c>
      <x:c r="B1401" s="4" t="b">
        <x:v>1</x:v>
      </x:c>
      <x:c r="C1401" t="s">
        <x:v>1758</x:v>
      </x:c>
      <x:c r="D1401" t="s">
        <x:v>319</x:v>
      </x:c>
      <x:c r="F1401" t="s">
        <x:v>321</x:v>
      </x:c>
    </x:row>
    <x:row r="1402">
      <x:c r="A1402">
        <x:v>8484219</x:v>
      </x:c>
      <x:c r="B1402" s="4" t="b">
        <x:v>1</x:v>
      </x:c>
      <x:c r="C1402" t="s">
        <x:v>1759</x:v>
      </x:c>
      <x:c r="D1402" t="s">
        <x:v>358</x:v>
      </x:c>
      <x:c r="F1402" t="s">
        <x:v>321</x:v>
      </x:c>
    </x:row>
    <x:row r="1403">
      <x:c r="A1403">
        <x:v>8483685</x:v>
      </x:c>
      <x:c r="B1403" s="4" t="b">
        <x:v>1</x:v>
      </x:c>
      <x:c r="C1403" t="s">
        <x:v>1760</x:v>
      </x:c>
      <x:c r="D1403" t="s">
        <x:v>319</x:v>
      </x:c>
      <x:c r="F1403" t="s">
        <x:v>321</x:v>
      </x:c>
    </x:row>
    <x:row r="1404">
      <x:c r="A1404">
        <x:v>8485510</x:v>
      </x:c>
      <x:c r="B1404" s="4" t="b">
        <x:v>1</x:v>
      </x:c>
      <x:c r="C1404" t="s">
        <x:v>1761</x:v>
      </x:c>
      <x:c r="D1404" t="s">
        <x:v>339</x:v>
      </x:c>
      <x:c r="F1404" t="s">
        <x:v>321</x:v>
      </x:c>
    </x:row>
    <x:row r="1405">
      <x:c r="A1405">
        <x:v>8484125</x:v>
      </x:c>
      <x:c r="B1405" s="4" t="b">
        <x:v>1</x:v>
      </x:c>
      <x:c r="C1405" t="s">
        <x:v>1762</x:v>
      </x:c>
      <x:c r="D1405" t="s">
        <x:v>319</x:v>
      </x:c>
      <x:c r="F1405" t="s">
        <x:v>321</x:v>
      </x:c>
    </x:row>
    <x:row r="1406">
      <x:c r="A1406">
        <x:v>8485045</x:v>
      </x:c>
      <x:c r="B1406" s="4" t="b">
        <x:v>1</x:v>
      </x:c>
      <x:c r="C1406" t="s">
        <x:v>1763</x:v>
      </x:c>
      <x:c r="D1406" t="s">
        <x:v>326</x:v>
      </x:c>
      <x:c r="F1406" t="s">
        <x:v>321</x:v>
      </x:c>
    </x:row>
    <x:row r="1407">
      <x:c r="A1407">
        <x:v>8484310</x:v>
      </x:c>
      <x:c r="B1407" s="4" t="b">
        <x:v>1</x:v>
      </x:c>
      <x:c r="C1407" t="s">
        <x:v>1764</x:v>
      </x:c>
      <x:c r="D1407" t="s">
        <x:v>339</x:v>
      </x:c>
      <x:c r="F1407" t="s">
        <x:v>321</x:v>
      </x:c>
    </x:row>
    <x:row r="1408">
      <x:c r="A1408">
        <x:v>8484533</x:v>
      </x:c>
      <x:c r="B1408" s="4" t="b">
        <x:v>1</x:v>
      </x:c>
      <x:c r="C1408" t="s">
        <x:v>1765</x:v>
      </x:c>
      <x:c r="D1408" t="s">
        <x:v>326</x:v>
      </x:c>
      <x:c r="F1408" t="s">
        <x:v>321</x:v>
      </x:c>
    </x:row>
    <x:row r="1409">
      <x:c r="A1409">
        <x:v>8484187</x:v>
      </x:c>
      <x:c r="B1409" s="4" t="b">
        <x:v>1</x:v>
      </x:c>
      <x:c r="C1409" t="s">
        <x:v>1766</x:v>
      </x:c>
      <x:c r="D1409" t="s">
        <x:v>358</x:v>
      </x:c>
      <x:c r="F1409" t="s">
        <x:v>321</x:v>
      </x:c>
    </x:row>
    <x:row r="1410">
      <x:c r="A1410">
        <x:v>8482082</x:v>
      </x:c>
      <x:c r="B1410" s="4" t="b">
        <x:v>1</x:v>
      </x:c>
      <x:c r="C1410" t="s">
        <x:v>1767</x:v>
      </x:c>
      <x:c r="D1410" t="s">
        <x:v>329</x:v>
      </x:c>
      <x:c r="F1410" t="s">
        <x:v>321</x:v>
      </x:c>
    </x:row>
    <x:row r="1411">
      <x:c r="A1411">
        <x:v>8482219</x:v>
      </x:c>
      <x:c r="B1411" s="4" t="b">
        <x:v>1</x:v>
      </x:c>
      <x:c r="C1411" t="s">
        <x:v>1768</x:v>
      </x:c>
      <x:c r="D1411" t="s">
        <x:v>319</x:v>
      </x:c>
      <x:c r="F1411" t="s">
        <x:v>321</x:v>
      </x:c>
    </x:row>
    <x:row r="1412">
      <x:c r="A1412">
        <x:v>8483488</x:v>
      </x:c>
      <x:c r="B1412" s="4" t="b">
        <x:v>1</x:v>
      </x:c>
      <x:c r="C1412" t="s">
        <x:v>1769</x:v>
      </x:c>
      <x:c r="D1412" t="s">
        <x:v>326</x:v>
      </x:c>
      <x:c r="F1412" t="s">
        <x:v>321</x:v>
      </x:c>
    </x:row>
    <x:row r="1413">
      <x:c r="A1413">
        <x:v>8485253</x:v>
      </x:c>
      <x:c r="B1413" s="4" t="b">
        <x:v>1</x:v>
      </x:c>
      <x:c r="C1413" t="s">
        <x:v>1770</x:v>
      </x:c>
      <x:c r="D1413" t="s">
        <x:v>329</x:v>
      </x:c>
      <x:c r="F1413" t="s">
        <x:v>321</x:v>
      </x:c>
    </x:row>
    <x:row r="1414">
      <x:c r="A1414">
        <x:v>8484408</x:v>
      </x:c>
      <x:c r="B1414" s="4" t="b">
        <x:v>1</x:v>
      </x:c>
      <x:c r="C1414" t="s">
        <x:v>1771</x:v>
      </x:c>
      <x:c r="D1414" t="s">
        <x:v>358</x:v>
      </x:c>
      <x:c r="F1414" t="s">
        <x:v>321</x:v>
      </x:c>
    </x:row>
    <x:row r="1415">
      <x:c r="A1415">
        <x:v>8481741</x:v>
      </x:c>
      <x:c r="B1415" s="4" t="b">
        <x:v>1</x:v>
      </x:c>
      <x:c r="C1415" t="s">
        <x:v>1772</x:v>
      </x:c>
      <x:c r="D1415" t="s">
        <x:v>326</x:v>
      </x:c>
      <x:c r="E1415" t="s">
        <x:v>584</x:v>
      </x:c>
      <x:c r="F1415" t="s">
        <x:v>321</x:v>
      </x:c>
    </x:row>
    <x:row r="1416">
      <x:c r="A1416">
        <x:v>8485368</x:v>
      </x:c>
      <x:c r="B1416" s="4" t="b">
        <x:v>1</x:v>
      </x:c>
      <x:c r="C1416" t="s">
        <x:v>1773</x:v>
      </x:c>
      <x:c r="D1416" t="s">
        <x:v>319</x:v>
      </x:c>
      <x:c r="F1416" t="s">
        <x:v>321</x:v>
      </x:c>
    </x:row>
    <x:row r="1417">
      <x:c r="A1417">
        <x:v>8484195</x:v>
      </x:c>
      <x:c r="B1417" s="4" t="b">
        <x:v>1</x:v>
      </x:c>
      <x:c r="C1417" t="s">
        <x:v>1774</x:v>
      </x:c>
      <x:c r="D1417" t="s">
        <x:v>333</x:v>
      </x:c>
      <x:c r="F1417" t="s">
        <x:v>321</x:v>
      </x:c>
    </x:row>
    <x:row r="1418">
      <x:c r="A1418">
        <x:v>8483461</x:v>
      </x:c>
      <x:c r="B1418" s="4" t="b">
        <x:v>1</x:v>
      </x:c>
      <x:c r="C1418" t="s">
        <x:v>1775</x:v>
      </x:c>
      <x:c r="D1418" t="s">
        <x:v>326</x:v>
      </x:c>
      <x:c r="F1418" t="s">
        <x:v>321</x:v>
      </x:c>
    </x:row>
    <x:row r="1419">
      <x:c r="A1419">
        <x:v>8485772</x:v>
      </x:c>
      <x:c r="B1419" s="4" t="b">
        <x:v>1</x:v>
      </x:c>
      <x:c r="C1419" t="s">
        <x:v>1776</x:v>
      </x:c>
      <x:c r="D1419" t="s">
        <x:v>319</x:v>
      </x:c>
      <x:c r="E1419" t="s">
        <x:v>584</x:v>
      </x:c>
      <x:c r="F1419" t="s">
        <x:v>321</x:v>
      </x:c>
    </x:row>
    <x:row r="1420">
      <x:c r="B1420" s="4" t="b">
        <x:v>1</x:v>
      </x:c>
      <x:c r="C1420" t="s">
        <x:v>1777</x:v>
      </x:c>
      <x:c r="D1420" t="s">
        <x:v>323</x:v>
      </x:c>
      <x:c r="F1420" t="s">
        <x:v>321</x:v>
      </x:c>
    </x:row>
    <x:row r="1421">
      <x:c r="A1421">
        <x:v>8482512</x:v>
      </x:c>
      <x:c r="B1421" s="4" t="b">
        <x:v>1</x:v>
      </x:c>
      <x:c r="C1421" t="s">
        <x:v>1778</x:v>
      </x:c>
      <x:c r="D1421" t="s">
        <x:v>358</x:v>
      </x:c>
      <x:c r="F1421" t="s">
        <x:v>321</x:v>
      </x:c>
    </x:row>
    <x:row r="1422">
      <x:c r="A1422">
        <x:v>8483844</x:v>
      </x:c>
      <x:c r="B1422" s="4" t="b">
        <x:v>1</x:v>
      </x:c>
      <x:c r="C1422" t="s">
        <x:v>1779</x:v>
      </x:c>
      <x:c r="D1422" t="s">
        <x:v>319</x:v>
      </x:c>
      <x:c r="F1422" t="s">
        <x:v>321</x:v>
      </x:c>
    </x:row>
    <x:row r="1423">
      <x:c r="A1423">
        <x:v>8482714</x:v>
      </x:c>
      <x:c r="B1423" s="4" t="b">
        <x:v>1</x:v>
      </x:c>
      <x:c r="C1423" t="s">
        <x:v>1780</x:v>
      </x:c>
      <x:c r="D1423" t="s">
        <x:v>326</x:v>
      </x:c>
      <x:c r="F1423" t="s">
        <x:v>321</x:v>
      </x:c>
    </x:row>
    <x:row r="1424">
      <x:c r="A1424">
        <x:v>8484830</x:v>
      </x:c>
      <x:c r="B1424" s="4" t="b">
        <x:v>1</x:v>
      </x:c>
      <x:c r="C1424" t="s">
        <x:v>1781</x:v>
      </x:c>
      <x:c r="D1424" t="s">
        <x:v>319</x:v>
      </x:c>
      <x:c r="F1424" t="s">
        <x:v>321</x:v>
      </x:c>
    </x:row>
    <x:row r="1425">
      <x:c r="A1425">
        <x:v>8484107</x:v>
      </x:c>
      <x:c r="B1425" s="4" t="b">
        <x:v>1</x:v>
      </x:c>
      <x:c r="C1425" t="s">
        <x:v>1782</x:v>
      </x:c>
      <x:c r="D1425" t="s">
        <x:v>329</x:v>
      </x:c>
      <x:c r="F1425" t="s">
        <x:v>321</x:v>
      </x:c>
    </x:row>
    <x:row r="1426">
      <x:c r="A1426">
        <x:v>8481183</x:v>
      </x:c>
      <x:c r="B1426" s="4" t="b">
        <x:v>1</x:v>
      </x:c>
      <x:c r="C1426" t="s">
        <x:v>1783</x:v>
      </x:c>
      <x:c r="D1426" t="s">
        <x:v>339</x:v>
      </x:c>
      <x:c r="E1426" t="s">
        <x:v>584</x:v>
      </x:c>
      <x:c r="F1426" t="s">
        <x:v>321</x:v>
      </x:c>
    </x:row>
    <x:row r="1427">
      <x:c r="A1427">
        <x:v>8482452</x:v>
      </x:c>
      <x:c r="B1427" s="4" t="b">
        <x:v>1</x:v>
      </x:c>
      <x:c r="C1427" t="s">
        <x:v>1784</x:v>
      </x:c>
      <x:c r="D1427" t="s">
        <x:v>358</x:v>
      </x:c>
      <x:c r="F1427" t="s">
        <x:v>321</x:v>
      </x:c>
    </x:row>
    <x:row r="1428">
      <x:c r="A1428">
        <x:v>8483390</x:v>
      </x:c>
      <x:c r="B1428" s="4" t="b">
        <x:v>1</x:v>
      </x:c>
      <x:c r="C1428" t="s">
        <x:v>1785</x:v>
      </x:c>
      <x:c r="D1428" t="s">
        <x:v>358</x:v>
      </x:c>
      <x:c r="F1428" t="s">
        <x:v>321</x:v>
      </x:c>
    </x:row>
    <x:row r="1429">
      <x:c r="A1429">
        <x:v>8485496</x:v>
      </x:c>
      <x:c r="B1429" s="4" t="b">
        <x:v>1</x:v>
      </x:c>
      <x:c r="C1429" t="s">
        <x:v>1786</x:v>
      </x:c>
      <x:c r="D1429" t="s">
        <x:v>333</x:v>
      </x:c>
      <x:c r="F1429" t="s">
        <x:v>321</x:v>
      </x:c>
    </x:row>
    <x:row r="1430">
      <x:c r="A1430">
        <x:v>8481579</x:v>
      </x:c>
      <x:c r="B1430" s="4" t="b">
        <x:v>1</x:v>
      </x:c>
      <x:c r="C1430" t="s">
        <x:v>1787</x:v>
      </x:c>
      <x:c r="D1430" t="s">
        <x:v>319</x:v>
      </x:c>
      <x:c r="F1430" t="s">
        <x:v>321</x:v>
      </x:c>
    </x:row>
    <x:row r="1431">
      <x:c r="A1431">
        <x:v>8484566</x:v>
      </x:c>
      <x:c r="B1431" s="4" t="b">
        <x:v>1</x:v>
      </x:c>
      <x:c r="C1431" t="s">
        <x:v>1788</x:v>
      </x:c>
      <x:c r="D1431" t="s">
        <x:v>358</x:v>
      </x:c>
      <x:c r="F1431" t="s">
        <x:v>321</x:v>
      </x:c>
    </x:row>
    <x:row r="1432">
      <x:c r="A1432">
        <x:v>8482518</x:v>
      </x:c>
      <x:c r="B1432" s="4" t="b">
        <x:v>1</x:v>
      </x:c>
      <x:c r="C1432" t="s">
        <x:v>1789</x:v>
      </x:c>
      <x:c r="D1432" t="s">
        <x:v>319</x:v>
      </x:c>
      <x:c r="F1432" t="s">
        <x:v>321</x:v>
      </x:c>
    </x:row>
    <x:row r="1433">
      <x:c r="A1433">
        <x:v>8484222</x:v>
      </x:c>
      <x:c r="B1433" s="4" t="b">
        <x:v>1</x:v>
      </x:c>
      <x:c r="C1433" t="s">
        <x:v>1790</x:v>
      </x:c>
      <x:c r="D1433" t="s">
        <x:v>326</x:v>
      </x:c>
      <x:c r="F1433" t="s">
        <x:v>321</x:v>
      </x:c>
    </x:row>
    <x:row r="1434">
      <x:c r="A1434">
        <x:v>8482976</x:v>
      </x:c>
      <x:c r="B1434" s="4" t="b">
        <x:v>1</x:v>
      </x:c>
      <x:c r="C1434" t="s">
        <x:v>1791</x:v>
      </x:c>
      <x:c r="D1434" t="s">
        <x:v>323</x:v>
      </x:c>
      <x:c r="F1434" t="s">
        <x:v>321</x:v>
      </x:c>
    </x:row>
    <x:row r="1435">
      <x:c r="A1435">
        <x:v>8485337</x:v>
      </x:c>
      <x:c r="B1435" s="4" t="b">
        <x:v>1</x:v>
      </x:c>
      <x:c r="C1435" t="s">
        <x:v>1792</x:v>
      </x:c>
      <x:c r="D1435" t="s">
        <x:v>333</x:v>
      </x:c>
      <x:c r="F1435" t="s">
        <x:v>321</x:v>
      </x:c>
    </x:row>
    <x:row r="1436">
      <x:c r="A1436">
        <x:v>8481666</x:v>
      </x:c>
      <x:c r="B1436" s="4" t="b">
        <x:v>1</x:v>
      </x:c>
      <x:c r="C1436" t="s">
        <x:v>1793</x:v>
      </x:c>
      <x:c r="D1436" t="s">
        <x:v>319</x:v>
      </x:c>
      <x:c r="F1436" t="s">
        <x:v>321</x:v>
      </x:c>
    </x:row>
    <x:row r="1437">
      <x:c r="A1437">
        <x:v>8483519</x:v>
      </x:c>
      <x:c r="B1437" s="4" t="b">
        <x:v>1</x:v>
      </x:c>
      <x:c r="C1437" t="s">
        <x:v>1794</x:v>
      </x:c>
      <x:c r="D1437" t="s">
        <x:v>358</x:v>
      </x:c>
      <x:c r="F1437" t="s">
        <x:v>321</x:v>
      </x:c>
    </x:row>
    <x:row r="1438">
      <x:c r="A1438">
        <x:v>8483673</x:v>
      </x:c>
      <x:c r="B1438" s="4" t="b">
        <x:v>1</x:v>
      </x:c>
      <x:c r="C1438" t="s">
        <x:v>1795</x:v>
      </x:c>
      <x:c r="D1438" t="s">
        <x:v>326</x:v>
      </x:c>
      <x:c r="F1438" t="s">
        <x:v>321</x:v>
      </x:c>
    </x:row>
    <x:row r="1439">
      <x:c r="A1439">
        <x:v>8483921</x:v>
      </x:c>
      <x:c r="B1439" s="4" t="b">
        <x:v>1</x:v>
      </x:c>
      <x:c r="C1439" t="s">
        <x:v>1796</x:v>
      </x:c>
      <x:c r="D1439" t="s">
        <x:v>339</x:v>
      </x:c>
      <x:c r="F1439" t="s">
        <x:v>321</x:v>
      </x:c>
    </x:row>
    <x:row r="1440">
      <x:c r="A1440">
        <x:v>8482198</x:v>
      </x:c>
      <x:c r="B1440" s="4" t="b">
        <x:v>1</x:v>
      </x:c>
      <x:c r="C1440" t="s">
        <x:v>1797</x:v>
      </x:c>
      <x:c r="D1440" t="s">
        <x:v>319</x:v>
      </x:c>
      <x:c r="F1440" t="s">
        <x:v>321</x:v>
      </x:c>
    </x:row>
    <x:row r="1441">
      <x:c r="A1441">
        <x:v>8481667</x:v>
      </x:c>
      <x:c r="B1441" s="4" t="b">
        <x:v>1</x:v>
      </x:c>
      <x:c r="C1441" t="s">
        <x:v>1798</x:v>
      </x:c>
      <x:c r="D1441" t="s">
        <x:v>319</x:v>
      </x:c>
      <x:c r="F1441" t="s">
        <x:v>321</x:v>
      </x:c>
    </x:row>
    <x:row r="1442">
      <x:c r="A1442">
        <x:v>8484507</x:v>
      </x:c>
      <x:c r="B1442" s="4" t="b">
        <x:v>1</x:v>
      </x:c>
      <x:c r="C1442" t="s">
        <x:v>1799</x:v>
      </x:c>
      <x:c r="D1442" t="s">
        <x:v>339</x:v>
      </x:c>
      <x:c r="F1442" t="s">
        <x:v>321</x:v>
      </x:c>
    </x:row>
    <x:row r="1443">
      <x:c r="A1443">
        <x:v>8483218</x:v>
      </x:c>
      <x:c r="B1443" s="4" t="b">
        <x:v>1</x:v>
      </x:c>
      <x:c r="C1443" t="s">
        <x:v>1800</x:v>
      </x:c>
      <x:c r="D1443" t="s">
        <x:v>339</x:v>
      </x:c>
      <x:c r="F1443" t="s">
        <x:v>321</x:v>
      </x:c>
    </x:row>
    <x:row r="1444">
      <x:c r="A1444">
        <x:v>8483798</x:v>
      </x:c>
      <x:c r="B1444" s="4" t="b">
        <x:v>1</x:v>
      </x:c>
      <x:c r="C1444" t="s">
        <x:v>1801</x:v>
      </x:c>
      <x:c r="D1444" t="s">
        <x:v>319</x:v>
      </x:c>
      <x:c r="F1444" t="s">
        <x:v>321</x:v>
      </x:c>
    </x:row>
    <x:row r="1445">
      <x:c r="A1445">
        <x:v>8483526</x:v>
      </x:c>
      <x:c r="B1445" s="4" t="b">
        <x:v>1</x:v>
      </x:c>
      <x:c r="C1445" t="s">
        <x:v>1802</x:v>
      </x:c>
      <x:c r="D1445" t="s">
        <x:v>319</x:v>
      </x:c>
      <x:c r="F1445" t="s">
        <x:v>321</x:v>
      </x:c>
    </x:row>
    <x:row r="1446">
      <x:c r="A1446">
        <x:v>8481078</x:v>
      </x:c>
      <x:c r="B1446" s="4" t="b">
        <x:v>1</x:v>
      </x:c>
      <x:c r="C1446" t="s">
        <x:v>1803</x:v>
      </x:c>
      <x:c r="D1446" t="s">
        <x:v>339</x:v>
      </x:c>
      <x:c r="F1446" t="s">
        <x:v>321</x:v>
      </x:c>
    </x:row>
    <x:row r="1447">
      <x:c r="A1447">
        <x:v>8482889</x:v>
      </x:c>
      <x:c r="B1447" s="4" t="b">
        <x:v>1</x:v>
      </x:c>
      <x:c r="C1447" t="s">
        <x:v>1804</x:v>
      </x:c>
      <x:c r="D1447" t="s">
        <x:v>358</x:v>
      </x:c>
      <x:c r="F1447" t="s">
        <x:v>321</x:v>
      </x:c>
    </x:row>
    <x:row r="1448">
      <x:c r="A1448">
        <x:v>8484131</x:v>
      </x:c>
      <x:c r="B1448" s="4" t="b">
        <x:v>1</x:v>
      </x:c>
      <x:c r="C1448" t="s">
        <x:v>1805</x:v>
      </x:c>
      <x:c r="D1448" t="s">
        <x:v>319</x:v>
      </x:c>
      <x:c r="F1448" t="s">
        <x:v>321</x:v>
      </x:c>
    </x:row>
    <x:row r="1449">
      <x:c r="A1449">
        <x:v>8484420</x:v>
      </x:c>
      <x:c r="B1449" s="4" t="b">
        <x:v>1</x:v>
      </x:c>
      <x:c r="C1449" t="s">
        <x:v>1806</x:v>
      </x:c>
      <x:c r="D1449" t="s">
        <x:v>358</x:v>
      </x:c>
      <x:c r="F1449" t="s">
        <x:v>321</x:v>
      </x:c>
    </x:row>
    <x:row r="1450">
      <x:c r="A1450">
        <x:v>8482718</x:v>
      </x:c>
      <x:c r="B1450" s="4" t="b">
        <x:v>1</x:v>
      </x:c>
      <x:c r="C1450" t="s">
        <x:v>1807</x:v>
      </x:c>
      <x:c r="D1450" t="s">
        <x:v>333</x:v>
      </x:c>
      <x:c r="F1450" t="s">
        <x:v>321</x:v>
      </x:c>
    </x:row>
    <x:row r="1451">
      <x:c r="A1451">
        <x:v>8482842</x:v>
      </x:c>
      <x:c r="B1451" s="4" t="b">
        <x:v>1</x:v>
      </x:c>
      <x:c r="C1451" t="s">
        <x:v>1808</x:v>
      </x:c>
      <x:c r="D1451" t="s">
        <x:v>339</x:v>
      </x:c>
      <x:c r="F1451" t="s">
        <x:v>321</x:v>
      </x:c>
    </x:row>
    <x:row r="1452">
      <x:c r="A1452">
        <x:v>8485460</x:v>
      </x:c>
      <x:c r="B1452" s="4" t="b">
        <x:v>1</x:v>
      </x:c>
      <x:c r="C1452" t="s">
        <x:v>1809</x:v>
      </x:c>
      <x:c r="D1452" t="s">
        <x:v>329</x:v>
      </x:c>
      <x:c r="E1452" t="s">
        <x:v>584</x:v>
      </x:c>
      <x:c r="F1452" t="s">
        <x:v>321</x:v>
      </x:c>
    </x:row>
    <x:row r="1453">
      <x:c r="A1453">
        <x:v>8484412</x:v>
      </x:c>
      <x:c r="B1453" s="4" t="b">
        <x:v>1</x:v>
      </x:c>
      <x:c r="C1453" t="s">
        <x:v>1810</x:v>
      </x:c>
      <x:c r="D1453" t="s">
        <x:v>358</x:v>
      </x:c>
      <x:c r="F1453" t="s">
        <x:v>321</x:v>
      </x:c>
    </x:row>
    <x:row r="1454">
      <x:c r="A1454">
        <x:v>8482168</x:v>
      </x:c>
      <x:c r="B1454" s="4" t="b">
        <x:v>1</x:v>
      </x:c>
      <x:c r="C1454" t="s">
        <x:v>1811</x:v>
      </x:c>
      <x:c r="D1454" t="s">
        <x:v>333</x:v>
      </x:c>
      <x:c r="F1454" t="s">
        <x:v>321</x:v>
      </x:c>
    </x:row>
    <x:row r="1455">
      <x:c r="A1455">
        <x:v>8485483</x:v>
      </x:c>
      <x:c r="B1455" s="4" t="b">
        <x:v>1</x:v>
      </x:c>
      <x:c r="C1455" t="s">
        <x:v>1812</x:v>
      </x:c>
      <x:c r="D1455" t="s">
        <x:v>358</x:v>
      </x:c>
      <x:c r="F1455" t="s">
        <x:v>321</x:v>
      </x:c>
    </x:row>
    <x:row r="1456">
      <x:c r="A1456">
        <x:v>8482881</x:v>
      </x:c>
      <x:c r="B1456" s="4" t="b">
        <x:v>1</x:v>
      </x:c>
      <x:c r="C1456" t="s">
        <x:v>1813</x:v>
      </x:c>
      <x:c r="D1456" t="s">
        <x:v>319</x:v>
      </x:c>
      <x:c r="F1456" t="s">
        <x:v>321</x:v>
      </x:c>
    </x:row>
    <x:row r="1457">
      <x:c r="A1457">
        <x:v>8480032</x:v>
      </x:c>
      <x:c r="B1457" s="4" t="b">
        <x:v>1</x:v>
      </x:c>
      <x:c r="C1457" t="s">
        <x:v>1814</x:v>
      </x:c>
      <x:c r="D1457" t="s">
        <x:v>326</x:v>
      </x:c>
      <x:c r="F1457" t="s">
        <x:v>321</x:v>
      </x:c>
    </x:row>
    <x:row r="1458">
      <x:c r="A1458">
        <x:v>8480025</x:v>
      </x:c>
      <x:c r="B1458" s="4" t="b">
        <x:v>1</x:v>
      </x:c>
      <x:c r="C1458" t="s">
        <x:v>1815</x:v>
      </x:c>
      <x:c r="D1458" t="s">
        <x:v>326</x:v>
      </x:c>
      <x:c r="F1458" t="s">
        <x:v>321</x:v>
      </x:c>
    </x:row>
    <x:row r="1459">
      <x:c r="A1459">
        <x:v>8485470</x:v>
      </x:c>
      <x:c r="B1459" s="4" t="b">
        <x:v>1</x:v>
      </x:c>
      <x:c r="C1459" t="s">
        <x:v>1816</x:v>
      </x:c>
      <x:c r="D1459" t="s">
        <x:v>358</x:v>
      </x:c>
      <x:c r="F1459" t="s">
        <x:v>321</x:v>
      </x:c>
    </x:row>
    <x:row r="1460">
      <x:c r="A1460">
        <x:v>8483063</x:v>
      </x:c>
      <x:c r="B1460" s="4" t="b">
        <x:v>1</x:v>
      </x:c>
      <x:c r="C1460" t="s">
        <x:v>1817</x:v>
      </x:c>
      <x:c r="D1460" t="s">
        <x:v>326</x:v>
      </x:c>
      <x:c r="F1460" t="s">
        <x:v>321</x:v>
      </x:c>
    </x:row>
    <x:row r="1461">
      <x:c r="A1461">
        <x:v>8482919</x:v>
      </x:c>
      <x:c r="B1461" s="4" t="b">
        <x:v>1</x:v>
      </x:c>
      <x:c r="C1461" t="s">
        <x:v>1818</x:v>
      </x:c>
      <x:c r="D1461" t="s">
        <x:v>333</x:v>
      </x:c>
      <x:c r="F1461" t="s">
        <x:v>321</x:v>
      </x:c>
    </x:row>
    <x:row r="1462">
      <x:c r="A1462">
        <x:v>8478429</x:v>
      </x:c>
      <x:c r="B1462" s="4" t="b">
        <x:v>1</x:v>
      </x:c>
      <x:c r="C1462" t="s">
        <x:v>1819</x:v>
      </x:c>
      <x:c r="D1462" t="s">
        <x:v>358</x:v>
      </x:c>
      <x:c r="F1462" t="s">
        <x:v>321</x:v>
      </x:c>
    </x:row>
    <x:row r="1463">
      <x:c r="A1463">
        <x:v>8483043</x:v>
      </x:c>
      <x:c r="B1463" s="4" t="b">
        <x:v>1</x:v>
      </x:c>
      <x:c r="C1463" t="s">
        <x:v>1820</x:v>
      </x:c>
      <x:c r="D1463" t="s">
        <x:v>319</x:v>
      </x:c>
      <x:c r="F1463" t="s">
        <x:v>321</x:v>
      </x:c>
    </x:row>
    <x:row r="1464">
      <x:c r="A1464">
        <x:v>8484466</x:v>
      </x:c>
      <x:c r="B1464" s="4" t="b">
        <x:v>1</x:v>
      </x:c>
      <x:c r="C1464" t="s">
        <x:v>1821</x:v>
      </x:c>
      <x:c r="D1464" t="s">
        <x:v>326</x:v>
      </x:c>
      <x:c r="F1464" t="s">
        <x:v>321</x:v>
      </x:c>
    </x:row>
    <x:row r="1465">
      <x:c r="A1465">
        <x:v>8484497</x:v>
      </x:c>
      <x:c r="B1465" s="4" t="b">
        <x:v>1</x:v>
      </x:c>
      <x:c r="C1465" t="s">
        <x:v>1822</x:v>
      </x:c>
      <x:c r="D1465" t="s">
        <x:v>329</x:v>
      </x:c>
      <x:c r="F1465" t="s">
        <x:v>321</x:v>
      </x:c>
    </x:row>
    <x:row r="1466">
      <x:c r="B1466" s="4" t="b">
        <x:v>1</x:v>
      </x:c>
      <x:c r="C1466" t="s">
        <x:v>1823</x:v>
      </x:c>
      <x:c r="D1466" t="s">
        <x:v>323</x:v>
      </x:c>
      <x:c r="E1466" t="s">
        <x:v>584</x:v>
      </x:c>
      <x:c r="F1466" t="s">
        <x:v>321</x:v>
      </x:c>
    </x:row>
    <x:row r="1467">
      <x:c r="A1467">
        <x:v>8484236</x:v>
      </x:c>
      <x:c r="B1467" s="4" t="b">
        <x:v>1</x:v>
      </x:c>
      <x:c r="C1467" t="s">
        <x:v>1824</x:v>
      </x:c>
      <x:c r="D1467" t="s">
        <x:v>319</x:v>
      </x:c>
      <x:c r="F1467" t="s">
        <x:v>321</x:v>
      </x:c>
    </x:row>
    <x:row r="1468">
      <x:c r="B1468" s="4" t="b">
        <x:v>1</x:v>
      </x:c>
      <x:c r="C1468" t="s">
        <x:v>1825</x:v>
      </x:c>
      <x:c r="D1468" t="s">
        <x:v>323</x:v>
      </x:c>
      <x:c r="F1468" t="s">
        <x:v>321</x:v>
      </x:c>
    </x:row>
    <x:row r="1469">
      <x:c r="A1469">
        <x:v>8482150</x:v>
      </x:c>
      <x:c r="B1469" s="4" t="b">
        <x:v>1</x:v>
      </x:c>
      <x:c r="C1469" t="s">
        <x:v>1826</x:v>
      </x:c>
      <x:c r="D1469" t="s">
        <x:v>323</x:v>
      </x:c>
      <x:c r="F1469" t="s">
        <x:v>321</x:v>
      </x:c>
    </x:row>
    <x:row r="1470">
      <x:c r="A1470">
        <x:v>8484909</x:v>
      </x:c>
      <x:c r="B1470" s="4" t="b">
        <x:v>1</x:v>
      </x:c>
      <x:c r="C1470" t="s">
        <x:v>1827</x:v>
      </x:c>
      <x:c r="D1470" t="s">
        <x:v>329</x:v>
      </x:c>
      <x:c r="E1470" t="s">
        <x:v>584</x:v>
      </x:c>
      <x:c r="F1470" t="s">
        <x:v>321</x:v>
      </x:c>
    </x:row>
    <x:row r="1471">
      <x:c r="A1471">
        <x:v>8485554</x:v>
      </x:c>
      <x:c r="B1471" s="4" t="b">
        <x:v>1</x:v>
      </x:c>
      <x:c r="C1471" t="s">
        <x:v>1828</x:v>
      </x:c>
      <x:c r="D1471" t="s">
        <x:v>358</x:v>
      </x:c>
      <x:c r="E1471" t="s">
        <x:v>584</x:v>
      </x:c>
      <x:c r="F1471" t="s">
        <x:v>321</x:v>
      </x:c>
    </x:row>
    <x:row r="1472">
      <x:c r="A1472">
        <x:v>8486141</x:v>
      </x:c>
      <x:c r="B1472" s="4" t="b">
        <x:v>1</x:v>
      </x:c>
      <x:c r="C1472" t="s">
        <x:v>1829</x:v>
      </x:c>
      <x:c r="D1472" t="s">
        <x:v>333</x:v>
      </x:c>
      <x:c r="F1472" t="s">
        <x:v>321</x:v>
      </x:c>
    </x:row>
    <x:row r="1473">
      <x:c r="A1473">
        <x:v>8482114</x:v>
      </x:c>
      <x:c r="B1473" s="4" t="b">
        <x:v>1</x:v>
      </x:c>
      <x:c r="C1473" t="s">
        <x:v>1830</x:v>
      </x:c>
      <x:c r="D1473" t="s">
        <x:v>319</x:v>
      </x:c>
      <x:c r="F1473" t="s">
        <x:v>321</x:v>
      </x:c>
    </x:row>
    <x:row r="1474">
      <x:c r="A1474">
        <x:v>8482829</x:v>
      </x:c>
      <x:c r="B1474" s="4" t="b">
        <x:v>1</x:v>
      </x:c>
      <x:c r="C1474" t="s">
        <x:v>1831</x:v>
      </x:c>
      <x:c r="D1474" t="s">
        <x:v>358</x:v>
      </x:c>
      <x:c r="F1474" t="s">
        <x:v>321</x:v>
      </x:c>
    </x:row>
    <x:row r="1475">
      <x:c r="A1475">
        <x:v>8478956</x:v>
      </x:c>
      <x:c r="B1475" s="4" t="b">
        <x:v>1</x:v>
      </x:c>
      <x:c r="C1475" t="s">
        <x:v>1832</x:v>
      </x:c>
      <x:c r="D1475" t="s">
        <x:v>358</x:v>
      </x:c>
      <x:c r="E1475" t="s">
        <x:v>584</x:v>
      </x:c>
      <x:c r="F1475" t="s">
        <x:v>321</x:v>
      </x:c>
    </x:row>
    <x:row r="1476">
      <x:c r="A1476">
        <x:v>8483483</x:v>
      </x:c>
      <x:c r="B1476" s="4" t="b">
        <x:v>1</x:v>
      </x:c>
      <x:c r="C1476" t="s">
        <x:v>1833</x:v>
      </x:c>
      <x:c r="D1476" t="s">
        <x:v>329</x:v>
      </x:c>
      <x:c r="F1476" t="s">
        <x:v>321</x:v>
      </x:c>
    </x:row>
    <x:row r="1477">
      <x:c r="A1477">
        <x:v>8483013</x:v>
      </x:c>
      <x:c r="B1477" s="4" t="b">
        <x:v>1</x:v>
      </x:c>
      <x:c r="C1477" t="s">
        <x:v>1834</x:v>
      </x:c>
      <x:c r="D1477" t="s">
        <x:v>358</x:v>
      </x:c>
      <x:c r="F1477" t="s">
        <x:v>321</x:v>
      </x:c>
    </x:row>
    <x:row r="1478">
      <x:c r="A1478">
        <x:v>8484216</x:v>
      </x:c>
      <x:c r="B1478" s="4" t="b">
        <x:v>1</x:v>
      </x:c>
      <x:c r="C1478" t="s">
        <x:v>1835</x:v>
      </x:c>
      <x:c r="D1478" t="s">
        <x:v>323</x:v>
      </x:c>
      <x:c r="F1478" t="s">
        <x:v>321</x:v>
      </x:c>
    </x:row>
    <x:row r="1479">
      <x:c r="A1479">
        <x:v>8486005</x:v>
      </x:c>
      <x:c r="B1479" s="4" t="b">
        <x:v>1</x:v>
      </x:c>
      <x:c r="C1479" t="s">
        <x:v>1836</x:v>
      </x:c>
      <x:c r="D1479" t="s">
        <x:v>339</x:v>
      </x:c>
      <x:c r="F1479" t="s">
        <x:v>321</x:v>
      </x:c>
    </x:row>
    <x:row r="1480">
      <x:c r="A1480">
        <x:v>8482195</x:v>
      </x:c>
      <x:c r="B1480" s="4" t="b">
        <x:v>1</x:v>
      </x:c>
      <x:c r="C1480" t="s">
        <x:v>1837</x:v>
      </x:c>
      <x:c r="D1480" t="s">
        <x:v>329</x:v>
      </x:c>
      <x:c r="F1480" t="s">
        <x:v>321</x:v>
      </x:c>
    </x:row>
    <x:row r="1481">
      <x:c r="A1481">
        <x:v>8486156</x:v>
      </x:c>
      <x:c r="B1481" s="4" t="b">
        <x:v>1</x:v>
      </x:c>
      <x:c r="C1481" t="s">
        <x:v>1838</x:v>
      </x:c>
      <x:c r="D1481" t="s">
        <x:v>329</x:v>
      </x:c>
      <x:c r="F1481" t="s">
        <x:v>321</x:v>
      </x:c>
    </x:row>
    <x:row r="1482">
      <x:c r="A1482">
        <x:v>8483520</x:v>
      </x:c>
      <x:c r="B1482" s="4" t="b">
        <x:v>1</x:v>
      </x:c>
      <x:c r="C1482" t="s">
        <x:v>1839</x:v>
      </x:c>
      <x:c r="D1482" t="s">
        <x:v>323</x:v>
      </x:c>
      <x:c r="F1482" t="s">
        <x:v>321</x:v>
      </x:c>
    </x:row>
    <x:row r="1483">
      <x:c r="A1483">
        <x:v>8484511</x:v>
      </x:c>
      <x:c r="B1483" s="4" t="b">
        <x:v>1</x:v>
      </x:c>
      <x:c r="C1483" t="s">
        <x:v>1840</x:v>
      </x:c>
      <x:c r="D1483" t="s">
        <x:v>339</x:v>
      </x:c>
      <x:c r="F1483" t="s">
        <x:v>321</x:v>
      </x:c>
    </x:row>
    <x:row r="1484">
      <x:c r="A1484">
        <x:v>8483124</x:v>
      </x:c>
      <x:c r="B1484" s="4" t="b">
        <x:v>1</x:v>
      </x:c>
      <x:c r="C1484" t="s">
        <x:v>1841</x:v>
      </x:c>
      <x:c r="D1484" t="s">
        <x:v>323</x:v>
      </x:c>
      <x:c r="F1484" t="s">
        <x:v>321</x:v>
      </x:c>
    </x:row>
    <x:row r="1485">
      <x:c r="A1485">
        <x:v>8483439</x:v>
      </x:c>
      <x:c r="B1485" s="4" t="b">
        <x:v>1</x:v>
      </x:c>
      <x:c r="C1485" t="s">
        <x:v>1842</x:v>
      </x:c>
      <x:c r="D1485" t="s">
        <x:v>358</x:v>
      </x:c>
      <x:c r="F1485" t="s">
        <x:v>321</x:v>
      </x:c>
    </x:row>
    <x:row r="1486">
      <x:c r="A1486">
        <x:v>8478069</x:v>
      </x:c>
      <x:c r="B1486" s="4" t="b">
        <x:v>1</x:v>
      </x:c>
      <x:c r="C1486" t="s">
        <x:v>1843</x:v>
      </x:c>
      <x:c r="D1486" t="s">
        <x:v>358</x:v>
      </x:c>
      <x:c r="E1486" t="s">
        <x:v>584</x:v>
      </x:c>
      <x:c r="F1486" t="s">
        <x:v>321</x:v>
      </x:c>
    </x:row>
    <x:row r="1487">
      <x:c r="A1487">
        <x:v>8482925</x:v>
      </x:c>
      <x:c r="B1487" s="4" t="b">
        <x:v>1</x:v>
      </x:c>
      <x:c r="C1487" t="s">
        <x:v>1844</x:v>
      </x:c>
      <x:c r="D1487" t="s">
        <x:v>319</x:v>
      </x:c>
      <x:c r="F1487" t="s">
        <x:v>321</x:v>
      </x:c>
    </x:row>
    <x:row r="1488">
      <x:c r="A1488">
        <x:v>8482129</x:v>
      </x:c>
      <x:c r="B1488" s="4" t="b">
        <x:v>1</x:v>
      </x:c>
      <x:c r="C1488" t="s">
        <x:v>1845</x:v>
      </x:c>
      <x:c r="D1488" t="s">
        <x:v>326</x:v>
      </x:c>
      <x:c r="F1488" t="s">
        <x:v>321</x:v>
      </x:c>
    </x:row>
    <x:row r="1489">
      <x:c r="A1489">
        <x:v>8484155</x:v>
      </x:c>
      <x:c r="B1489" s="4" t="b">
        <x:v>1</x:v>
      </x:c>
      <x:c r="C1489" t="s">
        <x:v>1846</x:v>
      </x:c>
      <x:c r="D1489" t="s">
        <x:v>319</x:v>
      </x:c>
      <x:c r="F1489" t="s">
        <x:v>321</x:v>
      </x:c>
    </x:row>
    <x:row r="1490">
      <x:c r="A1490">
        <x:v>8484904</x:v>
      </x:c>
      <x:c r="B1490" s="4" t="b">
        <x:v>1</x:v>
      </x:c>
      <x:c r="C1490" t="s">
        <x:v>1847</x:v>
      </x:c>
      <x:c r="D1490" t="s">
        <x:v>358</x:v>
      </x:c>
      <x:c r="F1490" t="s">
        <x:v>321</x:v>
      </x:c>
    </x:row>
    <x:row r="1491">
      <x:c r="A1491">
        <x:v>8484405</x:v>
      </x:c>
      <x:c r="B1491" s="4" t="b">
        <x:v>1</x:v>
      </x:c>
      <x:c r="C1491" t="s">
        <x:v>1848</x:v>
      </x:c>
      <x:c r="D1491" t="s">
        <x:v>326</x:v>
      </x:c>
      <x:c r="F1491" t="s">
        <x:v>321</x:v>
      </x:c>
    </x:row>
    <x:row r="1492">
      <x:c r="A1492">
        <x:v>8482706</x:v>
      </x:c>
      <x:c r="B1492" s="4" t="b">
        <x:v>1</x:v>
      </x:c>
      <x:c r="C1492" t="s">
        <x:v>1849</x:v>
      </x:c>
      <x:c r="D1492" t="s">
        <x:v>323</x:v>
      </x:c>
      <x:c r="F1492" t="s">
        <x:v>321</x:v>
      </x:c>
    </x:row>
    <x:row r="1493">
      <x:c r="A1493">
        <x:v>8483856</x:v>
      </x:c>
      <x:c r="B1493" s="4" t="b">
        <x:v>1</x:v>
      </x:c>
      <x:c r="C1493" t="s">
        <x:v>1850</x:v>
      </x:c>
      <x:c r="D1493" t="s">
        <x:v>323</x:v>
      </x:c>
      <x:c r="F1493" t="s">
        <x:v>321</x:v>
      </x:c>
    </x:row>
    <x:row r="1494">
      <x:c r="A1494">
        <x:v>8484916</x:v>
      </x:c>
      <x:c r="B1494" s="4" t="b">
        <x:v>1</x:v>
      </x:c>
      <x:c r="C1494" t="s">
        <x:v>1851</x:v>
      </x:c>
      <x:c r="D1494" t="s">
        <x:v>326</x:v>
      </x:c>
      <x:c r="F1494" t="s">
        <x:v>321</x:v>
      </x:c>
    </x:row>
    <x:row r="1495">
      <x:c r="A1495">
        <x:v>8482213</x:v>
      </x:c>
      <x:c r="B1495" s="4" t="b">
        <x:v>1</x:v>
      </x:c>
      <x:c r="C1495" t="s">
        <x:v>1852</x:v>
      </x:c>
      <x:c r="D1495" t="s">
        <x:v>319</x:v>
      </x:c>
      <x:c r="E1495" t="s">
        <x:v>584</x:v>
      </x:c>
      <x:c r="F1495" t="s">
        <x:v>321</x:v>
      </x:c>
    </x:row>
    <x:row r="1496">
      <x:c r="A1496">
        <x:v>8485491</x:v>
      </x:c>
      <x:c r="B1496" s="4" t="b">
        <x:v>1</x:v>
      </x:c>
      <x:c r="C1496" t="s">
        <x:v>1853</x:v>
      </x:c>
      <x:c r="D1496" t="s">
        <x:v>319</x:v>
      </x:c>
      <x:c r="F1496" t="s">
        <x:v>321</x:v>
      </x:c>
    </x:row>
    <x:row r="1497">
      <x:c r="A1497">
        <x:v>8480242</x:v>
      </x:c>
      <x:c r="B1497" s="4" t="b">
        <x:v>1</x:v>
      </x:c>
      <x:c r="C1497" t="s">
        <x:v>1854</x:v>
      </x:c>
      <x:c r="D1497" t="s">
        <x:v>358</x:v>
      </x:c>
      <x:c r="F1497" t="s">
        <x:v>321</x:v>
      </x:c>
    </x:row>
    <x:row r="1498">
      <x:c r="A1498">
        <x:v>8482490</x:v>
      </x:c>
      <x:c r="B1498" s="4" t="b">
        <x:v>1</x:v>
      </x:c>
      <x:c r="C1498" t="s">
        <x:v>1855</x:v>
      </x:c>
      <x:c r="D1498" t="s">
        <x:v>358</x:v>
      </x:c>
      <x:c r="F1498" t="s">
        <x:v>321</x:v>
      </x:c>
    </x:row>
    <x:row r="1499">
      <x:c r="A1499">
        <x:v>8484641</x:v>
      </x:c>
      <x:c r="B1499" s="4" t="b">
        <x:v>1</x:v>
      </x:c>
      <x:c r="C1499" t="s">
        <x:v>1856</x:v>
      </x:c>
      <x:c r="D1499" t="s">
        <x:v>319</x:v>
      </x:c>
      <x:c r="F1499" t="s">
        <x:v>321</x:v>
      </x:c>
    </x:row>
    <x:row r="1500">
      <x:c r="A1500">
        <x:v>8483045</x:v>
      </x:c>
      <x:c r="B1500" s="4" t="b">
        <x:v>1</x:v>
      </x:c>
      <x:c r="C1500" t="s">
        <x:v>1857</x:v>
      </x:c>
      <x:c r="D1500" t="s">
        <x:v>326</x:v>
      </x:c>
      <x:c r="E1500" t="s">
        <x:v>584</x:v>
      </x:c>
      <x:c r="F1500" t="s">
        <x:v>321</x:v>
      </x:c>
    </x:row>
    <x:row r="1501">
      <x:c r="A1501">
        <x:v>8483449</x:v>
      </x:c>
      <x:c r="B1501" s="4" t="b">
        <x:v>1</x:v>
      </x:c>
      <x:c r="C1501" t="s">
        <x:v>1858</x:v>
      </x:c>
      <x:c r="D1501" t="s">
        <x:v>319</x:v>
      </x:c>
      <x:c r="F1501" t="s">
        <x:v>321</x:v>
      </x:c>
    </x:row>
    <x:row r="1502">
      <x:c r="A1502">
        <x:v>8483058</x:v>
      </x:c>
      <x:c r="B1502" s="4" t="b">
        <x:v>1</x:v>
      </x:c>
      <x:c r="C1502" t="s">
        <x:v>1859</x:v>
      </x:c>
      <x:c r="D1502" t="s">
        <x:v>323</x:v>
      </x:c>
      <x:c r="E1502" t="s">
        <x:v>584</x:v>
      </x:c>
      <x:c r="F1502" t="s">
        <x:v>321</x:v>
      </x:c>
    </x:row>
    <x:row r="1503">
      <x:c r="A1503">
        <x:v>8482147</x:v>
      </x:c>
      <x:c r="B1503" s="4" t="b">
        <x:v>1</x:v>
      </x:c>
      <x:c r="C1503" t="s">
        <x:v>1860</x:v>
      </x:c>
      <x:c r="D1503" t="s">
        <x:v>319</x:v>
      </x:c>
      <x:c r="F1503" t="s">
        <x:v>321</x:v>
      </x:c>
    </x:row>
    <x:row r="1504">
      <x:c r="A1504">
        <x:v>8485182</x:v>
      </x:c>
      <x:c r="B1504" s="4" t="b">
        <x:v>1</x:v>
      </x:c>
      <x:c r="C1504" t="s">
        <x:v>1861</x:v>
      </x:c>
      <x:c r="D1504" t="s">
        <x:v>358</x:v>
      </x:c>
      <x:c r="F1504" t="s">
        <x:v>321</x:v>
      </x:c>
    </x:row>
    <x:row r="1505">
      <x:c r="A1505">
        <x:v>8485884</x:v>
      </x:c>
      <x:c r="B1505" s="4" t="b">
        <x:v>1</x:v>
      </x:c>
      <x:c r="C1505" t="s">
        <x:v>1862</x:v>
      </x:c>
      <x:c r="D1505" t="s">
        <x:v>326</x:v>
      </x:c>
      <x:c r="F1505" t="s">
        <x:v>321</x:v>
      </x:c>
    </x:row>
    <x:row r="1506">
      <x:c r="A1506">
        <x:v>8485071</x:v>
      </x:c>
      <x:c r="B1506" s="4" t="b">
        <x:v>1</x:v>
      </x:c>
      <x:c r="C1506" t="s">
        <x:v>1863</x:v>
      </x:c>
      <x:c r="D1506" t="s">
        <x:v>358</x:v>
      </x:c>
      <x:c r="F1506" t="s">
        <x:v>321</x:v>
      </x:c>
    </x:row>
    <x:row r="1507">
      <x:c r="A1507">
        <x:v>8483050</x:v>
      </x:c>
      <x:c r="B1507" s="4" t="b">
        <x:v>1</x:v>
      </x:c>
      <x:c r="C1507" t="s">
        <x:v>1864</x:v>
      </x:c>
      <x:c r="D1507" t="s">
        <x:v>319</x:v>
      </x:c>
      <x:c r="F1507" t="s">
        <x:v>321</x:v>
      </x:c>
    </x:row>
    <x:row r="1508">
      <x:c r="A1508">
        <x:v>8481660</x:v>
      </x:c>
      <x:c r="B1508" s="4" t="b">
        <x:v>1</x:v>
      </x:c>
      <x:c r="C1508" t="s">
        <x:v>1865</x:v>
      </x:c>
      <x:c r="D1508" t="s">
        <x:v>358</x:v>
      </x:c>
      <x:c r="F1508" t="s">
        <x:v>321</x:v>
      </x:c>
    </x:row>
    <x:row r="1509">
      <x:c r="A1509">
        <x:v>8485166</x:v>
      </x:c>
      <x:c r="B1509" s="4" t="b">
        <x:v>1</x:v>
      </x:c>
      <x:c r="C1509" t="s">
        <x:v>1866</x:v>
      </x:c>
      <x:c r="D1509" t="s">
        <x:v>333</x:v>
      </x:c>
      <x:c r="F1509" t="s">
        <x:v>321</x:v>
      </x:c>
    </x:row>
    <x:row r="1510">
      <x:c r="A1510">
        <x:v>8483016</x:v>
      </x:c>
      <x:c r="B1510" s="4" t="b">
        <x:v>1</x:v>
      </x:c>
      <x:c r="C1510" t="s">
        <x:v>1867</x:v>
      </x:c>
      <x:c r="D1510" t="s">
        <x:v>358</x:v>
      </x:c>
      <x:c r="F1510" t="s">
        <x:v>321</x:v>
      </x:c>
    </x:row>
    <x:row r="1511">
      <x:c r="A1511">
        <x:v>8485555</x:v>
      </x:c>
      <x:c r="B1511" s="4" t="b">
        <x:v>1</x:v>
      </x:c>
      <x:c r="C1511" t="s">
        <x:v>1868</x:v>
      </x:c>
      <x:c r="D1511" t="s">
        <x:v>319</x:v>
      </x:c>
      <x:c r="E1511" t="s">
        <x:v>584</x:v>
      </x:c>
      <x:c r="F1511" t="s">
        <x:v>321</x:v>
      </x:c>
    </x:row>
    <x:row r="1512">
      <x:c r="A1512">
        <x:v>8485488</x:v>
      </x:c>
      <x:c r="B1512" s="4" t="b">
        <x:v>1</x:v>
      </x:c>
      <x:c r="C1512" t="s">
        <x:v>1869</x:v>
      </x:c>
      <x:c r="D1512" t="s">
        <x:v>333</x:v>
      </x:c>
      <x:c r="F1512" t="s">
        <x:v>321</x:v>
      </x:c>
    </x:row>
    <x:row r="1513">
      <x:c r="A1513">
        <x:v>8483838</x:v>
      </x:c>
      <x:c r="B1513" s="4" t="b">
        <x:v>1</x:v>
      </x:c>
      <x:c r="C1513" t="s">
        <x:v>1870</x:v>
      </x:c>
      <x:c r="D1513" t="s">
        <x:v>339</x:v>
      </x:c>
      <x:c r="F1513" t="s">
        <x:v>321</x:v>
      </x:c>
    </x:row>
    <x:row r="1514">
      <x:c r="B1514" s="4" t="b">
        <x:v>1</x:v>
      </x:c>
      <x:c r="C1514" t="s">
        <x:v>1871</x:v>
      </x:c>
      <x:c r="D1514" t="s">
        <x:v>339</x:v>
      </x:c>
      <x:c r="E1514" t="s">
        <x:v>584</x:v>
      </x:c>
      <x:c r="F1514" t="s">
        <x:v>321</x:v>
      </x:c>
    </x:row>
    <x:row r="1515">
      <x:c r="A1515">
        <x:v>8486129</x:v>
      </x:c>
      <x:c r="B1515" s="4" t="b">
        <x:v>1</x:v>
      </x:c>
      <x:c r="C1515" t="s">
        <x:v>1872</x:v>
      </x:c>
      <x:c r="D1515" t="s">
        <x:v>329</x:v>
      </x:c>
      <x:c r="F1515" t="s">
        <x:v>321</x:v>
      </x:c>
    </x:row>
    <x:row r="1516">
      <x:c r="A1516">
        <x:v>8485486</x:v>
      </x:c>
      <x:c r="B1516" s="4" t="b">
        <x:v>1</x:v>
      </x:c>
      <x:c r="C1516" t="s">
        <x:v>1873</x:v>
      </x:c>
      <x:c r="D1516" t="s">
        <x:v>333</x:v>
      </x:c>
      <x:c r="F1516" t="s">
        <x:v>321</x:v>
      </x:c>
    </x:row>
    <x:row r="1517">
      <x:c r="A1517">
        <x:v>8482924</x:v>
      </x:c>
      <x:c r="B1517" s="4" t="b">
        <x:v>1</x:v>
      </x:c>
      <x:c r="C1517" t="s">
        <x:v>1874</x:v>
      </x:c>
      <x:c r="D1517" t="s">
        <x:v>339</x:v>
      </x:c>
      <x:c r="F1517" t="s">
        <x:v>321</x:v>
      </x:c>
    </x:row>
    <x:row r="1518">
      <x:c r="A1518">
        <x:v>8486117</x:v>
      </x:c>
      <x:c r="B1518" s="4" t="b">
        <x:v>1</x:v>
      </x:c>
      <x:c r="C1518" t="s">
        <x:v>1875</x:v>
      </x:c>
      <x:c r="D1518" t="s">
        <x:v>326</x:v>
      </x:c>
      <x:c r="F1518" t="s">
        <x:v>321</x:v>
      </x:c>
    </x:row>
    <x:row r="1519">
      <x:c r="A1519">
        <x:v>8482704</x:v>
      </x:c>
      <x:c r="B1519" s="4" t="b">
        <x:v>1</x:v>
      </x:c>
      <x:c r="C1519" t="s">
        <x:v>1876</x:v>
      </x:c>
      <x:c r="D1519" t="s">
        <x:v>319</x:v>
      </x:c>
      <x:c r="F1519" t="s">
        <x:v>321</x:v>
      </x:c>
    </x:row>
    <x:row r="1520">
      <x:c r="A1520">
        <x:v>8484382</x:v>
      </x:c>
      <x:c r="B1520" s="4" t="b">
        <x:v>1</x:v>
      </x:c>
      <x:c r="C1520" t="s">
        <x:v>1877</x:v>
      </x:c>
      <x:c r="D1520" t="s">
        <x:v>339</x:v>
      </x:c>
      <x:c r="F1520" t="s">
        <x:v>321</x:v>
      </x:c>
    </x:row>
    <x:row r="1521">
      <x:c r="A1521">
        <x:v>8482865</x:v>
      </x:c>
      <x:c r="B1521" s="4" t="b">
        <x:v>1</x:v>
      </x:c>
      <x:c r="C1521" t="s">
        <x:v>1878</x:v>
      </x:c>
      <x:c r="D1521" t="s">
        <x:v>358</x:v>
      </x:c>
      <x:c r="F1521" t="s">
        <x:v>321</x:v>
      </x:c>
    </x:row>
    <x:row r="1522">
      <x:c r="A1522">
        <x:v>8484415</x:v>
      </x:c>
      <x:c r="B1522" s="4" t="b">
        <x:v>1</x:v>
      </x:c>
      <x:c r="C1522" t="s">
        <x:v>1879</x:v>
      </x:c>
      <x:c r="D1522" t="s">
        <x:v>319</x:v>
      </x:c>
      <x:c r="F1522" t="s">
        <x:v>321</x:v>
      </x:c>
    </x:row>
    <x:row r="1523">
      <x:c r="A1523">
        <x:v>8481817</x:v>
      </x:c>
      <x:c r="B1523" s="4" t="b">
        <x:v>1</x:v>
      </x:c>
      <x:c r="C1523" t="s">
        <x:v>1880</x:v>
      </x:c>
      <x:c r="D1523" t="s">
        <x:v>358</x:v>
      </x:c>
      <x:c r="E1523" t="s">
        <x:v>584</x:v>
      </x:c>
      <x:c r="F1523" t="s">
        <x:v>321</x:v>
      </x:c>
    </x:row>
    <x:row r="1524">
      <x:c r="A1524">
        <x:v>8486055</x:v>
      </x:c>
      <x:c r="B1524" s="4" t="b">
        <x:v>1</x:v>
      </x:c>
      <x:c r="C1524" t="s">
        <x:v>1881</x:v>
      </x:c>
      <x:c r="D1524" t="s">
        <x:v>339</x:v>
      </x:c>
      <x:c r="F1524" t="s">
        <x:v>321</x:v>
      </x:c>
    </x:row>
    <x:row r="1525">
      <x:c r="A1525">
        <x:v>8480016</x:v>
      </x:c>
      <x:c r="B1525" s="4" t="b">
        <x:v>1</x:v>
      </x:c>
      <x:c r="C1525" t="s">
        <x:v>1882</x:v>
      </x:c>
      <x:c r="D1525" t="s">
        <x:v>319</x:v>
      </x:c>
      <x:c r="F1525" t="s">
        <x:v>321</x:v>
      </x:c>
    </x:row>
    <x:row r="1526">
      <x:c r="A1526">
        <x:v>8485455</x:v>
      </x:c>
      <x:c r="B1526" s="4" t="b">
        <x:v>1</x:v>
      </x:c>
      <x:c r="C1526" t="s">
        <x:v>1883</x:v>
      </x:c>
      <x:c r="D1526" t="s">
        <x:v>333</x:v>
      </x:c>
      <x:c r="F1526" t="s">
        <x:v>321</x:v>
      </x:c>
    </x:row>
    <x:row r="1527">
      <x:c r="A1527">
        <x:v>8481172</x:v>
      </x:c>
      <x:c r="B1527" s="4" t="b">
        <x:v>1</x:v>
      </x:c>
      <x:c r="C1527" t="s">
        <x:v>1884</x:v>
      </x:c>
      <x:c r="D1527" t="s">
        <x:v>339</x:v>
      </x:c>
      <x:c r="E1527" t="s">
        <x:v>584</x:v>
      </x:c>
      <x:c r="F1527" t="s">
        <x:v>321</x:v>
      </x:c>
    </x:row>
    <x:row r="1528">
      <x:c r="A1528">
        <x:v>8485492</x:v>
      </x:c>
      <x:c r="B1528" s="4" t="b">
        <x:v>1</x:v>
      </x:c>
      <x:c r="C1528" t="s">
        <x:v>1885</x:v>
      </x:c>
      <x:c r="D1528" t="s">
        <x:v>333</x:v>
      </x:c>
      <x:c r="F1528" t="s">
        <x:v>321</x:v>
      </x:c>
    </x:row>
    <x:row r="1529">
      <x:c r="A1529">
        <x:v>8483480</x:v>
      </x:c>
      <x:c r="B1529" s="4" t="b">
        <x:v>1</x:v>
      </x:c>
      <x:c r="C1529" t="s">
        <x:v>1886</x:v>
      </x:c>
      <x:c r="D1529" t="s">
        <x:v>319</x:v>
      </x:c>
      <x:c r="F1529" t="s">
        <x:v>321</x:v>
      </x:c>
    </x:row>
    <x:row r="1530">
      <x:c r="A1530">
        <x:v>8484201</x:v>
      </x:c>
      <x:c r="B1530" s="4" t="b">
        <x:v>1</x:v>
      </x:c>
      <x:c r="C1530" t="s">
        <x:v>1887</x:v>
      </x:c>
      <x:c r="D1530" t="s">
        <x:v>339</x:v>
      </x:c>
      <x:c r="F1530" t="s">
        <x:v>321</x:v>
      </x:c>
    </x:row>
    <x:row r="1531">
      <x:c r="A1531">
        <x:v>8482828</x:v>
      </x:c>
      <x:c r="B1531" s="4" t="b">
        <x:v>1</x:v>
      </x:c>
      <x:c r="C1531" t="s">
        <x:v>1888</x:v>
      </x:c>
      <x:c r="D1531" t="s">
        <x:v>329</x:v>
      </x:c>
      <x:c r="F1531" t="s">
        <x:v>321</x:v>
      </x:c>
    </x:row>
    <x:row r="1532">
      <x:c r="B1532" s="4" t="b">
        <x:v>1</x:v>
      </x:c>
      <x:c r="C1532" t="s">
        <x:v>1889</x:v>
      </x:c>
      <x:c r="D1532" t="s">
        <x:v>326</x:v>
      </x:c>
      <x:c r="F1532" t="s">
        <x:v>321</x:v>
      </x:c>
    </x:row>
    <x:row r="1533">
      <x:c r="A1533">
        <x:v>8483065</x:v>
      </x:c>
      <x:c r="B1533" s="4" t="b">
        <x:v>1</x:v>
      </x:c>
      <x:c r="C1533" t="s">
        <x:v>1890</x:v>
      </x:c>
      <x:c r="D1533" t="s">
        <x:v>333</x:v>
      </x:c>
      <x:c r="E1533" t="s">
        <x:v>584</x:v>
      </x:c>
      <x:c r="F1533" t="s">
        <x:v>321</x:v>
      </x:c>
    </x:row>
    <x:row r="1534">
      <x:c r="A1534">
        <x:v>8484430</x:v>
      </x:c>
      <x:c r="B1534" s="4" t="b">
        <x:v>1</x:v>
      </x:c>
      <x:c r="C1534" t="s">
        <x:v>1891</x:v>
      </x:c>
      <x:c r="D1534" t="s">
        <x:v>319</x:v>
      </x:c>
      <x:c r="F1534" t="s">
        <x:v>321</x:v>
      </x:c>
    </x:row>
    <x:row r="1535">
      <x:c r="A1535">
        <x:v>8485732</x:v>
      </x:c>
      <x:c r="B1535" s="4" t="b">
        <x:v>1</x:v>
      </x:c>
      <x:c r="C1535" t="s">
        <x:v>1892</x:v>
      </x:c>
      <x:c r="D1535" t="s">
        <x:v>358</x:v>
      </x:c>
      <x:c r="F1535" t="s">
        <x:v>321</x:v>
      </x:c>
    </x:row>
    <x:row r="1536">
      <x:c r="A1536">
        <x:v>8486162</x:v>
      </x:c>
      <x:c r="B1536" s="4" t="b">
        <x:v>1</x:v>
      </x:c>
      <x:c r="C1536" t="s">
        <x:v>1893</x:v>
      </x:c>
      <x:c r="D1536" t="s">
        <x:v>319</x:v>
      </x:c>
      <x:c r="E1536" t="s">
        <x:v>584</x:v>
      </x:c>
      <x:c r="F1536" t="s">
        <x:v>321</x:v>
      </x:c>
    </x:row>
    <x:row r="1537">
      <x:c r="A1537">
        <x:v>8483772</x:v>
      </x:c>
      <x:c r="B1537" s="4" t="b">
        <x:v>1</x:v>
      </x:c>
      <x:c r="C1537" t="s">
        <x:v>1894</x:v>
      </x:c>
      <x:c r="D1537" t="s">
        <x:v>358</x:v>
      </x:c>
      <x:c r="F1537" t="s">
        <x:v>321</x:v>
      </x:c>
    </x:row>
    <x:row r="1538">
      <x:c r="A1538">
        <x:v>8483110</x:v>
      </x:c>
      <x:c r="B1538" s="4" t="b">
        <x:v>1</x:v>
      </x:c>
      <x:c r="C1538" t="s">
        <x:v>1895</x:v>
      </x:c>
      <x:c r="D1538" t="s">
        <x:v>358</x:v>
      </x:c>
      <x:c r="F1538" t="s">
        <x:v>321</x:v>
      </x:c>
    </x:row>
    <x:row r="1539">
      <x:c r="A1539">
        <x:v>8482969</x:v>
      </x:c>
      <x:c r="B1539" s="4" t="b">
        <x:v>1</x:v>
      </x:c>
      <x:c r="C1539" t="s">
        <x:v>1896</x:v>
      </x:c>
      <x:c r="D1539" t="s">
        <x:v>319</x:v>
      </x:c>
      <x:c r="F1539" t="s">
        <x:v>321</x:v>
      </x:c>
    </x:row>
    <x:row r="1540">
      <x:c r="A1540">
        <x:v>8483740</x:v>
      </x:c>
      <x:c r="B1540" s="4" t="b">
        <x:v>1</x:v>
      </x:c>
      <x:c r="C1540" t="s">
        <x:v>1897</x:v>
      </x:c>
      <x:c r="D1540" t="s">
        <x:v>339</x:v>
      </x:c>
      <x:c r="F1540" t="s">
        <x:v>321</x:v>
      </x:c>
    </x:row>
    <x:row r="1541">
      <x:c r="A1541">
        <x:v>8482207</x:v>
      </x:c>
      <x:c r="B1541" s="4" t="b">
        <x:v>1</x:v>
      </x:c>
      <x:c r="C1541" t="s">
        <x:v>1898</x:v>
      </x:c>
      <x:c r="D1541" t="s">
        <x:v>326</x:v>
      </x:c>
      <x:c r="F1541" t="s">
        <x:v>321</x:v>
      </x:c>
    </x:row>
    <x:row r="1542">
      <x:c r="A1542">
        <x:v>8485215</x:v>
      </x:c>
      <x:c r="B1542" s="4" t="b">
        <x:v>1</x:v>
      </x:c>
      <x:c r="C1542" t="s">
        <x:v>1899</x:v>
      </x:c>
      <x:c r="D1542" t="s">
        <x:v>358</x:v>
      </x:c>
      <x:c r="F1542" t="s">
        <x:v>321</x:v>
      </x:c>
    </x:row>
    <x:row r="1543">
      <x:c r="A1543">
        <x:v>8485477</x:v>
      </x:c>
      <x:c r="B1543" s="4" t="b">
        <x:v>1</x:v>
      </x:c>
      <x:c r="C1543" t="s">
        <x:v>1900</x:v>
      </x:c>
      <x:c r="D1543" t="s">
        <x:v>339</x:v>
      </x:c>
      <x:c r="E1543" t="s">
        <x:v>584</x:v>
      </x:c>
      <x:c r="F1543" t="s">
        <x:v>321</x:v>
      </x:c>
    </x:row>
    <x:row r="1544">
      <x:c r="B1544" s="4" t="b">
        <x:v>1</x:v>
      </x:c>
      <x:c r="C1544" t="s">
        <x:v>1901</x:v>
      </x:c>
      <x:c r="D1544" t="s">
        <x:v>323</x:v>
      </x:c>
      <x:c r="F1544" t="s">
        <x:v>321</x:v>
      </x:c>
    </x:row>
    <x:row r="1545">
      <x:c r="A1545">
        <x:v>8483904</x:v>
      </x:c>
      <x:c r="B1545" s="4" t="b">
        <x:v>1</x:v>
      </x:c>
      <x:c r="C1545" t="s">
        <x:v>1902</x:v>
      </x:c>
      <x:c r="D1545" t="s">
        <x:v>339</x:v>
      </x:c>
      <x:c r="F1545" t="s">
        <x:v>321</x:v>
      </x:c>
    </x:row>
    <x:row r="1546">
      <x:c r="A1546">
        <x:v>8484253</x:v>
      </x:c>
      <x:c r="B1546" s="4" t="b">
        <x:v>1</x:v>
      </x:c>
      <x:c r="C1546" t="s">
        <x:v>1903</x:v>
      </x:c>
      <x:c r="D1546" t="s">
        <x:v>323</x:v>
      </x:c>
      <x:c r="F1546" t="s">
        <x:v>321</x:v>
      </x:c>
    </x:row>
    <x:row r="1547">
      <x:c r="A1547">
        <x:v>8482456</x:v>
      </x:c>
      <x:c r="B1547" s="4" t="b">
        <x:v>1</x:v>
      </x:c>
      <x:c r="C1547" t="s">
        <x:v>1904</x:v>
      </x:c>
      <x:c r="D1547" t="s">
        <x:v>333</x:v>
      </x:c>
      <x:c r="F1547" t="s">
        <x:v>321</x:v>
      </x:c>
    </x:row>
    <x:row r="1548">
      <x:c r="A1548">
        <x:v>8482933</x:v>
      </x:c>
      <x:c r="B1548" s="4" t="b">
        <x:v>1</x:v>
      </x:c>
      <x:c r="C1548" t="s">
        <x:v>1905</x:v>
      </x:c>
      <x:c r="D1548" t="s">
        <x:v>326</x:v>
      </x:c>
      <x:c r="F1548" t="s">
        <x:v>321</x:v>
      </x:c>
    </x:row>
    <x:row r="1549">
      <x:c r="A1549">
        <x:v>8486134</x:v>
      </x:c>
      <x:c r="B1549" s="4" t="b">
        <x:v>1</x:v>
      </x:c>
      <x:c r="C1549" t="s">
        <x:v>1906</x:v>
      </x:c>
      <x:c r="D1549" t="s">
        <x:v>358</x:v>
      </x:c>
      <x:c r="F1549" t="s">
        <x:v>321</x:v>
      </x:c>
    </x:row>
    <x:row r="1550">
      <x:c r="A1550">
        <x:v>8484919</x:v>
      </x:c>
      <x:c r="B1550" s="4" t="b">
        <x:v>1</x:v>
      </x:c>
      <x:c r="C1550" t="s">
        <x:v>1907</x:v>
      </x:c>
      <x:c r="D1550" t="s">
        <x:v>319</x:v>
      </x:c>
      <x:c r="F1550" t="s">
        <x:v>321</x:v>
      </x:c>
    </x:row>
    <x:row r="1551">
      <x:c r="A1551">
        <x:v>8485505</x:v>
      </x:c>
      <x:c r="B1551" s="4" t="b">
        <x:v>1</x:v>
      </x:c>
      <x:c r="C1551" t="s">
        <x:v>1908</x:v>
      </x:c>
      <x:c r="D1551" t="s">
        <x:v>326</x:v>
      </x:c>
      <x:c r="E1551" t="s">
        <x:v>584</x:v>
      </x:c>
      <x:c r="F1551" t="s">
        <x:v>321</x:v>
      </x:c>
    </x:row>
    <x:row r="1552">
      <x:c r="A1552">
        <x:v>8485474</x:v>
      </x:c>
      <x:c r="B1552" s="4" t="b">
        <x:v>1</x:v>
      </x:c>
      <x:c r="C1552" t="s">
        <x:v>1909</x:v>
      </x:c>
      <x:c r="D1552" t="s">
        <x:v>326</x:v>
      </x:c>
      <x:c r="F1552" t="s">
        <x:v>321</x:v>
      </x:c>
    </x:row>
    <x:row r="1553">
      <x:c r="A1553">
        <x:v>8486021</x:v>
      </x:c>
      <x:c r="B1553" s="4" t="b">
        <x:v>1</x:v>
      </x:c>
      <x:c r="C1553" t="s">
        <x:v>1910</x:v>
      </x:c>
      <x:c r="D1553" t="s">
        <x:v>326</x:v>
      </x:c>
      <x:c r="F1553" t="s">
        <x:v>321</x:v>
      </x:c>
    </x:row>
    <x:row r="1554">
      <x:c r="A1554">
        <x:v>8480484</x:v>
      </x:c>
      <x:c r="B1554" s="4" t="b">
        <x:v>1</x:v>
      </x:c>
      <x:c r="C1554" t="s">
        <x:v>1911</x:v>
      </x:c>
      <x:c r="D1554" t="s">
        <x:v>358</x:v>
      </x:c>
      <x:c r="E1554" t="s">
        <x:v>584</x:v>
      </x:c>
      <x:c r="F1554" t="s">
        <x:v>321</x:v>
      </x:c>
    </x:row>
    <x:row r="1555">
      <x:c r="A1555">
        <x:v>8484178</x:v>
      </x:c>
      <x:c r="B1555" s="4" t="b">
        <x:v>1</x:v>
      </x:c>
      <x:c r="C1555" t="s">
        <x:v>1912</x:v>
      </x:c>
      <x:c r="D1555" t="s">
        <x:v>319</x:v>
      </x:c>
      <x:c r="F1555" t="s">
        <x:v>321</x:v>
      </x:c>
    </x:row>
    <x:row r="1556">
      <x:c r="A1556">
        <x:v>8482662</x:v>
      </x:c>
      <x:c r="B1556" s="4" t="b">
        <x:v>1</x:v>
      </x:c>
      <x:c r="C1556" t="s">
        <x:v>1913</x:v>
      </x:c>
      <x:c r="D1556" t="s">
        <x:v>319</x:v>
      </x:c>
      <x:c r="F1556" t="s">
        <x:v>321</x:v>
      </x:c>
    </x:row>
    <x:row r="1557">
      <x:c r="A1557">
        <x:v>8484782</x:v>
      </x:c>
      <x:c r="B1557" s="4" t="b">
        <x:v>1</x:v>
      </x:c>
      <x:c r="C1557" t="s">
        <x:v>1914</x:v>
      </x:c>
      <x:c r="D1557" t="s">
        <x:v>358</x:v>
      </x:c>
      <x:c r="F1557" t="s">
        <x:v>321</x:v>
      </x:c>
    </x:row>
    <x:row r="1558">
      <x:c r="A1558">
        <x:v>8482690</x:v>
      </x:c>
      <x:c r="B1558" s="4" t="b">
        <x:v>1</x:v>
      </x:c>
      <x:c r="C1558" t="s">
        <x:v>1915</x:v>
      </x:c>
      <x:c r="D1558" t="s">
        <x:v>358</x:v>
      </x:c>
      <x:c r="F1558" t="s">
        <x:v>321</x:v>
      </x:c>
    </x:row>
    <x:row r="1559">
      <x:c r="A1559">
        <x:v>8486119</x:v>
      </x:c>
      <x:c r="B1559" s="4" t="b">
        <x:v>1</x:v>
      </x:c>
      <x:c r="C1559" t="s">
        <x:v>1916</x:v>
      </x:c>
      <x:c r="D1559" t="s">
        <x:v>323</x:v>
      </x:c>
      <x:c r="F1559" t="s">
        <x:v>321</x:v>
      </x:c>
    </x:row>
    <x:row r="1560">
      <x:c r="A1560">
        <x:v>8482957</x:v>
      </x:c>
      <x:c r="B1560" s="4" t="b">
        <x:v>1</x:v>
      </x:c>
      <x:c r="C1560" t="s">
        <x:v>1917</x:v>
      </x:c>
      <x:c r="D1560" t="s">
        <x:v>323</x:v>
      </x:c>
      <x:c r="E1560" t="s">
        <x:v>584</x:v>
      </x:c>
      <x:c r="F1560" t="s">
        <x:v>321</x:v>
      </x:c>
    </x:row>
    <x:row r="1561">
      <x:c r="B1561" s="4" t="b">
        <x:v>1</x:v>
      </x:c>
      <x:c r="C1561" t="s">
        <x:v>1918</x:v>
      </x:c>
      <x:c r="D1561" t="s">
        <x:v>358</x:v>
      </x:c>
      <x:c r="E1561" t="s">
        <x:v>584</x:v>
      </x:c>
      <x:c r="F1561" t="s">
        <x:v>321</x:v>
      </x:c>
    </x:row>
    <x:row r="1562">
      <x:c r="A1562">
        <x:v>8482521</x:v>
      </x:c>
      <x:c r="B1562" s="4" t="b">
        <x:v>1</x:v>
      </x:c>
      <x:c r="C1562" t="s">
        <x:v>1919</x:v>
      </x:c>
      <x:c r="D1562" t="s">
        <x:v>326</x:v>
      </x:c>
      <x:c r="F1562" t="s">
        <x:v>321</x:v>
      </x:c>
    </x:row>
    <x:row r="1563">
      <x:c r="B1563" s="4" t="b">
        <x:v>1</x:v>
      </x:c>
      <x:c r="C1563" t="s">
        <x:v>1920</x:v>
      </x:c>
      <x:c r="D1563" t="s">
        <x:v>333</x:v>
      </x:c>
      <x:c r="E1563" t="s">
        <x:v>584</x:v>
      </x:c>
      <x:c r="F1563" t="s">
        <x:v>321</x:v>
      </x:c>
    </x:row>
    <x:row r="1564">
      <x:c r="A1564">
        <x:v>8483707</x:v>
      </x:c>
      <x:c r="B1564" s="4" t="b">
        <x:v>1</x:v>
      </x:c>
      <x:c r="C1564" t="s">
        <x:v>1921</x:v>
      </x:c>
      <x:c r="D1564" t="s">
        <x:v>323</x:v>
      </x:c>
      <x:c r="F1564" t="s">
        <x:v>321</x:v>
      </x:c>
    </x:row>
    <x:row r="1565">
      <x:c r="A1565">
        <x:v>8485905</x:v>
      </x:c>
      <x:c r="B1565" s="4" t="b">
        <x:v>1</x:v>
      </x:c>
      <x:c r="C1565" t="s">
        <x:v>1922</x:v>
      </x:c>
      <x:c r="D1565" t="s">
        <x:v>339</x:v>
      </x:c>
      <x:c r="F1565" t="s">
        <x:v>321</x:v>
      </x:c>
    </x:row>
    <x:row r="1566">
      <x:c r="A1566">
        <x:v>8481531</x:v>
      </x:c>
      <x:c r="B1566" s="4" t="b">
        <x:v>1</x:v>
      </x:c>
      <x:c r="C1566" t="s">
        <x:v>1923</x:v>
      </x:c>
      <x:c r="D1566" t="s">
        <x:v>323</x:v>
      </x:c>
      <x:c r="F1566" t="s">
        <x:v>321</x:v>
      </x:c>
    </x:row>
    <x:row r="1567">
      <x:c r="A1567">
        <x:v>8486137</x:v>
      </x:c>
      <x:c r="B1567" s="4" t="b">
        <x:v>1</x:v>
      </x:c>
      <x:c r="C1567" t="s">
        <x:v>1924</x:v>
      </x:c>
      <x:c r="D1567" t="s">
        <x:v>319</x:v>
      </x:c>
      <x:c r="F1567" t="s">
        <x:v>321</x:v>
      </x:c>
    </x:row>
    <x:row r="1568">
      <x:c r="A1568">
        <x:v>8485495</x:v>
      </x:c>
      <x:c r="B1568" s="4" t="b">
        <x:v>1</x:v>
      </x:c>
      <x:c r="C1568" t="s">
        <x:v>1925</x:v>
      </x:c>
      <x:c r="D1568" t="s">
        <x:v>326</x:v>
      </x:c>
      <x:c r="F1568" t="s">
        <x:v>321</x:v>
      </x:c>
    </x:row>
    <x:row r="1569">
      <x:c r="A1569">
        <x:v>8486133</x:v>
      </x:c>
      <x:c r="B1569" s="4" t="b">
        <x:v>1</x:v>
      </x:c>
      <x:c r="C1569" t="s">
        <x:v>1926</x:v>
      </x:c>
      <x:c r="D1569" t="s">
        <x:v>339</x:v>
      </x:c>
      <x:c r="F1569" t="s">
        <x:v>321</x:v>
      </x:c>
    </x:row>
    <x:row r="1570">
      <x:c r="A1570">
        <x:v>8481729</x:v>
      </x:c>
      <x:c r="B1570" s="4" t="b">
        <x:v>1</x:v>
      </x:c>
      <x:c r="C1570" t="s">
        <x:v>1927</x:v>
      </x:c>
      <x:c r="D1570" t="s">
        <x:v>323</x:v>
      </x:c>
      <x:c r="E1570" t="s">
        <x:v>584</x:v>
      </x:c>
      <x:c r="F1570" t="s">
        <x:v>321</x:v>
      </x:c>
    </x:row>
    <x:row r="1571">
      <x:c r="A1571">
        <x:v>8486150</x:v>
      </x:c>
      <x:c r="B1571" s="4" t="b">
        <x:v>1</x:v>
      </x:c>
      <x:c r="C1571" t="s">
        <x:v>1928</x:v>
      </x:c>
      <x:c r="D1571" t="s">
        <x:v>329</x:v>
      </x:c>
      <x:c r="E1571" t="s">
        <x:v>584</x:v>
      </x:c>
      <x:c r="F1571" t="s">
        <x:v>321</x:v>
      </x:c>
    </x:row>
    <x:row r="1572">
      <x:c r="A1572">
        <x:v>8485504</x:v>
      </x:c>
      <x:c r="B1572" s="4" t="b">
        <x:v>1</x:v>
      </x:c>
      <x:c r="C1572" t="s">
        <x:v>1929</x:v>
      </x:c>
      <x:c r="D1572" t="s">
        <x:v>339</x:v>
      </x:c>
      <x:c r="F1572" t="s">
        <x:v>321</x:v>
      </x:c>
    </x:row>
    <x:row r="1573">
      <x:c r="A1573">
        <x:v>8485558</x:v>
      </x:c>
      <x:c r="B1573" s="4" t="b">
        <x:v>1</x:v>
      </x:c>
      <x:c r="C1573" t="s">
        <x:v>1930</x:v>
      </x:c>
      <x:c r="D1573" t="s">
        <x:v>358</x:v>
      </x:c>
      <x:c r="E1573" t="s">
        <x:v>584</x:v>
      </x:c>
      <x:c r="F1573" t="s">
        <x:v>321</x:v>
      </x:c>
    </x:row>
    <x:row r="1574">
      <x:c r="A1574">
        <x:v>8486173</x:v>
      </x:c>
      <x:c r="B1574" s="4" t="b">
        <x:v>1</x:v>
      </x:c>
      <x:c r="C1574" t="s">
        <x:v>1931</x:v>
      </x:c>
      <x:c r="D1574" t="s">
        <x:v>323</x:v>
      </x:c>
      <x:c r="E1574" t="s">
        <x:v>584</x:v>
      </x:c>
      <x:c r="F1574" t="s">
        <x:v>321</x:v>
      </x:c>
    </x:row>
    <x:row r="1575">
      <x:c r="A1575">
        <x:v>8483018</x:v>
      </x:c>
      <x:c r="B1575" s="4" t="b">
        <x:v>1</x:v>
      </x:c>
      <x:c r="C1575" t="s">
        <x:v>1932</x:v>
      </x:c>
      <x:c r="D1575" t="s">
        <x:v>358</x:v>
      </x:c>
      <x:c r="F1575" t="s">
        <x:v>321</x:v>
      </x:c>
    </x:row>
    <x:row r="1576">
      <x:c r="A1576">
        <x:v>8483658</x:v>
      </x:c>
      <x:c r="B1576" s="4" t="b">
        <x:v>1</x:v>
      </x:c>
      <x:c r="C1576" t="s">
        <x:v>1933</x:v>
      </x:c>
      <x:c r="D1576" t="s">
        <x:v>333</x:v>
      </x:c>
      <x:c r="E1576" t="s">
        <x:v>584</x:v>
      </x:c>
      <x:c r="F1576" t="s">
        <x:v>321</x:v>
      </x:c>
    </x:row>
    <x:row r="1577">
      <x:c r="A1577">
        <x:v>8484942</x:v>
      </x:c>
      <x:c r="B1577" s="4" t="b">
        <x:v>1</x:v>
      </x:c>
      <x:c r="C1577" t="s">
        <x:v>1934</x:v>
      </x:c>
      <x:c r="D1577" t="s">
        <x:v>329</x:v>
      </x:c>
      <x:c r="F1577" t="s">
        <x:v>321</x:v>
      </x:c>
    </x:row>
    <x:row r="1578">
      <x:c r="A1578">
        <x:v>8484184</x:v>
      </x:c>
      <x:c r="B1578" s="4" t="b">
        <x:v>1</x:v>
      </x:c>
      <x:c r="C1578" t="s">
        <x:v>1935</x:v>
      </x:c>
      <x:c r="D1578" t="s">
        <x:v>319</x:v>
      </x:c>
      <x:c r="F1578" t="s">
        <x:v>321</x:v>
      </x:c>
    </x:row>
    <x:row r="1579">
      <x:c r="A1579">
        <x:v>8482960</x:v>
      </x:c>
      <x:c r="B1579" s="4" t="b">
        <x:v>1</x:v>
      </x:c>
      <x:c r="C1579" t="s">
        <x:v>1936</x:v>
      </x:c>
      <x:c r="D1579" t="s">
        <x:v>319</x:v>
      </x:c>
      <x:c r="F1579" t="s">
        <x:v>321</x:v>
      </x:c>
    </x:row>
    <x:row r="1580">
      <x:c r="A1580">
        <x:v>8481756</x:v>
      </x:c>
      <x:c r="B1580" s="4" t="b">
        <x:v>1</x:v>
      </x:c>
      <x:c r="C1580" t="s">
        <x:v>1937</x:v>
      </x:c>
      <x:c r="D1580" t="s">
        <x:v>326</x:v>
      </x:c>
      <x:c r="E1580" t="s">
        <x:v>584</x:v>
      </x:c>
      <x:c r="F1580" t="s">
        <x:v>321</x:v>
      </x:c>
    </x:row>
    <x:row r="1581">
      <x:c r="A1581">
        <x:v>8485906</x:v>
      </x:c>
      <x:c r="B1581" s="4" t="b">
        <x:v>1</x:v>
      </x:c>
      <x:c r="C1581" t="s">
        <x:v>1938</x:v>
      </x:c>
      <x:c r="D1581" t="s">
        <x:v>326</x:v>
      </x:c>
      <x:c r="F1581" t="s">
        <x:v>321</x:v>
      </x:c>
    </x:row>
    <x:row r="1582">
      <x:c r="A1582">
        <x:v>8484491</x:v>
      </x:c>
      <x:c r="B1582" s="4" t="b">
        <x:v>1</x:v>
      </x:c>
      <x:c r="C1582" t="s">
        <x:v>1939</x:v>
      </x:c>
      <x:c r="D1582" t="s">
        <x:v>319</x:v>
      </x:c>
      <x:c r="F1582" t="s">
        <x:v>321</x:v>
      </x:c>
    </x:row>
    <x:row r="1583">
      <x:c r="A1583">
        <x:v>8486140</x:v>
      </x:c>
      <x:c r="B1583" s="4" t="b">
        <x:v>1</x:v>
      </x:c>
      <x:c r="C1583" t="s">
        <x:v>1940</x:v>
      </x:c>
      <x:c r="D1583" t="s">
        <x:v>329</x:v>
      </x:c>
      <x:c r="E1583" t="s">
        <x:v>584</x:v>
      </x:c>
      <x:c r="F1583" t="s">
        <x:v>321</x:v>
      </x:c>
    </x:row>
    <x:row r="1584">
      <x:c r="A1584">
        <x:v>8485487</x:v>
      </x:c>
      <x:c r="B1584" s="4" t="b">
        <x:v>1</x:v>
      </x:c>
      <x:c r="C1584" t="s">
        <x:v>1941</x:v>
      </x:c>
      <x:c r="D1584" t="s">
        <x:v>326</x:v>
      </x:c>
      <x:c r="F1584" t="s">
        <x:v>321</x:v>
      </x:c>
    </x:row>
    <x:row r="1585">
      <x:c r="A1585">
        <x:v>8486139</x:v>
      </x:c>
      <x:c r="B1585" s="4" t="b">
        <x:v>1</x:v>
      </x:c>
      <x:c r="C1585" t="s">
        <x:v>1942</x:v>
      </x:c>
      <x:c r="D1585" t="s">
        <x:v>333</x:v>
      </x:c>
      <x:c r="F1585" t="s">
        <x:v>321</x:v>
      </x:c>
    </x:row>
    <x:row r="1586">
      <x:c r="A1586">
        <x:v>8484124</x:v>
      </x:c>
      <x:c r="B1586" s="4" t="b">
        <x:v>1</x:v>
      </x:c>
      <x:c r="C1586" t="s">
        <x:v>1943</x:v>
      </x:c>
      <x:c r="D1586" t="s">
        <x:v>329</x:v>
      </x:c>
      <x:c r="F1586" t="s">
        <x:v>321</x:v>
      </x:c>
    </x:row>
    <x:row r="1587">
      <x:c r="A1587">
        <x:v>8481057</x:v>
      </x:c>
      <x:c r="B1587" s="4" t="b">
        <x:v>1</x:v>
      </x:c>
      <x:c r="C1587" t="s">
        <x:v>1944</x:v>
      </x:c>
      <x:c r="D1587" t="s">
        <x:v>319</x:v>
      </x:c>
      <x:c r="F1587" t="s">
        <x:v>321</x:v>
      </x:c>
    </x:row>
    <x:row r="1588">
      <x:c r="A1588">
        <x:v>8486174</x:v>
      </x:c>
      <x:c r="B1588" s="4" t="b">
        <x:v>1</x:v>
      </x:c>
      <x:c r="C1588" t="s">
        <x:v>1945</x:v>
      </x:c>
      <x:c r="D1588" t="s">
        <x:v>339</x:v>
      </x:c>
      <x:c r="F1588" t="s">
        <x:v>321</x:v>
      </x:c>
    </x:row>
    <x:row r="1589">
      <x:c r="A1589">
        <x:v>8482218</x:v>
      </x:c>
      <x:c r="B1589" s="4" t="b">
        <x:v>1</x:v>
      </x:c>
      <x:c r="C1589" t="s">
        <x:v>1946</x:v>
      </x:c>
      <x:c r="D1589" t="s">
        <x:v>323</x:v>
      </x:c>
      <x:c r="F1589" t="s">
        <x:v>321</x:v>
      </x:c>
    </x:row>
    <x:row r="1590">
      <x:c r="A1590">
        <x:v>8484276</x:v>
      </x:c>
      <x:c r="B1590" s="4" t="b">
        <x:v>1</x:v>
      </x:c>
      <x:c r="C1590" t="s">
        <x:v>1947</x:v>
      </x:c>
      <x:c r="D1590" t="s">
        <x:v>339</x:v>
      </x:c>
      <x:c r="E1590" t="s">
        <x:v>584</x:v>
      </x:c>
      <x:c r="F1590" t="s">
        <x:v>321</x:v>
      </x:c>
    </x:row>
    <x:row r="1591">
      <x:c r="A1591">
        <x:v>8482868</x:v>
      </x:c>
      <x:c r="B1591" s="4" t="b">
        <x:v>1</x:v>
      </x:c>
      <x:c r="C1591" t="s">
        <x:v>1948</x:v>
      </x:c>
      <x:c r="D1591" t="s">
        <x:v>358</x:v>
      </x:c>
      <x:c r="F1591" t="s">
        <x:v>321</x:v>
      </x:c>
    </x:row>
    <x:row r="1592">
      <x:c r="A1592">
        <x:v>8486144</x:v>
      </x:c>
      <x:c r="B1592" s="4" t="b">
        <x:v>1</x:v>
      </x:c>
      <x:c r="C1592" t="s">
        <x:v>1949</x:v>
      </x:c>
      <x:c r="D1592" t="s">
        <x:v>329</x:v>
      </x:c>
      <x:c r="F1592" t="s">
        <x:v>321</x:v>
      </x:c>
    </x:row>
    <x:row r="1593">
      <x:c r="A1593">
        <x:v>8483825</x:v>
      </x:c>
      <x:c r="B1593" s="4" t="b">
        <x:v>1</x:v>
      </x:c>
      <x:c r="C1593" t="s">
        <x:v>1950</x:v>
      </x:c>
      <x:c r="D1593" t="s">
        <x:v>323</x:v>
      </x:c>
      <x:c r="F1593" t="s">
        <x:v>321</x:v>
      </x:c>
    </x:row>
    <x:row r="1594">
      <x:c r="A1594">
        <x:v>8484299</x:v>
      </x:c>
      <x:c r="B1594" s="4" t="b">
        <x:v>1</x:v>
      </x:c>
      <x:c r="C1594" t="s">
        <x:v>1951</x:v>
      </x:c>
      <x:c r="D1594" t="s">
        <x:v>358</x:v>
      </x:c>
      <x:c r="F1594" t="s">
        <x:v>321</x:v>
      </x:c>
    </x:row>
    <x:row r="1595">
      <x:c r="A1595">
        <x:v>8482951</x:v>
      </x:c>
      <x:c r="B1595" s="4" t="b">
        <x:v>1</x:v>
      </x:c>
      <x:c r="C1595" t="s">
        <x:v>1952</x:v>
      </x:c>
      <x:c r="D1595" t="s">
        <x:v>358</x:v>
      </x:c>
      <x:c r="F1595" t="s">
        <x:v>321</x:v>
      </x:c>
    </x:row>
    <x:row r="1596">
      <x:c r="A1596">
        <x:v>8484525</x:v>
      </x:c>
      <x:c r="B1596" s="4" t="b">
        <x:v>1</x:v>
      </x:c>
      <x:c r="C1596" t="s">
        <x:v>1953</x:v>
      </x:c>
      <x:c r="D1596" t="s">
        <x:v>331</x:v>
      </x:c>
      <x:c r="F1596" t="s">
        <x:v>321</x:v>
      </x:c>
    </x:row>
    <x:row r="1597">
      <x:c r="A1597">
        <x:v>8483104</x:v>
      </x:c>
      <x:c r="B1597" s="4" t="b">
        <x:v>1</x:v>
      </x:c>
      <x:c r="C1597" t="s">
        <x:v>1954</x:v>
      </x:c>
      <x:c r="D1597" t="s">
        <x:v>358</x:v>
      </x:c>
      <x:c r="F1597" t="s">
        <x:v>321</x:v>
      </x:c>
    </x:row>
    <x:row r="1598">
      <x:c r="A1598">
        <x:v>8483833</x:v>
      </x:c>
      <x:c r="B1598" s="4" t="b">
        <x:v>1</x:v>
      </x:c>
      <x:c r="C1598" t="s">
        <x:v>1955</x:v>
      </x:c>
      <x:c r="D1598" t="s">
        <x:v>319</x:v>
      </x:c>
      <x:c r="F1598" t="s">
        <x:v>321</x:v>
      </x:c>
    </x:row>
    <x:row r="1599">
      <x:c r="A1599">
        <x:v>8483750</x:v>
      </x:c>
      <x:c r="B1599" s="4" t="b">
        <x:v>1</x:v>
      </x:c>
      <x:c r="C1599" t="s">
        <x:v>1956</x:v>
      </x:c>
      <x:c r="D1599" t="s">
        <x:v>331</x:v>
      </x:c>
      <x:c r="F1599" t="s">
        <x:v>321</x:v>
      </x:c>
    </x:row>
    <x:row r="1600">
      <x:c r="A1600">
        <x:v>8484540</x:v>
      </x:c>
      <x:c r="B1600" s="4" t="b">
        <x:v>1</x:v>
      </x:c>
      <x:c r="C1600" t="s">
        <x:v>1957</x:v>
      </x:c>
      <x:c r="D1600" t="s">
        <x:v>331</x:v>
      </x:c>
      <x:c r="E1600" t="s">
        <x:v>584</x:v>
      </x:c>
      <x:c r="F1600" t="s">
        <x:v>321</x:v>
      </x:c>
    </x:row>
    <x:row r="1601">
      <x:c r="A1601">
        <x:v>8485115</x:v>
      </x:c>
      <x:c r="B1601" s="4" t="b">
        <x:v>1</x:v>
      </x:c>
      <x:c r="C1601" t="s">
        <x:v>1958</x:v>
      </x:c>
      <x:c r="D1601" t="s">
        <x:v>326</x:v>
      </x:c>
      <x:c r="E1601" t="s">
        <x:v>584</x:v>
      </x:c>
      <x:c r="F1601" t="s">
        <x:v>321</x:v>
      </x:c>
    </x:row>
    <x:row r="1602">
      <x:c r="A1602">
        <x:v>8483052</x:v>
      </x:c>
      <x:c r="B1602" s="4" t="b">
        <x:v>1</x:v>
      </x:c>
      <x:c r="C1602" t="s">
        <x:v>1959</x:v>
      </x:c>
      <x:c r="D1602" t="s">
        <x:v>319</x:v>
      </x:c>
      <x:c r="F1602" t="s">
        <x:v>321</x:v>
      </x:c>
    </x:row>
    <x:row r="1603">
      <x:c r="A1603">
        <x:v>8481662</x:v>
      </x:c>
      <x:c r="B1603" s="4" t="b">
        <x:v>1</x:v>
      </x:c>
      <x:c r="C1603" t="s">
        <x:v>1960</x:v>
      </x:c>
      <x:c r="D1603" t="s">
        <x:v>326</x:v>
      </x:c>
      <x:c r="E1603" t="s">
        <x:v>584</x:v>
      </x:c>
      <x:c r="F1603" t="s">
        <x:v>321</x:v>
      </x:c>
    </x:row>
    <x:row r="1604">
      <x:c r="A1604">
        <x:v>8482741</x:v>
      </x:c>
      <x:c r="B1604" s="4" t="b">
        <x:v>1</x:v>
      </x:c>
      <x:c r="C1604" t="s">
        <x:v>1961</x:v>
      </x:c>
      <x:c r="D1604" t="s">
        <x:v>319</x:v>
      </x:c>
      <x:c r="E1604" t="s">
        <x:v>584</x:v>
      </x:c>
      <x:c r="F1604" t="s">
        <x:v>321</x:v>
      </x:c>
    </x:row>
    <x:row r="1605">
      <x:c r="A1605">
        <x:v>8482928</x:v>
      </x:c>
      <x:c r="B1605" s="4" t="b">
        <x:v>1</x:v>
      </x:c>
      <x:c r="C1605" t="s">
        <x:v>1962</x:v>
      </x:c>
      <x:c r="D1605" t="s">
        <x:v>326</x:v>
      </x:c>
      <x:c r="F1605" t="s">
        <x:v>321</x:v>
      </x:c>
    </x:row>
    <x:row r="1606">
      <x:c r="A1606">
        <x:v>8482934</x:v>
      </x:c>
      <x:c r="B1606" s="4" t="b">
        <x:v>1</x:v>
      </x:c>
      <x:c r="C1606" t="s">
        <x:v>1963</x:v>
      </x:c>
      <x:c r="D1606" t="s">
        <x:v>331</x:v>
      </x:c>
      <x:c r="E1606" t="s">
        <x:v>584</x:v>
      </x:c>
      <x:c r="F1606" t="s">
        <x:v>321</x:v>
      </x:c>
    </x:row>
    <x:row r="1607">
      <x:c r="A1607">
        <x:v>8484110</x:v>
      </x:c>
      <x:c r="B1607" s="4" t="b">
        <x:v>1</x:v>
      </x:c>
      <x:c r="C1607" t="s">
        <x:v>1964</x:v>
      </x:c>
      <x:c r="D1607" t="s">
        <x:v>326</x:v>
      </x:c>
      <x:c r="E1607" t="s">
        <x:v>584</x:v>
      </x:c>
      <x:c r="F1607" t="s">
        <x:v>321</x:v>
      </x:c>
    </x:row>
    <x:row r="1608">
      <x:c r="A1608">
        <x:v>8479366</x:v>
      </x:c>
      <x:c r="B1608" s="4" t="b">
        <x:v>1</x:v>
      </x:c>
      <x:c r="C1608" t="s">
        <x:v>1965</x:v>
      </x:c>
      <x:c r="D1608" t="s">
        <x:v>319</x:v>
      </x:c>
      <x:c r="E1608" t="s">
        <x:v>584</x:v>
      </x:c>
      <x:c r="F1608" t="s">
        <x:v>321</x:v>
      </x:c>
    </x:row>
    <x:row r="1609">
      <x:c r="A1609">
        <x:v>8480776</x:v>
      </x:c>
      <x:c r="B1609" s="4" t="b">
        <x:v>1</x:v>
      </x:c>
      <x:c r="C1609" t="s">
        <x:v>1966</x:v>
      </x:c>
      <x:c r="D1609" t="s">
        <x:v>326</x:v>
      </x:c>
      <x:c r="E1609" t="s">
        <x:v>584</x:v>
      </x:c>
      <x:c r="F1609" t="s">
        <x:v>321</x:v>
      </x:c>
    </x:row>
    <x:row r="1610">
      <x:c r="A1610">
        <x:v>8479545</x:v>
      </x:c>
      <x:c r="B1610" s="4" t="b">
        <x:v>1</x:v>
      </x:c>
      <x:c r="C1610" t="s">
        <x:v>1967</x:v>
      </x:c>
      <x:c r="D1610" t="s">
        <x:v>319</x:v>
      </x:c>
      <x:c r="E1610" t="s">
        <x:v>584</x:v>
      </x:c>
      <x:c r="F1610" t="s">
        <x:v>321</x:v>
      </x:c>
    </x:row>
    <x:row r="1611">
      <x:c r="A1611">
        <x:v>8482734</x:v>
      </x:c>
      <x:c r="B1611" s="4" t="b">
        <x:v>1</x:v>
      </x:c>
      <x:c r="C1611" t="s">
        <x:v>1968</x:v>
      </x:c>
      <x:c r="D1611" t="s">
        <x:v>331</x:v>
      </x:c>
      <x:c r="F1611" t="s">
        <x:v>321</x:v>
      </x:c>
    </x:row>
    <x:row r="1612">
      <x:c r="A1612">
        <x:v>8483878</x:v>
      </x:c>
      <x:c r="B1612" s="4" t="b">
        <x:v>1</x:v>
      </x:c>
      <x:c r="C1612" t="s">
        <x:v>1969</x:v>
      </x:c>
      <x:c r="D1612" t="s">
        <x:v>358</x:v>
      </x:c>
      <x:c r="F1612" t="s">
        <x:v>321</x:v>
      </x:c>
    </x:row>
    <x:row r="1613">
      <x:c r="A1613">
        <x:v>8482707</x:v>
      </x:c>
      <x:c r="B1613" s="4" t="b">
        <x:v>1</x:v>
      </x:c>
      <x:c r="C1613" t="s">
        <x:v>1970</x:v>
      </x:c>
      <x:c r="D1613" t="s">
        <x:v>331</x:v>
      </x:c>
      <x:c r="E1613" t="s">
        <x:v>584</x:v>
      </x:c>
      <x:c r="F1613" t="s">
        <x:v>321</x:v>
      </x:c>
    </x:row>
    <x:row r="1614">
      <x:c r="A1614">
        <x:v>8480836</x:v>
      </x:c>
      <x:c r="B1614" s="4" t="b">
        <x:v>1</x:v>
      </x:c>
      <x:c r="C1614" t="s">
        <x:v>1971</x:v>
      </x:c>
      <x:c r="D1614" t="s">
        <x:v>358</x:v>
      </x:c>
      <x:c r="E1614" t="s">
        <x:v>584</x:v>
      </x:c>
      <x:c r="F1614" t="s">
        <x:v>321</x:v>
      </x:c>
    </x:row>
    <x:row r="1615">
      <x:c r="A1615">
        <x:v>8480833</x:v>
      </x:c>
      <x:c r="B1615" s="4" t="b">
        <x:v>1</x:v>
      </x:c>
      <x:c r="C1615" t="s">
        <x:v>1972</x:v>
      </x:c>
      <x:c r="D1615" t="s">
        <x:v>326</x:v>
      </x:c>
      <x:c r="E1615" t="s">
        <x:v>584</x:v>
      </x:c>
      <x:c r="F1615" t="s">
        <x:v>321</x:v>
      </x:c>
    </x:row>
    <x:row r="1616">
      <x:c r="A1616">
        <x:v>8482927</x:v>
      </x:c>
      <x:c r="B1616" s="4" t="b">
        <x:v>1</x:v>
      </x:c>
      <x:c r="C1616" t="s">
        <x:v>1973</x:v>
      </x:c>
      <x:c r="D1616" t="s">
        <x:v>331</x:v>
      </x:c>
      <x:c r="E1616" t="s">
        <x:v>584</x:v>
      </x:c>
      <x:c r="F1616" t="s">
        <x:v>321</x:v>
      </x:c>
    </x:row>
    <x:row r="1617">
      <x:c r="A1617">
        <x:v>8482891</x:v>
      </x:c>
      <x:c r="B1617" s="4" t="b">
        <x:v>1</x:v>
      </x:c>
      <x:c r="C1617" t="s">
        <x:v>1974</x:v>
      </x:c>
      <x:c r="D1617" t="s">
        <x:v>319</x:v>
      </x:c>
      <x:c r="E1617" t="s">
        <x:v>584</x:v>
      </x:c>
      <x:c r="F1617" t="s">
        <x:v>321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4"/>
  <x:cols>
    <x:col min="1" max="1" width="28" customWidth="1"/>
    <x:col min="2" max="4" width="12" customWidth="1"/>
    <x:col min="5" max="21" width="8" customWidth="1"/>
  </x:cols>
  <x:sheetData>
    <x:row r="1" ht="16">
      <x:c r="A1" s="1" t="s">
        <x:v>315</x:v>
      </x:c>
      <x:c r="B1" s="1" t="s">
        <x:v>317</x:v>
      </x:c>
      <x:c r="C1" s="1" t="s">
        <x:v>316</x:v>
      </x:c>
      <x:c r="D1" s="1" t="s">
        <x:v>1975</x:v>
      </x:c>
      <x:c r="E1" s="1" t="s">
        <x:v>246</x:v>
      </x:c>
      <x:c r="F1" s="1" t="s">
        <x:v>1976</x:v>
      </x:c>
      <x:c r="G1" s="1" t="s">
        <x:v>250</x:v>
      </x:c>
      <x:c r="H1" s="1" t="s">
        <x:v>164</x:v>
      </x:c>
      <x:c r="I1" s="1" t="s">
        <x:v>257</x:v>
      </x:c>
      <x:c r="J1" s="1" t="s">
        <x:v>1977</x:v>
      </x:c>
      <x:c r="K1" s="1" t="s">
        <x:v>1978</x:v>
      </x:c>
      <x:c r="L1" s="1" t="s">
        <x:v>1979</x:v>
      </x:c>
      <x:c r="M1" s="1" t="s">
        <x:v>1980</x:v>
      </x:c>
      <x:c r="N1" s="1" t="s">
        <x:v>223</x:v>
      </x:c>
      <x:c r="O1" s="1" t="s">
        <x:v>230</x:v>
      </x:c>
      <x:c r="P1" s="1" t="s">
        <x:v>235</x:v>
      </x:c>
      <x:c r="Q1" s="1" t="s">
        <x:v>1981</x:v>
      </x:c>
      <x:c r="R1" s="1" t="s">
        <x:v>263</x:v>
      </x:c>
      <x:c r="S1" s="1" t="s">
        <x:v>1982</x:v>
      </x:c>
      <x:c r="T1" s="1" t="s">
        <x:v>1983</x:v>
      </x:c>
      <x:c r="U1" s="1" t="s">
        <x:v>292</x:v>
      </x:c>
    </x:row>
    <x:row r="2">
      <x:c r="A2" t="s">
        <x:v>318</x:v>
      </x:c>
      <x:c r="B2" t="s">
        <x:v>320</x:v>
      </x:c>
      <x:c r="C2" t="s">
        <x:v>319</x:v>
      </x:c>
      <x:c r="D2">
        <x:v>8478402</x:v>
      </x:c>
      <x:c r="E2">
        <x:v>61</x:v>
      </x:c>
      <x:c r="F2">
        <x:v>38</x:v>
      </x:c>
      <x:c r="G2">
        <x:v>81</x:v>
      </x:c>
      <x:c r="H2">
        <x:v>80</x:v>
      </x:c>
      <x:c r="I2">
        <x:v>80</x:v>
      </x:c>
      <x:c r="J2">
        <x:v>94</x:v>
      </x:c>
      <x:c r="K2">
        <x:v>97</x:v>
      </x:c>
      <x:c r="L2">
        <x:v>78</x:v>
      </x:c>
      <x:c r="M2">
        <x:v>88</x:v>
      </x:c>
      <x:c r="N2">
        <x:v>78</x:v>
      </x:c>
      <x:c r="O2">
        <x:v>70</x:v>
      </x:c>
      <x:c r="P2">
        <x:v>68</x:v>
      </x:c>
      <x:c r="Q2">
        <x:v>88</x:v>
      </x:c>
      <x:c r="R2">
        <x:v>78</x:v>
      </x:c>
      <x:c r="S2">
        <x:v>93</x:v>
      </x:c>
      <x:c r="T2">
        <x:v>51</x:v>
      </x:c>
      <x:c r="U2">
        <x:v>71</x:v>
      </x:c>
    </x:row>
    <x:row r="3">
      <x:c r="A3" t="s">
        <x:v>322</x:v>
      </x:c>
      <x:c r="B3" t="s">
        <x:v>324</x:v>
      </x:c>
      <x:c r="C3" t="s">
        <x:v>323</x:v>
      </x:c>
      <x:c r="D3">
        <x:v>8477492</x:v>
      </x:c>
      <x:c r="E3">
        <x:v>63</x:v>
      </x:c>
      <x:c r="F3">
        <x:v>59</x:v>
      </x:c>
      <x:c r="G3">
        <x:v>84</x:v>
      </x:c>
      <x:c r="H3">
        <x:v>79</x:v>
      </x:c>
      <x:c r="I3">
        <x:v>83</x:v>
      </x:c>
      <x:c r="J3">
        <x:v>94</x:v>
      </x:c>
      <x:c r="K3">
        <x:v>97</x:v>
      </x:c>
      <x:c r="L3">
        <x:v>77</x:v>
      </x:c>
      <x:c r="M3">
        <x:v>90</x:v>
      </x:c>
      <x:c r="N3">
        <x:v>75</x:v>
      </x:c>
      <x:c r="O3">
        <x:v>73</x:v>
      </x:c>
      <x:c r="P3">
        <x:v>63</x:v>
      </x:c>
      <x:c r="Q3">
        <x:v>84</x:v>
      </x:c>
      <x:c r="R3">
        <x:v>82</x:v>
      </x:c>
      <x:c r="S3">
        <x:v>90</x:v>
      </x:c>
      <x:c r="T3">
        <x:v>51</x:v>
      </x:c>
      <x:c r="U3">
        <x:v>71</x:v>
      </x:c>
    </x:row>
    <x:row r="4">
      <x:c r="A4" t="s">
        <x:v>325</x:v>
      </x:c>
      <x:c r="B4" t="s">
        <x:v>327</x:v>
      </x:c>
      <x:c r="C4" t="s">
        <x:v>326</x:v>
      </x:c>
      <x:c r="D4">
        <x:v>8476453</x:v>
      </x:c>
      <x:c r="E4">
        <x:v>60</x:v>
      </x:c>
      <x:c r="F4">
        <x:v>36</x:v>
      </x:c>
      <x:c r="G4">
        <x:v>80</x:v>
      </x:c>
      <x:c r="H4">
        <x:v>76</x:v>
      </x:c>
      <x:c r="I4">
        <x:v>77</x:v>
      </x:c>
      <x:c r="J4">
        <x:v>92</x:v>
      </x:c>
      <x:c r="K4">
        <x:v>93</x:v>
      </x:c>
      <x:c r="L4">
        <x:v>81</x:v>
      </x:c>
      <x:c r="M4">
        <x:v>62</x:v>
      </x:c>
      <x:c r="N4">
        <x:v>78</x:v>
      </x:c>
      <x:c r="O4">
        <x:v>71</x:v>
      </x:c>
      <x:c r="P4">
        <x:v>63</x:v>
      </x:c>
      <x:c r="Q4">
        <x:v>85</x:v>
      </x:c>
      <x:c r="R4">
        <x:v>86</x:v>
      </x:c>
      <x:c r="S4">
        <x:v>83</x:v>
      </x:c>
      <x:c r="T4">
        <x:v>51</x:v>
      </x:c>
      <x:c r="U4">
        <x:v>71</x:v>
      </x:c>
    </x:row>
    <x:row r="5">
      <x:c r="A5" t="s">
        <x:v>328</x:v>
      </x:c>
      <x:c r="B5" t="s">
        <x:v>320</x:v>
      </x:c>
      <x:c r="C5" t="s">
        <x:v>329</x:v>
      </x:c>
      <x:c r="D5">
        <x:v>8477934</x:v>
      </x:c>
      <x:c r="E5">
        <x:v>60</x:v>
      </x:c>
      <x:c r="F5">
        <x:v>43</x:v>
      </x:c>
      <x:c r="G5">
        <x:v>85</x:v>
      </x:c>
      <x:c r="H5">
        <x:v>76</x:v>
      </x:c>
      <x:c r="I5">
        <x:v>86</x:v>
      </x:c>
      <x:c r="J5">
        <x:v>93</x:v>
      </x:c>
      <x:c r="K5">
        <x:v>85</x:v>
      </x:c>
      <x:c r="L5">
        <x:v>79</x:v>
      </x:c>
      <x:c r="M5">
        <x:v>92</x:v>
      </x:c>
      <x:c r="N5">
        <x:v>74</x:v>
      </x:c>
      <x:c r="O5">
        <x:v>71</x:v>
      </x:c>
      <x:c r="P5">
        <x:v>64</x:v>
      </x:c>
      <x:c r="Q5">
        <x:v>85</x:v>
      </x:c>
      <x:c r="R5">
        <x:v>82</x:v>
      </x:c>
      <x:c r="S5">
        <x:v>89</x:v>
      </x:c>
      <x:c r="T5">
        <x:v>51</x:v>
      </x:c>
      <x:c r="U5">
        <x:v>70</x:v>
      </x:c>
    </x:row>
    <x:row r="6">
      <x:c r="A6" t="s">
        <x:v>330</x:v>
      </x:c>
      <x:c r="B6" t="s">
        <x:v>324</x:v>
      </x:c>
      <x:c r="C6" t="s">
        <x:v>331</x:v>
      </x:c>
      <x:c r="D6">
        <x:v>8480069</x:v>
      </x:c>
      <x:c r="E6">
        <x:v>68</x:v>
      </x:c>
      <x:c r="F6">
        <x:v>35</x:v>
      </x:c>
      <x:c r="G6">
        <x:v>89</x:v>
      </x:c>
      <x:c r="H6">
        <x:v>67</x:v>
      </x:c>
      <x:c r="I6">
        <x:v>78</x:v>
      </x:c>
      <x:c r="J6">
        <x:v>96</x:v>
      </x:c>
      <x:c r="K6">
        <x:v>95</x:v>
      </x:c>
      <x:c r="L6">
        <x:v>64</x:v>
      </x:c>
      <x:c r="M6">
        <x:v>30</x:v>
      </x:c>
      <x:c r="N6">
        <x:v>71</x:v>
      </x:c>
      <x:c r="O6">
        <x:v>55</x:v>
      </x:c>
      <x:c r="P6">
        <x:v>80</x:v>
      </x:c>
      <x:c r="Q6">
        <x:v>58</x:v>
      </x:c>
      <x:c r="R6">
        <x:v>77</x:v>
      </x:c>
      <x:c r="S6">
        <x:v>84</x:v>
      </x:c>
      <x:c r="T6">
        <x:v>51</x:v>
      </x:c>
      <x:c r="U6">
        <x:v>69</x:v>
      </x:c>
    </x:row>
    <x:row r="7">
      <x:c r="A7" t="s">
        <x:v>332</x:v>
      </x:c>
      <x:c r="B7" t="s">
        <x:v>334</x:v>
      </x:c>
      <x:c r="C7" t="s">
        <x:v>333</x:v>
      </x:c>
      <x:c r="D7">
        <x:v>8477956</x:v>
      </x:c>
      <x:c r="E7">
        <x:v>66</x:v>
      </x:c>
      <x:c r="F7">
        <x:v>38</x:v>
      </x:c>
      <x:c r="G7">
        <x:v>76</x:v>
      </x:c>
      <x:c r="H7">
        <x:v>75</x:v>
      </x:c>
      <x:c r="I7">
        <x:v>80</x:v>
      </x:c>
      <x:c r="J7">
        <x:v>92</x:v>
      </x:c>
      <x:c r="K7">
        <x:v>95</x:v>
      </x:c>
      <x:c r="L7">
        <x:v>75</x:v>
      </x:c>
      <x:c r="M7">
        <x:v>64</x:v>
      </x:c>
      <x:c r="N7">
        <x:v>74</x:v>
      </x:c>
      <x:c r="O7">
        <x:v>65</x:v>
      </x:c>
      <x:c r="P7">
        <x:v>63</x:v>
      </x:c>
      <x:c r="Q7">
        <x:v>76</x:v>
      </x:c>
      <x:c r="R7">
        <x:v>81</x:v>
      </x:c>
      <x:c r="S7">
        <x:v>86</x:v>
      </x:c>
      <x:c r="T7">
        <x:v>51</x:v>
      </x:c>
      <x:c r="U7">
        <x:v>68</x:v>
      </x:c>
    </x:row>
    <x:row r="8">
      <x:c r="A8" t="s">
        <x:v>335</x:v>
      </x:c>
      <x:c r="B8" t="s">
        <x:v>320</x:v>
      </x:c>
      <x:c r="C8" t="s">
        <x:v>331</x:v>
      </x:c>
      <x:c r="D8">
        <x:v>8480803</x:v>
      </x:c>
      <x:c r="E8">
        <x:v>67</x:v>
      </x:c>
      <x:c r="F8">
        <x:v>40</x:v>
      </x:c>
      <x:c r="G8">
        <x:v>87</x:v>
      </x:c>
      <x:c r="H8">
        <x:v>62</x:v>
      </x:c>
      <x:c r="I8">
        <x:v>83</x:v>
      </x:c>
      <x:c r="J8">
        <x:v>96</x:v>
      </x:c>
      <x:c r="K8">
        <x:v>99</x:v>
      </x:c>
      <x:c r="L8">
        <x:v>66</x:v>
      </x:c>
      <x:c r="M8">
        <x:v>30</x:v>
      </x:c>
      <x:c r="N8">
        <x:v>73</x:v>
      </x:c>
      <x:c r="O8">
        <x:v>53</x:v>
      </x:c>
      <x:c r="P8">
        <x:v>79</x:v>
      </x:c>
      <x:c r="Q8">
        <x:v>56</x:v>
      </x:c>
      <x:c r="R8">
        <x:v>74</x:v>
      </x:c>
      <x:c r="S8">
        <x:v>81</x:v>
      </x:c>
      <x:c r="T8">
        <x:v>51</x:v>
      </x:c>
      <x:c r="U8">
        <x:v>68</x:v>
      </x:c>
    </x:row>
    <x:row r="9">
      <x:c r="A9" t="s">
        <x:v>336</x:v>
      </x:c>
      <x:c r="B9" t="s">
        <x:v>337</x:v>
      </x:c>
      <x:c r="C9" t="s">
        <x:v>331</x:v>
      </x:c>
      <x:c r="D9">
        <x:v>8478460</x:v>
      </x:c>
      <x:c r="E9">
        <x:v>67</x:v>
      </x:c>
      <x:c r="F9">
        <x:v>43</x:v>
      </x:c>
      <x:c r="G9">
        <x:v>91</x:v>
      </x:c>
      <x:c r="H9">
        <x:v>63</x:v>
      </x:c>
      <x:c r="I9">
        <x:v>83</x:v>
      </x:c>
      <x:c r="J9">
        <x:v>98</x:v>
      </x:c>
      <x:c r="K9">
        <x:v>95</x:v>
      </x:c>
      <x:c r="L9">
        <x:v>65</x:v>
      </x:c>
      <x:c r="M9">
        <x:v>30</x:v>
      </x:c>
      <x:c r="N9">
        <x:v>71</x:v>
      </x:c>
      <x:c r="O9">
        <x:v>55</x:v>
      </x:c>
      <x:c r="P9">
        <x:v>78</x:v>
      </x:c>
      <x:c r="Q9">
        <x:v>65</x:v>
      </x:c>
      <x:c r="R9">
        <x:v>78</x:v>
      </x:c>
      <x:c r="S9">
        <x:v>87</x:v>
      </x:c>
      <x:c r="T9">
        <x:v>49</x:v>
      </x:c>
      <x:c r="U9">
        <x:v>68</x:v>
      </x:c>
    </x:row>
    <x:row r="10">
      <x:c r="A10" t="s">
        <x:v>338</x:v>
      </x:c>
      <x:c r="B10" t="s">
        <x:v>340</x:v>
      </x:c>
      <x:c r="C10" t="s">
        <x:v>339</x:v>
      </x:c>
      <x:c r="D10">
        <x:v>8484801</x:v>
      </x:c>
      <x:c r="E10">
        <x:v>62</x:v>
      </x:c>
      <x:c r="F10">
        <x:v>36</x:v>
      </x:c>
      <x:c r="G10">
        <x:v>82</x:v>
      </x:c>
      <x:c r="H10">
        <x:v>75</x:v>
      </x:c>
      <x:c r="I10">
        <x:v>78</x:v>
      </x:c>
      <x:c r="J10">
        <x:v>92</x:v>
      </x:c>
      <x:c r="K10">
        <x:v>96</x:v>
      </x:c>
      <x:c r="L10">
        <x:v>76</x:v>
      </x:c>
      <x:c r="M10">
        <x:v>88</x:v>
      </x:c>
      <x:c r="N10">
        <x:v>72</x:v>
      </x:c>
      <x:c r="O10">
        <x:v>69</x:v>
      </x:c>
      <x:c r="P10">
        <x:v>64</x:v>
      </x:c>
      <x:c r="Q10">
        <x:v>87</x:v>
      </x:c>
      <x:c r="R10">
        <x:v>66</x:v>
      </x:c>
      <x:c r="S10">
        <x:v>80</x:v>
      </x:c>
      <x:c r="T10">
        <x:v>51</x:v>
      </x:c>
      <x:c r="U10">
        <x:v>68</x:v>
      </x:c>
    </x:row>
    <x:row r="11">
      <x:c r="A11" t="s">
        <x:v>341</x:v>
      </x:c>
      <x:c r="B11" t="s">
        <x:v>327</x:v>
      </x:c>
      <x:c r="C11" t="s">
        <x:v>331</x:v>
      </x:c>
      <x:c r="D11">
        <x:v>8474590</x:v>
      </x:c>
      <x:c r="E11">
        <x:v>68</x:v>
      </x:c>
      <x:c r="F11">
        <x:v>42</x:v>
      </x:c>
      <x:c r="G11">
        <x:v>85</x:v>
      </x:c>
      <x:c r="H11">
        <x:v>57</x:v>
      </x:c>
      <x:c r="I11">
        <x:v>87</x:v>
      </x:c>
      <x:c r="J11">
        <x:v>95</x:v>
      </x:c>
      <x:c r="K11">
        <x:v>92</x:v>
      </x:c>
      <x:c r="L11">
        <x:v>58</x:v>
      </x:c>
      <x:c r="M11">
        <x:v>30</x:v>
      </x:c>
      <x:c r="N11">
        <x:v>66</x:v>
      </x:c>
      <x:c r="O11">
        <x:v>50</x:v>
      </x:c>
      <x:c r="P11">
        <x:v>80</x:v>
      </x:c>
      <x:c r="Q11">
        <x:v>60</x:v>
      </x:c>
      <x:c r="R11">
        <x:v>90</x:v>
      </x:c>
      <x:c r="S11">
        <x:v>86</x:v>
      </x:c>
      <x:c r="T11">
        <x:v>51</x:v>
      </x:c>
      <x:c r="U11">
        <x:v>67</x:v>
      </x:c>
    </x:row>
    <x:row r="12">
      <x:c r="A12" t="s">
        <x:v>342</x:v>
      </x:c>
      <x:c r="B12" t="s">
        <x:v>343</x:v>
      </x:c>
      <x:c r="C12" t="s">
        <x:v>326</x:v>
      </x:c>
      <x:c r="D12">
        <x:v>8478420</x:v>
      </x:c>
      <x:c r="E12">
        <x:v>63</x:v>
      </x:c>
      <x:c r="F12">
        <x:v>74</x:v>
      </x:c>
      <x:c r="G12">
        <x:v>73</x:v>
      </x:c>
      <x:c r="H12">
        <x:v>70</x:v>
      </x:c>
      <x:c r="I12">
        <x:v>89</x:v>
      </x:c>
      <x:c r="J12">
        <x:v>92</x:v>
      </x:c>
      <x:c r="K12">
        <x:v>86</x:v>
      </x:c>
      <x:c r="L12">
        <x:v>74</x:v>
      </x:c>
      <x:c r="M12">
        <x:v>75</x:v>
      </x:c>
      <x:c r="N12">
        <x:v>72</x:v>
      </x:c>
      <x:c r="O12">
        <x:v>63</x:v>
      </x:c>
      <x:c r="P12">
        <x:v>63</x:v>
      </x:c>
      <x:c r="Q12">
        <x:v>88</x:v>
      </x:c>
      <x:c r="R12">
        <x:v>80</x:v>
      </x:c>
      <x:c r="S12">
        <x:v>84</x:v>
      </x:c>
      <x:c r="T12">
        <x:v>51</x:v>
      </x:c>
      <x:c r="U12">
        <x:v>67</x:v>
      </x:c>
    </x:row>
    <x:row r="13">
      <x:c r="A13" t="s">
        <x:v>344</x:v>
      </x:c>
      <x:c r="B13" t="s">
        <x:v>345</x:v>
      </x:c>
      <x:c r="C13" t="s">
        <x:v>331</x:v>
      </x:c>
      <x:c r="D13">
        <x:v>8480800</x:v>
      </x:c>
      <x:c r="E13">
        <x:v>65</x:v>
      </x:c>
      <x:c r="F13">
        <x:v>36</x:v>
      </x:c>
      <x:c r="G13">
        <x:v>84</x:v>
      </x:c>
      <x:c r="H13">
        <x:v>64</x:v>
      </x:c>
      <x:c r="I13">
        <x:v>77</x:v>
      </x:c>
      <x:c r="J13">
        <x:v>99</x:v>
      </x:c>
      <x:c r="K13">
        <x:v>93</x:v>
      </x:c>
      <x:c r="L13">
        <x:v>62</x:v>
      </x:c>
      <x:c r="M13">
        <x:v>30</x:v>
      </x:c>
      <x:c r="N13">
        <x:v>75</x:v>
      </x:c>
      <x:c r="O13">
        <x:v>49</x:v>
      </x:c>
      <x:c r="P13">
        <x:v>75</x:v>
      </x:c>
      <x:c r="Q13">
        <x:v>53</x:v>
      </x:c>
      <x:c r="R13">
        <x:v>74</x:v>
      </x:c>
      <x:c r="S13">
        <x:v>85</x:v>
      </x:c>
      <x:c r="T13">
        <x:v>51</x:v>
      </x:c>
      <x:c r="U13">
        <x:v>67</x:v>
      </x:c>
    </x:row>
    <x:row r="14">
      <x:c r="A14" t="s">
        <x:v>346</x:v>
      </x:c>
      <x:c r="B14" t="s">
        <x:v>324</x:v>
      </x:c>
      <x:c r="C14" t="s">
        <x:v>323</x:v>
      </x:c>
      <x:c r="D14">
        <x:v>8480039</x:v>
      </x:c>
      <x:c r="E14">
        <x:v>66</x:v>
      </x:c>
      <x:c r="F14">
        <x:v>37</x:v>
      </x:c>
      <x:c r="G14">
        <x:v>87</x:v>
      </x:c>
      <x:c r="H14">
        <x:v>74</x:v>
      </x:c>
      <x:c r="I14">
        <x:v>79</x:v>
      </x:c>
      <x:c r="J14">
        <x:v>92</x:v>
      </x:c>
      <x:c r="K14">
        <x:v>95</x:v>
      </x:c>
      <x:c r="L14">
        <x:v>74</x:v>
      </x:c>
      <x:c r="M14">
        <x:v>70</x:v>
      </x:c>
      <x:c r="N14">
        <x:v>71</x:v>
      </x:c>
      <x:c r="O14">
        <x:v>66</x:v>
      </x:c>
      <x:c r="P14">
        <x:v>62</x:v>
      </x:c>
      <x:c r="Q14">
        <x:v>81</x:v>
      </x:c>
      <x:c r="R14">
        <x:v>74</x:v>
      </x:c>
      <x:c r="S14">
        <x:v>76</x:v>
      </x:c>
      <x:c r="T14">
        <x:v>51</x:v>
      </x:c>
      <x:c r="U14">
        <x:v>67</x:v>
      </x:c>
    </x:row>
    <x:row r="15">
      <x:c r="A15" t="s">
        <x:v>347</x:v>
      </x:c>
      <x:c r="B15" t="s">
        <x:v>348</x:v>
      </x:c>
      <x:c r="C15" t="s">
        <x:v>319</x:v>
      </x:c>
      <x:c r="D15">
        <x:v>8476460</x:v>
      </x:c>
      <x:c r="E15">
        <x:v>60</x:v>
      </x:c>
      <x:c r="F15">
        <x:v>65</x:v>
      </x:c>
      <x:c r="G15">
        <x:v>83</x:v>
      </x:c>
      <x:c r="H15">
        <x:v>70</x:v>
      </x:c>
      <x:c r="I15">
        <x:v>84</x:v>
      </x:c>
      <x:c r="J15">
        <x:v>93</x:v>
      </x:c>
      <x:c r="K15">
        <x:v>99</x:v>
      </x:c>
      <x:c r="L15">
        <x:v>75</x:v>
      </x:c>
      <x:c r="M15">
        <x:v>88</x:v>
      </x:c>
      <x:c r="N15">
        <x:v>72</x:v>
      </x:c>
      <x:c r="O15">
        <x:v>66</x:v>
      </x:c>
      <x:c r="P15">
        <x:v>66</x:v>
      </x:c>
      <x:c r="Q15">
        <x:v>76</x:v>
      </x:c>
      <x:c r="R15">
        <x:v>86</x:v>
      </x:c>
      <x:c r="S15">
        <x:v>86</x:v>
      </x:c>
      <x:c r="T15">
        <x:v>51</x:v>
      </x:c>
      <x:c r="U15">
        <x:v>67</x:v>
      </x:c>
    </x:row>
    <x:row r="16">
      <x:c r="A16" t="s">
        <x:v>349</x:v>
      </x:c>
      <x:c r="B16" t="s">
        <x:v>350</x:v>
      </x:c>
      <x:c r="C16" t="s">
        <x:v>319</x:v>
      </x:c>
      <x:c r="D16">
        <x:v>8471675</x:v>
      </x:c>
      <x:c r="E16">
        <x:v>65</x:v>
      </x:c>
      <x:c r="F16">
        <x:v>39</x:v>
      </x:c>
      <x:c r="G16">
        <x:v>80</x:v>
      </x:c>
      <x:c r="H16">
        <x:v>70</x:v>
      </x:c>
      <x:c r="I16">
        <x:v>80</x:v>
      </x:c>
      <x:c r="J16">
        <x:v>91</x:v>
      </x:c>
      <x:c r="K16">
        <x:v>89</x:v>
      </x:c>
      <x:c r="L16">
        <x:v>72</x:v>
      </x:c>
      <x:c r="M16">
        <x:v>93</x:v>
      </x:c>
      <x:c r="N16">
        <x:v>67</x:v>
      </x:c>
      <x:c r="O16">
        <x:v>65</x:v>
      </x:c>
      <x:c r="P16">
        <x:v>63</x:v>
      </x:c>
      <x:c r="Q16">
        <x:v>87</x:v>
      </x:c>
      <x:c r="R16">
        <x:v>93</x:v>
      </x:c>
      <x:c r="S16">
        <x:v>99</x:v>
      </x:c>
      <x:c r="T16">
        <x:v>51</x:v>
      </x:c>
      <x:c r="U16">
        <x:v>67</x:v>
      </x:c>
    </x:row>
    <x:row r="17">
      <x:c r="A17" t="s">
        <x:v>351</x:v>
      </x:c>
      <x:c r="B17" t="s">
        <x:v>352</x:v>
      </x:c>
      <x:c r="C17" t="s">
        <x:v>333</x:v>
      </x:c>
      <x:c r="D17">
        <x:v>8477939</x:v>
      </x:c>
      <x:c r="E17">
        <x:v>58</x:v>
      </x:c>
      <x:c r="F17">
        <x:v>38</x:v>
      </x:c>
      <x:c r="G17">
        <x:v>91</x:v>
      </x:c>
      <x:c r="H17">
        <x:v>71</x:v>
      </x:c>
      <x:c r="I17">
        <x:v>80</x:v>
      </x:c>
      <x:c r="J17">
        <x:v>91</x:v>
      </x:c>
      <x:c r="K17">
        <x:v>87</x:v>
      </x:c>
      <x:c r="L17">
        <x:v>73</x:v>
      </x:c>
      <x:c r="M17">
        <x:v>73</x:v>
      </x:c>
      <x:c r="N17">
        <x:v>69</x:v>
      </x:c>
      <x:c r="O17">
        <x:v>67</x:v>
      </x:c>
      <x:c r="P17">
        <x:v>63</x:v>
      </x:c>
      <x:c r="Q17">
        <x:v>86</x:v>
      </x:c>
      <x:c r="R17">
        <x:v>80</x:v>
      </x:c>
      <x:c r="S17">
        <x:v>83</x:v>
      </x:c>
      <x:c r="T17">
        <x:v>51</x:v>
      </x:c>
      <x:c r="U17">
        <x:v>67</x:v>
      </x:c>
    </x:row>
    <x:row r="18">
      <x:c r="A18" t="s">
        <x:v>353</x:v>
      </x:c>
      <x:c r="B18" t="s">
        <x:v>354</x:v>
      </x:c>
      <x:c r="C18" t="s">
        <x:v>326</x:v>
      </x:c>
      <x:c r="D18">
        <x:v>8475913</x:v>
      </x:c>
      <x:c r="E18">
        <x:v>61</x:v>
      </x:c>
      <x:c r="F18">
        <x:v>57</x:v>
      </x:c>
      <x:c r="G18">
        <x:v>96</x:v>
      </x:c>
      <x:c r="H18">
        <x:v>68</x:v>
      </x:c>
      <x:c r="I18">
        <x:v>83</x:v>
      </x:c>
      <x:c r="J18">
        <x:v>91</x:v>
      </x:c>
      <x:c r="K18">
        <x:v>81</x:v>
      </x:c>
      <x:c r="L18">
        <x:v>71</x:v>
      </x:c>
      <x:c r="M18">
        <x:v>66</x:v>
      </x:c>
      <x:c r="N18">
        <x:v>70</x:v>
      </x:c>
      <x:c r="O18">
        <x:v>65</x:v>
      </x:c>
      <x:c r="P18">
        <x:v>69</x:v>
      </x:c>
      <x:c r="Q18">
        <x:v>62</x:v>
      </x:c>
      <x:c r="R18">
        <x:v>87</x:v>
      </x:c>
      <x:c r="S18">
        <x:v>89</x:v>
      </x:c>
      <x:c r="T18">
        <x:v>51</x:v>
      </x:c>
      <x:c r="U18">
        <x:v>67</x:v>
      </x:c>
    </x:row>
    <x:row r="19">
      <x:c r="A19" t="s">
        <x:v>355</x:v>
      </x:c>
      <x:c r="B19" t="s">
        <x:v>356</x:v>
      </x:c>
      <x:c r="C19" t="s">
        <x:v>319</x:v>
      </x:c>
      <x:c r="D19">
        <x:v>8480018</x:v>
      </x:c>
      <x:c r="E19">
        <x:v>64</x:v>
      </x:c>
      <x:c r="F19">
        <x:v>37</x:v>
      </x:c>
      <x:c r="G19">
        <x:v>89</x:v>
      </x:c>
      <x:c r="H19">
        <x:v>70</x:v>
      </x:c>
      <x:c r="I19">
        <x:v>80</x:v>
      </x:c>
      <x:c r="J19">
        <x:v>92</x:v>
      </x:c>
      <x:c r="K19">
        <x:v>99</x:v>
      </x:c>
      <x:c r="L19">
        <x:v>71</x:v>
      </x:c>
      <x:c r="M19">
        <x:v>90</x:v>
      </x:c>
      <x:c r="N19">
        <x:v>73</x:v>
      </x:c>
      <x:c r="O19">
        <x:v>63</x:v>
      </x:c>
      <x:c r="P19">
        <x:v>68</x:v>
      </x:c>
      <x:c r="Q19">
        <x:v>79</x:v>
      </x:c>
      <x:c r="R19">
        <x:v>74</x:v>
      </x:c>
      <x:c r="S19">
        <x:v>87</x:v>
      </x:c>
      <x:c r="T19">
        <x:v>51</x:v>
      </x:c>
      <x:c r="U19">
        <x:v>67</x:v>
      </x:c>
    </x:row>
    <x:row r="20">
      <x:c r="A20" t="s">
        <x:v>357</x:v>
      </x:c>
      <x:c r="B20" t="s">
        <x:v>345</x:v>
      </x:c>
      <x:c r="C20" t="s">
        <x:v>358</x:v>
      </x:c>
      <x:c r="D20">
        <x:v>8478864</x:v>
      </x:c>
      <x:c r="E20">
        <x:v>62</x:v>
      </x:c>
      <x:c r="F20">
        <x:v>36</x:v>
      </x:c>
      <x:c r="G20">
        <x:v>87</x:v>
      </x:c>
      <x:c r="H20">
        <x:v>73</x:v>
      </x:c>
      <x:c r="I20">
        <x:v>78</x:v>
      </x:c>
      <x:c r="J20">
        <x:v>94</x:v>
      </x:c>
      <x:c r="K20">
        <x:v>91</x:v>
      </x:c>
      <x:c r="L20">
        <x:v>75</x:v>
      </x:c>
      <x:c r="M20">
        <x:v>62</x:v>
      </x:c>
      <x:c r="N20">
        <x:v>65</x:v>
      </x:c>
      <x:c r="O20">
        <x:v>72</x:v>
      </x:c>
      <x:c r="P20">
        <x:v>62</x:v>
      </x:c>
      <x:c r="Q20">
        <x:v>84</x:v>
      </x:c>
      <x:c r="R20">
        <x:v>78</x:v>
      </x:c>
      <x:c r="S20">
        <x:v>79</x:v>
      </x:c>
      <x:c r="T20">
        <x:v>51</x:v>
      </x:c>
      <x:c r="U20">
        <x:v>67</x:v>
      </x:c>
    </x:row>
    <x:row r="21">
      <x:c r="A21" t="s">
        <x:v>359</x:v>
      </x:c>
      <x:c r="B21" t="s">
        <x:v>334</x:v>
      </x:c>
      <x:c r="C21" t="s">
        <x:v>331</x:v>
      </x:c>
      <x:c r="D21">
        <x:v>8479325</x:v>
      </x:c>
      <x:c r="E21">
        <x:v>75</x:v>
      </x:c>
      <x:c r="F21">
        <x:v>42</x:v>
      </x:c>
      <x:c r="G21">
        <x:v>76</x:v>
      </x:c>
      <x:c r="H21">
        <x:v>58</x:v>
      </x:c>
      <x:c r="I21">
        <x:v>85</x:v>
      </x:c>
      <x:c r="J21">
        <x:v>96</x:v>
      </x:c>
      <x:c r="K21">
        <x:v>88</x:v>
      </x:c>
      <x:c r="L21">
        <x:v>57</x:v>
      </x:c>
      <x:c r="M21">
        <x:v>30</x:v>
      </x:c>
      <x:c r="N21">
        <x:v>66</x:v>
      </x:c>
      <x:c r="O21">
        <x:v>50</x:v>
      </x:c>
      <x:c r="P21">
        <x:v>80</x:v>
      </x:c>
      <x:c r="Q21">
        <x:v>66</x:v>
      </x:c>
      <x:c r="R21">
        <x:v>78</x:v>
      </x:c>
      <x:c r="S21">
        <x:v>83</x:v>
      </x:c>
      <x:c r="T21">
        <x:v>51</x:v>
      </x:c>
      <x:c r="U21">
        <x:v>67</x:v>
      </x:c>
    </x:row>
    <x:row r="22">
      <x:c r="A22" t="s">
        <x:v>360</x:v>
      </x:c>
      <x:c r="B22" t="s">
        <x:v>361</x:v>
      </x:c>
      <x:c r="C22" t="s">
        <x:v>331</x:v>
      </x:c>
      <x:c r="D22">
        <x:v>8480839</x:v>
      </x:c>
      <x:c r="E22">
        <x:v>73</x:v>
      </x:c>
      <x:c r="F22">
        <x:v>61</x:v>
      </x:c>
      <x:c r="G22">
        <x:v>76</x:v>
      </x:c>
      <x:c r="H22">
        <x:v>63</x:v>
      </x:c>
      <x:c r="I22">
        <x:v>82</x:v>
      </x:c>
      <x:c r="J22">
        <x:v>96</x:v>
      </x:c>
      <x:c r="K22">
        <x:v>96</x:v>
      </x:c>
      <x:c r="L22">
        <x:v>60</x:v>
      </x:c>
      <x:c r="M22">
        <x:v>30</x:v>
      </x:c>
      <x:c r="N22">
        <x:v>68</x:v>
      </x:c>
      <x:c r="O22">
        <x:v>53</x:v>
      </x:c>
      <x:c r="P22">
        <x:v>77</x:v>
      </x:c>
      <x:c r="Q22">
        <x:v>59</x:v>
      </x:c>
      <x:c r="R22">
        <x:v>73</x:v>
      </x:c>
      <x:c r="S22">
        <x:v>84</x:v>
      </x:c>
      <x:c r="T22">
        <x:v>51</x:v>
      </x:c>
      <x:c r="U22">
        <x:v>67</x:v>
      </x:c>
    </x:row>
    <x:row r="23">
      <x:c r="A23" t="s">
        <x:v>362</x:v>
      </x:c>
      <x:c r="B23" t="s">
        <x:v>354</x:v>
      </x:c>
      <x:c r="C23" t="s">
        <x:v>319</x:v>
      </x:c>
      <x:c r="D23">
        <x:v>8478403</x:v>
      </x:c>
      <x:c r="E23">
        <x:v>60</x:v>
      </x:c>
      <x:c r="F23">
        <x:v>41</x:v>
      </x:c>
      <x:c r="G23">
        <x:v>93</x:v>
      </x:c>
      <x:c r="H23">
        <x:v>72</x:v>
      </x:c>
      <x:c r="I23">
        <x:v>85</x:v>
      </x:c>
      <x:c r="J23">
        <x:v>93</x:v>
      </x:c>
      <x:c r="K23">
        <x:v>91</x:v>
      </x:c>
      <x:c r="L23">
        <x:v>72</x:v>
      </x:c>
      <x:c r="M23">
        <x:v>88</x:v>
      </x:c>
      <x:c r="N23">
        <x:v>73</x:v>
      </x:c>
      <x:c r="O23">
        <x:v>63</x:v>
      </x:c>
      <x:c r="P23">
        <x:v>70</x:v>
      </x:c>
      <x:c r="Q23">
        <x:v>85</x:v>
      </x:c>
      <x:c r="R23">
        <x:v>80</x:v>
      </x:c>
      <x:c r="S23">
        <x:v>87</x:v>
      </x:c>
      <x:c r="T23">
        <x:v>51</x:v>
      </x:c>
      <x:c r="U23">
        <x:v>67</x:v>
      </x:c>
    </x:row>
    <x:row r="24">
      <x:c r="A24" t="s">
        <x:v>363</x:v>
      </x:c>
      <x:c r="B24" t="s">
        <x:v>364</x:v>
      </x:c>
      <x:c r="C24" t="s">
        <x:v>331</x:v>
      </x:c>
      <x:c r="D24">
        <x:v>8479410</x:v>
      </x:c>
      <x:c r="E24">
        <x:v>69</x:v>
      </x:c>
      <x:c r="F24">
        <x:v>43</x:v>
      </x:c>
      <x:c r="G24">
        <x:v>81</x:v>
      </x:c>
      <x:c r="H24">
        <x:v>56</x:v>
      </x:c>
      <x:c r="I24">
        <x:v>87</x:v>
      </x:c>
      <x:c r="J24">
        <x:v>96</x:v>
      </x:c>
      <x:c r="K24">
        <x:v>96</x:v>
      </x:c>
      <x:c r="L24">
        <x:v>57</x:v>
      </x:c>
      <x:c r="M24">
        <x:v>30</x:v>
      </x:c>
      <x:c r="N24">
        <x:v>65</x:v>
      </x:c>
      <x:c r="O24">
        <x:v>49</x:v>
      </x:c>
      <x:c r="P24">
        <x:v>81</x:v>
      </x:c>
      <x:c r="Q24">
        <x:v>58</x:v>
      </x:c>
      <x:c r="R24">
        <x:v>77</x:v>
      </x:c>
      <x:c r="S24">
        <x:v>83</x:v>
      </x:c>
      <x:c r="T24">
        <x:v>51</x:v>
      </x:c>
      <x:c r="U24">
        <x:v>66</x:v>
      </x:c>
    </x:row>
    <x:row r="25">
      <x:c r="A25" t="s">
        <x:v>365</x:v>
      </x:c>
      <x:c r="B25" t="s">
        <x:v>366</x:v>
      </x:c>
      <x:c r="C25" t="s">
        <x:v>319</x:v>
      </x:c>
      <x:c r="D25">
        <x:v>8481559</x:v>
      </x:c>
      <x:c r="E25">
        <x:v>57</x:v>
      </x:c>
      <x:c r="F25">
        <x:v>34</x:v>
      </x:c>
      <x:c r="G25">
        <x:v>94</x:v>
      </x:c>
      <x:c r="H25">
        <x:v>72</x:v>
      </x:c>
      <x:c r="I25">
        <x:v>77</x:v>
      </x:c>
      <x:c r="J25">
        <x:v>93</x:v>
      </x:c>
      <x:c r="K25">
        <x:v>80</x:v>
      </x:c>
      <x:c r="L25">
        <x:v>74</x:v>
      </x:c>
      <x:c r="M25">
        <x:v>78</x:v>
      </x:c>
      <x:c r="N25">
        <x:v>72</x:v>
      </x:c>
      <x:c r="O25">
        <x:v>66</x:v>
      </x:c>
      <x:c r="P25">
        <x:v>66</x:v>
      </x:c>
      <x:c r="Q25">
        <x:v>81</x:v>
      </x:c>
      <x:c r="R25">
        <x:v>71</x:v>
      </x:c>
      <x:c r="S25">
        <x:v>82</x:v>
      </x:c>
      <x:c r="T25">
        <x:v>51</x:v>
      </x:c>
      <x:c r="U25">
        <x:v>66</x:v>
      </x:c>
    </x:row>
    <x:row r="26">
      <x:c r="A26" t="s">
        <x:v>367</x:v>
      </x:c>
      <x:c r="B26" t="s">
        <x:v>368</x:v>
      </x:c>
      <x:c r="C26" t="s">
        <x:v>331</x:v>
      </x:c>
      <x:c r="D26">
        <x:v>8481542</x:v>
      </x:c>
      <x:c r="E26">
        <x:v>78</x:v>
      </x:c>
      <x:c r="F26">
        <x:v>64</x:v>
      </x:c>
      <x:c r="G26">
        <x:v>80</x:v>
      </x:c>
      <x:c r="H26">
        <x:v>55</x:v>
      </x:c>
      <x:c r="I26">
        <x:v>88</x:v>
      </x:c>
      <x:c r="J26">
        <x:v>97</x:v>
      </x:c>
      <x:c r="K26">
        <x:v>99</x:v>
      </x:c>
      <x:c r="L26">
        <x:v>58</x:v>
      </x:c>
      <x:c r="M26">
        <x:v>30</x:v>
      </x:c>
      <x:c r="N26">
        <x:v>65</x:v>
      </x:c>
      <x:c r="O26">
        <x:v>49</x:v>
      </x:c>
      <x:c r="P26">
        <x:v>80</x:v>
      </x:c>
      <x:c r="Q26">
        <x:v>53</x:v>
      </x:c>
      <x:c r="R26">
        <x:v>71</x:v>
      </x:c>
      <x:c r="S26">
        <x:v>84</x:v>
      </x:c>
      <x:c r="T26">
        <x:v>51</x:v>
      </x:c>
      <x:c r="U26">
        <x:v>66</x:v>
      </x:c>
    </x:row>
    <x:row r="27">
      <x:c r="A27" t="s">
        <x:v>369</x:v>
      </x:c>
      <x:c r="B27" t="s">
        <x:v>370</x:v>
      </x:c>
      <x:c r="C27" t="s">
        <x:v>331</x:v>
      </x:c>
      <x:c r="D27">
        <x:v>8482105</x:v>
      </x:c>
      <x:c r="E27">
        <x:v>68</x:v>
      </x:c>
      <x:c r="F27">
        <x:v>41</x:v>
      </x:c>
      <x:c r="G27">
        <x:v>96</x:v>
      </x:c>
      <x:c r="H27">
        <x:v>58</x:v>
      </x:c>
      <x:c r="I27">
        <x:v>83</x:v>
      </x:c>
      <x:c r="J27">
        <x:v>96</x:v>
      </x:c>
      <x:c r="K27">
        <x:v>91</x:v>
      </x:c>
      <x:c r="L27">
        <x:v>57</x:v>
      </x:c>
      <x:c r="M27">
        <x:v>30</x:v>
      </x:c>
      <x:c r="N27">
        <x:v>65</x:v>
      </x:c>
      <x:c r="O27">
        <x:v>51</x:v>
      </x:c>
      <x:c r="P27">
        <x:v>82</x:v>
      </x:c>
      <x:c r="Q27">
        <x:v>52</x:v>
      </x:c>
      <x:c r="R27">
        <x:v>70</x:v>
      </x:c>
      <x:c r="S27">
        <x:v>83</x:v>
      </x:c>
      <x:c r="T27">
        <x:v>51</x:v>
      </x:c>
      <x:c r="U27">
        <x:v>66</x:v>
      </x:c>
    </x:row>
    <x:row r="28">
      <x:c r="A28" t="s">
        <x:v>371</x:v>
      </x:c>
      <x:c r="B28" t="s">
        <x:v>372</x:v>
      </x:c>
      <x:c r="C28" t="s">
        <x:v>331</x:v>
      </x:c>
      <x:c r="D28">
        <x:v>8474600</x:v>
      </x:c>
      <x:c r="E28">
        <x:v>68</x:v>
      </x:c>
      <x:c r="F28">
        <x:v>38</x:v>
      </x:c>
      <x:c r="G28">
        <x:v>85</x:v>
      </x:c>
      <x:c r="H28">
        <x:v>59</x:v>
      </x:c>
      <x:c r="I28">
        <x:v>80</x:v>
      </x:c>
      <x:c r="J28">
        <x:v>96</x:v>
      </x:c>
      <x:c r="K28">
        <x:v>88</x:v>
      </x:c>
      <x:c r="L28">
        <x:v>56</x:v>
      </x:c>
      <x:c r="M28">
        <x:v>30</x:v>
      </x:c>
      <x:c r="N28">
        <x:v>66</x:v>
      </x:c>
      <x:c r="O28">
        <x:v>52</x:v>
      </x:c>
      <x:c r="P28">
        <x:v>77</x:v>
      </x:c>
      <x:c r="Q28">
        <x:v>63</x:v>
      </x:c>
      <x:c r="R28">
        <x:v>91</x:v>
      </x:c>
      <x:c r="S28">
        <x:v>90</x:v>
      </x:c>
      <x:c r="T28">
        <x:v>51</x:v>
      </x:c>
      <x:c r="U28">
        <x:v>66</x:v>
      </x:c>
    </x:row>
    <x:row r="29">
      <x:c r="A29" t="s">
        <x:v>373</x:v>
      </x:c>
      <x:c r="B29" t="s">
        <x:v>350</x:v>
      </x:c>
      <x:c r="C29" t="s">
        <x:v>331</x:v>
      </x:c>
      <x:c r="D29">
        <x:v>8474578</x:v>
      </x:c>
      <x:c r="E29">
        <x:v>66</x:v>
      </x:c>
      <x:c r="F29">
        <x:v>34</x:v>
      </x:c>
      <x:c r="G29">
        <x:v>90</x:v>
      </x:c>
      <x:c r="H29">
        <x:v>60</x:v>
      </x:c>
      <x:c r="I29">
        <x:v>77</x:v>
      </x:c>
      <x:c r="J29">
        <x:v>95</x:v>
      </x:c>
      <x:c r="K29">
        <x:v>96</x:v>
      </x:c>
      <x:c r="L29">
        <x:v>58</x:v>
      </x:c>
      <x:c r="M29">
        <x:v>30</x:v>
      </x:c>
      <x:c r="N29">
        <x:v>67</x:v>
      </x:c>
      <x:c r="O29">
        <x:v>51</x:v>
      </x:c>
      <x:c r="P29">
        <x:v>78</x:v>
      </x:c>
      <x:c r="Q29">
        <x:v>59</x:v>
      </x:c>
      <x:c r="R29">
        <x:v>90</x:v>
      </x:c>
      <x:c r="S29">
        <x:v>86</x:v>
      </x:c>
      <x:c r="T29">
        <x:v>51</x:v>
      </x:c>
      <x:c r="U29">
        <x:v>66</x:v>
      </x:c>
    </x:row>
    <x:row r="30">
      <x:c r="A30" t="s">
        <x:v>374</x:v>
      </x:c>
      <x:c r="B30" t="s">
        <x:v>348</x:v>
      </x:c>
      <x:c r="C30" t="s">
        <x:v>358</x:v>
      </x:c>
      <x:c r="D30">
        <x:v>8478398</x:v>
      </x:c>
      <x:c r="E30">
        <x:v>59</x:v>
      </x:c>
      <x:c r="F30">
        <x:v>41</x:v>
      </x:c>
      <x:c r="G30">
        <x:v>93</x:v>
      </x:c>
      <x:c r="H30">
        <x:v>71</x:v>
      </x:c>
      <x:c r="I30">
        <x:v>78</x:v>
      </x:c>
      <x:c r="J30">
        <x:v>93</x:v>
      </x:c>
      <x:c r="K30">
        <x:v>99</x:v>
      </x:c>
      <x:c r="L30">
        <x:v>70</x:v>
      </x:c>
      <x:c r="M30">
        <x:v>62</x:v>
      </x:c>
      <x:c r="N30">
        <x:v>67</x:v>
      </x:c>
      <x:c r="O30">
        <x:v>67</x:v>
      </x:c>
      <x:c r="P30">
        <x:v>68</x:v>
      </x:c>
      <x:c r="Q30">
        <x:v>84</x:v>
      </x:c>
      <x:c r="R30">
        <x:v>79</x:v>
      </x:c>
      <x:c r="S30">
        <x:v>74</x:v>
      </x:c>
      <x:c r="T30">
        <x:v>51</x:v>
      </x:c>
      <x:c r="U30">
        <x:v>66</x:v>
      </x:c>
    </x:row>
    <x:row r="31">
      <x:c r="A31" t="s">
        <x:v>375</x:v>
      </x:c>
      <x:c r="B31" t="s">
        <x:v>327</x:v>
      </x:c>
      <x:c r="C31" t="s">
        <x:v>358</x:v>
      </x:c>
      <x:c r="D31">
        <x:v>8479542</x:v>
      </x:c>
      <x:c r="E31">
        <x:v>62</x:v>
      </x:c>
      <x:c r="F31">
        <x:v>72</x:v>
      </x:c>
      <x:c r="G31">
        <x:v>79</x:v>
      </x:c>
      <x:c r="H31">
        <x:v>69</x:v>
      </x:c>
      <x:c r="I31">
        <x:v>79</x:v>
      </x:c>
      <x:c r="J31">
        <x:v>91</x:v>
      </x:c>
      <x:c r="K31">
        <x:v>90</x:v>
      </x:c>
      <x:c r="L31">
        <x:v>68</x:v>
      </x:c>
      <x:c r="M31">
        <x:v>71</x:v>
      </x:c>
      <x:c r="N31">
        <x:v>64</x:v>
      </x:c>
      <x:c r="O31">
        <x:v>67</x:v>
      </x:c>
      <x:c r="P31">
        <x:v>72</x:v>
      </x:c>
      <x:c r="Q31">
        <x:v>54</x:v>
      </x:c>
      <x:c r="R31">
        <x:v>75</x:v>
      </x:c>
      <x:c r="S31">
        <x:v>81</x:v>
      </x:c>
      <x:c r="T31">
        <x:v>51</x:v>
      </x:c>
      <x:c r="U31">
        <x:v>66</x:v>
      </x:c>
    </x:row>
    <x:row r="32">
      <x:c r="A32" t="s">
        <x:v>376</x:v>
      </x:c>
      <x:c r="B32" t="s">
        <x:v>352</x:v>
      </x:c>
      <x:c r="C32" t="s">
        <x:v>331</x:v>
      </x:c>
      <x:c r="D32">
        <x:v>8478178</x:v>
      </x:c>
      <x:c r="E32">
        <x:v>71</x:v>
      </x:c>
      <x:c r="F32">
        <x:v>70</x:v>
      </x:c>
      <x:c r="G32">
        <x:v>80</x:v>
      </x:c>
      <x:c r="H32">
        <x:v>59</x:v>
      </x:c>
      <x:c r="I32">
        <x:v>79</x:v>
      </x:c>
      <x:c r="J32">
        <x:v>93</x:v>
      </x:c>
      <x:c r="K32">
        <x:v>93</x:v>
      </x:c>
      <x:c r="L32">
        <x:v>61</x:v>
      </x:c>
      <x:c r="M32">
        <x:v>30</x:v>
      </x:c>
      <x:c r="N32">
        <x:v>65</x:v>
      </x:c>
      <x:c r="O32">
        <x:v>54</x:v>
      </x:c>
      <x:c r="P32">
        <x:v>76</x:v>
      </x:c>
      <x:c r="Q32">
        <x:v>52</x:v>
      </x:c>
      <x:c r="R32">
        <x:v>77</x:v>
      </x:c>
      <x:c r="S32">
        <x:v>72</x:v>
      </x:c>
      <x:c r="T32">
        <x:v>51</x:v>
      </x:c>
      <x:c r="U32">
        <x:v>66</x:v>
      </x:c>
    </x:row>
    <x:row r="33">
      <x:c r="A33" t="s">
        <x:v>377</x:v>
      </x:c>
      <x:c r="B33" t="s">
        <x:v>343</x:v>
      </x:c>
      <x:c r="C33" t="s">
        <x:v>333</x:v>
      </x:c>
      <x:c r="D33">
        <x:v>8480027</x:v>
      </x:c>
      <x:c r="E33">
        <x:v>62</x:v>
      </x:c>
      <x:c r="F33">
        <x:v>37</x:v>
      </x:c>
      <x:c r="G33">
        <x:v>87</x:v>
      </x:c>
      <x:c r="H33">
        <x:v>70</x:v>
      </x:c>
      <x:c r="I33">
        <x:v>80</x:v>
      </x:c>
      <x:c r="J33">
        <x:v>91</x:v>
      </x:c>
      <x:c r="K33">
        <x:v>99</x:v>
      </x:c>
      <x:c r="L33">
        <x:v>76</x:v>
      </x:c>
      <x:c r="M33">
        <x:v>66</x:v>
      </x:c>
      <x:c r="N33">
        <x:v>66</x:v>
      </x:c>
      <x:c r="O33">
        <x:v>69</x:v>
      </x:c>
      <x:c r="P33">
        <x:v>63</x:v>
      </x:c>
      <x:c r="Q33">
        <x:v>94</x:v>
      </x:c>
      <x:c r="R33">
        <x:v>74</x:v>
      </x:c>
      <x:c r="S33">
        <x:v>77</x:v>
      </x:c>
      <x:c r="T33">
        <x:v>51</x:v>
      </x:c>
      <x:c r="U33">
        <x:v>66</x:v>
      </x:c>
    </x:row>
    <x:row r="34">
      <x:c r="A34" t="s">
        <x:v>378</x:v>
      </x:c>
      <x:c r="B34" t="s">
        <x:v>379</x:v>
      </x:c>
      <x:c r="C34" t="s">
        <x:v>358</x:v>
      </x:c>
      <x:c r="D34">
        <x:v>8478550</x:v>
      </x:c>
      <x:c r="E34">
        <x:v>57</x:v>
      </x:c>
      <x:c r="F34">
        <x:v>34</x:v>
      </x:c>
      <x:c r="G34">
        <x:v>92</x:v>
      </x:c>
      <x:c r="H34">
        <x:v>70</x:v>
      </x:c>
      <x:c r="I34">
        <x:v>77</x:v>
      </x:c>
      <x:c r="J34">
        <x:v>92</x:v>
      </x:c>
      <x:c r="K34">
        <x:v>95</x:v>
      </x:c>
      <x:c r="L34">
        <x:v>71</x:v>
      </x:c>
      <x:c r="M34">
        <x:v>69</x:v>
      </x:c>
      <x:c r="N34">
        <x:v>70</x:v>
      </x:c>
      <x:c r="O34">
        <x:v>64</x:v>
      </x:c>
      <x:c r="P34">
        <x:v>61</x:v>
      </x:c>
      <x:c r="Q34">
        <x:v>91</x:v>
      </x:c>
      <x:c r="R34">
        <x:v>88</x:v>
      </x:c>
      <x:c r="S34">
        <x:v>79</x:v>
      </x:c>
      <x:c r="T34">
        <x:v>51</x:v>
      </x:c>
      <x:c r="U34">
        <x:v>66</x:v>
      </x:c>
    </x:row>
    <x:row r="35">
      <x:c r="A35" t="s">
        <x:v>380</x:v>
      </x:c>
      <x:c r="B35" t="s">
        <x:v>361</x:v>
      </x:c>
      <x:c r="C35" t="s">
        <x:v>329</x:v>
      </x:c>
      <x:c r="D35">
        <x:v>8479420</x:v>
      </x:c>
      <x:c r="E35">
        <x:v>66</x:v>
      </x:c>
      <x:c r="F35">
        <x:v>69</x:v>
      </x:c>
      <x:c r="G35">
        <x:v>87</x:v>
      </x:c>
      <x:c r="H35">
        <x:v>68</x:v>
      </x:c>
      <x:c r="I35">
        <x:v>89</x:v>
      </x:c>
      <x:c r="J35">
        <x:v>91</x:v>
      </x:c>
      <x:c r="K35">
        <x:v>97</x:v>
      </x:c>
      <x:c r="L35">
        <x:v>70</x:v>
      </x:c>
      <x:c r="M35">
        <x:v>85</x:v>
      </x:c>
      <x:c r="N35">
        <x:v>62</x:v>
      </x:c>
      <x:c r="O35">
        <x:v>68</x:v>
      </x:c>
      <x:c r="P35">
        <x:v>63</x:v>
      </x:c>
      <x:c r="Q35">
        <x:v>86</x:v>
      </x:c>
      <x:c r="R35">
        <x:v>78</x:v>
      </x:c>
      <x:c r="S35">
        <x:v>85</x:v>
      </x:c>
      <x:c r="T35">
        <x:v>51</x:v>
      </x:c>
      <x:c r="U35">
        <x:v>66</x:v>
      </x:c>
    </x:row>
    <x:row r="36">
      <x:c r="A36" t="s">
        <x:v>381</x:v>
      </x:c>
      <x:c r="B36" t="s">
        <x:v>345</x:v>
      </x:c>
      <x:c r="C36" t="s">
        <x:v>358</x:v>
      </x:c>
      <x:c r="D36">
        <x:v>8481557</x:v>
      </x:c>
      <x:c r="E36">
        <x:v>63</x:v>
      </x:c>
      <x:c r="F36">
        <x:v>46</x:v>
      </x:c>
      <x:c r="G36">
        <x:v>85</x:v>
      </x:c>
      <x:c r="H36">
        <x:v>69</x:v>
      </x:c>
      <x:c r="I36">
        <x:v>85</x:v>
      </x:c>
      <x:c r="J36">
        <x:v>92</x:v>
      </x:c>
      <x:c r="K36">
        <x:v>94</x:v>
      </x:c>
      <x:c r="L36">
        <x:v>69</x:v>
      </x:c>
      <x:c r="M36">
        <x:v>74</x:v>
      </x:c>
      <x:c r="N36">
        <x:v>64</x:v>
      </x:c>
      <x:c r="O36">
        <x:v>68</x:v>
      </x:c>
      <x:c r="P36">
        <x:v>70</x:v>
      </x:c>
      <x:c r="Q36">
        <x:v>90</x:v>
      </x:c>
      <x:c r="R36">
        <x:v>71</x:v>
      </x:c>
      <x:c r="S36">
        <x:v>80</x:v>
      </x:c>
      <x:c r="T36">
        <x:v>51</x:v>
      </x:c>
      <x:c r="U36">
        <x:v>66</x:v>
      </x:c>
    </x:row>
    <x:row r="37">
      <x:c r="A37" t="s">
        <x:v>382</x:v>
      </x:c>
      <x:c r="B37" t="s">
        <x:v>383</x:v>
      </x:c>
      <x:c r="C37" t="s">
        <x:v>331</x:v>
      </x:c>
      <x:c r="D37">
        <x:v>8479323</x:v>
      </x:c>
      <x:c r="E37">
        <x:v>68</x:v>
      </x:c>
      <x:c r="F37">
        <x:v>34</x:v>
      </x:c>
      <x:c r="G37">
        <x:v>86</x:v>
      </x:c>
      <x:c r="H37">
        <x:v>60</x:v>
      </x:c>
      <x:c r="I37">
        <x:v>77</x:v>
      </x:c>
      <x:c r="J37">
        <x:v>95</x:v>
      </x:c>
      <x:c r="K37">
        <x:v>83</x:v>
      </x:c>
      <x:c r="L37">
        <x:v>59</x:v>
      </x:c>
      <x:c r="M37">
        <x:v>30</x:v>
      </x:c>
      <x:c r="N37">
        <x:v>71</x:v>
      </x:c>
      <x:c r="O37">
        <x:v>50</x:v>
      </x:c>
      <x:c r="P37">
        <x:v>77</x:v>
      </x:c>
      <x:c r="Q37">
        <x:v>57</x:v>
      </x:c>
      <x:c r="R37">
        <x:v>77</x:v>
      </x:c>
      <x:c r="S37">
        <x:v>84</x:v>
      </x:c>
      <x:c r="T37">
        <x:v>51</x:v>
      </x:c>
      <x:c r="U37">
        <x:v>66</x:v>
      </x:c>
    </x:row>
    <x:row r="38">
      <x:c r="A38" t="s">
        <x:v>384</x:v>
      </x:c>
      <x:c r="B38" t="s">
        <x:v>379</x:v>
      </x:c>
      <x:c r="C38" t="s">
        <x:v>333</x:v>
      </x:c>
      <x:c r="D38">
        <x:v>8477960</x:v>
      </x:c>
      <x:c r="E38">
        <x:v>70</x:v>
      </x:c>
      <x:c r="F38">
        <x:v>40</x:v>
      </x:c>
      <x:c r="G38">
        <x:v>79</x:v>
      </x:c>
      <x:c r="H38">
        <x:v>67</x:v>
      </x:c>
      <x:c r="I38">
        <x:v>82</x:v>
      </x:c>
      <x:c r="J38">
        <x:v>91</x:v>
      </x:c>
      <x:c r="K38">
        <x:v>98</x:v>
      </x:c>
      <x:c r="L38">
        <x:v>68</x:v>
      </x:c>
      <x:c r="M38">
        <x:v>71</x:v>
      </x:c>
      <x:c r="N38">
        <x:v>62</x:v>
      </x:c>
      <x:c r="O38">
        <x:v>66</x:v>
      </x:c>
      <x:c r="P38">
        <x:v>68</x:v>
      </x:c>
      <x:c r="Q38">
        <x:v>90</x:v>
      </x:c>
      <x:c r="R38">
        <x:v>80</x:v>
      </x:c>
      <x:c r="S38">
        <x:v>82</x:v>
      </x:c>
      <x:c r="T38">
        <x:v>51</x:v>
      </x:c>
      <x:c r="U38">
        <x:v>65</x:v>
      </x:c>
    </x:row>
    <x:row r="39">
      <x:c r="A39" t="s">
        <x:v>385</x:v>
      </x:c>
      <x:c r="B39" t="s">
        <x:v>386</x:v>
      </x:c>
      <x:c r="C39" t="s">
        <x:v>331</x:v>
      </x:c>
      <x:c r="D39">
        <x:v>8476906</x:v>
      </x:c>
      <x:c r="E39">
        <x:v>69</x:v>
      </x:c>
      <x:c r="F39">
        <x:v>34</x:v>
      </x:c>
      <x:c r="G39">
        <x:v>85</x:v>
      </x:c>
      <x:c r="H39">
        <x:v>59</x:v>
      </x:c>
      <x:c r="I39">
        <x:v>76</x:v>
      </x:c>
      <x:c r="J39">
        <x:v>91</x:v>
      </x:c>
      <x:c r="K39">
        <x:v>83</x:v>
      </x:c>
      <x:c r="L39">
        <x:v>56</x:v>
      </x:c>
      <x:c r="M39">
        <x:v>30</x:v>
      </x:c>
      <x:c r="N39">
        <x:v>66</x:v>
      </x:c>
      <x:c r="O39">
        <x:v>52</x:v>
      </x:c>
      <x:c r="P39">
        <x:v>75</x:v>
      </x:c>
      <x:c r="Q39">
        <x:v>55</x:v>
      </x:c>
      <x:c r="R39">
        <x:v>85</x:v>
      </x:c>
      <x:c r="S39">
        <x:v>74</x:v>
      </x:c>
      <x:c r="T39">
        <x:v>51</x:v>
      </x:c>
      <x:c r="U39">
        <x:v>65</x:v>
      </x:c>
    </x:row>
    <x:row r="40">
      <x:c r="A40" t="s">
        <x:v>387</x:v>
      </x:c>
      <x:c r="B40" t="s">
        <x:v>368</x:v>
      </x:c>
      <x:c r="C40" t="s">
        <x:v>319</x:v>
      </x:c>
      <x:c r="D40">
        <x:v>8477946</x:v>
      </x:c>
      <x:c r="E40">
        <x:v>62</x:v>
      </x:c>
      <x:c r="F40">
        <x:v>40</x:v>
      </x:c>
      <x:c r="G40">
        <x:v>80</x:v>
      </x:c>
      <x:c r="H40">
        <x:v>69</x:v>
      </x:c>
      <x:c r="I40">
        <x:v>82</x:v>
      </x:c>
      <x:c r="J40">
        <x:v>92</x:v>
      </x:c>
      <x:c r="K40">
        <x:v>92</x:v>
      </x:c>
      <x:c r="L40">
        <x:v>66</x:v>
      </x:c>
      <x:c r="M40">
        <x:v>92</x:v>
      </x:c>
      <x:c r="N40">
        <x:v>61</x:v>
      </x:c>
      <x:c r="O40">
        <x:v>66</x:v>
      </x:c>
      <x:c r="P40">
        <x:v>70</x:v>
      </x:c>
      <x:c r="Q40">
        <x:v>76</x:v>
      </x:c>
      <x:c r="R40">
        <x:v>80</x:v>
      </x:c>
      <x:c r="S40">
        <x:v>90</x:v>
      </x:c>
      <x:c r="T40">
        <x:v>51</x:v>
      </x:c>
      <x:c r="U40">
        <x:v>65</x:v>
      </x:c>
    </x:row>
    <x:row r="41">
      <x:c r="A41" t="s">
        <x:v>388</x:v>
      </x:c>
      <x:c r="B41" t="s">
        <x:v>368</x:v>
      </x:c>
      <x:c r="C41" t="s">
        <x:v>333</x:v>
      </x:c>
      <x:c r="D41">
        <x:v>8479337</x:v>
      </x:c>
      <x:c r="E41">
        <x:v>60</x:v>
      </x:c>
      <x:c r="F41">
        <x:v>48</x:v>
      </x:c>
      <x:c r="G41">
        <x:v>93</x:v>
      </x:c>
      <x:c r="H41">
        <x:v>69</x:v>
      </x:c>
      <x:c r="I41">
        <x:v>76</x:v>
      </x:c>
      <x:c r="J41">
        <x:v>90</x:v>
      </x:c>
      <x:c r="K41">
        <x:v>99</x:v>
      </x:c>
      <x:c r="L41">
        <x:v>69</x:v>
      </x:c>
      <x:c r="M41">
        <x:v>70</x:v>
      </x:c>
      <x:c r="N41">
        <x:v>63</x:v>
      </x:c>
      <x:c r="O41">
        <x:v>67</x:v>
      </x:c>
      <x:c r="P41">
        <x:v>63</x:v>
      </x:c>
      <x:c r="Q41">
        <x:v>78</x:v>
      </x:c>
      <x:c r="R41">
        <x:v>78</x:v>
      </x:c>
      <x:c r="S41">
        <x:v>78</x:v>
      </x:c>
      <x:c r="T41">
        <x:v>51</x:v>
      </x:c>
      <x:c r="U41">
        <x:v>65</x:v>
      </x:c>
    </x:row>
    <x:row r="42">
      <x:c r="A42" t="s">
        <x:v>389</x:v>
      </x:c>
      <x:c r="B42" t="s">
        <x:v>370</x:v>
      </x:c>
      <x:c r="C42" t="s">
        <x:v>339</x:v>
      </x:c>
      <x:c r="D42">
        <x:v>8482116</x:v>
      </x:c>
      <x:c r="E42">
        <x:v>71</x:v>
      </x:c>
      <x:c r="F42">
        <x:v>45</x:v>
      </x:c>
      <x:c r="G42">
        <x:v>84</x:v>
      </x:c>
      <x:c r="H42">
        <x:v>69</x:v>
      </x:c>
      <x:c r="I42">
        <x:v>76</x:v>
      </x:c>
      <x:c r="J42">
        <x:v>92</x:v>
      </x:c>
      <x:c r="K42">
        <x:v>97</x:v>
      </x:c>
      <x:c r="L42">
        <x:v>69</x:v>
      </x:c>
      <x:c r="M42">
        <x:v>86</x:v>
      </x:c>
      <x:c r="N42">
        <x:v>67</x:v>
      </x:c>
      <x:c r="O42">
        <x:v>65</x:v>
      </x:c>
      <x:c r="P42">
        <x:v>70</x:v>
      </x:c>
      <x:c r="Q42">
        <x:v>93</x:v>
      </x:c>
      <x:c r="R42">
        <x:v>70</x:v>
      </x:c>
      <x:c r="S42">
        <x:v>78</x:v>
      </x:c>
      <x:c r="T42">
        <x:v>51</x:v>
      </x:c>
      <x:c r="U42">
        <x:v>65</x:v>
      </x:c>
    </x:row>
    <x:row r="43">
      <x:c r="A43" t="s">
        <x:v>390</x:v>
      </x:c>
      <x:c r="B43" t="s">
        <x:v>356</x:v>
      </x:c>
      <x:c r="C43" t="s">
        <x:v>331</x:v>
      </x:c>
      <x:c r="D43">
        <x:v>8483457</x:v>
      </x:c>
      <x:c r="E43">
        <x:v>67</x:v>
      </x:c>
      <x:c r="F43">
        <x:v>33</x:v>
      </x:c>
      <x:c r="G43">
        <x:v>85</x:v>
      </x:c>
      <x:c r="H43">
        <x:v>61</x:v>
      </x:c>
      <x:c r="I43">
        <x:v>75</x:v>
      </x:c>
      <x:c r="J43">
        <x:v>95</x:v>
      </x:c>
      <x:c r="K43">
        <x:v>99</x:v>
      </x:c>
      <x:c r="L43">
        <x:v>61</x:v>
      </x:c>
      <x:c r="M43">
        <x:v>30</x:v>
      </x:c>
      <x:c r="N43">
        <x:v>71</x:v>
      </x:c>
      <x:c r="O43">
        <x:v>50</x:v>
      </x:c>
      <x:c r="P43">
        <x:v>77</x:v>
      </x:c>
      <x:c r="Q43">
        <x:v>57</x:v>
      </x:c>
      <x:c r="R43">
        <x:v>66</x:v>
      </x:c>
      <x:c r="S43">
        <x:v>71</x:v>
      </x:c>
      <x:c r="T43">
        <x:v>51</x:v>
      </x:c>
      <x:c r="U43">
        <x:v>65</x:v>
      </x:c>
    </x:row>
    <x:row r="44">
      <x:c r="A44" t="s">
        <x:v>391</x:v>
      </x:c>
      <x:c r="B44" t="s">
        <x:v>354</x:v>
      </x:c>
      <x:c r="C44" t="s">
        <x:v>323</x:v>
      </x:c>
      <x:c r="D44">
        <x:v>8478483</x:v>
      </x:c>
      <x:c r="E44">
        <x:v>59</x:v>
      </x:c>
      <x:c r="F44">
        <x:v>33</x:v>
      </x:c>
      <x:c r="G44">
        <x:v>91</x:v>
      </x:c>
      <x:c r="H44">
        <x:v>70</x:v>
      </x:c>
      <x:c r="I44">
        <x:v>76</x:v>
      </x:c>
      <x:c r="J44">
        <x:v>91</x:v>
      </x:c>
      <x:c r="K44">
        <x:v>98</x:v>
      </x:c>
      <x:c r="L44">
        <x:v>72</x:v>
      </x:c>
      <x:c r="M44">
        <x:v>76</x:v>
      </x:c>
      <x:c r="N44">
        <x:v>71</x:v>
      </x:c>
      <x:c r="O44">
        <x:v>60</x:v>
      </x:c>
      <x:c r="P44">
        <x:v>71</x:v>
      </x:c>
      <x:c r="Q44">
        <x:v>86</x:v>
      </x:c>
      <x:c r="R44">
        <x:v>78</x:v>
      </x:c>
      <x:c r="S44">
        <x:v>82</x:v>
      </x:c>
      <x:c r="T44">
        <x:v>51</x:v>
      </x:c>
      <x:c r="U44">
        <x:v>65</x:v>
      </x:c>
    </x:row>
    <x:row r="45">
      <x:c r="A45" t="s">
        <x:v>392</x:v>
      </x:c>
      <x:c r="B45" t="s">
        <x:v>393</x:v>
      </x:c>
      <x:c r="C45" t="s">
        <x:v>331</x:v>
      </x:c>
      <x:c r="D45">
        <x:v>8481605</x:v>
      </x:c>
      <x:c r="E45">
        <x:v>72</x:v>
      </x:c>
      <x:c r="F45">
        <x:v>57</x:v>
      </x:c>
      <x:c r="G45">
        <x:v>93</x:v>
      </x:c>
      <x:c r="H45">
        <x:v>55</x:v>
      </x:c>
      <x:c r="I45">
        <x:v>83</x:v>
      </x:c>
      <x:c r="J45">
        <x:v>95</x:v>
      </x:c>
      <x:c r="K45">
        <x:v>99</x:v>
      </x:c>
      <x:c r="L45">
        <x:v>56</x:v>
      </x:c>
      <x:c r="M45">
        <x:v>30</x:v>
      </x:c>
      <x:c r="N45">
        <x:v>64</x:v>
      </x:c>
      <x:c r="O45">
        <x:v>49</x:v>
      </x:c>
      <x:c r="P45">
        <x:v>78</x:v>
      </x:c>
      <x:c r="Q45">
        <x:v>52</x:v>
      </x:c>
      <x:c r="R45">
        <x:v>70</x:v>
      </x:c>
      <x:c r="S45">
        <x:v>81</x:v>
      </x:c>
      <x:c r="T45">
        <x:v>51</x:v>
      </x:c>
      <x:c r="U45">
        <x:v>65</x:v>
      </x:c>
    </x:row>
    <x:row r="46">
      <x:c r="A46" t="s">
        <x:v>394</x:v>
      </x:c>
      <x:c r="B46" t="s">
        <x:v>356</x:v>
      </x:c>
      <x:c r="C46" t="s">
        <x:v>333</x:v>
      </x:c>
      <x:c r="D46">
        <x:v>8481540</x:v>
      </x:c>
      <x:c r="E46">
        <x:v>62</x:v>
      </x:c>
      <x:c r="F46">
        <x:v>32</x:v>
      </x:c>
      <x:c r="G46">
        <x:v>94</x:v>
      </x:c>
      <x:c r="H46">
        <x:v>70</x:v>
      </x:c>
      <x:c r="I46">
        <x:v>75</x:v>
      </x:c>
      <x:c r="J46">
        <x:v>89</x:v>
      </x:c>
      <x:c r="K46">
        <x:v>98</x:v>
      </x:c>
      <x:c r="L46">
        <x:v>70</x:v>
      </x:c>
      <x:c r="M46">
        <x:v>67</x:v>
      </x:c>
      <x:c r="N46">
        <x:v>61</x:v>
      </x:c>
      <x:c r="O46">
        <x:v>72</x:v>
      </x:c>
      <x:c r="P46">
        <x:v>62</x:v>
      </x:c>
      <x:c r="Q46">
        <x:v>93</x:v>
      </x:c>
      <x:c r="R46">
        <x:v>71</x:v>
      </x:c>
      <x:c r="S46">
        <x:v>77</x:v>
      </x:c>
      <x:c r="T46">
        <x:v>51</x:v>
      </x:c>
      <x:c r="U46">
        <x:v>65</x:v>
      </x:c>
    </x:row>
    <x:row r="47">
      <x:c r="A47" t="s">
        <x:v>395</x:v>
      </x:c>
      <x:c r="B47" t="s">
        <x:v>396</x:v>
      </x:c>
      <x:c r="C47" t="s">
        <x:v>323</x:v>
      </x:c>
      <x:c r="D47">
        <x:v>8480023</x:v>
      </x:c>
      <x:c r="E47">
        <x:v>57</x:v>
      </x:c>
      <x:c r="F47">
        <x:v>39</x:v>
      </x:c>
      <x:c r="G47">
        <x:v>86</x:v>
      </x:c>
      <x:c r="H47">
        <x:v>69</x:v>
      </x:c>
      <x:c r="I47">
        <x:v>81</x:v>
      </x:c>
      <x:c r="J47">
        <x:v>91</x:v>
      </x:c>
      <x:c r="K47">
        <x:v>84</x:v>
      </x:c>
      <x:c r="L47">
        <x:v>71</x:v>
      </x:c>
      <x:c r="M47">
        <x:v>90</x:v>
      </x:c>
      <x:c r="N47">
        <x:v>67</x:v>
      </x:c>
      <x:c r="O47">
        <x:v>63</x:v>
      </x:c>
      <x:c r="P47">
        <x:v>69</x:v>
      </x:c>
      <x:c r="Q47">
        <x:v>73</x:v>
      </x:c>
      <x:c r="R47">
        <x:v>74</x:v>
      </x:c>
      <x:c r="S47">
        <x:v>85</x:v>
      </x:c>
      <x:c r="T47">
        <x:v>51</x:v>
      </x:c>
      <x:c r="U47">
        <x:v>65</x:v>
      </x:c>
    </x:row>
    <x:row r="48">
      <x:c r="A48" t="s">
        <x:v>397</x:v>
      </x:c>
      <x:c r="B48" t="s">
        <x:v>327</x:v>
      </x:c>
      <x:c r="C48" t="s">
        <x:v>358</x:v>
      </x:c>
      <x:c r="D48">
        <x:v>8477404</x:v>
      </x:c>
      <x:c r="E48">
        <x:v>60</x:v>
      </x:c>
      <x:c r="F48">
        <x:v>46</x:v>
      </x:c>
      <x:c r="G48">
        <x:v>81</x:v>
      </x:c>
      <x:c r="H48">
        <x:v>68</x:v>
      </x:c>
      <x:c r="I48">
        <x:v>77</x:v>
      </x:c>
      <x:c r="J48">
        <x:v>92</x:v>
      </x:c>
      <x:c r="K48">
        <x:v>97</x:v>
      </x:c>
      <x:c r="L48">
        <x:v>68</x:v>
      </x:c>
      <x:c r="M48">
        <x:v>81</x:v>
      </x:c>
      <x:c r="N48">
        <x:v>65</x:v>
      </x:c>
      <x:c r="O48">
        <x:v>67</x:v>
      </x:c>
      <x:c r="P48">
        <x:v>69</x:v>
      </x:c>
      <x:c r="Q48">
        <x:v>83</x:v>
      </x:c>
      <x:c r="R48">
        <x:v>83</x:v>
      </x:c>
      <x:c r="S48">
        <x:v>77</x:v>
      </x:c>
      <x:c r="T48">
        <x:v>51</x:v>
      </x:c>
      <x:c r="U48">
        <x:v>65</x:v>
      </x:c>
    </x:row>
    <x:row r="49">
      <x:c r="A49" t="s">
        <x:v>398</x:v>
      </x:c>
      <x:c r="B49" t="s">
        <x:v>348</x:v>
      </x:c>
      <x:c r="C49" t="s">
        <x:v>331</x:v>
      </x:c>
      <x:c r="D49">
        <x:v>8477504</x:v>
      </x:c>
      <x:c r="E49">
        <x:v>68</x:v>
      </x:c>
      <x:c r="F49">
        <x:v>34</x:v>
      </x:c>
      <x:c r="G49">
        <x:v>87</x:v>
      </x:c>
      <x:c r="H49">
        <x:v>55</x:v>
      </x:c>
      <x:c r="I49">
        <x:v>77</x:v>
      </x:c>
      <x:c r="J49">
        <x:v>96</x:v>
      </x:c>
      <x:c r="K49">
        <x:v>97</x:v>
      </x:c>
      <x:c r="L49">
        <x:v>57</x:v>
      </x:c>
      <x:c r="M49">
        <x:v>30</x:v>
      </x:c>
      <x:c r="N49">
        <x:v>64</x:v>
      </x:c>
      <x:c r="O49">
        <x:v>51</x:v>
      </x:c>
      <x:c r="P49">
        <x:v>77</x:v>
      </x:c>
      <x:c r="Q49">
        <x:v>52</x:v>
      </x:c>
      <x:c r="R49">
        <x:v>82</x:v>
      </x:c>
      <x:c r="S49">
        <x:v>80</x:v>
      </x:c>
      <x:c r="T49">
        <x:v>51</x:v>
      </x:c>
      <x:c r="U49">
        <x:v>65</x:v>
      </x:c>
    </x:row>
    <x:row r="50">
      <x:c r="A50" t="s">
        <x:v>399</x:v>
      </x:c>
      <x:c r="B50" t="s">
        <x:v>400</x:v>
      </x:c>
      <x:c r="C50" t="s">
        <x:v>323</x:v>
      </x:c>
      <x:c r="D50">
        <x:v>8477933</x:v>
      </x:c>
      <x:c r="E50">
        <x:v>66</x:v>
      </x:c>
      <x:c r="F50">
        <x:v>44</x:v>
      </x:c>
      <x:c r="G50">
        <x:v>94</x:v>
      </x:c>
      <x:c r="H50">
        <x:v>68</x:v>
      </x:c>
      <x:c r="I50">
        <x:v>81</x:v>
      </x:c>
      <x:c r="J50">
        <x:v>93</x:v>
      </x:c>
      <x:c r="K50">
        <x:v>86</x:v>
      </x:c>
      <x:c r="L50">
        <x:v>68</x:v>
      </x:c>
      <x:c r="M50">
        <x:v>76</x:v>
      </x:c>
      <x:c r="N50">
        <x:v>62</x:v>
      </x:c>
      <x:c r="O50">
        <x:v>67</x:v>
      </x:c>
      <x:c r="P50">
        <x:v>69</x:v>
      </x:c>
      <x:c r="Q50">
        <x:v>88</x:v>
      </x:c>
      <x:c r="R50">
        <x:v>82</x:v>
      </x:c>
      <x:c r="S50">
        <x:v>81</x:v>
      </x:c>
      <x:c r="T50">
        <x:v>56</x:v>
      </x:c>
      <x:c r="U50">
        <x:v>65</x:v>
      </x:c>
    </x:row>
    <x:row r="51">
      <x:c r="A51" t="s">
        <x:v>401</x:v>
      </x:c>
      <x:c r="B51" t="s">
        <x:v>402</x:v>
      </x:c>
      <x:c r="C51" t="s">
        <x:v>333</x:v>
      </x:c>
      <x:c r="D51">
        <x:v>8471214</x:v>
      </x:c>
      <x:c r="E51">
        <x:v>71</x:v>
      </x:c>
      <x:c r="F51">
        <x:v>43</x:v>
      </x:c>
      <x:c r="G51">
        <x:v>89</x:v>
      </x:c>
      <x:c r="H51">
        <x:v>61</x:v>
      </x:c>
      <x:c r="I51">
        <x:v>90</x:v>
      </x:c>
      <x:c r="J51">
        <x:v>88</x:v>
      </x:c>
      <x:c r="K51">
        <x:v>96</x:v>
      </x:c>
      <x:c r="L51">
        <x:v>66</x:v>
      </x:c>
      <x:c r="M51">
        <x:v>67</x:v>
      </x:c>
      <x:c r="N51">
        <x:v>59</x:v>
      </x:c>
      <x:c r="O51">
        <x:v>66</x:v>
      </x:c>
      <x:c r="P51">
        <x:v>61</x:v>
      </x:c>
      <x:c r="Q51">
        <x:v>75</x:v>
      </x:c>
      <x:c r="R51">
        <x:v>95</x:v>
      </x:c>
      <x:c r="S51">
        <x:v>95</x:v>
      </x:c>
      <x:c r="T51">
        <x:v>51</x:v>
      </x:c>
      <x:c r="U51">
        <x:v>65</x:v>
      </x:c>
    </x:row>
    <x:row r="52">
      <x:c r="A52" t="s">
        <x:v>403</x:v>
      </x:c>
      <x:c r="B52" t="s">
        <x:v>352</x:v>
      </x:c>
      <x:c r="C52" t="s">
        <x:v>339</x:v>
      </x:c>
      <x:c r="D52">
        <x:v>8479318</x:v>
      </x:c>
      <x:c r="E52">
        <x:v>63</x:v>
      </x:c>
      <x:c r="F52">
        <x:v>42</x:v>
      </x:c>
      <x:c r="G52">
        <x:v>89</x:v>
      </x:c>
      <x:c r="H52">
        <x:v>68</x:v>
      </x:c>
      <x:c r="I52">
        <x:v>87</x:v>
      </x:c>
      <x:c r="J52">
        <x:v>92</x:v>
      </x:c>
      <x:c r="K52">
        <x:v>82</x:v>
      </x:c>
      <x:c r="L52">
        <x:v>70</x:v>
      </x:c>
      <x:c r="M52">
        <x:v>92</x:v>
      </x:c>
      <x:c r="N52">
        <x:v>62</x:v>
      </x:c>
      <x:c r="O52">
        <x:v>67</x:v>
      </x:c>
      <x:c r="P52">
        <x:v>70</x:v>
      </x:c>
      <x:c r="Q52">
        <x:v>91</x:v>
      </x:c>
      <x:c r="R52">
        <x:v>78</x:v>
      </x:c>
      <x:c r="S52">
        <x:v>89</x:v>
      </x:c>
      <x:c r="T52">
        <x:v>51</x:v>
      </x:c>
      <x:c r="U52">
        <x:v>65</x:v>
      </x:c>
    </x:row>
    <x:row r="53">
      <x:c r="A53" t="s">
        <x:v>404</x:v>
      </x:c>
      <x:c r="B53" t="s">
        <x:v>400</x:v>
      </x:c>
      <x:c r="C53" t="s">
        <x:v>333</x:v>
      </x:c>
      <x:c r="D53">
        <x:v>8479314</x:v>
      </x:c>
      <x:c r="E53">
        <x:v>67</x:v>
      </x:c>
      <x:c r="F53">
        <x:v>80</x:v>
      </x:c>
      <x:c r="G53">
        <x:v>72</x:v>
      </x:c>
      <x:c r="H53">
        <x:v>68</x:v>
      </x:c>
      <x:c r="I53">
        <x:v>87</x:v>
      </x:c>
      <x:c r="J53">
        <x:v>88</x:v>
      </x:c>
      <x:c r="K53">
        <x:v>65</x:v>
      </x:c>
      <x:c r="L53">
        <x:v>71</x:v>
      </x:c>
      <x:c r="M53">
        <x:v>68</x:v>
      </x:c>
      <x:c r="N53">
        <x:v>67</x:v>
      </x:c>
      <x:c r="O53">
        <x:v>64</x:v>
      </x:c>
      <x:c r="P53">
        <x:v>62</x:v>
      </x:c>
      <x:c r="Q53">
        <x:v>76</x:v>
      </x:c>
      <x:c r="R53">
        <x:v>78</x:v>
      </x:c>
      <x:c r="S53">
        <x:v>86</x:v>
      </x:c>
      <x:c r="T53">
        <x:v>51</x:v>
      </x:c>
      <x:c r="U53">
        <x:v>65</x:v>
      </x:c>
    </x:row>
    <x:row r="54">
      <x:c r="A54" t="s">
        <x:v>405</x:v>
      </x:c>
      <x:c r="B54" t="s">
        <x:v>350</x:v>
      </x:c>
      <x:c r="C54" t="s">
        <x:v>319</x:v>
      </x:c>
      <x:c r="D54">
        <x:v>8471215</x:v>
      </x:c>
      <x:c r="E54">
        <x:v>60</x:v>
      </x:c>
      <x:c r="F54">
        <x:v>61</x:v>
      </x:c>
      <x:c r="G54">
        <x:v>75</x:v>
      </x:c>
      <x:c r="H54">
        <x:v>66</x:v>
      </x:c>
      <x:c r="I54">
        <x:v>86</x:v>
      </x:c>
      <x:c r="J54">
        <x:v>88</x:v>
      </x:c>
      <x:c r="K54">
        <x:v>80</x:v>
      </x:c>
      <x:c r="L54">
        <x:v>69</x:v>
      </x:c>
      <x:c r="M54">
        <x:v>81</x:v>
      </x:c>
      <x:c r="N54">
        <x:v>68</x:v>
      </x:c>
      <x:c r="O54">
        <x:v>61</x:v>
      </x:c>
      <x:c r="P54">
        <x:v>62</x:v>
      </x:c>
      <x:c r="Q54">
        <x:v>79</x:v>
      </x:c>
      <x:c r="R54">
        <x:v>94</x:v>
      </x:c>
      <x:c r="S54">
        <x:v>84</x:v>
      </x:c>
      <x:c r="T54">
        <x:v>51</x:v>
      </x:c>
      <x:c r="U54">
        <x:v>65</x:v>
      </x:c>
    </x:row>
    <x:row r="55">
      <x:c r="A55" t="s">
        <x:v>406</x:v>
      </x:c>
      <x:c r="B55" t="s">
        <x:v>386</x:v>
      </x:c>
      <x:c r="C55" t="s">
        <x:v>329</x:v>
      </x:c>
      <x:c r="D55">
        <x:v>8478427</x:v>
      </x:c>
      <x:c r="E55">
        <x:v>64</x:v>
      </x:c>
      <x:c r="F55">
        <x:v>36</x:v>
      </x:c>
      <x:c r="G55">
        <x:v>80</x:v>
      </x:c>
      <x:c r="H55">
        <x:v>69</x:v>
      </x:c>
      <x:c r="I55">
        <x:v>78</x:v>
      </x:c>
      <x:c r="J55">
        <x:v>91</x:v>
      </x:c>
      <x:c r="K55">
        <x:v>96</x:v>
      </x:c>
      <x:c r="L55">
        <x:v>69</x:v>
      </x:c>
      <x:c r="M55">
        <x:v>89</x:v>
      </x:c>
      <x:c r="N55">
        <x:v>67</x:v>
      </x:c>
      <x:c r="O55">
        <x:v>62</x:v>
      </x:c>
      <x:c r="P55">
        <x:v>70</x:v>
      </x:c>
      <x:c r="Q55">
        <x:v>68</x:v>
      </x:c>
      <x:c r="R55">
        <x:v>78</x:v>
      </x:c>
      <x:c r="S55">
        <x:v>85</x:v>
      </x:c>
      <x:c r="T55">
        <x:v>51</x:v>
      </x:c>
      <x:c r="U55">
        <x:v>65</x:v>
      </x:c>
    </x:row>
    <x:row r="56">
      <x:c r="A56" t="s">
        <x:v>407</x:v>
      </x:c>
      <x:c r="B56" t="s">
        <x:v>372</x:v>
      </x:c>
      <x:c r="C56" t="s">
        <x:v>333</x:v>
      </x:c>
      <x:c r="D56">
        <x:v>8476887</x:v>
      </x:c>
      <x:c r="E56">
        <x:v>71</x:v>
      </x:c>
      <x:c r="F56">
        <x:v>40</x:v>
      </x:c>
      <x:c r="G56">
        <x:v>84</x:v>
      </x:c>
      <x:c r="H56">
        <x:v>67</x:v>
      </x:c>
      <x:c r="I56">
        <x:v>82</x:v>
      </x:c>
      <x:c r="J56">
        <x:v>90</x:v>
      </x:c>
      <x:c r="K56">
        <x:v>99</x:v>
      </x:c>
      <x:c r="L56">
        <x:v>69</x:v>
      </x:c>
      <x:c r="M56">
        <x:v>67</x:v>
      </x:c>
      <x:c r="N56">
        <x:v>61</x:v>
      </x:c>
      <x:c r="O56">
        <x:v>67</x:v>
      </x:c>
      <x:c r="P56">
        <x:v>63</x:v>
      </x:c>
      <x:c r="Q56">
        <x:v>87</x:v>
      </x:c>
      <x:c r="R56">
        <x:v>84</x:v>
      </x:c>
      <x:c r="S56">
        <x:v>84</x:v>
      </x:c>
      <x:c r="T56">
        <x:v>51</x:v>
      </x:c>
      <x:c r="U56">
        <x:v>65</x:v>
      </x:c>
    </x:row>
    <x:row r="57">
      <x:c r="A57" t="s">
        <x:v>408</x:v>
      </x:c>
      <x:c r="B57" t="s">
        <x:v>343</x:v>
      </x:c>
      <x:c r="C57" t="s">
        <x:v>319</x:v>
      </x:c>
      <x:c r="D57">
        <x:v>8482740</x:v>
      </x:c>
      <x:c r="E57">
        <x:v>62</x:v>
      </x:c>
      <x:c r="F57">
        <x:v>32</x:v>
      </x:c>
      <x:c r="G57">
        <x:v>87</x:v>
      </x:c>
      <x:c r="H57">
        <x:v>69</x:v>
      </x:c>
      <x:c r="I57">
        <x:v>76</x:v>
      </x:c>
      <x:c r="J57">
        <x:v>91</x:v>
      </x:c>
      <x:c r="K57">
        <x:v>99</x:v>
      </x:c>
      <x:c r="L57">
        <x:v>69</x:v>
      </x:c>
      <x:c r="M57">
        <x:v>87</x:v>
      </x:c>
      <x:c r="N57">
        <x:v>62</x:v>
      </x:c>
      <x:c r="O57">
        <x:v>69</x:v>
      </x:c>
      <x:c r="P57">
        <x:v>68</x:v>
      </x:c>
      <x:c r="Q57">
        <x:v>79</x:v>
      </x:c>
      <x:c r="R57">
        <x:v>69</x:v>
      </x:c>
      <x:c r="S57">
        <x:v>77</x:v>
      </x:c>
      <x:c r="T57">
        <x:v>51</x:v>
      </x:c>
      <x:c r="U57">
        <x:v>65</x:v>
      </x:c>
    </x:row>
    <x:row r="58">
      <x:c r="A58" t="s">
        <x:v>409</x:v>
      </x:c>
      <x:c r="B58" t="s">
        <x:v>364</x:v>
      </x:c>
      <x:c r="C58" t="s">
        <x:v>333</x:v>
      </x:c>
      <x:c r="D58">
        <x:v>8479343</x:v>
      </x:c>
      <x:c r="E58">
        <x:v>57</x:v>
      </x:c>
      <x:c r="F58">
        <x:v>33</x:v>
      </x:c>
      <x:c r="G58">
        <x:v>84</x:v>
      </x:c>
      <x:c r="H58">
        <x:v>69</x:v>
      </x:c>
      <x:c r="I58">
        <x:v>76</x:v>
      </x:c>
      <x:c r="J58">
        <x:v>91</x:v>
      </x:c>
      <x:c r="K58">
        <x:v>99</x:v>
      </x:c>
      <x:c r="L58">
        <x:v>70</x:v>
      </x:c>
      <x:c r="M58">
        <x:v>69</x:v>
      </x:c>
      <x:c r="N58">
        <x:v>71</x:v>
      </x:c>
      <x:c r="O58">
        <x:v>61</x:v>
      </x:c>
      <x:c r="P58">
        <x:v>63</x:v>
      </x:c>
      <x:c r="Q58">
        <x:v>67</x:v>
      </x:c>
      <x:c r="R58">
        <x:v>77</x:v>
      </x:c>
      <x:c r="S58">
        <x:v>84</x:v>
      </x:c>
      <x:c r="T58">
        <x:v>51</x:v>
      </x:c>
      <x:c r="U58">
        <x:v>65</x:v>
      </x:c>
    </x:row>
    <x:row r="59">
      <x:c r="A59" t="s">
        <x:v>410</x:v>
      </x:c>
      <x:c r="B59" t="s">
        <x:v>402</x:v>
      </x:c>
      <x:c r="C59" t="s">
        <x:v>331</x:v>
      </x:c>
      <x:c r="D59">
        <x:v>8479345</x:v>
      </x:c>
      <x:c r="E59">
        <x:v>70</x:v>
      </x:c>
      <x:c r="F59">
        <x:v>60</x:v>
      </x:c>
      <x:c r="G59">
        <x:v>79</x:v>
      </x:c>
      <x:c r="H59">
        <x:v>57</x:v>
      </x:c>
      <x:c r="I59">
        <x:v>85</x:v>
      </x:c>
      <x:c r="J59">
        <x:v>95</x:v>
      </x:c>
      <x:c r="K59">
        <x:v>98</x:v>
      </x:c>
      <x:c r="L59">
        <x:v>60</x:v>
      </x:c>
      <x:c r="M59">
        <x:v>30</x:v>
      </x:c>
      <x:c r="N59">
        <x:v>60</x:v>
      </x:c>
      <x:c r="O59">
        <x:v>56</x:v>
      </x:c>
      <x:c r="P59">
        <x:v>76</x:v>
      </x:c>
      <x:c r="Q59">
        <x:v>60</x:v>
      </x:c>
      <x:c r="R59">
        <x:v>75</x:v>
      </x:c>
      <x:c r="S59">
        <x:v>80</x:v>
      </x:c>
      <x:c r="T59">
        <x:v>51</x:v>
      </x:c>
      <x:c r="U59">
        <x:v>65</x:v>
      </x:c>
    </x:row>
    <x:row r="60">
      <x:c r="A60" t="s">
        <x:v>411</x:v>
      </x:c>
      <x:c r="B60" t="s">
        <x:v>352</x:v>
      </x:c>
      <x:c r="C60" t="s">
        <x:v>339</x:v>
      </x:c>
      <x:c r="D60">
        <x:v>8475166</x:v>
      </x:c>
      <x:c r="E60">
        <x:v>66</x:v>
      </x:c>
      <x:c r="F60">
        <x:v>41</x:v>
      </x:c>
      <x:c r="G60">
        <x:v>86</x:v>
      </x:c>
      <x:c r="H60">
        <x:v>64</x:v>
      </x:c>
      <x:c r="I60">
        <x:v>83</x:v>
      </x:c>
      <x:c r="J60">
        <x:v>89</x:v>
      </x:c>
      <x:c r="K60">
        <x:v>98</x:v>
      </x:c>
      <x:c r="L60">
        <x:v>67</x:v>
      </x:c>
      <x:c r="M60">
        <x:v>92</x:v>
      </x:c>
      <x:c r="N60">
        <x:v>62</x:v>
      </x:c>
      <x:c r="O60">
        <x:v>64</x:v>
      </x:c>
      <x:c r="P60">
        <x:v>61</x:v>
      </x:c>
      <x:c r="Q60">
        <x:v>69</x:v>
      </x:c>
      <x:c r="R60">
        <x:v>90</x:v>
      </x:c>
      <x:c r="S60">
        <x:v>91</x:v>
      </x:c>
      <x:c r="T60">
        <x:v>51</x:v>
      </x:c>
      <x:c r="U60">
        <x:v>65</x:v>
      </x:c>
    </x:row>
    <x:row r="61">
      <x:c r="A61" t="s">
        <x:v>412</x:v>
      </x:c>
      <x:c r="B61" t="s">
        <x:v>383</x:v>
      </x:c>
      <x:c r="C61" t="s">
        <x:v>323</x:v>
      </x:c>
      <x:c r="D61">
        <x:v>8476459</x:v>
      </x:c>
      <x:c r="E61">
        <x:v>67</x:v>
      </x:c>
      <x:c r="F61">
        <x:v>41</x:v>
      </x:c>
      <x:c r="G61">
        <x:v>93</x:v>
      </x:c>
      <x:c r="H61">
        <x:v>65</x:v>
      </x:c>
      <x:c r="I61">
        <x:v>84</x:v>
      </x:c>
      <x:c r="J61">
        <x:v>92</x:v>
      </x:c>
      <x:c r="K61">
        <x:v>98</x:v>
      </x:c>
      <x:c r="L61">
        <x:v>66</x:v>
      </x:c>
      <x:c r="M61">
        <x:v>89</x:v>
      </x:c>
      <x:c r="N61">
        <x:v>64</x:v>
      </x:c>
      <x:c r="O61">
        <x:v>64</x:v>
      </x:c>
      <x:c r="P61">
        <x:v>71</x:v>
      </x:c>
      <x:c r="Q61">
        <x:v>72</x:v>
      </x:c>
      <x:c r="R61">
        <x:v>85</x:v>
      </x:c>
      <x:c r="S61">
        <x:v>83</x:v>
      </x:c>
      <x:c r="T61">
        <x:v>51</x:v>
      </x:c>
      <x:c r="U61">
        <x:v>65</x:v>
      </x:c>
    </x:row>
    <x:row r="62">
      <x:c r="A62" t="s">
        <x:v>413</x:v>
      </x:c>
      <x:c r="B62" t="s">
        <x:v>400</x:v>
      </x:c>
      <x:c r="C62" t="s">
        <x:v>333</x:v>
      </x:c>
      <x:c r="D62">
        <x:v>8473419</x:v>
      </x:c>
      <x:c r="E62">
        <x:v>64</x:v>
      </x:c>
      <x:c r="F62">
        <x:v>39</x:v>
      </x:c>
      <x:c r="G62">
        <x:v>78</x:v>
      </x:c>
      <x:c r="H62">
        <x:v>65</x:v>
      </x:c>
      <x:c r="I62">
        <x:v>80</x:v>
      </x:c>
      <x:c r="J62">
        <x:v>88</x:v>
      </x:c>
      <x:c r="K62">
        <x:v>79</x:v>
      </x:c>
      <x:c r="L62">
        <x:v>66</x:v>
      </x:c>
      <x:c r="M62">
        <x:v>64</x:v>
      </x:c>
      <x:c r="N62">
        <x:v>62</x:v>
      </x:c>
      <x:c r="O62">
        <x:v>67</x:v>
      </x:c>
      <x:c r="P62">
        <x:v>67</x:v>
      </x:c>
      <x:c r="Q62">
        <x:v>82</x:v>
      </x:c>
      <x:c r="R62">
        <x:v>92</x:v>
      </x:c>
      <x:c r="S62">
        <x:v>88</x:v>
      </x:c>
      <x:c r="T62">
        <x:v>51</x:v>
      </x:c>
      <x:c r="U62">
        <x:v>65</x:v>
      </x:c>
    </x:row>
    <x:row r="63">
      <x:c r="A63" t="s">
        <x:v>414</x:v>
      </x:c>
      <x:c r="B63" t="s">
        <x:v>402</x:v>
      </x:c>
      <x:c r="C63" t="s">
        <x:v>326</x:v>
      </x:c>
      <x:c r="D63">
        <x:v>8476880</x:v>
      </x:c>
      <x:c r="E63">
        <x:v>81</x:v>
      </x:c>
      <x:c r="F63">
        <x:v>85</x:v>
      </x:c>
      <x:c r="G63">
        <x:v>71</x:v>
      </x:c>
      <x:c r="H63">
        <x:v>62</x:v>
      </x:c>
      <x:c r="I63">
        <x:v>88</x:v>
      </x:c>
      <x:c r="J63">
        <x:v>91</x:v>
      </x:c>
      <x:c r="K63">
        <x:v>90</x:v>
      </x:c>
      <x:c r="L63">
        <x:v>64</x:v>
      </x:c>
      <x:c r="M63">
        <x:v>70</x:v>
      </x:c>
      <x:c r="N63">
        <x:v>60</x:v>
      </x:c>
      <x:c r="O63">
        <x:v>64</x:v>
      </x:c>
      <x:c r="P63">
        <x:v>71</x:v>
      </x:c>
      <x:c r="Q63">
        <x:v>52</x:v>
      </x:c>
      <x:c r="R63">
        <x:v>84</x:v>
      </x:c>
      <x:c r="S63">
        <x:v>81</x:v>
      </x:c>
      <x:c r="T63">
        <x:v>51</x:v>
      </x:c>
      <x:c r="U63">
        <x:v>65</x:v>
      </x:c>
    </x:row>
    <x:row r="64">
      <x:c r="A64" t="s">
        <x:v>415</x:v>
      </x:c>
      <x:c r="B64" t="s">
        <x:v>343</x:v>
      </x:c>
      <x:c r="C64" t="s">
        <x:v>331</x:v>
      </x:c>
      <x:c r="D64">
        <x:v>8480036</x:v>
      </x:c>
      <x:c r="E64">
        <x:v>66</x:v>
      </x:c>
      <x:c r="F64">
        <x:v>37</x:v>
      </x:c>
      <x:c r="G64">
        <x:v>87</x:v>
      </x:c>
      <x:c r="H64">
        <x:v>57</x:v>
      </x:c>
      <x:c r="I64">
        <x:v>80</x:v>
      </x:c>
      <x:c r="J64">
        <x:v>97</x:v>
      </x:c>
      <x:c r="K64">
        <x:v>93</x:v>
      </x:c>
      <x:c r="L64">
        <x:v>56</x:v>
      </x:c>
      <x:c r="M64">
        <x:v>30</x:v>
      </x:c>
      <x:c r="N64">
        <x:v>67</x:v>
      </x:c>
      <x:c r="O64">
        <x:v>49</x:v>
      </x:c>
      <x:c r="P64">
        <x:v>80</x:v>
      </x:c>
      <x:c r="Q64">
        <x:v>56</x:v>
      </x:c>
      <x:c r="R64">
        <x:v>74</x:v>
      </x:c>
      <x:c r="S64">
        <x:v>80</x:v>
      </x:c>
      <x:c r="T64">
        <x:v>51</x:v>
      </x:c>
      <x:c r="U64">
        <x:v>65</x:v>
      </x:c>
    </x:row>
    <x:row r="65">
      <x:c r="A65" t="s">
        <x:v>416</x:v>
      </x:c>
      <x:c r="B65" t="s">
        <x:v>366</x:v>
      </x:c>
      <x:c r="C65" t="s">
        <x:v>319</x:v>
      </x:c>
      <x:c r="D65">
        <x:v>8480002</x:v>
      </x:c>
      <x:c r="E65">
        <x:v>62</x:v>
      </x:c>
      <x:c r="F65">
        <x:v>52</x:v>
      </x:c>
      <x:c r="G65">
        <x:v>90</x:v>
      </x:c>
      <x:c r="H65">
        <x:v>66</x:v>
      </x:c>
      <x:c r="I65">
        <x:v>80</x:v>
      </x:c>
      <x:c r="J65">
        <x:v>92</x:v>
      </x:c>
      <x:c r="K65">
        <x:v>97</x:v>
      </x:c>
      <x:c r="L65">
        <x:v>67</x:v>
      </x:c>
      <x:c r="M65">
        <x:v>94</x:v>
      </x:c>
      <x:c r="N65">
        <x:v>62</x:v>
      </x:c>
      <x:c r="O65">
        <x:v>63</x:v>
      </x:c>
      <x:c r="P65">
        <x:v>72</x:v>
      </x:c>
      <x:c r="Q65">
        <x:v>55</x:v>
      </x:c>
      <x:c r="R65">
        <x:v>74</x:v>
      </x:c>
      <x:c r="S65">
        <x:v>88</x:v>
      </x:c>
      <x:c r="T65">
        <x:v>51</x:v>
      </x:c>
      <x:c r="U65">
        <x:v>64</x:v>
      </x:c>
    </x:row>
    <x:row r="66">
      <x:c r="A66" t="s">
        <x:v>417</x:v>
      </x:c>
      <x:c r="B66" t="s">
        <x:v>366</x:v>
      </x:c>
      <x:c r="C66" t="s">
        <x:v>331</x:v>
      </x:c>
      <x:c r="D66">
        <x:v>8476462</x:v>
      </x:c>
      <x:c r="E66">
        <x:v>74</x:v>
      </x:c>
      <x:c r="F66">
        <x:v>44</x:v>
      </x:c>
      <x:c r="G66">
        <x:v>79</x:v>
      </x:c>
      <x:c r="H66">
        <x:v>49</x:v>
      </x:c>
      <x:c r="I66">
        <x:v>90</x:v>
      </x:c>
      <x:c r="J66">
        <x:v>93</x:v>
      </x:c>
      <x:c r="K66">
        <x:v>93</x:v>
      </x:c>
      <x:c r="L66">
        <x:v>52</x:v>
      </x:c>
      <x:c r="M66">
        <x:v>30</x:v>
      </x:c>
      <x:c r="N66">
        <x:v>59</x:v>
      </x:c>
      <x:c r="O66">
        <x:v>51</x:v>
      </x:c>
      <x:c r="P66">
        <x:v>77</x:v>
      </x:c>
      <x:c r="Q66">
        <x:v>71</x:v>
      </x:c>
      <x:c r="R66">
        <x:v>85</x:v>
      </x:c>
      <x:c r="S66">
        <x:v>79</x:v>
      </x:c>
      <x:c r="T66">
        <x:v>51</x:v>
      </x:c>
      <x:c r="U66">
        <x:v>64</x:v>
      </x:c>
    </x:row>
    <x:row r="67">
      <x:c r="A67" t="s">
        <x:v>418</x:v>
      </x:c>
      <x:c r="B67" t="s">
        <x:v>368</x:v>
      </x:c>
      <x:c r="C67" t="s">
        <x:v>358</x:v>
      </x:c>
      <x:c r="D67">
        <x:v>8482078</x:v>
      </x:c>
      <x:c r="E67">
        <x:v>61</x:v>
      </x:c>
      <x:c r="F67">
        <x:v>34</x:v>
      </x:c>
      <x:c r="G67">
        <x:v>91</x:v>
      </x:c>
      <x:c r="H67">
        <x:v>68</x:v>
      </x:c>
      <x:c r="I67">
        <x:v>77</x:v>
      </x:c>
      <x:c r="J67">
        <x:v>90</x:v>
      </x:c>
      <x:c r="K67">
        <x:v>97</x:v>
      </x:c>
      <x:c r="L67">
        <x:v>69</x:v>
      </x:c>
      <x:c r="M67">
        <x:v>69</x:v>
      </x:c>
      <x:c r="N67">
        <x:v>67</x:v>
      </x:c>
      <x:c r="O67">
        <x:v>61</x:v>
      </x:c>
      <x:c r="P67">
        <x:v>65</x:v>
      </x:c>
      <x:c r="Q67">
        <x:v>91</x:v>
      </x:c>
      <x:c r="R67">
        <x:v>70</x:v>
      </x:c>
      <x:c r="S67">
        <x:v>78</x:v>
      </x:c>
      <x:c r="T67">
        <x:v>51</x:v>
      </x:c>
      <x:c r="U67">
        <x:v>64</x:v>
      </x:c>
    </x:row>
    <x:row r="68">
      <x:c r="A68" t="s">
        <x:v>419</x:v>
      </x:c>
      <x:c r="B68" t="s">
        <x:v>420</x:v>
      </x:c>
      <x:c r="C68" t="s">
        <x:v>331</x:v>
      </x:c>
      <x:c r="D68">
        <x:v>8479425</x:v>
      </x:c>
      <x:c r="E68">
        <x:v>77</x:v>
      </x:c>
      <x:c r="F68">
        <x:v>55</x:v>
      </x:c>
      <x:c r="G68">
        <x:v>87</x:v>
      </x:c>
      <x:c r="H68">
        <x:v>51</x:v>
      </x:c>
      <x:c r="I68">
        <x:v>81</x:v>
      </x:c>
      <x:c r="J68">
        <x:v>96</x:v>
      </x:c>
      <x:c r="K68">
        <x:v>98</x:v>
      </x:c>
      <x:c r="L68">
        <x:v>51</x:v>
      </x:c>
      <x:c r="M68">
        <x:v>30</x:v>
      </x:c>
      <x:c r="N68">
        <x:v>63</x:v>
      </x:c>
      <x:c r="O68">
        <x:v>48</x:v>
      </x:c>
      <x:c r="P68">
        <x:v>79</x:v>
      </x:c>
      <x:c r="Q68">
        <x:v>55</x:v>
      </x:c>
      <x:c r="R68">
        <x:v>77</x:v>
      </x:c>
      <x:c r="S68">
        <x:v>78</x:v>
      </x:c>
      <x:c r="T68">
        <x:v>51</x:v>
      </x:c>
      <x:c r="U68">
        <x:v>64</x:v>
      </x:c>
    </x:row>
    <x:row r="69">
      <x:c r="A69" t="s">
        <x:v>421</x:v>
      </x:c>
      <x:c r="B69" t="s">
        <x:v>354</x:v>
      </x:c>
      <x:c r="C69" t="s">
        <x:v>331</x:v>
      </x:c>
      <x:c r="D69">
        <x:v>8478397</x:v>
      </x:c>
      <x:c r="E69">
        <x:v>68</x:v>
      </x:c>
      <x:c r="F69">
        <x:v>55</x:v>
      </x:c>
      <x:c r="G69">
        <x:v>77</x:v>
      </x:c>
      <x:c r="H69">
        <x:v>52</x:v>
      </x:c>
      <x:c r="I69">
        <x:v>82</x:v>
      </x:c>
      <x:c r="J69">
        <x:v>95</x:v>
      </x:c>
      <x:c r="K69">
        <x:v>99</x:v>
      </x:c>
      <x:c r="L69">
        <x:v>51</x:v>
      </x:c>
      <x:c r="M69">
        <x:v>30</x:v>
      </x:c>
      <x:c r="N69">
        <x:v>57</x:v>
      </x:c>
      <x:c r="O69">
        <x:v>51</x:v>
      </x:c>
      <x:c r="P69">
        <x:v>81</x:v>
      </x:c>
      <x:c r="Q69">
        <x:v>71</x:v>
      </x:c>
      <x:c r="R69">
        <x:v>79</x:v>
      </x:c>
      <x:c r="S69">
        <x:v>80</x:v>
      </x:c>
      <x:c r="T69">
        <x:v>51</x:v>
      </x:c>
      <x:c r="U69">
        <x:v>64</x:v>
      </x:c>
    </x:row>
    <x:row r="70">
      <x:c r="A70" t="s">
        <x:v>422</x:v>
      </x:c>
      <x:c r="B70" t="s">
        <x:v>400</x:v>
      </x:c>
      <x:c r="C70" t="s">
        <x:v>331</x:v>
      </x:c>
      <x:c r="D70">
        <x:v>8477495</x:v>
      </x:c>
      <x:c r="E70">
        <x:v>73</x:v>
      </x:c>
      <x:c r="F70">
        <x:v>43</x:v>
      </x:c>
      <x:c r="G70">
        <x:v>86</x:v>
      </x:c>
      <x:c r="H70">
        <x:v>52</x:v>
      </x:c>
      <x:c r="I70">
        <x:v>87</x:v>
      </x:c>
      <x:c r="J70">
        <x:v>95</x:v>
      </x:c>
      <x:c r="K70">
        <x:v>80</x:v>
      </x:c>
      <x:c r="L70">
        <x:v>51</x:v>
      </x:c>
      <x:c r="M70">
        <x:v>30</x:v>
      </x:c>
      <x:c r="N70">
        <x:v>62</x:v>
      </x:c>
      <x:c r="O70">
        <x:v>49</x:v>
      </x:c>
      <x:c r="P70">
        <x:v>78</x:v>
      </x:c>
      <x:c r="Q70">
        <x:v>52</x:v>
      </x:c>
      <x:c r="R70">
        <x:v>84</x:v>
      </x:c>
      <x:c r="S70">
        <x:v>83</x:v>
      </x:c>
      <x:c r="T70">
        <x:v>51</x:v>
      </x:c>
      <x:c r="U70">
        <x:v>64</x:v>
      </x:c>
    </x:row>
    <x:row r="71">
      <x:c r="A71" t="s">
        <x:v>423</x:v>
      </x:c>
      <x:c r="B71" t="s">
        <x:v>400</x:v>
      </x:c>
      <x:c r="C71" t="s">
        <x:v>358</x:v>
      </x:c>
      <x:c r="D71">
        <x:v>8480801</x:v>
      </x:c>
      <x:c r="E71">
        <x:v>83</x:v>
      </x:c>
      <x:c r="F71">
        <x:v>83</x:v>
      </x:c>
      <x:c r="G71">
        <x:v>73</x:v>
      </x:c>
      <x:c r="H71">
        <x:v>63</x:v>
      </x:c>
      <x:c r="I71">
        <x:v>89</x:v>
      </x:c>
      <x:c r="J71">
        <x:v>87</x:v>
      </x:c>
      <x:c r="K71">
        <x:v>82</x:v>
      </x:c>
      <x:c r="L71">
        <x:v>65</x:v>
      </x:c>
      <x:c r="M71">
        <x:v>85</x:v>
      </x:c>
      <x:c r="N71">
        <x:v>64</x:v>
      </x:c>
      <x:c r="O71">
        <x:v>63</x:v>
      </x:c>
      <x:c r="P71">
        <x:v>63</x:v>
      </x:c>
      <x:c r="Q71">
        <x:v>60</x:v>
      </x:c>
      <x:c r="R71">
        <x:v>74</x:v>
      </x:c>
      <x:c r="S71">
        <x:v>89</x:v>
      </x:c>
      <x:c r="T71">
        <x:v>51</x:v>
      </x:c>
      <x:c r="U71">
        <x:v>64</x:v>
      </x:c>
    </x:row>
    <x:row r="72">
      <x:c r="A72" t="s">
        <x:v>424</x:v>
      </x:c>
      <x:c r="B72" t="s">
        <x:v>356</x:v>
      </x:c>
      <x:c r="C72" t="s">
        <x:v>331</x:v>
      </x:c>
      <x:c r="D72">
        <x:v>8480865</x:v>
      </x:c>
      <x:c r="E72">
        <x:v>71</x:v>
      </x:c>
      <x:c r="F72">
        <x:v>40</x:v>
      </x:c>
      <x:c r="G72">
        <x:v>84</x:v>
      </x:c>
      <x:c r="H72">
        <x:v>53</x:v>
      </x:c>
      <x:c r="I72">
        <x:v>83</x:v>
      </x:c>
      <x:c r="J72">
        <x:v>94</x:v>
      </x:c>
      <x:c r="K72">
        <x:v>98</x:v>
      </x:c>
      <x:c r="L72">
        <x:v>52</x:v>
      </x:c>
      <x:c r="M72">
        <x:v>30</x:v>
      </x:c>
      <x:c r="N72">
        <x:v>61</x:v>
      </x:c>
      <x:c r="O72">
        <x:v>50</x:v>
      </x:c>
      <x:c r="P72">
        <x:v>79</x:v>
      </x:c>
      <x:c r="Q72">
        <x:v>59</x:v>
      </x:c>
      <x:c r="R72">
        <x:v>73</x:v>
      </x:c>
      <x:c r="S72">
        <x:v>78</x:v>
      </x:c>
      <x:c r="T72">
        <x:v>51</x:v>
      </x:c>
      <x:c r="U72">
        <x:v>64</x:v>
      </x:c>
    </x:row>
    <x:row r="73">
      <x:c r="A73" t="s">
        <x:v>425</x:v>
      </x:c>
      <x:c r="B73" t="s">
        <x:v>345</x:v>
      </x:c>
      <x:c r="C73" t="s">
        <x:v>333</x:v>
      </x:c>
      <x:c r="D73">
        <x:v>8475810</x:v>
      </x:c>
      <x:c r="E73">
        <x:v>61</x:v>
      </x:c>
      <x:c r="F73">
        <x:v>39</x:v>
      </x:c>
      <x:c r="G73">
        <x:v>88</x:v>
      </x:c>
      <x:c r="H73">
        <x:v>64</x:v>
      </x:c>
      <x:c r="I73">
        <x:v>81</x:v>
      </x:c>
      <x:c r="J73">
        <x:v>91</x:v>
      </x:c>
      <x:c r="K73">
        <x:v>89</x:v>
      </x:c>
      <x:c r="L73">
        <x:v>66</x:v>
      </x:c>
      <x:c r="M73">
        <x:v>64</x:v>
      </x:c>
      <x:c r="N73">
        <x:v>62</x:v>
      </x:c>
      <x:c r="O73">
        <x:v>64</x:v>
      </x:c>
      <x:c r="P73">
        <x:v>70</x:v>
      </x:c>
      <x:c r="Q73">
        <x:v>74</x:v>
      </x:c>
      <x:c r="R73">
        <x:v>87</x:v>
      </x:c>
      <x:c r="S73">
        <x:v>78</x:v>
      </x:c>
      <x:c r="T73">
        <x:v>51</x:v>
      </x:c>
      <x:c r="U73">
        <x:v>64</x:v>
      </x:c>
    </x:row>
    <x:row r="74">
      <x:c r="A74" t="s">
        <x:v>426</x:v>
      </x:c>
      <x:c r="B74" t="s">
        <x:v>427</x:v>
      </x:c>
      <x:c r="C74" t="s">
        <x:v>333</x:v>
      </x:c>
      <x:c r="D74">
        <x:v>8478439</x:v>
      </x:c>
      <x:c r="E74">
        <x:v>69</x:v>
      </x:c>
      <x:c r="F74">
        <x:v>53</x:v>
      </x:c>
      <x:c r="G74">
        <x:v>78</x:v>
      </x:c>
      <x:c r="H74">
        <x:v>67</x:v>
      </x:c>
      <x:c r="I74">
        <x:v>79</x:v>
      </x:c>
      <x:c r="J74">
        <x:v>91</x:v>
      </x:c>
      <x:c r="K74">
        <x:v>95</x:v>
      </x:c>
      <x:c r="L74">
        <x:v>65</x:v>
      </x:c>
      <x:c r="M74">
        <x:v>71</x:v>
      </x:c>
      <x:c r="N74">
        <x:v>64</x:v>
      </x:c>
      <x:c r="O74">
        <x:v>62</x:v>
      </x:c>
      <x:c r="P74">
        <x:v>68</x:v>
      </x:c>
      <x:c r="Q74">
        <x:v>77</x:v>
      </x:c>
      <x:c r="R74">
        <x:v>78</x:v>
      </x:c>
      <x:c r="S74">
        <x:v>83</x:v>
      </x:c>
      <x:c r="T74">
        <x:v>51</x:v>
      </x:c>
      <x:c r="U74">
        <x:v>64</x:v>
      </x:c>
    </x:row>
    <x:row r="75">
      <x:c r="A75" t="s">
        <x:v>428</x:v>
      </x:c>
      <x:c r="B75" t="s">
        <x:v>354</x:v>
      </x:c>
      <x:c r="C75" t="s">
        <x:v>331</x:v>
      </x:c>
      <x:c r="D75">
        <x:v>8477447</x:v>
      </x:c>
      <x:c r="E75">
        <x:v>64</x:v>
      </x:c>
      <x:c r="F75">
        <x:v>37</x:v>
      </x:c>
      <x:c r="G75">
        <x:v>88</x:v>
      </x:c>
      <x:c r="H75">
        <x:v>56</x:v>
      </x:c>
      <x:c r="I75">
        <x:v>79</x:v>
      </x:c>
      <x:c r="J75">
        <x:v>94</x:v>
      </x:c>
      <x:c r="K75">
        <x:v>90</x:v>
      </x:c>
      <x:c r="L75">
        <x:v>54</x:v>
      </x:c>
      <x:c r="M75">
        <x:v>30</x:v>
      </x:c>
      <x:c r="N75">
        <x:v>63</x:v>
      </x:c>
      <x:c r="O75">
        <x:v>49</x:v>
      </x:c>
      <x:c r="P75">
        <x:v>78</x:v>
      </x:c>
      <x:c r="Q75">
        <x:v>79</x:v>
      </x:c>
      <x:c r="R75">
        <x:v>82</x:v>
      </x:c>
      <x:c r="S75">
        <x:v>76</x:v>
      </x:c>
      <x:c r="T75">
        <x:v>51</x:v>
      </x:c>
      <x:c r="U75">
        <x:v>64</x:v>
      </x:c>
    </x:row>
    <x:row r="76">
      <x:c r="A76" t="s">
        <x:v>429</x:v>
      </x:c>
      <x:c r="B76" t="s">
        <x:v>372</x:v>
      </x:c>
      <x:c r="C76" t="s">
        <x:v>329</x:v>
      </x:c>
      <x:c r="D76">
        <x:v>8474564</x:v>
      </x:c>
      <x:c r="E76">
        <x:v>66</x:v>
      </x:c>
      <x:c r="F76">
        <x:v>35</x:v>
      </x:c>
      <x:c r="G76">
        <x:v>79</x:v>
      </x:c>
      <x:c r="H76">
        <x:v>63</x:v>
      </x:c>
      <x:c r="I76">
        <x:v>78</x:v>
      </x:c>
      <x:c r="J76">
        <x:v>88</x:v>
      </x:c>
      <x:c r="K76">
        <x:v>99</x:v>
      </x:c>
      <x:c r="L76">
        <x:v>65</x:v>
      </x:c>
      <x:c r="M76">
        <x:v>86</x:v>
      </x:c>
      <x:c r="N76">
        <x:v>56</x:v>
      </x:c>
      <x:c r="O76">
        <x:v>67</x:v>
      </x:c>
      <x:c r="P76">
        <x:v>63</x:v>
      </x:c>
      <x:c r="Q76">
        <x:v>80</x:v>
      </x:c>
      <x:c r="R76">
        <x:v>90</x:v>
      </x:c>
      <x:c r="S76">
        <x:v>91</x:v>
      </x:c>
      <x:c r="T76">
        <x:v>51</x:v>
      </x:c>
      <x:c r="U76">
        <x:v>64</x:v>
      </x:c>
    </x:row>
    <x:row r="77">
      <x:c r="A77" t="s">
        <x:v>430</x:v>
      </x:c>
      <x:c r="B77" t="s">
        <x:v>345</x:v>
      </x:c>
      <x:c r="C77" t="s">
        <x:v>331</x:v>
      </x:c>
      <x:c r="D77">
        <x:v>8482122</x:v>
      </x:c>
      <x:c r="E77">
        <x:v>68</x:v>
      </x:c>
      <x:c r="F77">
        <x:v>57</x:v>
      </x:c>
      <x:c r="G77">
        <x:v>85</x:v>
      </x:c>
      <x:c r="H77">
        <x:v>55</x:v>
      </x:c>
      <x:c r="I77">
        <x:v>80</x:v>
      </x:c>
      <x:c r="J77">
        <x:v>96</x:v>
      </x:c>
      <x:c r="K77">
        <x:v>99</x:v>
      </x:c>
      <x:c r="L77">
        <x:v>54</x:v>
      </x:c>
      <x:c r="M77">
        <x:v>30</x:v>
      </x:c>
      <x:c r="N77">
        <x:v>60</x:v>
      </x:c>
      <x:c r="O77">
        <x:v>50</x:v>
      </x:c>
      <x:c r="P77">
        <x:v>81</x:v>
      </x:c>
      <x:c r="Q77">
        <x:v>51</x:v>
      </x:c>
      <x:c r="R77">
        <x:v>70</x:v>
      </x:c>
      <x:c r="S77">
        <x:v>82</x:v>
      </x:c>
      <x:c r="T77">
        <x:v>51</x:v>
      </x:c>
      <x:c r="U77">
        <x:v>64</x:v>
      </x:c>
    </x:row>
    <x:row r="78">
      <x:c r="A78" t="s">
        <x:v>431</x:v>
      </x:c>
      <x:c r="B78" t="s">
        <x:v>383</x:v>
      </x:c>
      <x:c r="C78" t="s">
        <x:v>329</x:v>
      </x:c>
      <x:c r="D78">
        <x:v>8476468</x:v>
      </x:c>
      <x:c r="E78">
        <x:v>74</x:v>
      </x:c>
      <x:c r="F78">
        <x:v>66</x:v>
      </x:c>
      <x:c r="G78">
        <x:v>84</x:v>
      </x:c>
      <x:c r="H78">
        <x:v>64</x:v>
      </x:c>
      <x:c r="I78">
        <x:v>84</x:v>
      </x:c>
      <x:c r="J78">
        <x:v>91</x:v>
      </x:c>
      <x:c r="K78">
        <x:v>88</x:v>
      </x:c>
      <x:c r="L78">
        <x:v>65</x:v>
      </x:c>
      <x:c r="M78">
        <x:v>92</x:v>
      </x:c>
      <x:c r="N78">
        <x:v>64</x:v>
      </x:c>
      <x:c r="O78">
        <x:v>59</x:v>
      </x:c>
      <x:c r="P78">
        <x:v>68</x:v>
      </x:c>
      <x:c r="Q78">
        <x:v>82</x:v>
      </x:c>
      <x:c r="R78">
        <x:v>86</x:v>
      </x:c>
      <x:c r="S78">
        <x:v>88</x:v>
      </x:c>
      <x:c r="T78">
        <x:v>51</x:v>
      </x:c>
      <x:c r="U78">
        <x:v>64</x:v>
      </x:c>
    </x:row>
    <x:row r="79">
      <x:c r="A79" t="s">
        <x:v>432</x:v>
      </x:c>
      <x:c r="B79" t="s">
        <x:v>345</x:v>
      </x:c>
      <x:c r="C79" t="s">
        <x:v>319</x:v>
      </x:c>
      <x:c r="D79">
        <x:v>8475158</x:v>
      </x:c>
      <x:c r="E79">
        <x:v>58</x:v>
      </x:c>
      <x:c r="F79">
        <x:v>48</x:v>
      </x:c>
      <x:c r="G79">
        <x:v>91</x:v>
      </x:c>
      <x:c r="H79">
        <x:v>60</x:v>
      </x:c>
      <x:c r="I79">
        <x:v>85</x:v>
      </x:c>
      <x:c r="J79">
        <x:v>92</x:v>
      </x:c>
      <x:c r="K79">
        <x:v>98</x:v>
      </x:c>
      <x:c r="L79">
        <x:v>64</x:v>
      </x:c>
      <x:c r="M79">
        <x:v>91</x:v>
      </x:c>
      <x:c r="N79">
        <x:v>64</x:v>
      </x:c>
      <x:c r="O79">
        <x:v>60</x:v>
      </x:c>
      <x:c r="P79">
        <x:v>71</x:v>
      </x:c>
      <x:c r="Q79">
        <x:v>88</x:v>
      </x:c>
      <x:c r="R79">
        <x:v>89</x:v>
      </x:c>
      <x:c r="S79">
        <x:v>91</x:v>
      </x:c>
      <x:c r="T79">
        <x:v>51</x:v>
      </x:c>
      <x:c r="U79">
        <x:v>64</x:v>
      </x:c>
    </x:row>
    <x:row r="80">
      <x:c r="A80" t="s">
        <x:v>433</x:v>
      </x:c>
      <x:c r="B80" t="s">
        <x:v>370</x:v>
      </x:c>
      <x:c r="C80" t="s">
        <x:v>326</x:v>
      </x:c>
      <x:c r="D80">
        <x:v>8480208</x:v>
      </x:c>
      <x:c r="E80">
        <x:v>70</x:v>
      </x:c>
      <x:c r="F80">
        <x:v>57</x:v>
      </x:c>
      <x:c r="G80">
        <x:v>87</x:v>
      </x:c>
      <x:c r="H80">
        <x:v>64</x:v>
      </x:c>
      <x:c r="I80">
        <x:v>83</x:v>
      </x:c>
      <x:c r="J80">
        <x:v>88</x:v>
      </x:c>
      <x:c r="K80">
        <x:v>97</x:v>
      </x:c>
      <x:c r="L80">
        <x:v>66</x:v>
      </x:c>
      <x:c r="M80">
        <x:v>70</x:v>
      </x:c>
      <x:c r="N80">
        <x:v>62</x:v>
      </x:c>
      <x:c r="O80">
        <x:v>64</x:v>
      </x:c>
      <x:c r="P80">
        <x:v>61</x:v>
      </x:c>
      <x:c r="Q80">
        <x:v>86</x:v>
      </x:c>
      <x:c r="R80">
        <x:v>76</x:v>
      </x:c>
      <x:c r="S80">
        <x:v>77</x:v>
      </x:c>
      <x:c r="T80">
        <x:v>51</x:v>
      </x:c>
      <x:c r="U80">
        <x:v>64</x:v>
      </x:c>
    </x:row>
    <x:row r="81">
      <x:c r="A81" t="s">
        <x:v>434</x:v>
      </x:c>
      <x:c r="B81" t="s">
        <x:v>386</x:v>
      </x:c>
      <x:c r="C81" t="s">
        <x:v>329</x:v>
      </x:c>
      <x:c r="D81">
        <x:v>8482093</x:v>
      </x:c>
      <x:c r="E81">
        <x:v>67</x:v>
      </x:c>
      <x:c r="F81">
        <x:v>48</x:v>
      </x:c>
      <x:c r="G81">
        <x:v>92</x:v>
      </x:c>
      <x:c r="H81">
        <x:v>67</x:v>
      </x:c>
      <x:c r="I81">
        <x:v>78</x:v>
      </x:c>
      <x:c r="J81">
        <x:v>90</x:v>
      </x:c>
      <x:c r="K81">
        <x:v>89</x:v>
      </x:c>
      <x:c r="L81">
        <x:v>67</x:v>
      </x:c>
      <x:c r="M81">
        <x:v>72</x:v>
      </x:c>
      <x:c r="N81">
        <x:v>62</x:v>
      </x:c>
      <x:c r="O81">
        <x:v>66</x:v>
      </x:c>
      <x:c r="P81">
        <x:v>70</x:v>
      </x:c>
      <x:c r="Q81">
        <x:v>77</x:v>
      </x:c>
      <x:c r="R81">
        <x:v>70</x:v>
      </x:c>
      <x:c r="S81">
        <x:v>81</x:v>
      </x:c>
      <x:c r="T81">
        <x:v>51</x:v>
      </x:c>
      <x:c r="U81">
        <x:v>64</x:v>
      </x:c>
    </x:row>
    <x:row r="82">
      <x:c r="A82" t="s">
        <x:v>435</x:v>
      </x:c>
      <x:c r="B82" t="s">
        <x:v>436</x:v>
      </x:c>
      <x:c r="C82" t="s">
        <x:v>339</x:v>
      </x:c>
      <x:c r="D82">
        <x:v>8484144</x:v>
      </x:c>
      <x:c r="E82">
        <x:v>60</x:v>
      </x:c>
      <x:c r="F82">
        <x:v>34</x:v>
      </x:c>
      <x:c r="G82">
        <x:v>78</x:v>
      </x:c>
      <x:c r="H82">
        <x:v>69</x:v>
      </x:c>
      <x:c r="I82">
        <x:v>77</x:v>
      </x:c>
      <x:c r="J82">
        <x:v>92</x:v>
      </x:c>
      <x:c r="K82">
        <x:v>89</x:v>
      </x:c>
      <x:c r="L82">
        <x:v>71</x:v>
      </x:c>
      <x:c r="M82">
        <x:v>84</x:v>
      </x:c>
      <x:c r="N82">
        <x:v>66</x:v>
      </x:c>
      <x:c r="O82">
        <x:v>64</x:v>
      </x:c>
      <x:c r="P82">
        <x:v>62</x:v>
      </x:c>
      <x:c r="Q82">
        <x:v>88</x:v>
      </x:c>
      <x:c r="R82">
        <x:v>66</x:v>
      </x:c>
      <x:c r="S82">
        <x:v>80</x:v>
      </x:c>
      <x:c r="T82">
        <x:v>51</x:v>
      </x:c>
      <x:c r="U82">
        <x:v>64</x:v>
      </x:c>
    </x:row>
    <x:row r="83">
      <x:c r="A83" t="s">
        <x:v>437</x:v>
      </x:c>
      <x:c r="B83" t="s">
        <x:v>364</x:v>
      </x:c>
      <x:c r="C83" t="s">
        <x:v>333</x:v>
      </x:c>
      <x:c r="D83">
        <x:v>8482699</x:v>
      </x:c>
      <x:c r="E83">
        <x:v>64</x:v>
      </x:c>
      <x:c r="F83">
        <x:v>34</x:v>
      </x:c>
      <x:c r="G83">
        <x:v>87</x:v>
      </x:c>
      <x:c r="H83">
        <x:v>66</x:v>
      </x:c>
      <x:c r="I83">
        <x:v>77</x:v>
      </x:c>
      <x:c r="J83">
        <x:v>88</x:v>
      </x:c>
      <x:c r="K83">
        <x:v>94</x:v>
      </x:c>
      <x:c r="L83">
        <x:v>67</x:v>
      </x:c>
      <x:c r="M83">
        <x:v>70</x:v>
      </x:c>
      <x:c r="N83">
        <x:v>60</x:v>
      </x:c>
      <x:c r="O83">
        <x:v>67</x:v>
      </x:c>
      <x:c r="P83">
        <x:v>65</x:v>
      </x:c>
      <x:c r="Q83">
        <x:v>55</x:v>
      </x:c>
      <x:c r="R83">
        <x:v>69</x:v>
      </x:c>
      <x:c r="S83">
        <x:v>78</x:v>
      </x:c>
      <x:c r="T83">
        <x:v>51</x:v>
      </x:c>
      <x:c r="U83">
        <x:v>64</x:v>
      </x:c>
    </x:row>
    <x:row r="84">
      <x:c r="A84" t="s">
        <x:v>438</x:v>
      </x:c>
      <x:c r="B84" t="s">
        <x:v>439</x:v>
      </x:c>
      <x:c r="C84" t="s">
        <x:v>331</x:v>
      </x:c>
      <x:c r="D84">
        <x:v>8485366</x:v>
      </x:c>
      <x:c r="E84">
        <x:v>67</x:v>
      </x:c>
      <x:c r="F84">
        <x:v>35</x:v>
      </x:c>
      <x:c r="G84">
        <x:v>84</x:v>
      </x:c>
      <x:c r="H84">
        <x:v>57</x:v>
      </x:c>
      <x:c r="I84">
        <x:v>78</x:v>
      </x:c>
      <x:c r="J84">
        <x:v>95</x:v>
      </x:c>
      <x:c r="K84">
        <x:v>98</x:v>
      </x:c>
      <x:c r="L84">
        <x:v>57</x:v>
      </x:c>
      <x:c r="M84">
        <x:v>30</x:v>
      </x:c>
      <x:c r="N84">
        <x:v>61</x:v>
      </x:c>
      <x:c r="O84">
        <x:v>59</x:v>
      </x:c>
      <x:c r="P84">
        <x:v>77</x:v>
      </x:c>
      <x:c r="Q84">
        <x:v>51</x:v>
      </x:c>
      <x:c r="R84">
        <x:v>64</x:v>
      </x:c>
      <x:c r="S84">
        <x:v>76</x:v>
      </x:c>
      <x:c r="T84">
        <x:v>54</x:v>
      </x:c>
      <x:c r="U84">
        <x:v>64</x:v>
      </x:c>
    </x:row>
    <x:row r="85">
      <x:c r="A85" t="s">
        <x:v>440</x:v>
      </x:c>
      <x:c r="B85" t="s">
        <x:v>361</x:v>
      </x:c>
      <x:c r="C85" t="s">
        <x:v>331</x:v>
      </x:c>
      <x:c r="D85">
        <x:v>8480807</x:v>
      </x:c>
      <x:c r="E85">
        <x:v>78</x:v>
      </x:c>
      <x:c r="F85">
        <x:v>44</x:v>
      </x:c>
      <x:c r="G85">
        <x:v>87</x:v>
      </x:c>
      <x:c r="H85">
        <x:v>44</x:v>
      </x:c>
      <x:c r="I85">
        <x:v>89</x:v>
      </x:c>
      <x:c r="J85">
        <x:v>93</x:v>
      </x:c>
      <x:c r="K85">
        <x:v>94</x:v>
      </x:c>
      <x:c r="L85">
        <x:v>46</x:v>
      </x:c>
      <x:c r="M85">
        <x:v>30</x:v>
      </x:c>
      <x:c r="N85">
        <x:v>56</x:v>
      </x:c>
      <x:c r="O85">
        <x:v>50</x:v>
      </x:c>
      <x:c r="P85">
        <x:v>82</x:v>
      </x:c>
      <x:c r="Q85">
        <x:v>52</x:v>
      </x:c>
      <x:c r="R85">
        <x:v>72</x:v>
      </x:c>
      <x:c r="S85">
        <x:v>72</x:v>
      </x:c>
      <x:c r="T85">
        <x:v>51</x:v>
      </x:c>
      <x:c r="U85">
        <x:v>63</x:v>
      </x:c>
    </x:row>
    <x:row r="86">
      <x:c r="A86" t="s">
        <x:v>441</x:v>
      </x:c>
      <x:c r="B86" t="s">
        <x:v>327</x:v>
      </x:c>
      <x:c r="C86" t="s">
        <x:v>319</x:v>
      </x:c>
      <x:c r="D86">
        <x:v>8478010</x:v>
      </x:c>
      <x:c r="E86">
        <x:v>57</x:v>
      </x:c>
      <x:c r="F86">
        <x:v>40</x:v>
      </x:c>
      <x:c r="G86">
        <x:v>94</x:v>
      </x:c>
      <x:c r="H86">
        <x:v>67</x:v>
      </x:c>
      <x:c r="I86">
        <x:v>77</x:v>
      </x:c>
      <x:c r="J86">
        <x:v>89</x:v>
      </x:c>
      <x:c r="K86">
        <x:v>85</x:v>
      </x:c>
      <x:c r="L86">
        <x:v>67</x:v>
      </x:c>
      <x:c r="M86">
        <x:v>86</x:v>
      </x:c>
      <x:c r="N86">
        <x:v>63</x:v>
      </x:c>
      <x:c r="O86">
        <x:v>62</x:v>
      </x:c>
      <x:c r="P86">
        <x:v>63</x:v>
      </x:c>
      <x:c r="Q86">
        <x:v>95</x:v>
      </x:c>
      <x:c r="R86">
        <x:v>79</x:v>
      </x:c>
      <x:c r="S86">
        <x:v>82</x:v>
      </x:c>
      <x:c r="T86">
        <x:v>51</x:v>
      </x:c>
      <x:c r="U86">
        <x:v>63</x:v>
      </x:c>
    </x:row>
    <x:row r="87">
      <x:c r="A87" t="s">
        <x:v>442</x:v>
      </x:c>
      <x:c r="B87" t="s">
        <x:v>386</x:v>
      </x:c>
      <x:c r="C87" t="s">
        <x:v>331</x:v>
      </x:c>
      <x:c r="D87">
        <x:v>8480817</x:v>
      </x:c>
      <x:c r="E87">
        <x:v>76</x:v>
      </x:c>
      <x:c r="F87">
        <x:v>42</x:v>
      </x:c>
      <x:c r="G87">
        <x:v>80</x:v>
      </x:c>
      <x:c r="H87">
        <x:v>48</x:v>
      </x:c>
      <x:c r="I87">
        <x:v>86</x:v>
      </x:c>
      <x:c r="J87">
        <x:v>94</x:v>
      </x:c>
      <x:c r="K87">
        <x:v>92</x:v>
      </x:c>
      <x:c r="L87">
        <x:v>47</x:v>
      </x:c>
      <x:c r="M87">
        <x:v>30</x:v>
      </x:c>
      <x:c r="N87">
        <x:v>58</x:v>
      </x:c>
      <x:c r="O87">
        <x:v>48</x:v>
      </x:c>
      <x:c r="P87">
        <x:v>78</x:v>
      </x:c>
      <x:c r="Q87">
        <x:v>63</x:v>
      </x:c>
      <x:c r="R87">
        <x:v>72</x:v>
      </x:c>
      <x:c r="S87">
        <x:v>72</x:v>
      </x:c>
      <x:c r="T87">
        <x:v>51</x:v>
      </x:c>
      <x:c r="U87">
        <x:v>63</x:v>
      </x:c>
    </x:row>
    <x:row r="88">
      <x:c r="A88" t="s">
        <x:v>443</x:v>
      </x:c>
      <x:c r="B88" t="s">
        <x:v>396</x:v>
      </x:c>
      <x:c r="C88" t="s">
        <x:v>333</x:v>
      </x:c>
      <x:c r="D88">
        <x:v>8482077</x:v>
      </x:c>
      <x:c r="E88">
        <x:v>77</x:v>
      </x:c>
      <x:c r="F88">
        <x:v>72</x:v>
      </x:c>
      <x:c r="G88">
        <x:v>93</x:v>
      </x:c>
      <x:c r="H88">
        <x:v>63</x:v>
      </x:c>
      <x:c r="I88">
        <x:v>83</x:v>
      </x:c>
      <x:c r="J88">
        <x:v>88</x:v>
      </x:c>
      <x:c r="K88">
        <x:v>81</x:v>
      </x:c>
      <x:c r="L88">
        <x:v>65</x:v>
      </x:c>
      <x:c r="M88">
        <x:v>73</x:v>
      </x:c>
      <x:c r="N88">
        <x:v>62</x:v>
      </x:c>
      <x:c r="O88">
        <x:v>62</x:v>
      </x:c>
      <x:c r="P88">
        <x:v>66</x:v>
      </x:c>
      <x:c r="Q88">
        <x:v>63</x:v>
      </x:c>
      <x:c r="R88">
        <x:v>71</x:v>
      </x:c>
      <x:c r="S88">
        <x:v>78</x:v>
      </x:c>
      <x:c r="T88">
        <x:v>51</x:v>
      </x:c>
      <x:c r="U88">
        <x:v>63</x:v>
      </x:c>
    </x:row>
    <x:row r="89">
      <x:c r="A89" t="s">
        <x:v>444</x:v>
      </x:c>
      <x:c r="B89" t="s">
        <x:v>350</x:v>
      </x:c>
      <x:c r="C89" t="s">
        <x:v>331</x:v>
      </x:c>
      <x:c r="D89">
        <x:v>8471724</x:v>
      </x:c>
      <x:c r="E89">
        <x:v>76</x:v>
      </x:c>
      <x:c r="F89">
        <x:v>34</x:v>
      </x:c>
      <x:c r="G89">
        <x:v>81</x:v>
      </x:c>
      <x:c r="H89">
        <x:v>48</x:v>
      </x:c>
      <x:c r="I89">
        <x:v>77</x:v>
      </x:c>
      <x:c r="J89">
        <x:v>93</x:v>
      </x:c>
      <x:c r="K89">
        <x:v>94</x:v>
      </x:c>
      <x:c r="L89">
        <x:v>46</x:v>
      </x:c>
      <x:c r="M89">
        <x:v>30</x:v>
      </x:c>
      <x:c r="N89">
        <x:v>59</x:v>
      </x:c>
      <x:c r="O89">
        <x:v>47</x:v>
      </x:c>
      <x:c r="P89">
        <x:v>77</x:v>
      </x:c>
      <x:c r="Q89">
        <x:v>70</x:v>
      </x:c>
      <x:c r="R89">
        <x:v>93</x:v>
      </x:c>
      <x:c r="S89">
        <x:v>86</x:v>
      </x:c>
      <x:c r="T89">
        <x:v>51</x:v>
      </x:c>
      <x:c r="U89">
        <x:v>63</x:v>
      </x:c>
    </x:row>
    <x:row r="90">
      <x:c r="A90" t="s">
        <x:v>445</x:v>
      </x:c>
      <x:c r="B90" t="s">
        <x:v>320</x:v>
      </x:c>
      <x:c r="C90" t="s">
        <x:v>319</x:v>
      </x:c>
      <x:c r="D90">
        <x:v>8471685</x:v>
      </x:c>
      <x:c r="E90">
        <x:v>60</x:v>
      </x:c>
      <x:c r="F90">
        <x:v>42</x:v>
      </x:c>
      <x:c r="G90">
        <x:v>95</x:v>
      </x:c>
      <x:c r="H90">
        <x:v>60</x:v>
      </x:c>
      <x:c r="I90">
        <x:v>89</x:v>
      </x:c>
      <x:c r="J90">
        <x:v>91</x:v>
      </x:c>
      <x:c r="K90">
        <x:v>88</x:v>
      </x:c>
      <x:c r="L90">
        <x:v>63</x:v>
      </x:c>
      <x:c r="M90">
        <x:v>93</x:v>
      </x:c>
      <x:c r="N90">
        <x:v>61</x:v>
      </x:c>
      <x:c r="O90">
        <x:v>56</x:v>
      </x:c>
      <x:c r="P90">
        <x:v>69</x:v>
      </x:c>
      <x:c r="Q90">
        <x:v>71</x:v>
      </x:c>
      <x:c r="R90">
        <x:v>93</x:v>
      </x:c>
      <x:c r="S90">
        <x:v>98</x:v>
      </x:c>
      <x:c r="T90">
        <x:v>51</x:v>
      </x:c>
      <x:c r="U90">
        <x:v>63</x:v>
      </x:c>
    </x:row>
    <x:row r="91">
      <x:c r="A91" t="s">
        <x:v>446</x:v>
      </x:c>
      <x:c r="B91" t="s">
        <x:v>320</x:v>
      </x:c>
      <x:c r="C91" t="s">
        <x:v>331</x:v>
      </x:c>
      <x:c r="D91">
        <x:v>8475218</x:v>
      </x:c>
      <x:c r="E91">
        <x:v>71</x:v>
      </x:c>
      <x:c r="F91">
        <x:v>43</x:v>
      </x:c>
      <x:c r="G91">
        <x:v>86</x:v>
      </x:c>
      <x:c r="H91">
        <x:v>47</x:v>
      </x:c>
      <x:c r="I91">
        <x:v>88</x:v>
      </x:c>
      <x:c r="J91">
        <x:v>92</x:v>
      </x:c>
      <x:c r="K91">
        <x:v>99</x:v>
      </x:c>
      <x:c r="L91">
        <x:v>49</x:v>
      </x:c>
      <x:c r="M91">
        <x:v>30</x:v>
      </x:c>
      <x:c r="N91">
        <x:v>60</x:v>
      </x:c>
      <x:c r="O91">
        <x:v>48</x:v>
      </x:c>
      <x:c r="P91">
        <x:v>79</x:v>
      </x:c>
      <x:c r="Q91">
        <x:v>52</x:v>
      </x:c>
      <x:c r="R91">
        <x:v>89</x:v>
      </x:c>
      <x:c r="S91">
        <x:v>80</x:v>
      </x:c>
      <x:c r="T91">
        <x:v>51</x:v>
      </x:c>
      <x:c r="U91">
        <x:v>63</x:v>
      </x:c>
    </x:row>
    <x:row r="92">
      <x:c r="A92" t="s">
        <x:v>447</x:v>
      </x:c>
      <x:c r="B92" t="s">
        <x:v>320</x:v>
      </x:c>
      <x:c r="C92" t="s">
        <x:v>333</x:v>
      </x:c>
      <x:c r="D92">
        <x:v>8480893</x:v>
      </x:c>
      <x:c r="E92">
        <x:v>64</x:v>
      </x:c>
      <x:c r="F92">
        <x:v>39</x:v>
      </x:c>
      <x:c r="G92">
        <x:v>86</x:v>
      </x:c>
      <x:c r="H92">
        <x:v>64</x:v>
      </x:c>
      <x:c r="I92">
        <x:v>82</x:v>
      </x:c>
      <x:c r="J92">
        <x:v>90</x:v>
      </x:c>
      <x:c r="K92">
        <x:v>93</x:v>
      </x:c>
      <x:c r="L92">
        <x:v>65</x:v>
      </x:c>
      <x:c r="M92">
        <x:v>69</x:v>
      </x:c>
      <x:c r="N92">
        <x:v>63</x:v>
      </x:c>
      <x:c r="O92">
        <x:v>63</x:v>
      </x:c>
      <x:c r="P92">
        <x:v>63</x:v>
      </x:c>
      <x:c r="Q92">
        <x:v>89</x:v>
      </x:c>
      <x:c r="R92">
        <x:v>72</x:v>
      </x:c>
      <x:c r="S92">
        <x:v>75</x:v>
      </x:c>
      <x:c r="T92">
        <x:v>51</x:v>
      </x:c>
      <x:c r="U92">
        <x:v>63</x:v>
      </x:c>
    </x:row>
    <x:row r="93">
      <x:c r="A93" t="s">
        <x:v>448</x:v>
      </x:c>
      <x:c r="B93" t="s">
        <x:v>368</x:v>
      </x:c>
      <x:c r="C93" t="s">
        <x:v>331</x:v>
      </x:c>
      <x:c r="D93">
        <x:v>8475753</x:v>
      </x:c>
      <x:c r="E93">
        <x:v>72</x:v>
      </x:c>
      <x:c r="F93">
        <x:v>39</x:v>
      </x:c>
      <x:c r="G93">
        <x:v>82</x:v>
      </x:c>
      <x:c r="H93">
        <x:v>47</x:v>
      </x:c>
      <x:c r="I93">
        <x:v>81</x:v>
      </x:c>
      <x:c r="J93">
        <x:v>94</x:v>
      </x:c>
      <x:c r="K93">
        <x:v>97</x:v>
      </x:c>
      <x:c r="L93">
        <x:v>48</x:v>
      </x:c>
      <x:c r="M93">
        <x:v>30</x:v>
      </x:c>
      <x:c r="N93">
        <x:v>56</x:v>
      </x:c>
      <x:c r="O93">
        <x:v>51</x:v>
      </x:c>
      <x:c r="P93">
        <x:v>78</x:v>
      </x:c>
      <x:c r="Q93">
        <x:v>52</x:v>
      </x:c>
      <x:c r="R93">
        <x:v>87</x:v>
      </x:c>
      <x:c r="S93">
        <x:v>81</x:v>
      </x:c>
      <x:c r="T93">
        <x:v>51</x:v>
      </x:c>
      <x:c r="U93">
        <x:v>63</x:v>
      </x:c>
    </x:row>
    <x:row r="94">
      <x:c r="A94" t="s">
        <x:v>449</x:v>
      </x:c>
      <x:c r="B94" t="s">
        <x:v>356</x:v>
      </x:c>
      <x:c r="C94" t="s">
        <x:v>333</x:v>
      </x:c>
      <x:c r="D94">
        <x:v>8483515</x:v>
      </x:c>
      <x:c r="E94">
        <x:v>72</x:v>
      </x:c>
      <x:c r="F94">
        <x:v>47</x:v>
      </x:c>
      <x:c r="G94">
        <x:v>79</x:v>
      </x:c>
      <x:c r="H94">
        <x:v>63</x:v>
      </x:c>
      <x:c r="I94">
        <x:v>88</x:v>
      </x:c>
      <x:c r="J94">
        <x:v>90</x:v>
      </x:c>
      <x:c r="K94">
        <x:v>98</x:v>
      </x:c>
      <x:c r="L94">
        <x:v>66</x:v>
      </x:c>
      <x:c r="M94">
        <x:v>69</x:v>
      </x:c>
      <x:c r="N94">
        <x:v>59</x:v>
      </x:c>
      <x:c r="O94">
        <x:v>59</x:v>
      </x:c>
      <x:c r="P94">
        <x:v>64</x:v>
      </x:c>
      <x:c r="Q94">
        <x:v>59</x:v>
      </x:c>
      <x:c r="R94">
        <x:v>67</x:v>
      </x:c>
      <x:c r="S94">
        <x:v>78</x:v>
      </x:c>
      <x:c r="T94">
        <x:v>51</x:v>
      </x:c>
      <x:c r="U94">
        <x:v>63</x:v>
      </x:c>
    </x:row>
    <x:row r="95">
      <x:c r="A95" t="s">
        <x:v>450</x:v>
      </x:c>
      <x:c r="B95" t="s">
        <x:v>343</x:v>
      </x:c>
      <x:c r="C95" t="s">
        <x:v>331</x:v>
      </x:c>
      <x:c r="D95">
        <x:v>8481581</x:v>
      </x:c>
      <x:c r="E95">
        <x:v>69</x:v>
      </x:c>
      <x:c r="F95">
        <x:v>42</x:v>
      </x:c>
      <x:c r="G95">
        <x:v>88</x:v>
      </x:c>
      <x:c r="H95">
        <x:v>51</x:v>
      </x:c>
      <x:c r="I95">
        <x:v>86</x:v>
      </x:c>
      <x:c r="J95">
        <x:v>95</x:v>
      </x:c>
      <x:c r="K95">
        <x:v>92</x:v>
      </x:c>
      <x:c r="L95">
        <x:v>52</x:v>
      </x:c>
      <x:c r="M95">
        <x:v>30</x:v>
      </x:c>
      <x:c r="N95">
        <x:v>61</x:v>
      </x:c>
      <x:c r="O95">
        <x:v>49</x:v>
      </x:c>
      <x:c r="P95">
        <x:v>78</x:v>
      </x:c>
      <x:c r="Q95">
        <x:v>53</x:v>
      </x:c>
      <x:c r="R95">
        <x:v>71</x:v>
      </x:c>
      <x:c r="S95">
        <x:v>80</x:v>
      </x:c>
      <x:c r="T95">
        <x:v>51</x:v>
      </x:c>
      <x:c r="U95">
        <x:v>63</x:v>
      </x:c>
    </x:row>
    <x:row r="96">
      <x:c r="A96" t="s">
        <x:v>451</x:v>
      </x:c>
      <x:c r="B96" t="s">
        <x:v>364</x:v>
      </x:c>
      <x:c r="C96" t="s">
        <x:v>323</x:v>
      </x:c>
      <x:c r="D96">
        <x:v>8477951</x:v>
      </x:c>
      <x:c r="E96">
        <x:v>58</x:v>
      </x:c>
      <x:c r="F96">
        <x:v>31</x:v>
      </x:c>
      <x:c r="G96">
        <x:v>89</x:v>
      </x:c>
      <x:c r="H96">
        <x:v>63</x:v>
      </x:c>
      <x:c r="I96">
        <x:v>75</x:v>
      </x:c>
      <x:c r="J96">
        <x:v>91</x:v>
      </x:c>
      <x:c r="K96">
        <x:v>99</x:v>
      </x:c>
      <x:c r="L96">
        <x:v>64</x:v>
      </x:c>
      <x:c r="M96">
        <x:v>85</x:v>
      </x:c>
      <x:c r="N96">
        <x:v>63</x:v>
      </x:c>
      <x:c r="O96">
        <x:v>63</x:v>
      </x:c>
      <x:c r="P96">
        <x:v>69</x:v>
      </x:c>
      <x:c r="Q96">
        <x:v>73</x:v>
      </x:c>
      <x:c r="R96">
        <x:v>79</x:v>
      </x:c>
      <x:c r="S96">
        <x:v>74</x:v>
      </x:c>
      <x:c r="T96">
        <x:v>51</x:v>
      </x:c>
      <x:c r="U96">
        <x:v>63</x:v>
      </x:c>
    </x:row>
    <x:row r="97">
      <x:c r="A97" t="s">
        <x:v>452</x:v>
      </x:c>
      <x:c r="B97" t="s">
        <x:v>364</x:v>
      </x:c>
      <x:c r="C97" t="s">
        <x:v>319</x:v>
      </x:c>
      <x:c r="D97">
        <x:v>8476389</x:v>
      </x:c>
      <x:c r="E97">
        <x:v>83</x:v>
      </x:c>
      <x:c r="F97">
        <x:v>39</x:v>
      </x:c>
      <x:c r="G97">
        <x:v>75</x:v>
      </x:c>
      <x:c r="H97">
        <x:v>63</x:v>
      </x:c>
      <x:c r="I97">
        <x:v>79</x:v>
      </x:c>
      <x:c r="J97">
        <x:v>92</x:v>
      </x:c>
      <x:c r="K97">
        <x:v>89</x:v>
      </x:c>
      <x:c r="L97">
        <x:v>61</x:v>
      </x:c>
      <x:c r="M97">
        <x:v>92</x:v>
      </x:c>
      <x:c r="N97">
        <x:v>63</x:v>
      </x:c>
      <x:c r="O97">
        <x:v>58</x:v>
      </x:c>
      <x:c r="P97">
        <x:v>71</x:v>
      </x:c>
      <x:c r="Q97">
        <x:v>91</x:v>
      </x:c>
      <x:c r="R97">
        <x:v>86</x:v>
      </x:c>
      <x:c r="S97">
        <x:v>79</x:v>
      </x:c>
      <x:c r="T97">
        <x:v>51</x:v>
      </x:c>
      <x:c r="U97">
        <x:v>63</x:v>
      </x:c>
    </x:row>
    <x:row r="98">
      <x:c r="A98" t="s">
        <x:v>453</x:v>
      </x:c>
      <x:c r="B98" t="s">
        <x:v>354</x:v>
      </x:c>
      <x:c r="C98" t="s">
        <x:v>339</x:v>
      </x:c>
      <x:c r="D98">
        <x:v>8476881</x:v>
      </x:c>
      <x:c r="E98">
        <x:v>69</x:v>
      </x:c>
      <x:c r="F98">
        <x:v>61</x:v>
      </x:c>
      <x:c r="G98">
        <x:v>86</x:v>
      </x:c>
      <x:c r="H98">
        <x:v>62</x:v>
      </x:c>
      <x:c r="I98">
        <x:v>87</x:v>
      </x:c>
      <x:c r="J98">
        <x:v>88</x:v>
      </x:c>
      <x:c r="K98">
        <x:v>97</x:v>
      </x:c>
      <x:c r="L98">
        <x:v>63</x:v>
      </x:c>
      <x:c r="M98">
        <x:v>91</x:v>
      </x:c>
      <x:c r="N98">
        <x:v>60</x:v>
      </x:c>
      <x:c r="O98">
        <x:v>61</x:v>
      </x:c>
      <x:c r="P98">
        <x:v>65</x:v>
      </x:c>
      <x:c r="Q98">
        <x:v>59</x:v>
      </x:c>
      <x:c r="R98">
        <x:v>86</x:v>
      </x:c>
      <x:c r="S98">
        <x:v>82</x:v>
      </x:c>
      <x:c r="T98">
        <x:v>51</x:v>
      </x:c>
      <x:c r="U98">
        <x:v>63</x:v>
      </x:c>
    </x:row>
    <x:row r="99">
      <x:c r="A99" t="s">
        <x:v>454</x:v>
      </x:c>
      <x:c r="B99" t="s">
        <x:v>334</x:v>
      </x:c>
      <x:c r="C99" t="s">
        <x:v>323</x:v>
      </x:c>
      <x:c r="D99">
        <x:v>8479987</x:v>
      </x:c>
      <x:c r="E99">
        <x:v>69</x:v>
      </x:c>
      <x:c r="F99">
        <x:v>41</x:v>
      </x:c>
      <x:c r="G99">
        <x:v>91</x:v>
      </x:c>
      <x:c r="H99">
        <x:v>61</x:v>
      </x:c>
      <x:c r="I99">
        <x:v>84</x:v>
      </x:c>
      <x:c r="J99">
        <x:v>88</x:v>
      </x:c>
      <x:c r="K99">
        <x:v>97</x:v>
      </x:c>
      <x:c r="L99">
        <x:v>64</x:v>
      </x:c>
      <x:c r="M99">
        <x:v>79</x:v>
      </x:c>
      <x:c r="N99">
        <x:v>57</x:v>
      </x:c>
      <x:c r="O99">
        <x:v>67</x:v>
      </x:c>
      <x:c r="P99">
        <x:v>62</x:v>
      </x:c>
      <x:c r="Q99">
        <x:v>60</x:v>
      </x:c>
      <x:c r="R99">
        <x:v>75</x:v>
      </x:c>
      <x:c r="S99">
        <x:v>77</x:v>
      </x:c>
      <x:c r="T99">
        <x:v>51</x:v>
      </x:c>
      <x:c r="U99">
        <x:v>63</x:v>
      </x:c>
    </x:row>
    <x:row r="100">
      <x:c r="A100" t="s">
        <x:v>455</x:v>
      </x:c>
      <x:c r="B100" t="s">
        <x:v>386</x:v>
      </x:c>
      <x:c r="C100" t="s">
        <x:v>333</x:v>
      </x:c>
      <x:c r="D100">
        <x:v>8480830</x:v>
      </x:c>
      <x:c r="E100">
        <x:v>74</x:v>
      </x:c>
      <x:c r="F100">
        <x:v>44</x:v>
      </x:c>
      <x:c r="G100">
        <x:v>77</x:v>
      </x:c>
      <x:c r="H100">
        <x:v>64</x:v>
      </x:c>
      <x:c r="I100">
        <x:v>85</x:v>
      </x:c>
      <x:c r="J100">
        <x:v>87</x:v>
      </x:c>
      <x:c r="K100">
        <x:v>94</x:v>
      </x:c>
      <x:c r="L100">
        <x:v>65</x:v>
      </x:c>
      <x:c r="M100">
        <x:v>69</x:v>
      </x:c>
      <x:c r="N100">
        <x:v>62</x:v>
      </x:c>
      <x:c r="O100">
        <x:v>63</x:v>
      </x:c>
      <x:c r="P100">
        <x:v>61</x:v>
      </x:c>
      <x:c r="Q100">
        <x:v>89</x:v>
      </x:c>
      <x:c r="R100">
        <x:v>73</x:v>
      </x:c>
      <x:c r="S100">
        <x:v>74</x:v>
      </x:c>
      <x:c r="T100">
        <x:v>46</x:v>
      </x:c>
      <x:c r="U100">
        <x:v>63</x:v>
      </x:c>
    </x:row>
    <x:row r="101">
      <x:c r="A101" t="s">
        <x:v>456</x:v>
      </x:c>
      <x:c r="B101" t="s">
        <x:v>370</x:v>
      </x:c>
      <x:c r="C101" t="s">
        <x:v>331</x:v>
      </x:c>
      <x:c r="D101">
        <x:v>8478469</x:v>
      </x:c>
      <x:c r="E101">
        <x:v>70</x:v>
      </x:c>
      <x:c r="F101">
        <x:v>36</x:v>
      </x:c>
      <x:c r="G101">
        <x:v>87</x:v>
      </x:c>
      <x:c r="H101">
        <x:v>49</x:v>
      </x:c>
      <x:c r="I101">
        <x:v>79</x:v>
      </x:c>
      <x:c r="J101">
        <x:v>94</x:v>
      </x:c>
      <x:c r="K101">
        <x:v>84</x:v>
      </x:c>
      <x:c r="L101">
        <x:v>49</x:v>
      </x:c>
      <x:c r="M101">
        <x:v>30</x:v>
      </x:c>
      <x:c r="N101">
        <x:v>61</x:v>
      </x:c>
      <x:c r="O101">
        <x:v>49</x:v>
      </x:c>
      <x:c r="P101">
        <x:v>78</x:v>
      </x:c>
      <x:c r="Q101">
        <x:v>54</x:v>
      </x:c>
      <x:c r="R101">
        <x:v>78</x:v>
      </x:c>
      <x:c r="S101">
        <x:v>83</x:v>
      </x:c>
      <x:c r="T101">
        <x:v>51</x:v>
      </x:c>
      <x:c r="U101">
        <x:v>63</x:v>
      </x:c>
    </x:row>
    <x:row r="102">
      <x:c r="A102" t="s">
        <x:v>457</x:v>
      </x:c>
      <x:c r="B102" t="s">
        <x:v>334</x:v>
      </x:c>
      <x:c r="C102" t="s">
        <x:v>319</x:v>
      </x:c>
      <x:c r="D102">
        <x:v>8477500</x:v>
      </x:c>
      <x:c r="E102">
        <x:v>64</x:v>
      </x:c>
      <x:c r="F102">
        <x:v>42</x:v>
      </x:c>
      <x:c r="G102">
        <x:v>83</x:v>
      </x:c>
      <x:c r="H102">
        <x:v>61</x:v>
      </x:c>
      <x:c r="I102">
        <x:v>85</x:v>
      </x:c>
      <x:c r="J102">
        <x:v>92</x:v>
      </x:c>
      <x:c r="K102">
        <x:v>89</x:v>
      </x:c>
      <x:c r="L102">
        <x:v>63</x:v>
      </x:c>
      <x:c r="M102">
        <x:v>92</x:v>
      </x:c>
      <x:c r="N102">
        <x:v>58</x:v>
      </x:c>
      <x:c r="O102">
        <x:v>65</x:v>
      </x:c>
      <x:c r="P102">
        <x:v>70</x:v>
      </x:c>
      <x:c r="Q102">
        <x:v>85</x:v>
      </x:c>
      <x:c r="R102">
        <x:v>81</x:v>
      </x:c>
      <x:c r="S102">
        <x:v>88</x:v>
      </x:c>
      <x:c r="T102">
        <x:v>51</x:v>
      </x:c>
      <x:c r="U102">
        <x:v>63</x:v>
      </x:c>
    </x:row>
    <x:row r="103">
      <x:c r="A103" t="s">
        <x:v>458</x:v>
      </x:c>
      <x:c r="B103" t="s">
        <x:v>400</x:v>
      </x:c>
      <x:c r="C103" t="s">
        <x:v>331</x:v>
      </x:c>
      <x:c r="D103">
        <x:v>8477932</x:v>
      </x:c>
      <x:c r="E103">
        <x:v>75</x:v>
      </x:c>
      <x:c r="F103">
        <x:v>67</x:v>
      </x:c>
      <x:c r="G103">
        <x:v>78</x:v>
      </x:c>
      <x:c r="H103">
        <x:v>44</x:v>
      </x:c>
      <x:c r="I103">
        <x:v>89</x:v>
      </x:c>
      <x:c r="J103">
        <x:v>94</x:v>
      </x:c>
      <x:c r="K103">
        <x:v>89</x:v>
      </x:c>
      <x:c r="L103">
        <x:v>46</x:v>
      </x:c>
      <x:c r="M103">
        <x:v>30</x:v>
      </x:c>
      <x:c r="N103">
        <x:v>57</x:v>
      </x:c>
      <x:c r="O103">
        <x:v>47</x:v>
      </x:c>
      <x:c r="P103">
        <x:v>78</x:v>
      </x:c>
      <x:c r="Q103">
        <x:v>52</x:v>
      </x:c>
      <x:c r="R103">
        <x:v>80</x:v>
      </x:c>
      <x:c r="S103">
        <x:v>86</x:v>
      </x:c>
      <x:c r="T103">
        <x:v>51</x:v>
      </x:c>
      <x:c r="U103">
        <x:v>63</x:v>
      </x:c>
    </x:row>
    <x:row r="104">
      <x:c r="A104" t="s">
        <x:v>459</x:v>
      </x:c>
      <x:c r="B104" t="s">
        <x:v>356</x:v>
      </x:c>
      <x:c r="C104" t="s">
        <x:v>331</x:v>
      </x:c>
      <x:c r="D104">
        <x:v>8476875</x:v>
      </x:c>
      <x:c r="E104">
        <x:v>70</x:v>
      </x:c>
      <x:c r="F104">
        <x:v>45</x:v>
      </x:c>
      <x:c r="G104">
        <x:v>83</x:v>
      </x:c>
      <x:c r="H104">
        <x:v>48</x:v>
      </x:c>
      <x:c r="I104">
        <x:v>82</x:v>
      </x:c>
      <x:c r="J104">
        <x:v>96</x:v>
      </x:c>
      <x:c r="K104">
        <x:v>98</x:v>
      </x:c>
      <x:c r="L104">
        <x:v>47</x:v>
      </x:c>
      <x:c r="M104">
        <x:v>30</x:v>
      </x:c>
      <x:c r="N104">
        <x:v>59</x:v>
      </x:c>
      <x:c r="O104">
        <x:v>48</x:v>
      </x:c>
      <x:c r="P104">
        <x:v>83</x:v>
      </x:c>
      <x:c r="Q104">
        <x:v>56</x:v>
      </x:c>
      <x:c r="R104">
        <x:v>83</x:v>
      </x:c>
      <x:c r="S104">
        <x:v>79</x:v>
      </x:c>
      <x:c r="T104">
        <x:v>51</x:v>
      </x:c>
      <x:c r="U104">
        <x:v>63</x:v>
      </x:c>
    </x:row>
    <x:row r="105">
      <x:c r="A105" t="s">
        <x:v>460</x:v>
      </x:c>
      <x:c r="B105" t="s">
        <x:v>320</x:v>
      </x:c>
      <x:c r="C105" t="s">
        <x:v>333</x:v>
      </x:c>
      <x:c r="D105">
        <x:v>8475786</x:v>
      </x:c>
      <x:c r="E105">
        <x:v>65</x:v>
      </x:c>
      <x:c r="F105">
        <x:v>43</x:v>
      </x:c>
      <x:c r="G105">
        <x:v>83</x:v>
      </x:c>
      <x:c r="H105">
        <x:v>60</x:v>
      </x:c>
      <x:c r="I105">
        <x:v>85</x:v>
      </x:c>
      <x:c r="J105">
        <x:v>91</x:v>
      </x:c>
      <x:c r="K105">
        <x:v>81</x:v>
      </x:c>
      <x:c r="L105">
        <x:v>63</x:v>
      </x:c>
      <x:c r="M105">
        <x:v>62</x:v>
      </x:c>
      <x:c r="N105">
        <x:v>57</x:v>
      </x:c>
      <x:c r="O105">
        <x:v>68</x:v>
      </x:c>
      <x:c r="P105">
        <x:v>63</x:v>
      </x:c>
      <x:c r="Q105">
        <x:v>52</x:v>
      </x:c>
      <x:c r="R105">
        <x:v>87</x:v>
      </x:c>
      <x:c r="S105">
        <x:v>81</x:v>
      </x:c>
      <x:c r="T105">
        <x:v>51</x:v>
      </x:c>
      <x:c r="U105">
        <x:v>63</x:v>
      </x:c>
    </x:row>
    <x:row r="106">
      <x:c r="A106" t="s">
        <x:v>461</x:v>
      </x:c>
      <x:c r="B106" t="s">
        <x:v>340</x:v>
      </x:c>
      <x:c r="C106" t="s">
        <x:v>331</x:v>
      </x:c>
      <x:c r="D106">
        <x:v>8476885</x:v>
      </x:c>
      <x:c r="E106">
        <x:v>79</x:v>
      </x:c>
      <x:c r="F106">
        <x:v>72</x:v>
      </x:c>
      <x:c r="G106">
        <x:v>86</x:v>
      </x:c>
      <x:c r="H106">
        <x:v>43</x:v>
      </x:c>
      <x:c r="I106">
        <x:v>88</x:v>
      </x:c>
      <x:c r="J106">
        <x:v>94</x:v>
      </x:c>
      <x:c r="K106">
        <x:v>99</x:v>
      </x:c>
      <x:c r="L106">
        <x:v>43</x:v>
      </x:c>
      <x:c r="M106">
        <x:v>30</x:v>
      </x:c>
      <x:c r="N106">
        <x:v>55</x:v>
      </x:c>
      <x:c r="O106">
        <x:v>48</x:v>
      </x:c>
      <x:c r="P106">
        <x:v>81</x:v>
      </x:c>
      <x:c r="Q106">
        <x:v>51</x:v>
      </x:c>
      <x:c r="R106">
        <x:v>84</x:v>
      </x:c>
      <x:c r="S106">
        <x:v>86</x:v>
      </x:c>
      <x:c r="T106">
        <x:v>51</x:v>
      </x:c>
      <x:c r="U106">
        <x:v>63</x:v>
      </x:c>
    </x:row>
    <x:row r="107">
      <x:c r="A107" t="s">
        <x:v>462</x:v>
      </x:c>
      <x:c r="B107" t="s">
        <x:v>386</x:v>
      </x:c>
      <x:c r="C107" t="s">
        <x:v>333</x:v>
      </x:c>
      <x:c r="D107">
        <x:v>8477940</x:v>
      </x:c>
      <x:c r="E107">
        <x:v>59</x:v>
      </x:c>
      <x:c r="F107">
        <x:v>36</x:v>
      </x:c>
      <x:c r="G107">
        <x:v>94</x:v>
      </x:c>
      <x:c r="H107">
        <x:v>67</x:v>
      </x:c>
      <x:c r="I107">
        <x:v>76</x:v>
      </x:c>
      <x:c r="J107">
        <x:v>87</x:v>
      </x:c>
      <x:c r="K107">
        <x:v>97</x:v>
      </x:c>
      <x:c r="L107">
        <x:v>63</x:v>
      </x:c>
      <x:c r="M107">
        <x:v>68</x:v>
      </x:c>
      <x:c r="N107">
        <x:v>64</x:v>
      </x:c>
      <x:c r="O107">
        <x:v>61</x:v>
      </x:c>
      <x:c r="P107">
        <x:v>62</x:v>
      </x:c>
      <x:c r="Q107">
        <x:v>56</x:v>
      </x:c>
      <x:c r="R107">
        <x:v>80</x:v>
      </x:c>
      <x:c r="S107">
        <x:v>77</x:v>
      </x:c>
      <x:c r="T107">
        <x:v>51</x:v>
      </x:c>
      <x:c r="U107">
        <x:v>63</x:v>
      </x:c>
    </x:row>
    <x:row r="108">
      <x:c r="A108" t="s">
        <x:v>463</x:v>
      </x:c>
      <x:c r="B108" t="s">
        <x:v>393</x:v>
      </x:c>
      <x:c r="C108" t="s">
        <x:v>323</x:v>
      </x:c>
      <x:c r="D108">
        <x:v>8484153</x:v>
      </x:c>
      <x:c r="E108">
        <x:v>58</x:v>
      </x:c>
      <x:c r="F108">
        <x:v>59</x:v>
      </x:c>
      <x:c r="G108">
        <x:v>87</x:v>
      </x:c>
      <x:c r="H108">
        <x:v>65</x:v>
      </x:c>
      <x:c r="I108">
        <x:v>85</x:v>
      </x:c>
      <x:c r="J108">
        <x:v>90</x:v>
      </x:c>
      <x:c r="K108">
        <x:v>88</x:v>
      </x:c>
      <x:c r="L108">
        <x:v>66</x:v>
      </x:c>
      <x:c r="M108">
        <x:v>85</x:v>
      </x:c>
      <x:c r="N108">
        <x:v>62</x:v>
      </x:c>
      <x:c r="O108">
        <x:v>63</x:v>
      </x:c>
      <x:c r="P108">
        <x:v>67</x:v>
      </x:c>
      <x:c r="Q108">
        <x:v>88</x:v>
      </x:c>
      <x:c r="R108">
        <x:v>67</x:v>
      </x:c>
      <x:c r="S108">
        <x:v>79</x:v>
      </x:c>
      <x:c r="T108">
        <x:v>51</x:v>
      </x:c>
      <x:c r="U108">
        <x:v>63</x:v>
      </x:c>
    </x:row>
    <x:row r="109">
      <x:c r="A109" t="s">
        <x:v>464</x:v>
      </x:c>
      <x:c r="B109" t="s">
        <x:v>364</x:v>
      </x:c>
      <x:c r="C109" t="s">
        <x:v>331</x:v>
      </x:c>
      <x:c r="D109">
        <x:v>8477346</x:v>
      </x:c>
      <x:c r="E109">
        <x:v>81</x:v>
      </x:c>
      <x:c r="F109">
        <x:v>59</x:v>
      </x:c>
      <x:c r="G109">
        <x:v>76</x:v>
      </x:c>
      <x:c r="H109">
        <x:v>46</x:v>
      </x:c>
      <x:c r="I109">
        <x:v>82</x:v>
      </x:c>
      <x:c r="J109">
        <x:v>94</x:v>
      </x:c>
      <x:c r="K109">
        <x:v>99</x:v>
      </x:c>
      <x:c r="L109">
        <x:v>46</x:v>
      </x:c>
      <x:c r="M109">
        <x:v>30</x:v>
      </x:c>
      <x:c r="N109">
        <x:v>57</x:v>
      </x:c>
      <x:c r="O109">
        <x:v>47</x:v>
      </x:c>
      <x:c r="P109">
        <x:v>79</x:v>
      </x:c>
      <x:c r="Q109">
        <x:v>51</x:v>
      </x:c>
      <x:c r="R109">
        <x:v>84</x:v>
      </x:c>
      <x:c r="S109">
        <x:v>79</x:v>
      </x:c>
      <x:c r="T109">
        <x:v>51</x:v>
      </x:c>
      <x:c r="U109">
        <x:v>63</x:v>
      </x:c>
    </x:row>
    <x:row r="110">
      <x:c r="A110" t="s">
        <x:v>465</x:v>
      </x:c>
      <x:c r="B110" t="s">
        <x:v>324</x:v>
      </x:c>
      <x:c r="C110" t="s">
        <x:v>331</x:v>
      </x:c>
      <x:c r="D110">
        <x:v>8470613</x:v>
      </x:c>
      <x:c r="E110">
        <x:v>66</x:v>
      </x:c>
      <x:c r="F110">
        <x:v>43</x:v>
      </x:c>
      <x:c r="G110">
        <x:v>87</x:v>
      </x:c>
      <x:c r="H110">
        <x:v>45</x:v>
      </x:c>
      <x:c r="I110">
        <x:v>90</x:v>
      </x:c>
      <x:c r="J110">
        <x:v>90</x:v>
      </x:c>
      <x:c r="K110">
        <x:v>99</x:v>
      </x:c>
      <x:c r="L110">
        <x:v>46</x:v>
      </x:c>
      <x:c r="M110">
        <x:v>30</x:v>
      </x:c>
      <x:c r="N110">
        <x:v>55</x:v>
      </x:c>
      <x:c r="O110">
        <x:v>49</x:v>
      </x:c>
      <x:c r="P110">
        <x:v>79</x:v>
      </x:c>
      <x:c r="Q110">
        <x:v>61</x:v>
      </x:c>
      <x:c r="R110">
        <x:v>95</x:v>
      </x:c>
      <x:c r="S110">
        <x:v>88</x:v>
      </x:c>
      <x:c r="T110">
        <x:v>51</x:v>
      </x:c>
      <x:c r="U110">
        <x:v>63</x:v>
      </x:c>
    </x:row>
    <x:row r="111">
      <x:c r="A111" t="s">
        <x:v>466</x:v>
      </x:c>
      <x:c r="B111" t="s">
        <x:v>324</x:v>
      </x:c>
      <x:c r="C111" t="s">
        <x:v>339</x:v>
      </x:c>
      <x:c r="D111">
        <x:v>8475754</x:v>
      </x:c>
      <x:c r="E111">
        <x:v>60</x:v>
      </x:c>
      <x:c r="F111">
        <x:v>42</x:v>
      </x:c>
      <x:c r="G111">
        <x:v>86</x:v>
      </x:c>
      <x:c r="H111">
        <x:v>59</x:v>
      </x:c>
      <x:c r="I111">
        <x:v>87</x:v>
      </x:c>
      <x:c r="J111">
        <x:v>91</x:v>
      </x:c>
      <x:c r="K111">
        <x:v>98</x:v>
      </x:c>
      <x:c r="L111">
        <x:v>63</x:v>
      </x:c>
      <x:c r="M111">
        <x:v>90</x:v>
      </x:c>
      <x:c r="N111">
        <x:v>59</x:v>
      </x:c>
      <x:c r="O111">
        <x:v>64</x:v>
      </x:c>
      <x:c r="P111">
        <x:v>71</x:v>
      </x:c>
      <x:c r="Q111">
        <x:v>65</x:v>
      </x:c>
      <x:c r="R111">
        <x:v>89</x:v>
      </x:c>
      <x:c r="S111">
        <x:v>84</x:v>
      </x:c>
      <x:c r="T111">
        <x:v>51</x:v>
      </x:c>
      <x:c r="U111">
        <x:v>63</x:v>
      </x:c>
    </x:row>
    <x:row r="112">
      <x:c r="A112" t="s">
        <x:v>467</x:v>
      </x:c>
      <x:c r="B112" t="s">
        <x:v>352</x:v>
      </x:c>
      <x:c r="C112" t="s">
        <x:v>333</x:v>
      </x:c>
      <x:c r="D112">
        <x:v>8482720</x:v>
      </x:c>
      <x:c r="E112">
        <x:v>74</x:v>
      </x:c>
      <x:c r="F112">
        <x:v>64</x:v>
      </x:c>
      <x:c r="G112">
        <x:v>88</x:v>
      </x:c>
      <x:c r="H112">
        <x:v>60</x:v>
      </x:c>
      <x:c r="I112">
        <x:v>87</x:v>
      </x:c>
      <x:c r="J112">
        <x:v>90</x:v>
      </x:c>
      <x:c r="K112">
        <x:v>96</x:v>
      </x:c>
      <x:c r="L112">
        <x:v>63</x:v>
      </x:c>
      <x:c r="M112">
        <x:v>63</x:v>
      </x:c>
      <x:c r="N112">
        <x:v>62</x:v>
      </x:c>
      <x:c r="O112">
        <x:v>60</x:v>
      </x:c>
      <x:c r="P112">
        <x:v>68</x:v>
      </x:c>
      <x:c r="Q112">
        <x:v>52</x:v>
      </x:c>
      <x:c r="R112">
        <x:v>69</x:v>
      </x:c>
      <x:c r="S112">
        <x:v>79</x:v>
      </x:c>
      <x:c r="T112">
        <x:v>51</x:v>
      </x:c>
      <x:c r="U112">
        <x:v>63</x:v>
      </x:c>
    </x:row>
    <x:row r="113">
      <x:c r="A113" t="s">
        <x:v>468</x:v>
      </x:c>
      <x:c r="B113" t="s">
        <x:v>436</x:v>
      </x:c>
      <x:c r="C113" t="s">
        <x:v>333</x:v>
      </x:c>
      <x:c r="D113">
        <x:v>8474141</x:v>
      </x:c>
      <x:c r="E113">
        <x:v>59</x:v>
      </x:c>
      <x:c r="F113">
        <x:v>34</x:v>
      </x:c>
      <x:c r="G113">
        <x:v>92</x:v>
      </x:c>
      <x:c r="H113">
        <x:v>64</x:v>
      </x:c>
      <x:c r="I113">
        <x:v>77</x:v>
      </x:c>
      <x:c r="J113">
        <x:v>88</x:v>
      </x:c>
      <x:c r="K113">
        <x:v>86</x:v>
      </x:c>
      <x:c r="L113">
        <x:v>66</x:v>
      </x:c>
      <x:c r="M113">
        <x:v>67</x:v>
      </x:c>
      <x:c r="N113">
        <x:v>65</x:v>
      </x:c>
      <x:c r="O113">
        <x:v>58</x:v>
      </x:c>
      <x:c r="P113">
        <x:v>62</x:v>
      </x:c>
      <x:c r="Q113">
        <x:v>91</x:v>
      </x:c>
      <x:c r="R113">
        <x:v>92</x:v>
      </x:c>
      <x:c r="S113">
        <x:v>85</x:v>
      </x:c>
      <x:c r="T113">
        <x:v>51</x:v>
      </x:c>
      <x:c r="U113">
        <x:v>63</x:v>
      </x:c>
    </x:row>
    <x:row r="114">
      <x:c r="A114" t="s">
        <x:v>469</x:v>
      </x:c>
      <x:c r="B114" t="s">
        <x:v>366</x:v>
      </x:c>
      <x:c r="C114" t="s">
        <x:v>333</x:v>
      </x:c>
      <x:c r="D114">
        <x:v>8479407</x:v>
      </x:c>
      <x:c r="E114">
        <x:v>65</x:v>
      </x:c>
      <x:c r="F114">
        <x:v>33</x:v>
      </x:c>
      <x:c r="G114">
        <x:v>95</x:v>
      </x:c>
      <x:c r="H114">
        <x:v>68</x:v>
      </x:c>
      <x:c r="I114">
        <x:v>76</x:v>
      </x:c>
      <x:c r="J114">
        <x:v>90</x:v>
      </x:c>
      <x:c r="K114">
        <x:v>99</x:v>
      </x:c>
      <x:c r="L114">
        <x:v>64</x:v>
      </x:c>
      <x:c r="M114">
        <x:v>65</x:v>
      </x:c>
      <x:c r="N114">
        <x:v>67</x:v>
      </x:c>
      <x:c r="O114">
        <x:v>59</x:v>
      </x:c>
      <x:c r="P114">
        <x:v>68</x:v>
      </x:c>
      <x:c r="Q114">
        <x:v>91</x:v>
      </x:c>
      <x:c r="R114">
        <x:v>77</x:v>
      </x:c>
      <x:c r="S114">
        <x:v>78</x:v>
      </x:c>
      <x:c r="T114">
        <x:v>51</x:v>
      </x:c>
      <x:c r="U114">
        <x:v>63</x:v>
      </x:c>
    </x:row>
    <x:row r="115">
      <x:c r="A115" t="s">
        <x:v>470</x:v>
      </x:c>
      <x:c r="B115" t="s">
        <x:v>327</x:v>
      </x:c>
      <x:c r="C115" t="s">
        <x:v>331</x:v>
      </x:c>
      <x:c r="D115">
        <x:v>8475167</x:v>
      </x:c>
      <x:c r="E115">
        <x:v>69</x:v>
      </x:c>
      <x:c r="F115">
        <x:v>44</x:v>
      </x:c>
      <x:c r="G115">
        <x:v>87</x:v>
      </x:c>
      <x:c r="H115">
        <x:v>45</x:v>
      </x:c>
      <x:c r="I115">
        <x:v>96</x:v>
      </x:c>
      <x:c r="J115">
        <x:v>90</x:v>
      </x:c>
      <x:c r="K115">
        <x:v>72</x:v>
      </x:c>
      <x:c r="L115">
        <x:v>49</x:v>
      </x:c>
      <x:c r="M115">
        <x:v>30</x:v>
      </x:c>
      <x:c r="N115">
        <x:v>63</x:v>
      </x:c>
      <x:c r="O115">
        <x:v>47</x:v>
      </x:c>
      <x:c r="P115">
        <x:v>77</x:v>
      </x:c>
      <x:c r="Q115">
        <x:v>65</x:v>
      </x:c>
      <x:c r="R115">
        <x:v>92</x:v>
      </x:c>
      <x:c r="S115">
        <x:v>91</x:v>
      </x:c>
      <x:c r="T115">
        <x:v>51</x:v>
      </x:c>
      <x:c r="U115">
        <x:v>63</x:v>
      </x:c>
    </x:row>
    <x:row r="116">
      <x:c r="A116" t="s">
        <x:v>471</x:v>
      </x:c>
      <x:c r="B116" t="s">
        <x:v>343</x:v>
      </x:c>
      <x:c r="C116" t="s">
        <x:v>339</x:v>
      </x:c>
      <x:c r="D116">
        <x:v>8478449</x:v>
      </x:c>
      <x:c r="E116">
        <x:v>66</x:v>
      </x:c>
      <x:c r="F116">
        <x:v>42</x:v>
      </x:c>
      <x:c r="G116">
        <x:v>87</x:v>
      </x:c>
      <x:c r="H116">
        <x:v>64</x:v>
      </x:c>
      <x:c r="I116">
        <x:v>86</x:v>
      </x:c>
      <x:c r="J116">
        <x:v>88</x:v>
      </x:c>
      <x:c r="K116">
        <x:v>80</x:v>
      </x:c>
      <x:c r="L116">
        <x:v>63</x:v>
      </x:c>
      <x:c r="M116">
        <x:v>90</x:v>
      </x:c>
      <x:c r="N116">
        <x:v>63</x:v>
      </x:c>
      <x:c r="O116">
        <x:v>60</x:v>
      </x:c>
      <x:c r="P116">
        <x:v>66</x:v>
      </x:c>
      <x:c r="Q116">
        <x:v>63</x:v>
      </x:c>
      <x:c r="R116">
        <x:v>79</x:v>
      </x:c>
      <x:c r="S116">
        <x:v>82</x:v>
      </x:c>
      <x:c r="T116">
        <x:v>51</x:v>
      </x:c>
      <x:c r="U116">
        <x:v>63</x:v>
      </x:c>
    </x:row>
    <x:row r="117">
      <x:c r="A117" t="s">
        <x:v>472</x:v>
      </x:c>
      <x:c r="B117" t="s">
        <x:v>427</x:v>
      </x:c>
      <x:c r="C117" t="s">
        <x:v>331</x:v>
      </x:c>
      <x:c r="D117">
        <x:v>8477948</x:v>
      </x:c>
      <x:c r="E117">
        <x:v>70</x:v>
      </x:c>
      <x:c r="F117">
        <x:v>43</x:v>
      </x:c>
      <x:c r="G117">
        <x:v>90</x:v>
      </x:c>
      <x:c r="H117">
        <x:v>48</x:v>
      </x:c>
      <x:c r="I117">
        <x:v>86</x:v>
      </x:c>
      <x:c r="J117">
        <x:v>96</x:v>
      </x:c>
      <x:c r="K117">
        <x:v>99</x:v>
      </x:c>
      <x:c r="L117">
        <x:v>46</x:v>
      </x:c>
      <x:c r="M117">
        <x:v>30</x:v>
      </x:c>
      <x:c r="N117">
        <x:v>56</x:v>
      </x:c>
      <x:c r="O117">
        <x:v>49</x:v>
      </x:c>
      <x:c r="P117">
        <x:v>81</x:v>
      </x:c>
      <x:c r="Q117">
        <x:v>52</x:v>
      </x:c>
      <x:c r="R117">
        <x:v>79</x:v>
      </x:c>
      <x:c r="S117">
        <x:v>77</x:v>
      </x:c>
      <x:c r="T117">
        <x:v>51</x:v>
      </x:c>
      <x:c r="U117">
        <x:v>63</x:v>
      </x:c>
    </x:row>
    <x:row r="118">
      <x:c r="A118" t="s">
        <x:v>473</x:v>
      </x:c>
      <x:c r="B118" t="s">
        <x:v>436</x:v>
      </x:c>
      <x:c r="C118" t="s">
        <x:v>331</x:v>
      </x:c>
      <x:c r="D118">
        <x:v>8481524</x:v>
      </x:c>
      <x:c r="E118">
        <x:v>70</x:v>
      </x:c>
      <x:c r="F118">
        <x:v>40</x:v>
      </x:c>
      <x:c r="G118">
        <x:v>80</x:v>
      </x:c>
      <x:c r="H118">
        <x:v>48</x:v>
      </x:c>
      <x:c r="I118">
        <x:v>82</x:v>
      </x:c>
      <x:c r="J118">
        <x:v>94</x:v>
      </x:c>
      <x:c r="K118">
        <x:v>99</x:v>
      </x:c>
      <x:c r="L118">
        <x:v>48</x:v>
      </x:c>
      <x:c r="M118">
        <x:v>30</x:v>
      </x:c>
      <x:c r="N118">
        <x:v>58</x:v>
      </x:c>
      <x:c r="O118">
        <x:v>49</x:v>
      </x:c>
      <x:c r="P118">
        <x:v>78</x:v>
      </x:c>
      <x:c r="Q118">
        <x:v>70</x:v>
      </x:c>
      <x:c r="R118">
        <x:v>71</x:v>
      </x:c>
      <x:c r="S118">
        <x:v>76</x:v>
      </x:c>
      <x:c r="T118">
        <x:v>51</x:v>
      </x:c>
      <x:c r="U118">
        <x:v>62</x:v>
      </x:c>
    </x:row>
    <x:row r="119">
      <x:c r="A119" t="s">
        <x:v>474</x:v>
      </x:c>
      <x:c r="B119" t="s">
        <x:v>364</x:v>
      </x:c>
      <x:c r="C119" t="s">
        <x:v>339</x:v>
      </x:c>
      <x:c r="D119">
        <x:v>8483431</x:v>
      </x:c>
      <x:c r="E119">
        <x:v>65</x:v>
      </x:c>
      <x:c r="F119">
        <x:v>34</x:v>
      </x:c>
      <x:c r="G119">
        <x:v>82</x:v>
      </x:c>
      <x:c r="H119">
        <x:v>62</x:v>
      </x:c>
      <x:c r="I119">
        <x:v>77</x:v>
      </x:c>
      <x:c r="J119">
        <x:v>88</x:v>
      </x:c>
      <x:c r="K119">
        <x:v>80</x:v>
      </x:c>
      <x:c r="L119">
        <x:v>64</x:v>
      </x:c>
      <x:c r="M119">
        <x:v>85</x:v>
      </x:c>
      <x:c r="N119">
        <x:v>58</x:v>
      </x:c>
      <x:c r="O119">
        <x:v>64</x:v>
      </x:c>
      <x:c r="P119">
        <x:v>66</x:v>
      </x:c>
      <x:c r="Q119">
        <x:v>55</x:v>
      </x:c>
      <x:c r="R119">
        <x:v>67</x:v>
      </x:c>
      <x:c r="S119">
        <x:v>77</x:v>
      </x:c>
      <x:c r="T119">
        <x:v>51</x:v>
      </x:c>
      <x:c r="U119">
        <x:v>62</x:v>
      </x:c>
    </x:row>
    <x:row r="120">
      <x:c r="A120" t="s">
        <x:v>475</x:v>
      </x:c>
      <x:c r="B120" t="s">
        <x:v>396</x:v>
      </x:c>
      <x:c r="C120" t="s">
        <x:v>331</x:v>
      </x:c>
      <x:c r="D120">
        <x:v>8476892</x:v>
      </x:c>
      <x:c r="E120">
        <x:v>75</x:v>
      </x:c>
      <x:c r="F120">
        <x:v>69</x:v>
      </x:c>
      <x:c r="G120">
        <x:v>93</x:v>
      </x:c>
      <x:c r="H120">
        <x:v>43</x:v>
      </x:c>
      <x:c r="I120">
        <x:v>93</x:v>
      </x:c>
      <x:c r="J120">
        <x:v>94</x:v>
      </x:c>
      <x:c r="K120">
        <x:v>95</x:v>
      </x:c>
      <x:c r="L120">
        <x:v>44</x:v>
      </x:c>
      <x:c r="M120">
        <x:v>30</x:v>
      </x:c>
      <x:c r="N120">
        <x:v>53</x:v>
      </x:c>
      <x:c r="O120">
        <x:v>48</x:v>
      </x:c>
      <x:c r="P120">
        <x:v>80</x:v>
      </x:c>
      <x:c r="Q120">
        <x:v>52</x:v>
      </x:c>
      <x:c r="R120">
        <x:v>85</x:v>
      </x:c>
      <x:c r="S120">
        <x:v>83</x:v>
      </x:c>
      <x:c r="T120">
        <x:v>51</x:v>
      </x:c>
      <x:c r="U120">
        <x:v>62</x:v>
      </x:c>
    </x:row>
    <x:row r="121">
      <x:c r="A121" t="s">
        <x:v>476</x:v>
      </x:c>
      <x:c r="B121" t="s">
        <x:v>402</x:v>
      </x:c>
      <x:c r="C121" t="s">
        <x:v>339</x:v>
      </x:c>
      <x:c r="D121">
        <x:v>8476432</x:v>
      </x:c>
      <x:c r="E121">
        <x:v>75</x:v>
      </x:c>
      <x:c r="F121">
        <x:v>71</x:v>
      </x:c>
      <x:c r="G121">
        <x:v>84</x:v>
      </x:c>
      <x:c r="H121">
        <x:v>57</x:v>
      </x:c>
      <x:c r="I121">
        <x:v>87</x:v>
      </x:c>
      <x:c r="J121">
        <x:v>86</x:v>
      </x:c>
      <x:c r="K121">
        <x:v>80</x:v>
      </x:c>
      <x:c r="L121">
        <x:v>57</x:v>
      </x:c>
      <x:c r="M121">
        <x:v>84</x:v>
      </x:c>
      <x:c r="N121">
        <x:v>58</x:v>
      </x:c>
      <x:c r="O121">
        <x:v>57</x:v>
      </x:c>
      <x:c r="P121">
        <x:v>69</x:v>
      </x:c>
      <x:c r="Q121">
        <x:v>56</x:v>
      </x:c>
      <x:c r="R121">
        <x:v>85</x:v>
      </x:c>
      <x:c r="S121">
        <x:v>89</x:v>
      </x:c>
      <x:c r="T121">
        <x:v>51</x:v>
      </x:c>
      <x:c r="U121">
        <x:v>62</x:v>
      </x:c>
    </x:row>
    <x:row r="122">
      <x:c r="A122" t="s">
        <x:v>477</x:v>
      </x:c>
      <x:c r="B122" t="s">
        <x:v>354</x:v>
      </x:c>
      <x:c r="C122" t="s">
        <x:v>329</x:v>
      </x:c>
      <x:c r="D122">
        <x:v>8477964</x:v>
      </x:c>
      <x:c r="E122">
        <x:v>71</x:v>
      </x:c>
      <x:c r="F122">
        <x:v>39</x:v>
      </x:c>
      <x:c r="G122">
        <x:v>94</x:v>
      </x:c>
      <x:c r="H122">
        <x:v>60</x:v>
      </x:c>
      <x:c r="I122">
        <x:v>80</x:v>
      </x:c>
      <x:c r="J122">
        <x:v>86</x:v>
      </x:c>
      <x:c r="K122">
        <x:v>97</x:v>
      </x:c>
      <x:c r="L122">
        <x:v>60</x:v>
      </x:c>
      <x:c r="M122">
        <x:v>67</x:v>
      </x:c>
      <x:c r="N122">
        <x:v>61</x:v>
      </x:c>
      <x:c r="O122">
        <x:v>59</x:v>
      </x:c>
      <x:c r="P122">
        <x:v>62</x:v>
      </x:c>
      <x:c r="Q122">
        <x:v>52</x:v>
      </x:c>
      <x:c r="R122">
        <x:v>80</x:v>
      </x:c>
      <x:c r="S122">
        <x:v>74</x:v>
      </x:c>
      <x:c r="T122">
        <x:v>51</x:v>
      </x:c>
      <x:c r="U122">
        <x:v>62</x:v>
      </x:c>
    </x:row>
    <x:row r="123">
      <x:c r="A123" t="s">
        <x:v>478</x:v>
      </x:c>
      <x:c r="B123" t="s">
        <x:v>356</x:v>
      </x:c>
      <x:c r="C123" t="s">
        <x:v>329</x:v>
      </x:c>
      <x:c r="D123">
        <x:v>8475798</x:v>
      </x:c>
      <x:c r="E123">
        <x:v>62</x:v>
      </x:c>
      <x:c r="F123">
        <x:v>34</x:v>
      </x:c>
      <x:c r="G123">
        <x:v>88</x:v>
      </x:c>
      <x:c r="H123">
        <x:v>60</x:v>
      </x:c>
      <x:c r="I123">
        <x:v>77</x:v>
      </x:c>
      <x:c r="J123">
        <x:v>91</x:v>
      </x:c>
      <x:c r="K123">
        <x:v>83</x:v>
      </x:c>
      <x:c r="L123">
        <x:v>62</x:v>
      </x:c>
      <x:c r="M123">
        <x:v>88</x:v>
      </x:c>
      <x:c r="N123">
        <x:v>60</x:v>
      </x:c>
      <x:c r="O123">
        <x:v>60</x:v>
      </x:c>
      <x:c r="P123">
        <x:v>69</x:v>
      </x:c>
      <x:c r="Q123">
        <x:v>77</x:v>
      </x:c>
      <x:c r="R123">
        <x:v>87</x:v>
      </x:c>
      <x:c r="S123">
        <x:v>79</x:v>
      </x:c>
      <x:c r="T123">
        <x:v>51</x:v>
      </x:c>
      <x:c r="U123">
        <x:v>62</x:v>
      </x:c>
    </x:row>
    <x:row r="124">
      <x:c r="A124" t="s">
        <x:v>479</x:v>
      </x:c>
      <x:c r="B124" t="s">
        <x:v>439</x:v>
      </x:c>
      <x:c r="C124" t="s">
        <x:v>323</x:v>
      </x:c>
      <x:c r="D124">
        <x:v>8478445</x:v>
      </x:c>
      <x:c r="E124">
        <x:v>60</x:v>
      </x:c>
      <x:c r="F124">
        <x:v>44</x:v>
      </x:c>
      <x:c r="G124">
        <x:v>82</x:v>
      </x:c>
      <x:c r="H124">
        <x:v>66</x:v>
      </x:c>
      <x:c r="I124">
        <x:v>76</x:v>
      </x:c>
      <x:c r="J124">
        <x:v>92</x:v>
      </x:c>
      <x:c r="K124">
        <x:v>92</x:v>
      </x:c>
      <x:c r="L124">
        <x:v>64</x:v>
      </x:c>
      <x:c r="M124">
        <x:v>77</x:v>
      </x:c>
      <x:c r="N124">
        <x:v>66</x:v>
      </x:c>
      <x:c r="O124">
        <x:v>57</x:v>
      </x:c>
      <x:c r="P124">
        <x:v>64</x:v>
      </x:c>
      <x:c r="Q124">
        <x:v>83</x:v>
      </x:c>
      <x:c r="R124">
        <x:v>77</x:v>
      </x:c>
      <x:c r="S124">
        <x:v>79</x:v>
      </x:c>
      <x:c r="T124">
        <x:v>51</x:v>
      </x:c>
      <x:c r="U124">
        <x:v>62</x:v>
      </x:c>
    </x:row>
    <x:row r="125">
      <x:c r="A125" t="s">
        <x:v>480</x:v>
      </x:c>
      <x:c r="B125" t="s">
        <x:v>481</x:v>
      </x:c>
      <x:c r="C125" t="s">
        <x:v>331</x:v>
      </x:c>
      <x:c r="D125">
        <x:v>8477986</x:v>
      </x:c>
      <x:c r="E125">
        <x:v>74</x:v>
      </x:c>
      <x:c r="F125">
        <x:v>55</x:v>
      </x:c>
      <x:c r="G125">
        <x:v>78</x:v>
      </x:c>
      <x:c r="H125">
        <x:v>49</x:v>
      </x:c>
      <x:c r="I125">
        <x:v>78</x:v>
      </x:c>
      <x:c r="J125">
        <x:v>94</x:v>
      </x:c>
      <x:c r="K125">
        <x:v>88</x:v>
      </x:c>
      <x:c r="L125">
        <x:v>48</x:v>
      </x:c>
      <x:c r="M125">
        <x:v>30</x:v>
      </x:c>
      <x:c r="N125">
        <x:v>56</x:v>
      </x:c>
      <x:c r="O125">
        <x:v>51</x:v>
      </x:c>
      <x:c r="P125">
        <x:v>74</x:v>
      </x:c>
      <x:c r="Q125">
        <x:v>59</x:v>
      </x:c>
      <x:c r="R125">
        <x:v>83</x:v>
      </x:c>
      <x:c r="S125">
        <x:v>73</x:v>
      </x:c>
      <x:c r="T125">
        <x:v>48</x:v>
      </x:c>
      <x:c r="U125">
        <x:v>62</x:v>
      </x:c>
    </x:row>
    <x:row r="126">
      <x:c r="A126" t="s">
        <x:v>482</x:v>
      </x:c>
      <x:c r="B126" t="s">
        <x:v>340</x:v>
      </x:c>
      <x:c r="C126" t="s">
        <x:v>331</x:v>
      </x:c>
      <x:c r="D126">
        <x:v>8475200</x:v>
      </x:c>
      <x:c r="E126">
        <x:v>76</x:v>
      </x:c>
      <x:c r="F126">
        <x:v>40</x:v>
      </x:c>
      <x:c r="G126">
        <x:v>81</x:v>
      </x:c>
      <x:c r="H126">
        <x:v>45</x:v>
      </x:c>
      <x:c r="I126">
        <x:v>82</x:v>
      </x:c>
      <x:c r="J126">
        <x:v>93</x:v>
      </x:c>
      <x:c r="K126">
        <x:v>99</x:v>
      </x:c>
      <x:c r="L126">
        <x:v>44</x:v>
      </x:c>
      <x:c r="M126">
        <x:v>30</x:v>
      </x:c>
      <x:c r="N126">
        <x:v>59</x:v>
      </x:c>
      <x:c r="O126">
        <x:v>46</x:v>
      </x:c>
      <x:c r="P126">
        <x:v>75</x:v>
      </x:c>
      <x:c r="Q126">
        <x:v>53</x:v>
      </x:c>
      <x:c r="R126">
        <x:v>86</x:v>
      </x:c>
      <x:c r="S126">
        <x:v>78</x:v>
      </x:c>
      <x:c r="T126">
        <x:v>51</x:v>
      </x:c>
      <x:c r="U126">
        <x:v>62</x:v>
      </x:c>
    </x:row>
    <x:row r="127">
      <x:c r="A127" t="s">
        <x:v>483</x:v>
      </x:c>
      <x:c r="B127" t="s">
        <x:v>348</x:v>
      </x:c>
      <x:c r="C127" t="s">
        <x:v>323</x:v>
      </x:c>
      <x:c r="D127">
        <x:v>8480014</x:v>
      </x:c>
      <x:c r="E127">
        <x:v>58</x:v>
      </x:c>
      <x:c r="F127">
        <x:v>41</x:v>
      </x:c>
      <x:c r="G127">
        <x:v>91</x:v>
      </x:c>
      <x:c r="H127">
        <x:v>64</x:v>
      </x:c>
      <x:c r="I127">
        <x:v>85</x:v>
      </x:c>
      <x:c r="J127">
        <x:v>90</x:v>
      </x:c>
      <x:c r="K127">
        <x:v>96</x:v>
      </x:c>
      <x:c r="L127">
        <x:v>64</x:v>
      </x:c>
      <x:c r="M127">
        <x:v>73</x:v>
      </x:c>
      <x:c r="N127">
        <x:v>62</x:v>
      </x:c>
      <x:c r="O127">
        <x:v>63</x:v>
      </x:c>
      <x:c r="P127">
        <x:v>63</x:v>
      </x:c>
      <x:c r="Q127">
        <x:v>83</x:v>
      </x:c>
      <x:c r="R127">
        <x:v>73</x:v>
      </x:c>
      <x:c r="S127">
        <x:v>77</x:v>
      </x:c>
      <x:c r="T127">
        <x:v>51</x:v>
      </x:c>
      <x:c r="U127">
        <x:v>62</x:v>
      </x:c>
    </x:row>
    <x:row r="128">
      <x:c r="A128" t="s">
        <x:v>484</x:v>
      </x:c>
      <x:c r="B128" t="s">
        <x:v>343</x:v>
      </x:c>
      <x:c r="C128" t="s">
        <x:v>331</x:v>
      </x:c>
      <x:c r="D128">
        <x:v>8476902</x:v>
      </x:c>
      <x:c r="E128">
        <x:v>68</x:v>
      </x:c>
      <x:c r="F128">
        <x:v>40</x:v>
      </x:c>
      <x:c r="G128">
        <x:v>92</x:v>
      </x:c>
      <x:c r="H128">
        <x:v>43</x:v>
      </x:c>
      <x:c r="I128">
        <x:v>84</x:v>
      </x:c>
      <x:c r="J128">
        <x:v>95</x:v>
      </x:c>
      <x:c r="K128">
        <x:v>99</x:v>
      </x:c>
      <x:c r="L128">
        <x:v>44</x:v>
      </x:c>
      <x:c r="M128">
        <x:v>30</x:v>
      </x:c>
      <x:c r="N128">
        <x:v>56</x:v>
      </x:c>
      <x:c r="O128">
        <x:v>47</x:v>
      </x:c>
      <x:c r="P128">
        <x:v>84</x:v>
      </x:c>
      <x:c r="Q128">
        <x:v>52</x:v>
      </x:c>
      <x:c r="R128">
        <x:v>83</x:v>
      </x:c>
      <x:c r="S128">
        <x:v>80</x:v>
      </x:c>
      <x:c r="T128">
        <x:v>51</x:v>
      </x:c>
      <x:c r="U128">
        <x:v>62</x:v>
      </x:c>
    </x:row>
    <x:row r="129">
      <x:c r="A129" t="s">
        <x:v>485</x:v>
      </x:c>
      <x:c r="B129" t="s">
        <x:v>352</x:v>
      </x:c>
      <x:c r="C129" t="s">
        <x:v>331</x:v>
      </x:c>
      <x:c r="D129">
        <x:v>8476853</x:v>
      </x:c>
      <x:c r="E129">
        <x:v>68</x:v>
      </x:c>
      <x:c r="F129">
        <x:v>58</x:v>
      </x:c>
      <x:c r="G129">
        <x:v>89</x:v>
      </x:c>
      <x:c r="H129">
        <x:v>47</x:v>
      </x:c>
      <x:c r="I129">
        <x:v>83</x:v>
      </x:c>
      <x:c r="J129">
        <x:v>93</x:v>
      </x:c>
      <x:c r="K129">
        <x:v>98</x:v>
      </x:c>
      <x:c r="L129">
        <x:v>47</x:v>
      </x:c>
      <x:c r="M129">
        <x:v>30</x:v>
      </x:c>
      <x:c r="N129">
        <x:v>58</x:v>
      </x:c>
      <x:c r="O129">
        <x:v>49</x:v>
      </x:c>
      <x:c r="P129">
        <x:v>76</x:v>
      </x:c>
      <x:c r="Q129">
        <x:v>52</x:v>
      </x:c>
      <x:c r="R129">
        <x:v>83</x:v>
      </x:c>
      <x:c r="S129">
        <x:v>80</x:v>
      </x:c>
      <x:c r="T129">
        <x:v>51</x:v>
      </x:c>
      <x:c r="U129">
        <x:v>62</x:v>
      </x:c>
    </x:row>
    <x:row r="130">
      <x:c r="A130" t="s">
        <x:v>486</x:v>
      </x:c>
      <x:c r="B130" t="s">
        <x:v>324</x:v>
      </x:c>
      <x:c r="C130" t="s">
        <x:v>331</x:v>
      </x:c>
      <x:c r="D130">
        <x:v>8478038</x:v>
      </x:c>
      <x:c r="E130">
        <x:v>68</x:v>
      </x:c>
      <x:c r="F130">
        <x:v>39</x:v>
      </x:c>
      <x:c r="G130">
        <x:v>84</x:v>
      </x:c>
      <x:c r="H130">
        <x:v>46</x:v>
      </x:c>
      <x:c r="I130">
        <x:v>81</x:v>
      </x:c>
      <x:c r="J130">
        <x:v>94</x:v>
      </x:c>
      <x:c r="K130">
        <x:v>91</x:v>
      </x:c>
      <x:c r="L130">
        <x:v>46</x:v>
      </x:c>
      <x:c r="M130">
        <x:v>30</x:v>
      </x:c>
      <x:c r="N130">
        <x:v>57</x:v>
      </x:c>
      <x:c r="O130">
        <x:v>47</x:v>
      </x:c>
      <x:c r="P130">
        <x:v>80</x:v>
      </x:c>
      <x:c r="Q130">
        <x:v>52</x:v>
      </x:c>
      <x:c r="R130">
        <x:v>84</x:v>
      </x:c>
      <x:c r="S130">
        <x:v>83</x:v>
      </x:c>
      <x:c r="T130">
        <x:v>47</x:v>
      </x:c>
      <x:c r="U130">
        <x:v>62</x:v>
      </x:c>
    </x:row>
    <x:row r="131">
      <x:c r="A131" t="s">
        <x:v>487</x:v>
      </x:c>
      <x:c r="B131" t="s">
        <x:v>343</x:v>
      </x:c>
      <x:c r="C131" t="s">
        <x:v>323</x:v>
      </x:c>
      <x:c r="D131">
        <x:v>8475168</x:v>
      </x:c>
      <x:c r="E131">
        <x:v>60</x:v>
      </x:c>
      <x:c r="F131">
        <x:v>35</x:v>
      </x:c>
      <x:c r="G131">
        <x:v>95</x:v>
      </x:c>
      <x:c r="H131">
        <x:v>64</x:v>
      </x:c>
      <x:c r="I131">
        <x:v>78</x:v>
      </x:c>
      <x:c r="J131">
        <x:v>87</x:v>
      </x:c>
      <x:c r="K131">
        <x:v>83</x:v>
      </x:c>
      <x:c r="L131">
        <x:v>62</x:v>
      </x:c>
      <x:c r="M131">
        <x:v>87</x:v>
      </x:c>
      <x:c r="N131">
        <x:v>63</x:v>
      </x:c>
      <x:c r="O131">
        <x:v>60</x:v>
      </x:c>
      <x:c r="P131">
        <x:v>62</x:v>
      </x:c>
      <x:c r="Q131">
        <x:v>89</x:v>
      </x:c>
      <x:c r="R131">
        <x:v>89</x:v>
      </x:c>
      <x:c r="S131">
        <x:v>82</x:v>
      </x:c>
      <x:c r="T131">
        <x:v>51</x:v>
      </x:c>
      <x:c r="U131">
        <x:v>62</x:v>
      </x:c>
    </x:row>
    <x:row r="132">
      <x:c r="A132" t="s">
        <x:v>488</x:v>
      </x:c>
      <x:c r="B132" t="s">
        <x:v>383</x:v>
      </x:c>
      <x:c r="C132" t="s">
        <x:v>331</x:v>
      </x:c>
      <x:c r="D132">
        <x:v>8478882</x:v>
      </x:c>
      <x:c r="E132">
        <x:v>69</x:v>
      </x:c>
      <x:c r="F132">
        <x:v>42</x:v>
      </x:c>
      <x:c r="G132">
        <x:v>81</x:v>
      </x:c>
      <x:c r="H132">
        <x:v>44</x:v>
      </x:c>
      <x:c r="I132">
        <x:v>86</x:v>
      </x:c>
      <x:c r="J132">
        <x:v>95</x:v>
      </x:c>
      <x:c r="K132">
        <x:v>99</x:v>
      </x:c>
      <x:c r="L132">
        <x:v>46</x:v>
      </x:c>
      <x:c r="M132">
        <x:v>30</x:v>
      </x:c>
      <x:c r="N132">
        <x:v>54</x:v>
      </x:c>
      <x:c r="O132">
        <x:v>50</x:v>
      </x:c>
      <x:c r="P132">
        <x:v>80</x:v>
      </x:c>
      <x:c r="Q132">
        <x:v>52</x:v>
      </x:c>
      <x:c r="R132">
        <x:v>80</x:v>
      </x:c>
      <x:c r="S132">
        <x:v>74</x:v>
      </x:c>
      <x:c r="T132">
        <x:v>51</x:v>
      </x:c>
      <x:c r="U132">
        <x:v>62</x:v>
      </x:c>
    </x:row>
    <x:row r="133">
      <x:c r="A133" t="s">
        <x:v>489</x:v>
      </x:c>
      <x:c r="B133" t="s">
        <x:v>334</x:v>
      </x:c>
      <x:c r="C133" t="s">
        <x:v>323</x:v>
      </x:c>
      <x:c r="D133">
        <x:v>8477496</x:v>
      </x:c>
      <x:c r="E133">
        <x:v>64</x:v>
      </x:c>
      <x:c r="F133">
        <x:v>39</x:v>
      </x:c>
      <x:c r="G133">
        <x:v>84</x:v>
      </x:c>
      <x:c r="H133">
        <x:v>60</x:v>
      </x:c>
      <x:c r="I133">
        <x:v>82</x:v>
      </x:c>
      <x:c r="J133">
        <x:v>88</x:v>
      </x:c>
      <x:c r="K133">
        <x:v>89</x:v>
      </x:c>
      <x:c r="L133">
        <x:v>60</x:v>
      </x:c>
      <x:c r="M133">
        <x:v>91</x:v>
      </x:c>
      <x:c r="N133">
        <x:v>61</x:v>
      </x:c>
      <x:c r="O133">
        <x:v>58</x:v>
      </x:c>
      <x:c r="P133">
        <x:v>69</x:v>
      </x:c>
      <x:c r="Q133">
        <x:v>61</x:v>
      </x:c>
      <x:c r="R133">
        <x:v>84</x:v>
      </x:c>
      <x:c r="S133">
        <x:v>83</x:v>
      </x:c>
      <x:c r="T133">
        <x:v>51</x:v>
      </x:c>
      <x:c r="U133">
        <x:v>62</x:v>
      </x:c>
    </x:row>
    <x:row r="134">
      <x:c r="A134" t="s">
        <x:v>490</x:v>
      </x:c>
      <x:c r="B134" t="s">
        <x:v>334</x:v>
      </x:c>
      <x:c r="C134" t="s">
        <x:v>339</x:v>
      </x:c>
      <x:c r="D134">
        <x:v>8478401</x:v>
      </x:c>
      <x:c r="E134">
        <x:v>64</x:v>
      </x:c>
      <x:c r="F134">
        <x:v>43</x:v>
      </x:c>
      <x:c r="G134">
        <x:v>88</x:v>
      </x:c>
      <x:c r="H134">
        <x:v>59</x:v>
      </x:c>
      <x:c r="I134">
        <x:v>88</x:v>
      </x:c>
      <x:c r="J134">
        <x:v>88</x:v>
      </x:c>
      <x:c r="K134">
        <x:v>96</x:v>
      </x:c>
      <x:c r="L134">
        <x:v>61</x:v>
      </x:c>
      <x:c r="M134">
        <x:v>89</x:v>
      </x:c>
      <x:c r="N134">
        <x:v>61</x:v>
      </x:c>
      <x:c r="O134">
        <x:v>62</x:v>
      </x:c>
      <x:c r="P134">
        <x:v>68</x:v>
      </x:c>
      <x:c r="Q134">
        <x:v>60</x:v>
      </x:c>
      <x:c r="R134">
        <x:v>77</x:v>
      </x:c>
      <x:c r="S134">
        <x:v>75</x:v>
      </x:c>
      <x:c r="T134">
        <x:v>51</x:v>
      </x:c>
      <x:c r="U134">
        <x:v>62</x:v>
      </x:c>
    </x:row>
    <x:row r="135">
      <x:c r="A135" t="s">
        <x:v>491</x:v>
      </x:c>
      <x:c r="B135" t="s">
        <x:v>379</x:v>
      </x:c>
      <x:c r="C135" t="s">
        <x:v>333</x:v>
      </x:c>
      <x:c r="D135">
        <x:v>8475692</x:v>
      </x:c>
      <x:c r="E135">
        <x:v>59</x:v>
      </x:c>
      <x:c r="F135">
        <x:v>34</x:v>
      </x:c>
      <x:c r="G135">
        <x:v>87</x:v>
      </x:c>
      <x:c r="H135">
        <x:v>61</x:v>
      </x:c>
      <x:c r="I135">
        <x:v>77</x:v>
      </x:c>
      <x:c r="J135">
        <x:v>90</x:v>
      </x:c>
      <x:c r="K135">
        <x:v>81</x:v>
      </x:c>
      <x:c r="L135">
        <x:v>64</x:v>
      </x:c>
      <x:c r="M135">
        <x:v>72</x:v>
      </x:c>
      <x:c r="N135">
        <x:v>67</x:v>
      </x:c>
      <x:c r="O135">
        <x:v>58</x:v>
      </x:c>
      <x:c r="P135">
        <x:v>63</x:v>
      </x:c>
      <x:c r="Q135">
        <x:v>88</x:v>
      </x:c>
      <x:c r="R135">
        <x:v>93</x:v>
      </x:c>
      <x:c r="S135">
        <x:v>83</x:v>
      </x:c>
      <x:c r="T135">
        <x:v>51</x:v>
      </x:c>
      <x:c r="U135">
        <x:v>62</x:v>
      </x:c>
    </x:row>
    <x:row r="136">
      <x:c r="A136" t="s">
        <x:v>492</x:v>
      </x:c>
      <x:c r="B136" t="s">
        <x:v>337</x:v>
      </x:c>
      <x:c r="C136" t="s">
        <x:v>331</x:v>
      </x:c>
      <x:c r="D136">
        <x:v>8478500</x:v>
      </x:c>
      <x:c r="E136">
        <x:v>67</x:v>
      </x:c>
      <x:c r="F136">
        <x:v>45</x:v>
      </x:c>
      <x:c r="G136">
        <x:v>86</x:v>
      </x:c>
      <x:c r="H136">
        <x:v>44</x:v>
      </x:c>
      <x:c r="I136">
        <x:v>85</x:v>
      </x:c>
      <x:c r="J136">
        <x:v>96</x:v>
      </x:c>
      <x:c r="K136">
        <x:v>99</x:v>
      </x:c>
      <x:c r="L136">
        <x:v>43</x:v>
      </x:c>
      <x:c r="M136">
        <x:v>30</x:v>
      </x:c>
      <x:c r="N136">
        <x:v>55</x:v>
      </x:c>
      <x:c r="O136">
        <x:v>48</x:v>
      </x:c>
      <x:c r="P136">
        <x:v>81</x:v>
      </x:c>
      <x:c r="Q136">
        <x:v>53</x:v>
      </x:c>
      <x:c r="R136">
        <x:v>78</x:v>
      </x:c>
      <x:c r="S136">
        <x:v>82</x:v>
      </x:c>
      <x:c r="T136">
        <x:v>51</x:v>
      </x:c>
      <x:c r="U136">
        <x:v>62</x:v>
      </x:c>
    </x:row>
    <x:row r="137">
      <x:c r="A137" t="s">
        <x:v>493</x:v>
      </x:c>
      <x:c r="B137" t="s">
        <x:v>337</x:v>
      </x:c>
      <x:c r="C137" t="s">
        <x:v>333</x:v>
      </x:c>
      <x:c r="D137">
        <x:v>8477501</x:v>
      </x:c>
      <x:c r="E137">
        <x:v>65</x:v>
      </x:c>
      <x:c r="F137">
        <x:v>43</x:v>
      </x:c>
      <x:c r="G137">
        <x:v>88</x:v>
      </x:c>
      <x:c r="H137">
        <x:v>61</x:v>
      </x:c>
      <x:c r="I137">
        <x:v>88</x:v>
      </x:c>
      <x:c r="J137">
        <x:v>88</x:v>
      </x:c>
      <x:c r="K137">
        <x:v>86</x:v>
      </x:c>
      <x:c r="L137">
        <x:v>60</x:v>
      </x:c>
      <x:c r="M137">
        <x:v>68</x:v>
      </x:c>
      <x:c r="N137">
        <x:v>60</x:v>
      </x:c>
      <x:c r="O137">
        <x:v>59</x:v>
      </x:c>
      <x:c r="P137">
        <x:v>69</x:v>
      </x:c>
      <x:c r="Q137">
        <x:v>82</x:v>
      </x:c>
      <x:c r="R137">
        <x:v>81</x:v>
      </x:c>
      <x:c r="S137">
        <x:v>79</x:v>
      </x:c>
      <x:c r="T137">
        <x:v>51</x:v>
      </x:c>
      <x:c r="U137">
        <x:v>62</x:v>
      </x:c>
    </x:row>
    <x:row r="138">
      <x:c r="A138" t="s">
        <x:v>494</x:v>
      </x:c>
      <x:c r="B138" t="s">
        <x:v>337</x:v>
      </x:c>
      <x:c r="C138" t="s">
        <x:v>333</x:v>
      </x:c>
      <x:c r="D138">
        <x:v>8478873</x:v>
      </x:c>
      <x:c r="E138">
        <x:v>56</x:v>
      </x:c>
      <x:c r="F138">
        <x:v>32</x:v>
      </x:c>
      <x:c r="G138">
        <x:v>93</x:v>
      </x:c>
      <x:c r="H138">
        <x:v>64</x:v>
      </x:c>
      <x:c r="I138">
        <x:v>75</x:v>
      </x:c>
      <x:c r="J138">
        <x:v>89</x:v>
      </x:c>
      <x:c r="K138">
        <x:v>83</x:v>
      </x:c>
      <x:c r="L138">
        <x:v>64</x:v>
      </x:c>
      <x:c r="M138">
        <x:v>68</x:v>
      </x:c>
      <x:c r="N138">
        <x:v>65</x:v>
      </x:c>
      <x:c r="O138">
        <x:v>60</x:v>
      </x:c>
      <x:c r="P138">
        <x:v>65</x:v>
      </x:c>
      <x:c r="Q138">
        <x:v>88</x:v>
      </x:c>
      <x:c r="R138">
        <x:v>77</x:v>
      </x:c>
      <x:c r="S138">
        <x:v>79</x:v>
      </x:c>
      <x:c r="T138">
        <x:v>51</x:v>
      </x:c>
      <x:c r="U138">
        <x:v>62</x:v>
      </x:c>
    </x:row>
    <x:row r="139">
      <x:c r="A139" t="s">
        <x:v>495</x:v>
      </x:c>
      <x:c r="B139" t="s">
        <x:v>481</x:v>
      </x:c>
      <x:c r="C139" t="s">
        <x:v>331</x:v>
      </x:c>
      <x:c r="D139">
        <x:v>8476457</x:v>
      </x:c>
      <x:c r="E139">
        <x:v>76</x:v>
      </x:c>
      <x:c r="F139">
        <x:v>48</x:v>
      </x:c>
      <x:c r="G139">
        <x:v>83</x:v>
      </x:c>
      <x:c r="H139">
        <x:v>42</x:v>
      </x:c>
      <x:c r="I139">
        <x:v>89</x:v>
      </x:c>
      <x:c r="J139">
        <x:v>93</x:v>
      </x:c>
      <x:c r="K139">
        <x:v>99</x:v>
      </x:c>
      <x:c r="L139">
        <x:v>42</x:v>
      </x:c>
      <x:c r="M139">
        <x:v>30</x:v>
      </x:c>
      <x:c r="N139">
        <x:v>53</x:v>
      </x:c>
      <x:c r="O139">
        <x:v>47</x:v>
      </x:c>
      <x:c r="P139">
        <x:v>82</x:v>
      </x:c>
      <x:c r="Q139">
        <x:v>52</x:v>
      </x:c>
      <x:c r="R139">
        <x:v>87</x:v>
      </x:c>
      <x:c r="S139">
        <x:v>80</x:v>
      </x:c>
      <x:c r="T139">
        <x:v>51</x:v>
      </x:c>
      <x:c r="U139">
        <x:v>62</x:v>
      </x:c>
    </x:row>
    <x:row r="140">
      <x:c r="A140" t="s">
        <x:v>496</x:v>
      </x:c>
      <x:c r="B140" t="s">
        <x:v>402</x:v>
      </x:c>
      <x:c r="C140" t="s">
        <x:v>339</x:v>
      </x:c>
      <x:c r="D140">
        <x:v>8481656</x:v>
      </x:c>
      <x:c r="E140">
        <x:v>59</x:v>
      </x:c>
      <x:c r="F140">
        <x:v>43</x:v>
      </x:c>
      <x:c r="G140">
        <x:v>92</x:v>
      </x:c>
      <x:c r="H140">
        <x:v>59</x:v>
      </x:c>
      <x:c r="I140">
        <x:v>93</x:v>
      </x:c>
      <x:c r="J140">
        <x:v>88</x:v>
      </x:c>
      <x:c r="K140">
        <x:v>93</x:v>
      </x:c>
      <x:c r="L140">
        <x:v>63</x:v>
      </x:c>
      <x:c r="M140">
        <x:v>71</x:v>
      </x:c>
      <x:c r="N140">
        <x:v>58</x:v>
      </x:c>
      <x:c r="O140">
        <x:v>61</x:v>
      </x:c>
      <x:c r="P140">
        <x:v>70</x:v>
      </x:c>
      <x:c r="Q140">
        <x:v>56</x:v>
      </x:c>
      <x:c r="R140">
        <x:v>71</x:v>
      </x:c>
      <x:c r="S140">
        <x:v>76</x:v>
      </x:c>
      <x:c r="T140">
        <x:v>51</x:v>
      </x:c>
      <x:c r="U140">
        <x:v>62</x:v>
      </x:c>
    </x:row>
    <x:row r="141">
      <x:c r="A141" t="s">
        <x:v>497</x:v>
      </x:c>
      <x:c r="B141" t="s">
        <x:v>400</x:v>
      </x:c>
      <x:c r="C141" t="s">
        <x:v>339</x:v>
      </x:c>
      <x:c r="D141">
        <x:v>8477935</x:v>
      </x:c>
      <x:c r="E141">
        <x:v>71</x:v>
      </x:c>
      <x:c r="F141">
        <x:v>51</x:v>
      </x:c>
      <x:c r="G141">
        <x:v>73</x:v>
      </x:c>
      <x:c r="H141">
        <x:v>59</x:v>
      </x:c>
      <x:c r="I141">
        <x:v>85</x:v>
      </x:c>
      <x:c r="J141">
        <x:v>90</x:v>
      </x:c>
      <x:c r="K141">
        <x:v>93</x:v>
      </x:c>
      <x:c r="L141">
        <x:v>61</x:v>
      </x:c>
      <x:c r="M141">
        <x:v>88</x:v>
      </x:c>
      <x:c r="N141">
        <x:v>59</x:v>
      </x:c>
      <x:c r="O141">
        <x:v>62</x:v>
      </x:c>
      <x:c r="P141">
        <x:v>66</x:v>
      </x:c>
      <x:c r="Q141">
        <x:v>58</x:v>
      </x:c>
      <x:c r="R141">
        <x:v>79</x:v>
      </x:c>
      <x:c r="S141">
        <x:v>84</x:v>
      </x:c>
      <x:c r="T141">
        <x:v>51</x:v>
      </x:c>
      <x:c r="U141">
        <x:v>62</x:v>
      </x:c>
    </x:row>
    <x:row r="142">
      <x:c r="A142" t="s">
        <x:v>498</x:v>
      </x:c>
      <x:c r="B142" t="s">
        <x:v>334</x:v>
      </x:c>
      <x:c r="C142" t="s">
        <x:v>331</x:v>
      </x:c>
      <x:c r="D142">
        <x:v>8477506</x:v>
      </x:c>
      <x:c r="E142">
        <x:v>71</x:v>
      </x:c>
      <x:c r="F142">
        <x:v>42</x:v>
      </x:c>
      <x:c r="G142">
        <x:v>93</x:v>
      </x:c>
      <x:c r="H142">
        <x:v>43</x:v>
      </x:c>
      <x:c r="I142">
        <x:v>86</x:v>
      </x:c>
      <x:c r="J142">
        <x:v>92</x:v>
      </x:c>
      <x:c r="K142">
        <x:v>95</x:v>
      </x:c>
      <x:c r="L142">
        <x:v>43</x:v>
      </x:c>
      <x:c r="M142">
        <x:v>30</x:v>
      </x:c>
      <x:c r="N142">
        <x:v>56</x:v>
      </x:c>
      <x:c r="O142">
        <x:v>46</x:v>
      </x:c>
      <x:c r="P142">
        <x:v>82</x:v>
      </x:c>
      <x:c r="Q142">
        <x:v>51</x:v>
      </x:c>
      <x:c r="R142">
        <x:v>83</x:v>
      </x:c>
      <x:c r="S142">
        <x:v>80</x:v>
      </x:c>
      <x:c r="T142">
        <x:v>51</x:v>
      </x:c>
      <x:c r="U142">
        <x:v>62</x:v>
      </x:c>
    </x:row>
    <x:row r="143">
      <x:c r="A143" t="s">
        <x:v>499</x:v>
      </x:c>
      <x:c r="B143" t="s">
        <x:v>361</x:v>
      </x:c>
      <x:c r="C143" t="s">
        <x:v>333</x:v>
      </x:c>
      <x:c r="D143">
        <x:v>8475722</x:v>
      </x:c>
      <x:c r="E143">
        <x:v>65</x:v>
      </x:c>
      <x:c r="F143">
        <x:v>55</x:v>
      </x:c>
      <x:c r="G143">
        <x:v>88</x:v>
      </x:c>
      <x:c r="H143">
        <x:v>58</x:v>
      </x:c>
      <x:c r="I143">
        <x:v>77</x:v>
      </x:c>
      <x:c r="J143">
        <x:v>86</x:v>
      </x:c>
      <x:c r="K143">
        <x:v>83</x:v>
      </x:c>
      <x:c r="L143">
        <x:v>61</x:v>
      </x:c>
      <x:c r="M143">
        <x:v>75</x:v>
      </x:c>
      <x:c r="N143">
        <x:v>57</x:v>
      </x:c>
      <x:c r="O143">
        <x:v>63</x:v>
      </x:c>
      <x:c r="P143">
        <x:v>61</x:v>
      </x:c>
      <x:c r="Q143">
        <x:v>55</x:v>
      </x:c>
      <x:c r="R143">
        <x:v>87</x:v>
      </x:c>
      <x:c r="S143">
        <x:v>78</x:v>
      </x:c>
      <x:c r="T143">
        <x:v>51</x:v>
      </x:c>
      <x:c r="U143">
        <x:v>62</x:v>
      </x:c>
    </x:row>
    <x:row r="144">
      <x:c r="A144" t="s">
        <x:v>500</x:v>
      </x:c>
      <x:c r="B144" t="s">
        <x:v>327</x:v>
      </x:c>
      <x:c r="C144" t="s">
        <x:v>329</x:v>
      </x:c>
      <x:c r="D144">
        <x:v>8478519</x:v>
      </x:c>
      <x:c r="E144">
        <x:v>62</x:v>
      </x:c>
      <x:c r="F144">
        <x:v>71</x:v>
      </x:c>
      <x:c r="G144">
        <x:v>82</x:v>
      </x:c>
      <x:c r="H144">
        <x:v>63</x:v>
      </x:c>
      <x:c r="I144">
        <x:v>78</x:v>
      </x:c>
      <x:c r="J144">
        <x:v>88</x:v>
      </x:c>
      <x:c r="K144">
        <x:v>90</x:v>
      </x:c>
      <x:c r="L144">
        <x:v>59</x:v>
      </x:c>
      <x:c r="M144">
        <x:v>88</x:v>
      </x:c>
      <x:c r="N144">
        <x:v>59</x:v>
      </x:c>
      <x:c r="O144">
        <x:v>61</x:v>
      </x:c>
      <x:c r="P144">
        <x:v>74</x:v>
      </x:c>
      <x:c r="Q144">
        <x:v>53</x:v>
      </x:c>
      <x:c r="R144">
        <x:v>77</x:v>
      </x:c>
      <x:c r="S144">
        <x:v>78</x:v>
      </x:c>
      <x:c r="T144">
        <x:v>51</x:v>
      </x:c>
      <x:c r="U144">
        <x:v>62</x:v>
      </x:c>
    </x:row>
    <x:row r="145">
      <x:c r="A145" t="s">
        <x:v>501</x:v>
      </x:c>
      <x:c r="B145" t="s">
        <x:v>481</x:v>
      </x:c>
      <x:c r="C145" t="s">
        <x:v>331</x:v>
      </x:c>
      <x:c r="D145">
        <x:v>8478407</x:v>
      </x:c>
      <x:c r="E145">
        <x:v>67</x:v>
      </x:c>
      <x:c r="F145">
        <x:v>38</x:v>
      </x:c>
      <x:c r="G145">
        <x:v>79</x:v>
      </x:c>
      <x:c r="H145">
        <x:v>52</x:v>
      </x:c>
      <x:c r="I145">
        <x:v>78</x:v>
      </x:c>
      <x:c r="J145">
        <x:v>93</x:v>
      </x:c>
      <x:c r="K145">
        <x:v>97</x:v>
      </x:c>
      <x:c r="L145">
        <x:v>52</x:v>
      </x:c>
      <x:c r="M145">
        <x:v>30</x:v>
      </x:c>
      <x:c r="N145">
        <x:v>61</x:v>
      </x:c>
      <x:c r="O145">
        <x:v>50</x:v>
      </x:c>
      <x:c r="P145">
        <x:v>74</x:v>
      </x:c>
      <x:c r="Q145">
        <x:v>52</x:v>
      </x:c>
      <x:c r="R145">
        <x:v>79</x:v>
      </x:c>
      <x:c r="S145">
        <x:v>77</x:v>
      </x:c>
      <x:c r="T145">
        <x:v>51</x:v>
      </x:c>
      <x:c r="U145">
        <x:v>62</x:v>
      </x:c>
    </x:row>
    <x:row r="146">
      <x:c r="A146" t="s">
        <x:v>502</x:v>
      </x:c>
      <x:c r="B146" t="s">
        <x:v>366</x:v>
      </x:c>
      <x:c r="C146" t="s">
        <x:v>331</x:v>
      </x:c>
      <x:c r="D146">
        <x:v>8482684</x:v>
      </x:c>
      <x:c r="E146">
        <x:v>66</x:v>
      </x:c>
      <x:c r="F146">
        <x:v>35</x:v>
      </x:c>
      <x:c r="G146">
        <x:v>85</x:v>
      </x:c>
      <x:c r="H146">
        <x:v>51</x:v>
      </x:c>
      <x:c r="I146">
        <x:v>78</x:v>
      </x:c>
      <x:c r="J146">
        <x:v>94</x:v>
      </x:c>
      <x:c r="K146">
        <x:v>90</x:v>
      </x:c>
      <x:c r="L146">
        <x:v>49</x:v>
      </x:c>
      <x:c r="M146">
        <x:v>30</x:v>
      </x:c>
      <x:c r="N146">
        <x:v>61</x:v>
      </x:c>
      <x:c r="O146">
        <x:v>48</x:v>
      </x:c>
      <x:c r="P146">
        <x:v>76</x:v>
      </x:c>
      <x:c r="Q146">
        <x:v>57</x:v>
      </x:c>
      <x:c r="R146">
        <x:v>68</x:v>
      </x:c>
      <x:c r="S146">
        <x:v>78</x:v>
      </x:c>
      <x:c r="T146">
        <x:v>51</x:v>
      </x:c>
      <x:c r="U146">
        <x:v>62</x:v>
      </x:c>
    </x:row>
    <x:row r="147">
      <x:c r="A147" t="s">
        <x:v>503</x:v>
      </x:c>
      <x:c r="B147" t="s">
        <x:v>345</x:v>
      </x:c>
      <x:c r="C147" t="s">
        <x:v>331</x:v>
      </x:c>
      <x:c r="D147">
        <x:v>8474716</x:v>
      </x:c>
      <x:c r="E147">
        <x:v>73</x:v>
      </x:c>
      <x:c r="F147">
        <x:v>33</x:v>
      </x:c>
      <x:c r="G147">
        <x:v>94</x:v>
      </x:c>
      <x:c r="H147">
        <x:v>43</x:v>
      </x:c>
      <x:c r="I147">
        <x:v>76</x:v>
      </x:c>
      <x:c r="J147">
        <x:v>91</x:v>
      </x:c>
      <x:c r="K147">
        <x:v>95</x:v>
      </x:c>
      <x:c r="L147">
        <x:v>43</x:v>
      </x:c>
      <x:c r="M147">
        <x:v>30</x:v>
      </x:c>
      <x:c r="N147">
        <x:v>54</x:v>
      </x:c>
      <x:c r="O147">
        <x:v>47</x:v>
      </x:c>
      <x:c r="P147">
        <x:v>78</x:v>
      </x:c>
      <x:c r="Q147">
        <x:v>52</x:v>
      </x:c>
      <x:c r="R147">
        <x:v>91</x:v>
      </x:c>
      <x:c r="S147">
        <x:v>87</x:v>
      </x:c>
      <x:c r="T147">
        <x:v>51</x:v>
      </x:c>
      <x:c r="U147">
        <x:v>62</x:v>
      </x:c>
    </x:row>
    <x:row r="148">
      <x:c r="A148" t="s">
        <x:v>504</x:v>
      </x:c>
      <x:c r="B148" t="s">
        <x:v>327</x:v>
      </x:c>
      <x:c r="C148" t="s">
        <x:v>331</x:v>
      </x:c>
      <x:c r="D148">
        <x:v>8474151</x:v>
      </x:c>
      <x:c r="E148">
        <x:v>67</x:v>
      </x:c>
      <x:c r="F148">
        <x:v>42</x:v>
      </x:c>
      <x:c r="G148">
        <x:v>94</x:v>
      </x:c>
      <x:c r="H148">
        <x:v>43</x:v>
      </x:c>
      <x:c r="I148">
        <x:v>85</x:v>
      </x:c>
      <x:c r="J148">
        <x:v>91</x:v>
      </x:c>
      <x:c r="K148">
        <x:v>81</x:v>
      </x:c>
      <x:c r="L148">
        <x:v>43</x:v>
      </x:c>
      <x:c r="M148">
        <x:v>30</x:v>
      </x:c>
      <x:c r="N148">
        <x:v>56</x:v>
      </x:c>
      <x:c r="O148">
        <x:v>48</x:v>
      </x:c>
      <x:c r="P148">
        <x:v>80</x:v>
      </x:c>
      <x:c r="Q148">
        <x:v>52</x:v>
      </x:c>
      <x:c r="R148">
        <x:v>91</x:v>
      </x:c>
      <x:c r="S148">
        <x:v>86</x:v>
      </x:c>
      <x:c r="T148">
        <x:v>51</x:v>
      </x:c>
      <x:c r="U148">
        <x:v>62</x:v>
      </x:c>
    </x:row>
    <x:row r="149">
      <x:c r="A149" t="s">
        <x:v>505</x:v>
      </x:c>
      <x:c r="B149" t="s">
        <x:v>340</x:v>
      </x:c>
      <x:c r="C149" t="s">
        <x:v>331</x:v>
      </x:c>
      <x:c r="D149">
        <x:v>8477498</x:v>
      </x:c>
      <x:c r="E149">
        <x:v>78</x:v>
      </x:c>
      <x:c r="F149">
        <x:v>82</x:v>
      </x:c>
      <x:c r="G149">
        <x:v>73</x:v>
      </x:c>
      <x:c r="H149">
        <x:v>43</x:v>
      </x:c>
      <x:c r="I149">
        <x:v>89</x:v>
      </x:c>
      <x:c r="J149">
        <x:v>92</x:v>
      </x:c>
      <x:c r="K149">
        <x:v>99</x:v>
      </x:c>
      <x:c r="L149">
        <x:v>43</x:v>
      </x:c>
      <x:c r="M149">
        <x:v>30</x:v>
      </x:c>
      <x:c r="N149">
        <x:v>54</x:v>
      </x:c>
      <x:c r="O149">
        <x:v>47</x:v>
      </x:c>
      <x:c r="P149">
        <x:v>78</x:v>
      </x:c>
      <x:c r="Q149">
        <x:v>52</x:v>
      </x:c>
      <x:c r="R149">
        <x:v>82</x:v>
      </x:c>
      <x:c r="S149">
        <x:v>82</x:v>
      </x:c>
      <x:c r="T149">
        <x:v>51</x:v>
      </x:c>
      <x:c r="U149">
        <x:v>62</x:v>
      </x:c>
    </x:row>
    <x:row r="150">
      <x:c r="A150" t="s">
        <x:v>506</x:v>
      </x:c>
      <x:c r="B150" t="s">
        <x:v>352</x:v>
      </x:c>
      <x:c r="C150" t="s">
        <x:v>331</x:v>
      </x:c>
      <x:c r="D150">
        <x:v>8475171</x:v>
      </x:c>
      <x:c r="E150">
        <x:v>74</x:v>
      </x:c>
      <x:c r="F150">
        <x:v>38</x:v>
      </x:c>
      <x:c r="G150">
        <x:v>77</x:v>
      </x:c>
      <x:c r="H150">
        <x:v>45</x:v>
      </x:c>
      <x:c r="I150">
        <x:v>80</x:v>
      </x:c>
      <x:c r="J150">
        <x:v>92</x:v>
      </x:c>
      <x:c r="K150">
        <x:v>97</x:v>
      </x:c>
      <x:c r="L150">
        <x:v>48</x:v>
      </x:c>
      <x:c r="M150">
        <x:v>30</x:v>
      </x:c>
      <x:c r="N150">
        <x:v>59</x:v>
      </x:c>
      <x:c r="O150">
        <x:v>48</x:v>
      </x:c>
      <x:c r="P150">
        <x:v>75</x:v>
      </x:c>
      <x:c r="Q150">
        <x:v>57</x:v>
      </x:c>
      <x:c r="R150">
        <x:v>88</x:v>
      </x:c>
      <x:c r="S150">
        <x:v>84</x:v>
      </x:c>
      <x:c r="T150">
        <x:v>51</x:v>
      </x:c>
      <x:c r="U150">
        <x:v>62</x:v>
      </x:c>
    </x:row>
    <x:row r="151">
      <x:c r="A151" t="s">
        <x:v>507</x:v>
      </x:c>
      <x:c r="B151" t="s">
        <x:v>427</x:v>
      </x:c>
      <x:c r="C151" t="s">
        <x:v>339</x:v>
      </x:c>
      <x:c r="D151">
        <x:v>8481533</x:v>
      </x:c>
      <x:c r="E151">
        <x:v>62</x:v>
      </x:c>
      <x:c r="F151">
        <x:v>34</x:v>
      </x:c>
      <x:c r="G151">
        <x:v>79</x:v>
      </x:c>
      <x:c r="H151">
        <x:v>62</x:v>
      </x:c>
      <x:c r="I151">
        <x:v>75</x:v>
      </x:c>
      <x:c r="J151">
        <x:v>89</x:v>
      </x:c>
      <x:c r="K151">
        <x:v>94</x:v>
      </x:c>
      <x:c r="L151">
        <x:v>66</x:v>
      </x:c>
      <x:c r="M151">
        <x:v>75</x:v>
      </x:c>
      <x:c r="N151">
        <x:v>62</x:v>
      </x:c>
      <x:c r="O151">
        <x:v>60</x:v>
      </x:c>
      <x:c r="P151">
        <x:v>63</x:v>
      </x:c>
      <x:c r="Q151">
        <x:v>93</x:v>
      </x:c>
      <x:c r="R151">
        <x:v>71</x:v>
      </x:c>
      <x:c r="S151">
        <x:v>77</x:v>
      </x:c>
      <x:c r="T151">
        <x:v>51</x:v>
      </x:c>
      <x:c r="U151">
        <x:v>62</x:v>
      </x:c>
    </x:row>
    <x:row r="152">
      <x:c r="A152" t="s">
        <x:v>508</x:v>
      </x:c>
      <x:c r="B152" t="s">
        <x:v>320</x:v>
      </x:c>
      <x:c r="C152" t="s">
        <x:v>331</x:v>
      </x:c>
      <x:c r="D152">
        <x:v>8476931</x:v>
      </x:c>
      <x:c r="E152">
        <x:v>76</x:v>
      </x:c>
      <x:c r="F152">
        <x:v>73</x:v>
      </x:c>
      <x:c r="G152">
        <x:v>79</x:v>
      </x:c>
      <x:c r="H152">
        <x:v>41</x:v>
      </x:c>
      <x:c r="I152">
        <x:v>87</x:v>
      </x:c>
      <x:c r="J152">
        <x:v>94</x:v>
      </x:c>
      <x:c r="K152">
        <x:v>97</x:v>
      </x:c>
      <x:c r="L152">
        <x:v>42</x:v>
      </x:c>
      <x:c r="M152">
        <x:v>30</x:v>
      </x:c>
      <x:c r="N152">
        <x:v>54</x:v>
      </x:c>
      <x:c r="O152">
        <x:v>47</x:v>
      </x:c>
      <x:c r="P152">
        <x:v>81</x:v>
      </x:c>
      <x:c r="Q152">
        <x:v>52</x:v>
      </x:c>
      <x:c r="R152">
        <x:v>85</x:v>
      </x:c>
      <x:c r="S152">
        <x:v>77</x:v>
      </x:c>
      <x:c r="T152">
        <x:v>51</x:v>
      </x:c>
      <x:c r="U152">
        <x:v>62</x:v>
      </x:c>
    </x:row>
    <x:row r="153">
      <x:c r="A153" t="s">
        <x:v>509</x:v>
      </x:c>
      <x:c r="B153" t="s">
        <x:v>345</x:v>
      </x:c>
      <x:c r="C153" t="s">
        <x:v>319</x:v>
      </x:c>
      <x:c r="D153">
        <x:v>8478493</x:v>
      </x:c>
      <x:c r="E153">
        <x:v>71</x:v>
      </x:c>
      <x:c r="F153">
        <x:v>41</x:v>
      </x:c>
      <x:c r="G153">
        <x:v>84</x:v>
      </x:c>
      <x:c r="H153">
        <x:v>58</x:v>
      </x:c>
      <x:c r="I153">
        <x:v>84</x:v>
      </x:c>
      <x:c r="J153">
        <x:v>91</x:v>
      </x:c>
      <x:c r="K153">
        <x:v>86</x:v>
      </x:c>
      <x:c r="L153">
        <x:v>61</x:v>
      </x:c>
      <x:c r="M153">
        <x:v>90</x:v>
      </x:c>
      <x:c r="N153">
        <x:v>61</x:v>
      </x:c>
      <x:c r="O153">
        <x:v>59</x:v>
      </x:c>
      <x:c r="P153">
        <x:v>70</x:v>
      </x:c>
      <x:c r="Q153">
        <x:v>57</x:v>
      </x:c>
      <x:c r="R153">
        <x:v>78</x:v>
      </x:c>
      <x:c r="S153">
        <x:v>79</x:v>
      </x:c>
      <x:c r="T153">
        <x:v>51</x:v>
      </x:c>
      <x:c r="U153">
        <x:v>62</x:v>
      </x:c>
    </x:row>
    <x:row r="154">
      <x:c r="A154" t="s">
        <x:v>510</x:v>
      </x:c>
      <x:c r="B154" t="s">
        <x:v>324</x:v>
      </x:c>
      <x:c r="C154" t="s">
        <x:v>331</x:v>
      </x:c>
      <x:c r="D154">
        <x:v>8476312</x:v>
      </x:c>
      <x:c r="E154">
        <x:v>81</x:v>
      </x:c>
      <x:c r="F154">
        <x:v>78</x:v>
      </x:c>
      <x:c r="G154">
        <x:v>77</x:v>
      </x:c>
      <x:c r="H154">
        <x:v>42</x:v>
      </x:c>
      <x:c r="I154">
        <x:v>87</x:v>
      </x:c>
      <x:c r="J154">
        <x:v>88</x:v>
      </x:c>
      <x:c r="K154">
        <x:v>95</x:v>
      </x:c>
      <x:c r="L154">
        <x:v>44</x:v>
      </x:c>
      <x:c r="M154">
        <x:v>30</x:v>
      </x:c>
      <x:c r="N154">
        <x:v>56</x:v>
      </x:c>
      <x:c r="O154">
        <x:v>47</x:v>
      </x:c>
      <x:c r="P154">
        <x:v>78</x:v>
      </x:c>
      <x:c r="Q154">
        <x:v>52</x:v>
      </x:c>
      <x:c r="R154">
        <x:v>88</x:v>
      </x:c>
      <x:c r="S154">
        <x:v>78</x:v>
      </x:c>
      <x:c r="T154">
        <x:v>51</x:v>
      </x:c>
      <x:c r="U154">
        <x:v>62</x:v>
      </x:c>
    </x:row>
    <x:row r="155">
      <x:c r="A155" t="s">
        <x:v>511</x:v>
      </x:c>
      <x:c r="B155" t="s">
        <x:v>350</x:v>
      </x:c>
      <x:c r="C155" t="s">
        <x:v>333</x:v>
      </x:c>
      <x:c r="D155">
        <x:v>8476483</x:v>
      </x:c>
      <x:c r="E155">
        <x:v>68</x:v>
      </x:c>
      <x:c r="F155">
        <x:v>37</x:v>
      </x:c>
      <x:c r="G155">
        <x:v>95</x:v>
      </x:c>
      <x:c r="H155">
        <x:v>61</x:v>
      </x:c>
      <x:c r="I155">
        <x:v>80</x:v>
      </x:c>
      <x:c r="J155">
        <x:v>90</x:v>
      </x:c>
      <x:c r="K155">
        <x:v>83</x:v>
      </x:c>
      <x:c r="L155">
        <x:v>63</x:v>
      </x:c>
      <x:c r="M155">
        <x:v>74</x:v>
      </x:c>
      <x:c r="N155">
        <x:v>59</x:v>
      </x:c>
      <x:c r="O155">
        <x:v>64</x:v>
      </x:c>
      <x:c r="P155">
        <x:v>66</x:v>
      </x:c>
      <x:c r="Q155">
        <x:v>83</x:v>
      </x:c>
      <x:c r="R155">
        <x:v>85</x:v>
      </x:c>
      <x:c r="S155">
        <x:v>75</x:v>
      </x:c>
      <x:c r="T155">
        <x:v>51</x:v>
      </x:c>
      <x:c r="U155">
        <x:v>62</x:v>
      </x:c>
    </x:row>
    <x:row r="156">
      <x:c r="A156" t="s">
        <x:v>512</x:v>
      </x:c>
      <x:c r="B156" t="s">
        <x:v>393</x:v>
      </x:c>
      <x:c r="C156" t="s">
        <x:v>339</x:v>
      </x:c>
      <x:c r="D156">
        <x:v>8483445</x:v>
      </x:c>
      <x:c r="E156">
        <x:v>64</x:v>
      </x:c>
      <x:c r="F156">
        <x:v>40</x:v>
      </x:c>
      <x:c r="G156">
        <x:v>88</x:v>
      </x:c>
      <x:c r="H156">
        <x:v>64</x:v>
      </x:c>
      <x:c r="I156">
        <x:v>83</x:v>
      </x:c>
      <x:c r="J156">
        <x:v>87</x:v>
      </x:c>
      <x:c r="K156">
        <x:v>94</x:v>
      </x:c>
      <x:c r="L156">
        <x:v>66</x:v>
      </x:c>
      <x:c r="M156">
        <x:v>78</x:v>
      </x:c>
      <x:c r="N156">
        <x:v>57</x:v>
      </x:c>
      <x:c r="O156">
        <x:v>67</x:v>
      </x:c>
      <x:c r="P156">
        <x:v>64</x:v>
      </x:c>
      <x:c r="Q156">
        <x:v>73</x:v>
      </x:c>
      <x:c r="R156">
        <x:v>67</x:v>
      </x:c>
      <x:c r="S156">
        <x:v>71</x:v>
      </x:c>
      <x:c r="T156">
        <x:v>51</x:v>
      </x:c>
      <x:c r="U156">
        <x:v>62</x:v>
      </x:c>
    </x:row>
    <x:row r="157">
      <x:c r="A157" t="s">
        <x:v>513</x:v>
      </x:c>
      <x:c r="B157" t="s">
        <x:v>320</x:v>
      </x:c>
      <x:c r="C157" t="s">
        <x:v>339</x:v>
      </x:c>
      <x:c r="D157">
        <x:v>8476454</x:v>
      </x:c>
      <x:c r="E157">
        <x:v>59</x:v>
      </x:c>
      <x:c r="F157">
        <x:v>51</x:v>
      </x:c>
      <x:c r="G157">
        <x:v>92</x:v>
      </x:c>
      <x:c r="H157">
        <x:v>61</x:v>
      </x:c>
      <x:c r="I157">
        <x:v>79</x:v>
      </x:c>
      <x:c r="J157">
        <x:v>91</x:v>
      </x:c>
      <x:c r="K157">
        <x:v>90</x:v>
      </x:c>
      <x:c r="L157">
        <x:v>63</x:v>
      </x:c>
      <x:c r="M157">
        <x:v>82</x:v>
      </x:c>
      <x:c r="N157">
        <x:v>62</x:v>
      </x:c>
      <x:c r="O157">
        <x:v>59</x:v>
      </x:c>
      <x:c r="P157">
        <x:v>69</x:v>
      </x:c>
      <x:c r="Q157">
        <x:v>84</x:v>
      </x:c>
      <x:c r="R157">
        <x:v>86</x:v>
      </x:c>
      <x:c r="S157">
        <x:v>80</x:v>
      </x:c>
      <x:c r="T157">
        <x:v>51</x:v>
      </x:c>
      <x:c r="U157">
        <x:v>62</x:v>
      </x:c>
    </x:row>
    <x:row r="158">
      <x:c r="A158" t="s">
        <x:v>514</x:v>
      </x:c>
      <x:c r="B158" t="s">
        <x:v>366</x:v>
      </x:c>
      <x:c r="C158" t="s">
        <x:v>331</x:v>
      </x:c>
      <x:c r="D158">
        <x:v>8475455</x:v>
      </x:c>
      <x:c r="E158">
        <x:v>83</x:v>
      </x:c>
      <x:c r="F158">
        <x:v>85</x:v>
      </x:c>
      <x:c r="G158">
        <x:v>78</x:v>
      </x:c>
      <x:c r="H158">
        <x:v>38</x:v>
      </x:c>
      <x:c r="I158">
        <x:v>88</x:v>
      </x:c>
      <x:c r="J158">
        <x:v>89</x:v>
      </x:c>
      <x:c r="K158">
        <x:v>99</x:v>
      </x:c>
      <x:c r="L158">
        <x:v>39</x:v>
      </x:c>
      <x:c r="M158">
        <x:v>30</x:v>
      </x:c>
      <x:c r="N158">
        <x:v>51</x:v>
      </x:c>
      <x:c r="O158">
        <x:v>46</x:v>
      </x:c>
      <x:c r="P158">
        <x:v>79</x:v>
      </x:c>
      <x:c r="Q158">
        <x:v>52</x:v>
      </x:c>
      <x:c r="R158">
        <x:v>88</x:v>
      </x:c>
      <x:c r="S158">
        <x:v>77</x:v>
      </x:c>
      <x:c r="T158">
        <x:v>51</x:v>
      </x:c>
      <x:c r="U158">
        <x:v>61</x:v>
      </x:c>
    </x:row>
    <x:row r="159">
      <x:c r="A159" t="s">
        <x:v>515</x:v>
      </x:c>
      <x:c r="B159" t="s">
        <x:v>386</x:v>
      </x:c>
      <x:c r="C159" t="s">
        <x:v>331</x:v>
      </x:c>
      <x:c r="D159">
        <x:v>8480336</x:v>
      </x:c>
      <x:c r="E159">
        <x:v>78</x:v>
      </x:c>
      <x:c r="F159">
        <x:v>48</x:v>
      </x:c>
      <x:c r="G159">
        <x:v>79</x:v>
      </x:c>
      <x:c r="H159">
        <x:v>42</x:v>
      </x:c>
      <x:c r="I159">
        <x:v>78</x:v>
      </x:c>
      <x:c r="J159">
        <x:v>92</x:v>
      </x:c>
      <x:c r="K159">
        <x:v>99</x:v>
      </x:c>
      <x:c r="L159">
        <x:v>43</x:v>
      </x:c>
      <x:c r="M159">
        <x:v>30</x:v>
      </x:c>
      <x:c r="N159">
        <x:v>54</x:v>
      </x:c>
      <x:c r="O159">
        <x:v>48</x:v>
      </x:c>
      <x:c r="P159">
        <x:v>78</x:v>
      </x:c>
      <x:c r="Q159">
        <x:v>53</x:v>
      </x:c>
      <x:c r="R159">
        <x:v>82</x:v>
      </x:c>
      <x:c r="S159">
        <x:v>72</x:v>
      </x:c>
      <x:c r="T159">
        <x:v>51</x:v>
      </x:c>
      <x:c r="U159">
        <x:v>61</x:v>
      </x:c>
    </x:row>
    <x:row r="160">
      <x:c r="A160" t="s">
        <x:v>516</x:v>
      </x:c>
      <x:c r="B160" t="s">
        <x:v>368</x:v>
      </x:c>
      <x:c r="C160" t="s">
        <x:v>333</x:v>
      </x:c>
      <x:c r="D160">
        <x:v>8478042</x:v>
      </x:c>
      <x:c r="E160">
        <x:v>59</x:v>
      </x:c>
      <x:c r="F160">
        <x:v>32</x:v>
      </x:c>
      <x:c r="G160">
        <x:v>87</x:v>
      </x:c>
      <x:c r="H160">
        <x:v>61</x:v>
      </x:c>
      <x:c r="I160">
        <x:v>74</x:v>
      </x:c>
      <x:c r="J160">
        <x:v>85</x:v>
      </x:c>
      <x:c r="K160">
        <x:v>85</x:v>
      </x:c>
      <x:c r="L160">
        <x:v>59</x:v>
      </x:c>
      <x:c r="M160">
        <x:v>69</x:v>
      </x:c>
      <x:c r="N160">
        <x:v>58</x:v>
      </x:c>
      <x:c r="O160">
        <x:v>61</x:v>
      </x:c>
      <x:c r="P160">
        <x:v>63</x:v>
      </x:c>
      <x:c r="Q160">
        <x:v>73</x:v>
      </x:c>
      <x:c r="R160">
        <x:v>85</x:v>
      </x:c>
      <x:c r="S160">
        <x:v>77</x:v>
      </x:c>
      <x:c r="T160">
        <x:v>51</x:v>
      </x:c>
      <x:c r="U160">
        <x:v>61</x:v>
      </x:c>
    </x:row>
    <x:row r="161">
      <x:c r="A161" t="s">
        <x:v>517</x:v>
      </x:c>
      <x:c r="B161" t="s">
        <x:v>368</x:v>
      </x:c>
      <x:c r="C161" t="s">
        <x:v>331</x:v>
      </x:c>
      <x:c r="D161">
        <x:v>8482762</x:v>
      </x:c>
      <x:c r="E161">
        <x:v>75</x:v>
      </x:c>
      <x:c r="F161">
        <x:v>66</x:v>
      </x:c>
      <x:c r="G161">
        <x:v>75</x:v>
      </x:c>
      <x:c r="H161">
        <x:v>44</x:v>
      </x:c>
      <x:c r="I161">
        <x:v>88</x:v>
      </x:c>
      <x:c r="J161">
        <x:v>94</x:v>
      </x:c>
      <x:c r="K161">
        <x:v>92</x:v>
      </x:c>
      <x:c r="L161">
        <x:v>43</x:v>
      </x:c>
      <x:c r="M161">
        <x:v>30</x:v>
      </x:c>
      <x:c r="N161">
        <x:v>54</x:v>
      </x:c>
      <x:c r="O161">
        <x:v>49</x:v>
      </x:c>
      <x:c r="P161">
        <x:v>79</x:v>
      </x:c>
      <x:c r="Q161">
        <x:v>52</x:v>
      </x:c>
      <x:c r="R161">
        <x:v>68</x:v>
      </x:c>
      <x:c r="S161">
        <x:v>76</x:v>
      </x:c>
      <x:c r="T161">
        <x:v>51</x:v>
      </x:c>
      <x:c r="U161">
        <x:v>61</x:v>
      </x:c>
    </x:row>
    <x:row r="162">
      <x:c r="A162" t="s">
        <x:v>518</x:v>
      </x:c>
      <x:c r="B162" t="s">
        <x:v>396</x:v>
      </x:c>
      <x:c r="C162" t="s">
        <x:v>331</x:v>
      </x:c>
      <x:c r="D162">
        <x:v>8481598</x:v>
      </x:c>
      <x:c r="E162">
        <x:v>68</x:v>
      </x:c>
      <x:c r="F162">
        <x:v>42</x:v>
      </x:c>
      <x:c r="G162">
        <x:v>94</x:v>
      </x:c>
      <x:c r="H162">
        <x:v>46</x:v>
      </x:c>
      <x:c r="I162">
        <x:v>87</x:v>
      </x:c>
      <x:c r="J162">
        <x:v>94</x:v>
      </x:c>
      <x:c r="K162">
        <x:v>98</x:v>
      </x:c>
      <x:c r="L162">
        <x:v>43</x:v>
      </x:c>
      <x:c r="M162">
        <x:v>30</x:v>
      </x:c>
      <x:c r="N162">
        <x:v>57</x:v>
      </x:c>
      <x:c r="O162">
        <x:v>47</x:v>
      </x:c>
      <x:c r="P162">
        <x:v>80</x:v>
      </x:c>
      <x:c r="Q162">
        <x:v>52</x:v>
      </x:c>
      <x:c r="R162">
        <x:v>71</x:v>
      </x:c>
      <x:c r="S162">
        <x:v>76</x:v>
      </x:c>
      <x:c r="T162">
        <x:v>51</x:v>
      </x:c>
      <x:c r="U162">
        <x:v>61</x:v>
      </x:c>
    </x:row>
    <x:row r="163">
      <x:c r="A163" t="s">
        <x:v>519</x:v>
      </x:c>
      <x:c r="B163" t="s">
        <x:v>337</x:v>
      </x:c>
      <x:c r="C163" t="s">
        <x:v>323</x:v>
      </x:c>
      <x:c r="D163">
        <x:v>8475745</x:v>
      </x:c>
      <x:c r="E163">
        <x:v>69</x:v>
      </x:c>
      <x:c r="F163">
        <x:v>43</x:v>
      </x:c>
      <x:c r="G163">
        <x:v>93</x:v>
      </x:c>
      <x:c r="H163">
        <x:v>57</x:v>
      </x:c>
      <x:c r="I163">
        <x:v>86</x:v>
      </x:c>
      <x:c r="J163">
        <x:v>89</x:v>
      </x:c>
      <x:c r="K163">
        <x:v>99</x:v>
      </x:c>
      <x:c r="L163">
        <x:v>57</x:v>
      </x:c>
      <x:c r="M163">
        <x:v>89</x:v>
      </x:c>
      <x:c r="N163">
        <x:v>60</x:v>
      </x:c>
      <x:c r="O163">
        <x:v>58</x:v>
      </x:c>
      <x:c r="P163">
        <x:v>72</x:v>
      </x:c>
      <x:c r="Q163">
        <x:v>86</x:v>
      </x:c>
      <x:c r="R163">
        <x:v>87</x:v>
      </x:c>
      <x:c r="S163">
        <x:v>78</x:v>
      </x:c>
      <x:c r="T163">
        <x:v>51</x:v>
      </x:c>
      <x:c r="U163">
        <x:v>61</x:v>
      </x:c>
    </x:row>
    <x:row r="164">
      <x:c r="A164" t="s">
        <x:v>520</x:v>
      </x:c>
      <x:c r="B164" t="s">
        <x:v>343</x:v>
      </x:c>
      <x:c r="C164" t="s">
        <x:v>339</x:v>
      </x:c>
      <x:c r="D164">
        <x:v>8473994</x:v>
      </x:c>
      <x:c r="E164">
        <x:v>69</x:v>
      </x:c>
      <x:c r="F164">
        <x:v>81</x:v>
      </x:c>
      <x:c r="G164">
        <x:v>79</x:v>
      </x:c>
      <x:c r="H164">
        <x:v>55</x:v>
      </x:c>
      <x:c r="I164">
        <x:v>89</x:v>
      </x:c>
      <x:c r="J164">
        <x:v>84</x:v>
      </x:c>
      <x:c r="K164">
        <x:v>83</x:v>
      </x:c>
      <x:c r="L164">
        <x:v>57</x:v>
      </x:c>
      <x:c r="M164">
        <x:v>76</x:v>
      </x:c>
      <x:c r="N164">
        <x:v>58</x:v>
      </x:c>
      <x:c r="O164">
        <x:v>58</x:v>
      </x:c>
      <x:c r="P164">
        <x:v>64</x:v>
      </x:c>
      <x:c r="Q164">
        <x:v>65</x:v>
      </x:c>
      <x:c r="R164">
        <x:v>92</x:v>
      </x:c>
      <x:c r="S164">
        <x:v>93</x:v>
      </x:c>
      <x:c r="T164">
        <x:v>51</x:v>
      </x:c>
      <x:c r="U164">
        <x:v>61</x:v>
      </x:c>
    </x:row>
    <x:row r="165">
      <x:c r="A165" t="s">
        <x:v>521</x:v>
      </x:c>
      <x:c r="B165" t="s">
        <x:v>348</x:v>
      </x:c>
      <x:c r="C165" t="s">
        <x:v>333</x:v>
      </x:c>
      <x:c r="D165">
        <x:v>8477479</x:v>
      </x:c>
      <x:c r="E165">
        <x:v>63</x:v>
      </x:c>
      <x:c r="F165">
        <x:v>44</x:v>
      </x:c>
      <x:c r="G165">
        <x:v>81</x:v>
      </x:c>
      <x:c r="H165">
        <x:v>58</x:v>
      </x:c>
      <x:c r="I165">
        <x:v>83</x:v>
      </x:c>
      <x:c r="J165">
        <x:v>88</x:v>
      </x:c>
      <x:c r="K165">
        <x:v>96</x:v>
      </x:c>
      <x:c r="L165">
        <x:v>60</x:v>
      </x:c>
      <x:c r="M165">
        <x:v>72</x:v>
      </x:c>
      <x:c r="N165">
        <x:v>56</x:v>
      </x:c>
      <x:c r="O165">
        <x:v>64</x:v>
      </x:c>
      <x:c r="P165">
        <x:v>61</x:v>
      </x:c>
      <x:c r="Q165">
        <x:v>54</x:v>
      </x:c>
      <x:c r="R165">
        <x:v>80</x:v>
      </x:c>
      <x:c r="S165">
        <x:v>76</x:v>
      </x:c>
      <x:c r="T165">
        <x:v>51</x:v>
      </x:c>
      <x:c r="U165">
        <x:v>61</x:v>
      </x:c>
    </x:row>
    <x:row r="166">
      <x:c r="A166" t="s">
        <x:v>522</x:v>
      </x:c>
      <x:c r="B166" t="s">
        <x:v>340</x:v>
      </x:c>
      <x:c r="C166" t="s">
        <x:v>358</x:v>
      </x:c>
      <x:c r="D166">
        <x:v>8478975</x:v>
      </x:c>
      <x:c r="E166">
        <x:v>68</x:v>
      </x:c>
      <x:c r="F166">
        <x:v>47</x:v>
      </x:c>
      <x:c r="G166">
        <x:v>77</x:v>
      </x:c>
      <x:c r="H166">
        <x:v>58</x:v>
      </x:c>
      <x:c r="I166">
        <x:v>85</x:v>
      </x:c>
      <x:c r="J166">
        <x:v>87</x:v>
      </x:c>
      <x:c r="K166">
        <x:v>86</x:v>
      </x:c>
      <x:c r="L166">
        <x:v>58</x:v>
      </x:c>
      <x:c r="M166">
        <x:v>69</x:v>
      </x:c>
      <x:c r="N166">
        <x:v>59</x:v>
      </x:c>
      <x:c r="O166">
        <x:v>60</x:v>
      </x:c>
      <x:c r="P166">
        <x:v>63</x:v>
      </x:c>
      <x:c r="Q166">
        <x:v>55</x:v>
      </x:c>
      <x:c r="R166">
        <x:v>80</x:v>
      </x:c>
      <x:c r="S166">
        <x:v>72</x:v>
      </x:c>
      <x:c r="T166">
        <x:v>47</x:v>
      </x:c>
      <x:c r="U166">
        <x:v>61</x:v>
      </x:c>
    </x:row>
    <x:row r="167">
      <x:c r="A167" t="s">
        <x:v>523</x:v>
      </x:c>
      <x:c r="B167" t="s">
        <x:v>354</x:v>
      </x:c>
      <x:c r="C167" t="s">
        <x:v>331</x:v>
      </x:c>
      <x:c r="D167">
        <x:v>8478396</x:v>
      </x:c>
      <x:c r="E167">
        <x:v>68</x:v>
      </x:c>
      <x:c r="F167">
        <x:v>41</x:v>
      </x:c>
      <x:c r="G167">
        <x:v>94</x:v>
      </x:c>
      <x:c r="H167">
        <x:v>45</x:v>
      </x:c>
      <x:c r="I167">
        <x:v>85</x:v>
      </x:c>
      <x:c r="J167">
        <x:v>94</x:v>
      </x:c>
      <x:c r="K167">
        <x:v>92</x:v>
      </x:c>
      <x:c r="L167">
        <x:v>45</x:v>
      </x:c>
      <x:c r="M167">
        <x:v>30</x:v>
      </x:c>
      <x:c r="N167">
        <x:v>58</x:v>
      </x:c>
      <x:c r="O167">
        <x:v>47</x:v>
      </x:c>
      <x:c r="P167">
        <x:v>78</x:v>
      </x:c>
      <x:c r="Q167">
        <x:v>57</x:v>
      </x:c>
      <x:c r="R167">
        <x:v>78</x:v>
      </x:c>
      <x:c r="S167">
        <x:v>76</x:v>
      </x:c>
      <x:c r="T167">
        <x:v>51</x:v>
      </x:c>
      <x:c r="U167">
        <x:v>61</x:v>
      </x:c>
    </x:row>
    <x:row r="168">
      <x:c r="A168" t="s">
        <x:v>524</x:v>
      </x:c>
      <x:c r="B168" t="s">
        <x:v>354</x:v>
      </x:c>
      <x:c r="C168" t="s">
        <x:v>331</x:v>
      </x:c>
      <x:c r="D168">
        <x:v>8475188</x:v>
      </x:c>
      <x:c r="E168">
        <x:v>78</x:v>
      </x:c>
      <x:c r="F168">
        <x:v>45</x:v>
      </x:c>
      <x:c r="G168">
        <x:v>85</x:v>
      </x:c>
      <x:c r="H168">
        <x:v>39</x:v>
      </x:c>
      <x:c r="I168">
        <x:v>89</x:v>
      </x:c>
      <x:c r="J168">
        <x:v>92</x:v>
      </x:c>
      <x:c r="K168">
        <x:v>88</x:v>
      </x:c>
      <x:c r="L168">
        <x:v>39</x:v>
      </x:c>
      <x:c r="M168">
        <x:v>30</x:v>
      </x:c>
      <x:c r="N168">
        <x:v>51</x:v>
      </x:c>
      <x:c r="O168">
        <x:v>47</x:v>
      </x:c>
      <x:c r="P168">
        <x:v>81</x:v>
      </x:c>
      <x:c r="Q168">
        <x:v>52</x:v>
      </x:c>
      <x:c r="R168">
        <x:v>87</x:v>
      </x:c>
      <x:c r="S168">
        <x:v>78</x:v>
      </x:c>
      <x:c r="T168">
        <x:v>43</x:v>
      </x:c>
      <x:c r="U168">
        <x:v>61</x:v>
      </x:c>
    </x:row>
    <x:row r="169">
      <x:c r="A169" t="s">
        <x:v>525</x:v>
      </x:c>
      <x:c r="B169" t="s">
        <x:v>370</x:v>
      </x:c>
      <x:c r="C169" t="s">
        <x:v>329</x:v>
      </x:c>
      <x:c r="D169">
        <x:v>8473512</x:v>
      </x:c>
      <x:c r="E169">
        <x:v>64</x:v>
      </x:c>
      <x:c r="F169">
        <x:v>36</x:v>
      </x:c>
      <x:c r="G169">
        <x:v>91</x:v>
      </x:c>
      <x:c r="H169">
        <x:v>58</x:v>
      </x:c>
      <x:c r="I169">
        <x:v>78</x:v>
      </x:c>
      <x:c r="J169">
        <x:v>87</x:v>
      </x:c>
      <x:c r="K169">
        <x:v>99</x:v>
      </x:c>
      <x:c r="L169">
        <x:v>61</x:v>
      </x:c>
      <x:c r="M169">
        <x:v>92</x:v>
      </x:c>
      <x:c r="N169">
        <x:v>61</x:v>
      </x:c>
      <x:c r="O169">
        <x:v>55</x:v>
      </x:c>
      <x:c r="P169">
        <x:v>70</x:v>
      </x:c>
      <x:c r="Q169">
        <x:v>71</x:v>
      </x:c>
      <x:c r="R169">
        <x:v>92</x:v>
      </x:c>
      <x:c r="S169">
        <x:v>90</x:v>
      </x:c>
      <x:c r="T169">
        <x:v>51</x:v>
      </x:c>
      <x:c r="U169">
        <x:v>61</x:v>
      </x:c>
    </x:row>
    <x:row r="170">
      <x:c r="A170" t="s">
        <x:v>526</x:v>
      </x:c>
      <x:c r="B170" t="s">
        <x:v>402</x:v>
      </x:c>
      <x:c r="C170" t="s">
        <x:v>331</x:v>
      </x:c>
      <x:c r="D170">
        <x:v>8478911</x:v>
      </x:c>
      <x:c r="E170">
        <x:v>77</x:v>
      </x:c>
      <x:c r="F170">
        <x:v>43</x:v>
      </x:c>
      <x:c r="G170">
        <x:v>93</x:v>
      </x:c>
      <x:c r="H170">
        <x:v>41</x:v>
      </x:c>
      <x:c r="I170">
        <x:v>83</x:v>
      </x:c>
      <x:c r="J170">
        <x:v>92</x:v>
      </x:c>
      <x:c r="K170">
        <x:v>97</x:v>
      </x:c>
      <x:c r="L170">
        <x:v>41</x:v>
      </x:c>
      <x:c r="M170">
        <x:v>30</x:v>
      </x:c>
      <x:c r="N170">
        <x:v>54</x:v>
      </x:c>
      <x:c r="O170">
        <x:v>46</x:v>
      </x:c>
      <x:c r="P170">
        <x:v>80</x:v>
      </x:c>
      <x:c r="Q170">
        <x:v>52</x:v>
      </x:c>
      <x:c r="R170">
        <x:v>80</x:v>
      </x:c>
      <x:c r="S170">
        <x:v>74</x:v>
      </x:c>
      <x:c r="T170">
        <x:v>51</x:v>
      </x:c>
      <x:c r="U170">
        <x:v>61</x:v>
      </x:c>
    </x:row>
    <x:row r="171">
      <x:c r="A171" t="s">
        <x:v>527</x:v>
      </x:c>
      <x:c r="B171" t="s">
        <x:v>396</x:v>
      </x:c>
      <x:c r="C171" t="s">
        <x:v>331</x:v>
      </x:c>
      <x:c r="D171">
        <x:v>8475764</x:v>
      </x:c>
      <x:c r="E171">
        <x:v>65</x:v>
      </x:c>
      <x:c r="F171">
        <x:v>41</x:v>
      </x:c>
      <x:c r="G171">
        <x:v>94</x:v>
      </x:c>
      <x:c r="H171">
        <x:v>45</x:v>
      </x:c>
      <x:c r="I171">
        <x:v>84</x:v>
      </x:c>
      <x:c r="J171">
        <x:v>93</x:v>
      </x:c>
      <x:c r="K171">
        <x:v>99</x:v>
      </x:c>
      <x:c r="L171">
        <x:v>45</x:v>
      </x:c>
      <x:c r="M171">
        <x:v>30</x:v>
      </x:c>
      <x:c r="N171">
        <x:v>57</x:v>
      </x:c>
      <x:c r="O171">
        <x:v>47</x:v>
      </x:c>
      <x:c r="P171">
        <x:v>76</x:v>
      </x:c>
      <x:c r="Q171">
        <x:v>58</x:v>
      </x:c>
      <x:c r="R171">
        <x:v>87</x:v>
      </x:c>
      <x:c r="S171">
        <x:v>79</x:v>
      </x:c>
      <x:c r="T171">
        <x:v>51</x:v>
      </x:c>
      <x:c r="U171">
        <x:v>61</x:v>
      </x:c>
    </x:row>
    <x:row r="172">
      <x:c r="A172" t="s">
        <x:v>528</x:v>
      </x:c>
      <x:c r="B172" t="s">
        <x:v>439</x:v>
      </x:c>
      <x:c r="C172" t="s">
        <x:v>331</x:v>
      </x:c>
      <x:c r="D172">
        <x:v>8477950</x:v>
      </x:c>
      <x:c r="E172">
        <x:v>68</x:v>
      </x:c>
      <x:c r="F172">
        <x:v>46</x:v>
      </x:c>
      <x:c r="G172">
        <x:v>83</x:v>
      </x:c>
      <x:c r="H172">
        <x:v>47</x:v>
      </x:c>
      <x:c r="I172">
        <x:v>76</x:v>
      </x:c>
      <x:c r="J172">
        <x:v>91</x:v>
      </x:c>
      <x:c r="K172">
        <x:v>90</x:v>
      </x:c>
      <x:c r="L172">
        <x:v>46</x:v>
      </x:c>
      <x:c r="M172">
        <x:v>30</x:v>
      </x:c>
      <x:c r="N172">
        <x:v>59</x:v>
      </x:c>
      <x:c r="O172">
        <x:v>47</x:v>
      </x:c>
      <x:c r="P172">
        <x:v>74</x:v>
      </x:c>
      <x:c r="Q172">
        <x:v>63</x:v>
      </x:c>
      <x:c r="R172">
        <x:v>80</x:v>
      </x:c>
      <x:c r="S172">
        <x:v>72</x:v>
      </x:c>
      <x:c r="T172">
        <x:v>51</x:v>
      </x:c>
      <x:c r="U172">
        <x:v>61</x:v>
      </x:c>
    </x:row>
    <x:row r="173">
      <x:c r="A173" t="s">
        <x:v>529</x:v>
      </x:c>
      <x:c r="B173" t="s">
        <x:v>402</x:v>
      </x:c>
      <x:c r="C173" t="s">
        <x:v>323</x:v>
      </x:c>
      <x:c r="D173">
        <x:v>8478440</x:v>
      </x:c>
      <x:c r="E173">
        <x:v>57</x:v>
      </x:c>
      <x:c r="F173">
        <x:v>41</x:v>
      </x:c>
      <x:c r="G173">
        <x:v>81</x:v>
      </x:c>
      <x:c r="H173">
        <x:v>61</x:v>
      </x:c>
      <x:c r="I173">
        <x:v>84</x:v>
      </x:c>
      <x:c r="J173">
        <x:v>89</x:v>
      </x:c>
      <x:c r="K173">
        <x:v>97</x:v>
      </x:c>
      <x:c r="L173">
        <x:v>63</x:v>
      </x:c>
      <x:c r="M173">
        <x:v>91</x:v>
      </x:c>
      <x:c r="N173">
        <x:v>63</x:v>
      </x:c>
      <x:c r="O173">
        <x:v>58</x:v>
      </x:c>
      <x:c r="P173">
        <x:v>64</x:v>
      </x:c>
      <x:c r="Q173">
        <x:v>84</x:v>
      </x:c>
      <x:c r="R173">
        <x:v>78</x:v>
      </x:c>
      <x:c r="S173">
        <x:v>74</x:v>
      </x:c>
      <x:c r="T173">
        <x:v>51</x:v>
      </x:c>
      <x:c r="U173">
        <x:v>61</x:v>
      </x:c>
    </x:row>
    <x:row r="174">
      <x:c r="A174" t="s">
        <x:v>530</x:v>
      </x:c>
      <x:c r="B174" t="s">
        <x:v>481</x:v>
      </x:c>
      <x:c r="C174" t="s">
        <x:v>326</x:v>
      </x:c>
      <x:c r="D174">
        <x:v>8474586</x:v>
      </x:c>
      <x:c r="E174">
        <x:v>62</x:v>
      </x:c>
      <x:c r="F174">
        <x:v>32</x:v>
      </x:c>
      <x:c r="G174">
        <x:v>87</x:v>
      </x:c>
      <x:c r="H174">
        <x:v>59</x:v>
      </x:c>
      <x:c r="I174">
        <x:v>75</x:v>
      </x:c>
      <x:c r="J174">
        <x:v>88</x:v>
      </x:c>
      <x:c r="K174">
        <x:v>93</x:v>
      </x:c>
      <x:c r="L174">
        <x:v>58</x:v>
      </x:c>
      <x:c r="M174">
        <x:v>68</x:v>
      </x:c>
      <x:c r="N174">
        <x:v>58</x:v>
      </x:c>
      <x:c r="O174">
        <x:v>60</x:v>
      </x:c>
      <x:c r="P174">
        <x:v>63</x:v>
      </x:c>
      <x:c r="Q174">
        <x:v>82</x:v>
      </x:c>
      <x:c r="R174">
        <x:v>89</x:v>
      </x:c>
      <x:c r="S174">
        <x:v>78</x:v>
      </x:c>
      <x:c r="T174">
        <x:v>51</x:v>
      </x:c>
      <x:c r="U174">
        <x:v>61</x:v>
      </x:c>
    </x:row>
    <x:row r="175">
      <x:c r="A175" t="s">
        <x:v>531</x:v>
      </x:c>
      <x:c r="B175" t="s">
        <x:v>383</x:v>
      </x:c>
      <x:c r="C175" t="s">
        <x:v>331</x:v>
      </x:c>
      <x:c r="D175">
        <x:v>8477969</x:v>
      </x:c>
      <x:c r="E175">
        <x:v>73</x:v>
      </x:c>
      <x:c r="F175">
        <x:v>56</x:v>
      </x:c>
      <x:c r="G175">
        <x:v>79</x:v>
      </x:c>
      <x:c r="H175">
        <x:v>42</x:v>
      </x:c>
      <x:c r="I175">
        <x:v>80</x:v>
      </x:c>
      <x:c r="J175">
        <x:v>93</x:v>
      </x:c>
      <x:c r="K175">
        <x:v>99</x:v>
      </x:c>
      <x:c r="L175">
        <x:v>42</x:v>
      </x:c>
      <x:c r="M175">
        <x:v>30</x:v>
      </x:c>
      <x:c r="N175">
        <x:v>53</x:v>
      </x:c>
      <x:c r="O175">
        <x:v>46</x:v>
      </x:c>
      <x:c r="P175">
        <x:v>80</x:v>
      </x:c>
      <x:c r="Q175">
        <x:v>52</x:v>
      </x:c>
      <x:c r="R175">
        <x:v>78</x:v>
      </x:c>
      <x:c r="S175">
        <x:v>77</x:v>
      </x:c>
      <x:c r="T175">
        <x:v>51</x:v>
      </x:c>
      <x:c r="U175">
        <x:v>61</x:v>
      </x:c>
    </x:row>
    <x:row r="176">
      <x:c r="A176" t="s">
        <x:v>532</x:v>
      </x:c>
      <x:c r="B176" t="s">
        <x:v>481</x:v>
      </x:c>
      <x:c r="C176" t="s">
        <x:v>329</x:v>
      </x:c>
      <x:c r="D176">
        <x:v>8476905</x:v>
      </x:c>
      <x:c r="E176">
        <x:v>58</x:v>
      </x:c>
      <x:c r="F176">
        <x:v>38</x:v>
      </x:c>
      <x:c r="G176">
        <x:v>93</x:v>
      </x:c>
      <x:c r="H176">
        <x:v>59</x:v>
      </x:c>
      <x:c r="I176">
        <x:v>80</x:v>
      </x:c>
      <x:c r="J176">
        <x:v>91</x:v>
      </x:c>
      <x:c r="K176">
        <x:v>97</x:v>
      </x:c>
      <x:c r="L176">
        <x:v>58</x:v>
      </x:c>
      <x:c r="M176">
        <x:v>91</x:v>
      </x:c>
      <x:c r="N176">
        <x:v>61</x:v>
      </x:c>
      <x:c r="O176">
        <x:v>56</x:v>
      </x:c>
      <x:c r="P176">
        <x:v>72</x:v>
      </x:c>
      <x:c r="Q176">
        <x:v>62</x:v>
      </x:c>
      <x:c r="R176">
        <x:v>82</x:v>
      </x:c>
      <x:c r="S176">
        <x:v>78</x:v>
      </x:c>
      <x:c r="T176">
        <x:v>51</x:v>
      </x:c>
      <x:c r="U176">
        <x:v>61</x:v>
      </x:c>
    </x:row>
    <x:row r="177">
      <x:c r="A177" t="s">
        <x:v>533</x:v>
      </x:c>
      <x:c r="B177" t="s">
        <x:v>334</x:v>
      </x:c>
      <x:c r="C177" t="s">
        <x:v>331</x:v>
      </x:c>
      <x:c r="D177">
        <x:v>8476854</x:v>
      </x:c>
      <x:c r="E177">
        <x:v>66</x:v>
      </x:c>
      <x:c r="F177">
        <x:v>42</x:v>
      </x:c>
      <x:c r="G177">
        <x:v>79</x:v>
      </x:c>
      <x:c r="H177">
        <x:v>45</x:v>
      </x:c>
      <x:c r="I177">
        <x:v>86</x:v>
      </x:c>
      <x:c r="J177">
        <x:v>92</x:v>
      </x:c>
      <x:c r="K177">
        <x:v>81</x:v>
      </x:c>
      <x:c r="L177">
        <x:v>44</x:v>
      </x:c>
      <x:c r="M177">
        <x:v>30</x:v>
      </x:c>
      <x:c r="N177">
        <x:v>56</x:v>
      </x:c>
      <x:c r="O177">
        <x:v>48</x:v>
      </x:c>
      <x:c r="P177">
        <x:v>78</x:v>
      </x:c>
      <x:c r="Q177">
        <x:v>52</x:v>
      </x:c>
      <x:c r="R177">
        <x:v>84</x:v>
      </x:c>
      <x:c r="S177">
        <x:v>80</x:v>
      </x:c>
      <x:c r="T177">
        <x:v>51</x:v>
      </x:c>
      <x:c r="U177">
        <x:v>61</x:v>
      </x:c>
    </x:row>
    <x:row r="178">
      <x:c r="A178" t="s">
        <x:v>534</x:v>
      </x:c>
      <x:c r="B178" t="s">
        <x:v>334</x:v>
      </x:c>
      <x:c r="C178" t="s">
        <x:v>331</x:v>
      </x:c>
      <x:c r="D178">
        <x:v>8477507</x:v>
      </x:c>
      <x:c r="E178">
        <x:v>83</x:v>
      </x:c>
      <x:c r="F178">
        <x:v>87</x:v>
      </x:c>
      <x:c r="G178">
        <x:v>65</x:v>
      </x:c>
      <x:c r="H178">
        <x:v>41</x:v>
      </x:c>
      <x:c r="I178">
        <x:v>97</x:v>
      </x:c>
      <x:c r="J178">
        <x:v>92</x:v>
      </x:c>
      <x:c r="K178">
        <x:v>99</x:v>
      </x:c>
      <x:c r="L178">
        <x:v>40</x:v>
      </x:c>
      <x:c r="M178">
        <x:v>30</x:v>
      </x:c>
      <x:c r="N178">
        <x:v>54</x:v>
      </x:c>
      <x:c r="O178">
        <x:v>46</x:v>
      </x:c>
      <x:c r="P178">
        <x:v>79</x:v>
      </x:c>
      <x:c r="Q178">
        <x:v>52</x:v>
      </x:c>
      <x:c r="R178">
        <x:v>81</x:v>
      </x:c>
      <x:c r="S178">
        <x:v>75</x:v>
      </x:c>
      <x:c r="T178">
        <x:v>51</x:v>
      </x:c>
      <x:c r="U178">
        <x:v>61</x:v>
      </x:c>
    </x:row>
    <x:row r="179">
      <x:c r="A179" t="s">
        <x:v>535</x:v>
      </x:c>
      <x:c r="B179" t="s">
        <x:v>400</x:v>
      </x:c>
      <x:c r="C179" t="s">
        <x:v>331</x:v>
      </x:c>
      <x:c r="D179">
        <x:v>8478055</x:v>
      </x:c>
      <x:c r="E179">
        <x:v>70</x:v>
      </x:c>
      <x:c r="F179">
        <x:v>52</x:v>
      </x:c>
      <x:c r="G179">
        <x:v>82</x:v>
      </x:c>
      <x:c r="H179">
        <x:v>44</x:v>
      </x:c>
      <x:c r="I179">
        <x:v>80</x:v>
      </x:c>
      <x:c r="J179">
        <x:v>94</x:v>
      </x:c>
      <x:c r="K179">
        <x:v>99</x:v>
      </x:c>
      <x:c r="L179">
        <x:v>44</x:v>
      </x:c>
      <x:c r="M179">
        <x:v>30</x:v>
      </x:c>
      <x:c r="N179">
        <x:v>56</x:v>
      </x:c>
      <x:c r="O179">
        <x:v>46</x:v>
      </x:c>
      <x:c r="P179">
        <x:v>80</x:v>
      </x:c>
      <x:c r="Q179">
        <x:v>52</x:v>
      </x:c>
      <x:c r="R179">
        <x:v>79</x:v>
      </x:c>
      <x:c r="S179">
        <x:v>78</x:v>
      </x:c>
      <x:c r="T179">
        <x:v>51</x:v>
      </x:c>
      <x:c r="U179">
        <x:v>61</x:v>
      </x:c>
    </x:row>
    <x:row r="180">
      <x:c r="A180" t="s">
        <x:v>536</x:v>
      </x:c>
      <x:c r="B180" t="s">
        <x:v>372</x:v>
      </x:c>
      <x:c r="C180" t="s">
        <x:v>331</x:v>
      </x:c>
      <x:c r="D180">
        <x:v>8476869</x:v>
      </x:c>
      <x:c r="E180">
        <x:v>71</x:v>
      </x:c>
      <x:c r="F180">
        <x:v>42</x:v>
      </x:c>
      <x:c r="G180">
        <x:v>83</x:v>
      </x:c>
      <x:c r="H180">
        <x:v>43</x:v>
      </x:c>
      <x:c r="I180">
        <x:v>85</x:v>
      </x:c>
      <x:c r="J180">
        <x:v>94</x:v>
      </x:c>
      <x:c r="K180">
        <x:v>99</x:v>
      </x:c>
      <x:c r="L180">
        <x:v>43</x:v>
      </x:c>
      <x:c r="M180">
        <x:v>30</x:v>
      </x:c>
      <x:c r="N180">
        <x:v>55</x:v>
      </x:c>
      <x:c r="O180">
        <x:v>47</x:v>
      </x:c>
      <x:c r="P180">
        <x:v>79</x:v>
      </x:c>
      <x:c r="Q180">
        <x:v>52</x:v>
      </x:c>
      <x:c r="R180">
        <x:v>84</x:v>
      </x:c>
      <x:c r="S180">
        <x:v>77</x:v>
      </x:c>
      <x:c r="T180">
        <x:v>51</x:v>
      </x:c>
      <x:c r="U180">
        <x:v>61</x:v>
      </x:c>
    </x:row>
    <x:row r="181">
      <x:c r="A181" t="s">
        <x:v>537</x:v>
      </x:c>
      <x:c r="B181" t="s">
        <x:v>400</x:v>
      </x:c>
      <x:c r="C181" t="s">
        <x:v>331</x:v>
      </x:c>
      <x:c r="D181">
        <x:v>8475462</x:v>
      </x:c>
      <x:c r="E181">
        <x:v>87</x:v>
      </x:c>
      <x:c r="F181">
        <x:v>86</x:v>
      </x:c>
      <x:c r="G181">
        <x:v>77</x:v>
      </x:c>
      <x:c r="H181">
        <x:v>38</x:v>
      </x:c>
      <x:c r="I181">
        <x:v>85</x:v>
      </x:c>
      <x:c r="J181">
        <x:v>87</x:v>
      </x:c>
      <x:c r="K181">
        <x:v>84</x:v>
      </x:c>
      <x:c r="L181">
        <x:v>37</x:v>
      </x:c>
      <x:c r="M181">
        <x:v>30</x:v>
      </x:c>
      <x:c r="N181">
        <x:v>52</x:v>
      </x:c>
      <x:c r="O181">
        <x:v>46</x:v>
      </x:c>
      <x:c r="P181">
        <x:v>77</x:v>
      </x:c>
      <x:c r="Q181">
        <x:v>52</x:v>
      </x:c>
      <x:c r="R181">
        <x:v>88</x:v>
      </x:c>
      <x:c r="S181">
        <x:v>85</x:v>
      </x:c>
      <x:c r="T181">
        <x:v>51</x:v>
      </x:c>
      <x:c r="U181">
        <x:v>61</x:v>
      </x:c>
    </x:row>
    <x:row r="182">
      <x:c r="A182" t="s">
        <x:v>538</x:v>
      </x:c>
      <x:c r="B182" t="s">
        <x:v>420</x:v>
      </x:c>
      <x:c r="C182" t="s">
        <x:v>329</x:v>
      </x:c>
      <x:c r="D182">
        <x:v>8480012</x:v>
      </x:c>
      <x:c r="E182">
        <x:v>72</x:v>
      </x:c>
      <x:c r="F182">
        <x:v>34</x:v>
      </x:c>
      <x:c r="G182">
        <x:v>91</x:v>
      </x:c>
      <x:c r="H182">
        <x:v>59</x:v>
      </x:c>
      <x:c r="I182">
        <x:v>77</x:v>
      </x:c>
      <x:c r="J182">
        <x:v>90</x:v>
      </x:c>
      <x:c r="K182">
        <x:v>93</x:v>
      </x:c>
      <x:c r="L182">
        <x:v>61</x:v>
      </x:c>
      <x:c r="M182">
        <x:v>89</x:v>
      </x:c>
      <x:c r="N182">
        <x:v>52</x:v>
      </x:c>
      <x:c r="O182">
        <x:v>51</x:v>
      </x:c>
      <x:c r="P182">
        <x:v>69</x:v>
      </x:c>
      <x:c r="Q182">
        <x:v>86</x:v>
      </x:c>
      <x:c r="R182">
        <x:v>77</x:v>
      </x:c>
      <x:c r="S182">
        <x:v>80</x:v>
      </x:c>
      <x:c r="T182">
        <x:v>51</x:v>
      </x:c>
      <x:c r="U182">
        <x:v>61</x:v>
      </x:c>
    </x:row>
    <x:row r="183">
      <x:c r="A183" t="s">
        <x:v>539</x:v>
      </x:c>
      <x:c r="B183" t="s">
        <x:v>436</x:v>
      </x:c>
      <x:c r="C183" t="s">
        <x:v>331</x:v>
      </x:c>
      <x:c r="D183">
        <x:v>8474013</x:v>
      </x:c>
      <x:c r="E183">
        <x:v>72</x:v>
      </x:c>
      <x:c r="F183">
        <x:v>64</x:v>
      </x:c>
      <x:c r="G183">
        <x:v>82</x:v>
      </x:c>
      <x:c r="H183">
        <x:v>39</x:v>
      </x:c>
      <x:c r="I183">
        <x:v>89</x:v>
      </x:c>
      <x:c r="J183">
        <x:v>90</x:v>
      </x:c>
      <x:c r="K183">
        <x:v>99</x:v>
      </x:c>
      <x:c r="L183">
        <x:v>39</x:v>
      </x:c>
      <x:c r="M183">
        <x:v>30</x:v>
      </x:c>
      <x:c r="N183">
        <x:v>53</x:v>
      </x:c>
      <x:c r="O183">
        <x:v>46</x:v>
      </x:c>
      <x:c r="P183">
        <x:v>81</x:v>
      </x:c>
      <x:c r="Q183">
        <x:v>52</x:v>
      </x:c>
      <x:c r="R183">
        <x:v>90</x:v>
      </x:c>
      <x:c r="S183">
        <x:v>76</x:v>
      </x:c>
      <x:c r="T183">
        <x:v>51</x:v>
      </x:c>
      <x:c r="U183">
        <x:v>61</x:v>
      </x:c>
    </x:row>
    <x:row r="184">
      <x:c r="A184" t="s">
        <x:v>540</x:v>
      </x:c>
      <x:c r="B184" t="s">
        <x:v>379</x:v>
      </x:c>
      <x:c r="C184" t="s">
        <x:v>331</x:v>
      </x:c>
      <x:c r="D184">
        <x:v>8474563</x:v>
      </x:c>
      <x:c r="E184">
        <x:v>71</x:v>
      </x:c>
      <x:c r="F184">
        <x:v>42</x:v>
      </x:c>
      <x:c r="G184">
        <x:v>80</x:v>
      </x:c>
      <x:c r="H184">
        <x:v>42</x:v>
      </x:c>
      <x:c r="I184">
        <x:v>85</x:v>
      </x:c>
      <x:c r="J184">
        <x:v>95</x:v>
      </x:c>
      <x:c r="K184">
        <x:v>87</x:v>
      </x:c>
      <x:c r="L184">
        <x:v>44</x:v>
      </x:c>
      <x:c r="M184">
        <x:v>30</x:v>
      </x:c>
      <x:c r="N184">
        <x:v>55</x:v>
      </x:c>
      <x:c r="O184">
        <x:v>47</x:v>
      </x:c>
      <x:c r="P184">
        <x:v>76</x:v>
      </x:c>
      <x:c r="Q184">
        <x:v>55</x:v>
      </x:c>
      <x:c r="R184">
        <x:v>92</x:v>
      </x:c>
      <x:c r="S184">
        <x:v>86</x:v>
      </x:c>
      <x:c r="T184">
        <x:v>51</x:v>
      </x:c>
      <x:c r="U184">
        <x:v>61</x:v>
      </x:c>
    </x:row>
    <x:row r="185">
      <x:c r="A185" t="s">
        <x:v>541</x:v>
      </x:c>
      <x:c r="B185" t="s">
        <x:v>379</x:v>
      </x:c>
      <x:c r="C185" t="s">
        <x:v>323</x:v>
      </x:c>
      <x:c r="D185">
        <x:v>8482124</x:v>
      </x:c>
      <x:c r="E185">
        <x:v>65</x:v>
      </x:c>
      <x:c r="F185">
        <x:v>43</x:v>
      </x:c>
      <x:c r="G185">
        <x:v>80</x:v>
      </x:c>
      <x:c r="H185">
        <x:v>59</x:v>
      </x:c>
      <x:c r="I185">
        <x:v>88</x:v>
      </x:c>
      <x:c r="J185">
        <x:v>91</x:v>
      </x:c>
      <x:c r="K185">
        <x:v>96</x:v>
      </x:c>
      <x:c r="L185">
        <x:v>59</x:v>
      </x:c>
      <x:c r="M185">
        <x:v>86</x:v>
      </x:c>
      <x:c r="N185">
        <x:v>57</x:v>
      </x:c>
      <x:c r="O185">
        <x:v>60</x:v>
      </x:c>
      <x:c r="P185">
        <x:v>71</x:v>
      </x:c>
      <x:c r="Q185">
        <x:v>59</x:v>
      </x:c>
      <x:c r="R185">
        <x:v>70</x:v>
      </x:c>
      <x:c r="S185">
        <x:v>77</x:v>
      </x:c>
      <x:c r="T185">
        <x:v>51</x:v>
      </x:c>
      <x:c r="U185">
        <x:v>61</x:v>
      </x:c>
    </x:row>
    <x:row r="186">
      <x:c r="A186" t="s">
        <x:v>542</x:v>
      </x:c>
      <x:c r="B186" t="s">
        <x:v>379</x:v>
      </x:c>
      <x:c r="C186" t="s">
        <x:v>333</x:v>
      </x:c>
      <x:c r="D186">
        <x:v>8477942</x:v>
      </x:c>
      <x:c r="E186">
        <x:v>63</x:v>
      </x:c>
      <x:c r="F186">
        <x:v>36</x:v>
      </x:c>
      <x:c r="G186">
        <x:v>80</x:v>
      </x:c>
      <x:c r="H186">
        <x:v>61</x:v>
      </x:c>
      <x:c r="I186">
        <x:v>78</x:v>
      </x:c>
      <x:c r="J186">
        <x:v>91</x:v>
      </x:c>
      <x:c r="K186">
        <x:v>82</x:v>
      </x:c>
      <x:c r="L186">
        <x:v>60</x:v>
      </x:c>
      <x:c r="M186">
        <x:v>66</x:v>
      </x:c>
      <x:c r="N186">
        <x:v>59</x:v>
      </x:c>
      <x:c r="O186">
        <x:v>62</x:v>
      </x:c>
      <x:c r="P186">
        <x:v>63</x:v>
      </x:c>
      <x:c r="Q186">
        <x:v>81</x:v>
      </x:c>
      <x:c r="R186">
        <x:v>80</x:v>
      </x:c>
      <x:c r="S186">
        <x:v>77</x:v>
      </x:c>
      <x:c r="T186">
        <x:v>51</x:v>
      </x:c>
      <x:c r="U186">
        <x:v>61</x:v>
      </x:c>
    </x:row>
    <x:row r="187">
      <x:c r="A187" t="s">
        <x:v>543</x:v>
      </x:c>
      <x:c r="B187" t="s">
        <x:v>337</x:v>
      </x:c>
      <x:c r="C187" t="s">
        <x:v>319</x:v>
      </x:c>
      <x:c r="D187">
        <x:v>8477497</x:v>
      </x:c>
      <x:c r="E187">
        <x:v>61</x:v>
      </x:c>
      <x:c r="F187">
        <x:v>39</x:v>
      </x:c>
      <x:c r="G187">
        <x:v>94</x:v>
      </x:c>
      <x:c r="H187">
        <x:v>58</x:v>
      </x:c>
      <x:c r="I187">
        <x:v>82</x:v>
      </x:c>
      <x:c r="J187">
        <x:v>88</x:v>
      </x:c>
      <x:c r="K187">
        <x:v>92</x:v>
      </x:c>
      <x:c r="L187">
        <x:v>60</x:v>
      </x:c>
      <x:c r="M187">
        <x:v>90</x:v>
      </x:c>
      <x:c r="N187">
        <x:v>58</x:v>
      </x:c>
      <x:c r="O187">
        <x:v>57</x:v>
      </x:c>
      <x:c r="P187">
        <x:v>70</x:v>
      </x:c>
      <x:c r="Q187">
        <x:v>72</x:v>
      </x:c>
      <x:c r="R187">
        <x:v>84</x:v>
      </x:c>
      <x:c r="S187">
        <x:v>85</x:v>
      </x:c>
      <x:c r="T187">
        <x:v>51</x:v>
      </x:c>
      <x:c r="U187">
        <x:v>61</x:v>
      </x:c>
    </x:row>
    <x:row r="188">
      <x:c r="A188" t="s">
        <x:v>544</x:v>
      </x:c>
      <x:c r="B188" t="s">
        <x:v>348</x:v>
      </x:c>
      <x:c r="C188" t="s">
        <x:v>331</x:v>
      </x:c>
      <x:c r="D188">
        <x:v>8479983</x:v>
      </x:c>
      <x:c r="E188">
        <x:v>78</x:v>
      </x:c>
      <x:c r="F188">
        <x:v>63</x:v>
      </x:c>
      <x:c r="G188">
        <x:v>86</x:v>
      </x:c>
      <x:c r="H188">
        <x:v>40</x:v>
      </x:c>
      <x:c r="I188">
        <x:v>83</x:v>
      </x:c>
      <x:c r="J188">
        <x:v>93</x:v>
      </x:c>
      <x:c r="K188">
        <x:v>99</x:v>
      </x:c>
      <x:c r="L188">
        <x:v>39</x:v>
      </x:c>
      <x:c r="M188">
        <x:v>30</x:v>
      </x:c>
      <x:c r="N188">
        <x:v>52</x:v>
      </x:c>
      <x:c r="O188">
        <x:v>47</x:v>
      </x:c>
      <x:c r="P188">
        <x:v>81</x:v>
      </x:c>
      <x:c r="Q188">
        <x:v>52</x:v>
      </x:c>
      <x:c r="R188">
        <x:v>76</x:v>
      </x:c>
      <x:c r="S188">
        <x:v>78</x:v>
      </x:c>
      <x:c r="T188">
        <x:v>51</x:v>
      </x:c>
      <x:c r="U188">
        <x:v>61</x:v>
      </x:c>
    </x:row>
    <x:row r="189">
      <x:c r="A189" t="s">
        <x:v>545</x:v>
      </x:c>
      <x:c r="B189" t="s">
        <x:v>337</x:v>
      </x:c>
      <x:c r="C189" t="s">
        <x:v>339</x:v>
      </x:c>
      <x:c r="D189">
        <x:v>8484166</x:v>
      </x:c>
      <x:c r="E189">
        <x:v>71</x:v>
      </x:c>
      <x:c r="F189">
        <x:v>55</x:v>
      </x:c>
      <x:c r="G189">
        <x:v>89</x:v>
      </x:c>
      <x:c r="H189">
        <x:v>59</x:v>
      </x:c>
      <x:c r="I189">
        <x:v>82</x:v>
      </x:c>
      <x:c r="J189">
        <x:v>89</x:v>
      </x:c>
      <x:c r="K189">
        <x:v>98</x:v>
      </x:c>
      <x:c r="L189">
        <x:v>58</x:v>
      </x:c>
      <x:c r="M189">
        <x:v>88</x:v>
      </x:c>
      <x:c r="N189">
        <x:v>59</x:v>
      </x:c>
      <x:c r="O189">
        <x:v>60</x:v>
      </x:c>
      <x:c r="P189">
        <x:v>64</x:v>
      </x:c>
      <x:c r="Q189">
        <x:v>82</x:v>
      </x:c>
      <x:c r="R189">
        <x:v>67</x:v>
      </x:c>
      <x:c r="S189">
        <x:v>76</x:v>
      </x:c>
      <x:c r="T189">
        <x:v>51</x:v>
      </x:c>
      <x:c r="U189">
        <x:v>61</x:v>
      </x:c>
    </x:row>
    <x:row r="190">
      <x:c r="A190" t="s">
        <x:v>546</x:v>
      </x:c>
      <x:c r="B190" t="s">
        <x:v>337</x:v>
      </x:c>
      <x:c r="C190" t="s">
        <x:v>331</x:v>
      </x:c>
      <x:c r="D190">
        <x:v>8476923</x:v>
      </x:c>
      <x:c r="E190">
        <x:v>69</x:v>
      </x:c>
      <x:c r="F190">
        <x:v>60</x:v>
      </x:c>
      <x:c r="G190">
        <x:v>80</x:v>
      </x:c>
      <x:c r="H190">
        <x:v>46</x:v>
      </x:c>
      <x:c r="I190">
        <x:v>83</x:v>
      </x:c>
      <x:c r="J190">
        <x:v>93</x:v>
      </x:c>
      <x:c r="K190">
        <x:v>90</x:v>
      </x:c>
      <x:c r="L190">
        <x:v>44</x:v>
      </x:c>
      <x:c r="M190">
        <x:v>30</x:v>
      </x:c>
      <x:c r="N190">
        <x:v>56</x:v>
      </x:c>
      <x:c r="O190">
        <x:v>49</x:v>
      </x:c>
      <x:c r="P190">
        <x:v>76</x:v>
      </x:c>
      <x:c r="Q190">
        <x:v>61</x:v>
      </x:c>
      <x:c r="R190">
        <x:v>83</x:v>
      </x:c>
      <x:c r="S190">
        <x:v>79</x:v>
      </x:c>
      <x:c r="T190">
        <x:v>51</x:v>
      </x:c>
      <x:c r="U190">
        <x:v>61</x:v>
      </x:c>
    </x:row>
    <x:row r="191">
      <x:c r="A191" t="s">
        <x:v>547</x:v>
      </x:c>
      <x:c r="B191" t="s">
        <x:v>364</x:v>
      </x:c>
      <x:c r="C191" t="s">
        <x:v>331</x:v>
      </x:c>
      <x:c r="D191">
        <x:v>8478507</x:v>
      </x:c>
      <x:c r="E191">
        <x:v>67</x:v>
      </x:c>
      <x:c r="F191">
        <x:v>41</x:v>
      </x:c>
      <x:c r="G191">
        <x:v>94</x:v>
      </x:c>
      <x:c r="H191">
        <x:v>44</x:v>
      </x:c>
      <x:c r="I191">
        <x:v>82</x:v>
      </x:c>
      <x:c r="J191">
        <x:v>92</x:v>
      </x:c>
      <x:c r="K191">
        <x:v>94</x:v>
      </x:c>
      <x:c r="L191">
        <x:v>44</x:v>
      </x:c>
      <x:c r="M191">
        <x:v>30</x:v>
      </x:c>
      <x:c r="N191">
        <x:v>59</x:v>
      </x:c>
      <x:c r="O191">
        <x:v>46</x:v>
      </x:c>
      <x:c r="P191">
        <x:v>78</x:v>
      </x:c>
      <x:c r="Q191">
        <x:v>52</x:v>
      </x:c>
      <x:c r="R191">
        <x:v>77</x:v>
      </x:c>
      <x:c r="S191">
        <x:v>75</x:v>
      </x:c>
      <x:c r="T191">
        <x:v>51</x:v>
      </x:c>
      <x:c r="U191">
        <x:v>61</x:v>
      </x:c>
    </x:row>
    <x:row r="192">
      <x:c r="A192" t="s">
        <x:v>548</x:v>
      </x:c>
      <x:c r="B192" t="s">
        <x:v>383</x:v>
      </x:c>
      <x:c r="C192" t="s">
        <x:v>333</x:v>
      </x:c>
      <x:c r="D192">
        <x:v>8481604</x:v>
      </x:c>
      <x:c r="E192">
        <x:v>59</x:v>
      </x:c>
      <x:c r="F192">
        <x:v>35</x:v>
      </x:c>
      <x:c r="G192">
        <x:v>90</x:v>
      </x:c>
      <x:c r="H192">
        <x:v>60</x:v>
      </x:c>
      <x:c r="I192">
        <x:v>78</x:v>
      </x:c>
      <x:c r="J192">
        <x:v>88</x:v>
      </x:c>
      <x:c r="K192">
        <x:v>98</x:v>
      </x:c>
      <x:c r="L192">
        <x:v>61</x:v>
      </x:c>
      <x:c r="M192">
        <x:v>62</x:v>
      </x:c>
      <x:c r="N192">
        <x:v>56</x:v>
      </x:c>
      <x:c r="O192">
        <x:v>66</x:v>
      </x:c>
      <x:c r="P192">
        <x:v>62</x:v>
      </x:c>
      <x:c r="Q192">
        <x:v>82</x:v>
      </x:c>
      <x:c r="R192">
        <x:v>71</x:v>
      </x:c>
      <x:c r="S192">
        <x:v>74</x:v>
      </x:c>
      <x:c r="T192">
        <x:v>51</x:v>
      </x:c>
      <x:c r="U192">
        <x:v>61</x:v>
      </x:c>
    </x:row>
    <x:row r="193">
      <x:c r="A193" t="s">
        <x:v>549</x:v>
      </x:c>
      <x:c r="B193" t="s">
        <x:v>439</x:v>
      </x:c>
      <x:c r="C193" t="s">
        <x:v>329</x:v>
      </x:c>
      <x:c r="D193">
        <x:v>8475170</x:v>
      </x:c>
      <x:c r="E193">
        <x:v>78</x:v>
      </x:c>
      <x:c r="F193">
        <x:v>87</x:v>
      </x:c>
      <x:c r="G193">
        <x:v>82</x:v>
      </x:c>
      <x:c r="H193">
        <x:v>57</x:v>
      </x:c>
      <x:c r="I193">
        <x:v>85</x:v>
      </x:c>
      <x:c r="J193">
        <x:v>87</x:v>
      </x:c>
      <x:c r="K193">
        <x:v>97</x:v>
      </x:c>
      <x:c r="L193">
        <x:v>57</x:v>
      </x:c>
      <x:c r="M193">
        <x:v>89</x:v>
      </x:c>
      <x:c r="N193">
        <x:v>55</x:v>
      </x:c>
      <x:c r="O193">
        <x:v>57</x:v>
      </x:c>
      <x:c r="P193">
        <x:v>63</x:v>
      </x:c>
      <x:c r="Q193">
        <x:v>71</x:v>
      </x:c>
      <x:c r="R193">
        <x:v>89</x:v>
      </x:c>
      <x:c r="S193">
        <x:v>87</x:v>
      </x:c>
      <x:c r="T193">
        <x:v>57</x:v>
      </x:c>
      <x:c r="U193">
        <x:v>61</x:v>
      </x:c>
    </x:row>
    <x:row r="194">
      <x:c r="A194" t="s">
        <x:v>550</x:v>
      </x:c>
      <x:c r="B194" t="s">
        <x:v>324</x:v>
      </x:c>
      <x:c r="C194" t="s">
        <x:v>339</x:v>
      </x:c>
      <x:c r="D194">
        <x:v>8475172</x:v>
      </x:c>
      <x:c r="E194">
        <x:v>62</x:v>
      </x:c>
      <x:c r="F194">
        <x:v>43</x:v>
      </x:c>
      <x:c r="G194">
        <x:v>85</x:v>
      </x:c>
      <x:c r="H194">
        <x:v>58</x:v>
      </x:c>
      <x:c r="I194">
        <x:v>79</x:v>
      </x:c>
      <x:c r="J194">
        <x:v>91</x:v>
      </x:c>
      <x:c r="K194">
        <x:v>95</x:v>
      </x:c>
      <x:c r="L194">
        <x:v>60</x:v>
      </x:c>
      <x:c r="M194">
        <x:v>87</x:v>
      </x:c>
      <x:c r="N194">
        <x:v>61</x:v>
      </x:c>
      <x:c r="O194">
        <x:v>58</x:v>
      </x:c>
      <x:c r="P194">
        <x:v>62</x:v>
      </x:c>
      <x:c r="Q194">
        <x:v>78</x:v>
      </x:c>
      <x:c r="R194">
        <x:v>88</x:v>
      </x:c>
      <x:c r="S194">
        <x:v>82</x:v>
      </x:c>
      <x:c r="T194">
        <x:v>51</x:v>
      </x:c>
      <x:c r="U194">
        <x:v>61</x:v>
      </x:c>
    </x:row>
    <x:row r="195">
      <x:c r="A195" t="s">
        <x:v>551</x:v>
      </x:c>
      <x:c r="B195" t="s">
        <x:v>354</x:v>
      </x:c>
      <x:c r="C195" t="s">
        <x:v>331</x:v>
      </x:c>
      <x:c r="D195">
        <x:v>8478468</x:v>
      </x:c>
      <x:c r="E195">
        <x:v>93</x:v>
      </x:c>
      <x:c r="F195">
        <x:v>91</x:v>
      </x:c>
      <x:c r="G195">
        <x:v>77</x:v>
      </x:c>
      <x:c r="H195">
        <x:v>38</x:v>
      </x:c>
      <x:c r="I195">
        <x:v>90</x:v>
      </x:c>
      <x:c r="J195">
        <x:v>88</x:v>
      </x:c>
      <x:c r="K195">
        <x:v>85</x:v>
      </x:c>
      <x:c r="L195">
        <x:v>38</x:v>
      </x:c>
      <x:c r="M195">
        <x:v>30</x:v>
      </x:c>
      <x:c r="N195">
        <x:v>51</x:v>
      </x:c>
      <x:c r="O195">
        <x:v>45</x:v>
      </x:c>
      <x:c r="P195">
        <x:v>78</x:v>
      </x:c>
      <x:c r="Q195">
        <x:v>52</x:v>
      </x:c>
      <x:c r="R195">
        <x:v>77</x:v>
      </x:c>
      <x:c r="S195">
        <x:v>71</x:v>
      </x:c>
      <x:c r="T195">
        <x:v>51</x:v>
      </x:c>
      <x:c r="U195">
        <x:v>61</x:v>
      </x:c>
    </x:row>
    <x:row r="196">
      <x:c r="A196" t="s">
        <x:v>552</x:v>
      </x:c>
      <x:c r="B196" t="s">
        <x:v>370</x:v>
      </x:c>
      <x:c r="C196" t="s">
        <x:v>323</x:v>
      </x:c>
      <x:c r="D196">
        <x:v>8481528</x:v>
      </x:c>
      <x:c r="E196">
        <x:v>81</x:v>
      </x:c>
      <x:c r="F196">
        <x:v>60</x:v>
      </x:c>
      <x:c r="G196">
        <x:v>79</x:v>
      </x:c>
      <x:c r="H196">
        <x:v>59</x:v>
      </x:c>
      <x:c r="I196">
        <x:v>83</x:v>
      </x:c>
      <x:c r="J196">
        <x:v>88</x:v>
      </x:c>
      <x:c r="K196">
        <x:v>99</x:v>
      </x:c>
      <x:c r="L196">
        <x:v>60</x:v>
      </x:c>
      <x:c r="M196">
        <x:v>89</x:v>
      </x:c>
      <x:c r="N196">
        <x:v>58</x:v>
      </x:c>
      <x:c r="O196">
        <x:v>60</x:v>
      </x:c>
      <x:c r="P196">
        <x:v>64</x:v>
      </x:c>
      <x:c r="Q196">
        <x:v>54</x:v>
      </x:c>
      <x:c r="R196">
        <x:v>71</x:v>
      </x:c>
      <x:c r="S196">
        <x:v>78</x:v>
      </x:c>
      <x:c r="T196">
        <x:v>51</x:v>
      </x:c>
      <x:c r="U196">
        <x:v>61</x:v>
      </x:c>
    </x:row>
    <x:row r="197">
      <x:c r="A197" t="s">
        <x:v>553</x:v>
      </x:c>
      <x:c r="B197" t="s">
        <x:v>393</x:v>
      </x:c>
      <x:c r="C197" t="s">
        <x:v>333</x:v>
      </x:c>
      <x:c r="D197">
        <x:v>8475184</x:v>
      </x:c>
      <x:c r="E197">
        <x:v>66</x:v>
      </x:c>
      <x:c r="F197">
        <x:v>43</x:v>
      </x:c>
      <x:c r="G197">
        <x:v>85</x:v>
      </x:c>
      <x:c r="H197">
        <x:v>60</x:v>
      </x:c>
      <x:c r="I197">
        <x:v>88</x:v>
      </x:c>
      <x:c r="J197">
        <x:v>88</x:v>
      </x:c>
      <x:c r="K197">
        <x:v>91</x:v>
      </x:c>
      <x:c r="L197">
        <x:v>59</x:v>
      </x:c>
      <x:c r="M197">
        <x:v>70</x:v>
      </x:c>
      <x:c r="N197">
        <x:v>57</x:v>
      </x:c>
      <x:c r="O197">
        <x:v>60</x:v>
      </x:c>
      <x:c r="P197">
        <x:v>67</x:v>
      </x:c>
      <x:c r="Q197">
        <x:v>57</x:v>
      </x:c>
      <x:c r="R197">
        <x:v>87</x:v>
      </x:c>
      <x:c r="S197">
        <x:v>85</x:v>
      </x:c>
      <x:c r="T197">
        <x:v>51</x:v>
      </x:c>
      <x:c r="U197">
        <x:v>61</x:v>
      </x:c>
    </x:row>
    <x:row r="198">
      <x:c r="A198" t="s">
        <x:v>554</x:v>
      </x:c>
      <x:c r="B198" t="s">
        <x:v>348</x:v>
      </x:c>
      <x:c r="C198" t="s">
        <x:v>331</x:v>
      </x:c>
      <x:c r="D198">
        <x:v>8480145</x:v>
      </x:c>
      <x:c r="E198">
        <x:v>80</x:v>
      </x:c>
      <x:c r="F198">
        <x:v>47</x:v>
      </x:c>
      <x:c r="G198">
        <x:v>79</x:v>
      </x:c>
      <x:c r="H198">
        <x:v>42</x:v>
      </x:c>
      <x:c r="I198">
        <x:v>77</x:v>
      </x:c>
      <x:c r="J198">
        <x:v>94</x:v>
      </x:c>
      <x:c r="K198">
        <x:v>81</x:v>
      </x:c>
      <x:c r="L198">
        <x:v>42</x:v>
      </x:c>
      <x:c r="M198">
        <x:v>30</x:v>
      </x:c>
      <x:c r="N198">
        <x:v>53</x:v>
      </x:c>
      <x:c r="O198">
        <x:v>47</x:v>
      </x:c>
      <x:c r="P198">
        <x:v>78</x:v>
      </x:c>
      <x:c r="Q198">
        <x:v>52</x:v>
      </x:c>
      <x:c r="R198">
        <x:v>80</x:v>
      </x:c>
      <x:c r="S198">
        <x:v>77</x:v>
      </x:c>
      <x:c r="T198">
        <x:v>51</x:v>
      </x:c>
      <x:c r="U198">
        <x:v>61</x:v>
      </x:c>
    </x:row>
    <x:row r="199">
      <x:c r="A199" t="s">
        <x:v>555</x:v>
      </x:c>
      <x:c r="B199" t="s">
        <x:v>481</x:v>
      </x:c>
      <x:c r="C199" t="s">
        <x:v>329</x:v>
      </x:c>
      <x:c r="D199">
        <x:v>8477955</x:v>
      </x:c>
      <x:c r="E199">
        <x:v>63</x:v>
      </x:c>
      <x:c r="F199">
        <x:v>49</x:v>
      </x:c>
      <x:c r="G199">
        <x:v>94</x:v>
      </x:c>
      <x:c r="H199">
        <x:v>61</x:v>
      </x:c>
      <x:c r="I199">
        <x:v>78</x:v>
      </x:c>
      <x:c r="J199">
        <x:v>86</x:v>
      </x:c>
      <x:c r="K199">
        <x:v>80</x:v>
      </x:c>
      <x:c r="L199">
        <x:v>63</x:v>
      </x:c>
      <x:c r="M199">
        <x:v>72</x:v>
      </x:c>
      <x:c r="N199">
        <x:v>59</x:v>
      </x:c>
      <x:c r="O199">
        <x:v>63</x:v>
      </x:c>
      <x:c r="P199">
        <x:v>66</x:v>
      </x:c>
      <x:c r="Q199">
        <x:v>64</x:v>
      </x:c>
      <x:c r="R199">
        <x:v>79</x:v>
      </x:c>
      <x:c r="S199">
        <x:v>77</x:v>
      </x:c>
      <x:c r="T199">
        <x:v>51</x:v>
      </x:c>
      <x:c r="U199">
        <x:v>61</x:v>
      </x:c>
    </x:row>
    <x:row r="200">
      <x:c r="A200" t="s">
        <x:v>556</x:v>
      </x:c>
      <x:c r="B200" t="s">
        <x:v>379</x:v>
      </x:c>
      <x:c r="C200" t="s">
        <x:v>331</x:v>
      </x:c>
      <x:c r="D200">
        <x:v>8476441</x:v>
      </x:c>
      <x:c r="E200">
        <x:v>75</x:v>
      </x:c>
      <x:c r="F200">
        <x:v>64</x:v>
      </x:c>
      <x:c r="G200">
        <x:v>91</x:v>
      </x:c>
      <x:c r="H200">
        <x:v>40</x:v>
      </x:c>
      <x:c r="I200">
        <x:v>88</x:v>
      </x:c>
      <x:c r="J200">
        <x:v>89</x:v>
      </x:c>
      <x:c r="K200">
        <x:v>99</x:v>
      </x:c>
      <x:c r="L200">
        <x:v>41</x:v>
      </x:c>
      <x:c r="M200">
        <x:v>30</x:v>
      </x:c>
      <x:c r="N200">
        <x:v>54</x:v>
      </x:c>
      <x:c r="O200">
        <x:v>46</x:v>
      </x:c>
      <x:c r="P200">
        <x:v>79</x:v>
      </x:c>
      <x:c r="Q200">
        <x:v>52</x:v>
      </x:c>
      <x:c r="R200">
        <x:v>84</x:v>
      </x:c>
      <x:c r="S200">
        <x:v>76</x:v>
      </x:c>
      <x:c r="T200">
        <x:v>51</x:v>
      </x:c>
      <x:c r="U200">
        <x:v>61</x:v>
      </x:c>
    </x:row>
    <x:row r="201">
      <x:c r="A201" t="s">
        <x:v>557</x:v>
      </x:c>
      <x:c r="B201" t="s">
        <x:v>356</x:v>
      </x:c>
      <x:c r="C201" t="s">
        <x:v>331</x:v>
      </x:c>
      <x:c r="D201">
        <x:v>8478851</x:v>
      </x:c>
      <x:c r="E201">
        <x:v>69</x:v>
      </x:c>
      <x:c r="F201">
        <x:v>36</x:v>
      </x:c>
      <x:c r="G201">
        <x:v>83</x:v>
      </x:c>
      <x:c r="H201">
        <x:v>43</x:v>
      </x:c>
      <x:c r="I201">
        <x:v>78</x:v>
      </x:c>
      <x:c r="J201">
        <x:v>91</x:v>
      </x:c>
      <x:c r="K201">
        <x:v>94</x:v>
      </x:c>
      <x:c r="L201">
        <x:v>43</x:v>
      </x:c>
      <x:c r="M201">
        <x:v>30</x:v>
      </x:c>
      <x:c r="N201">
        <x:v>53</x:v>
      </x:c>
      <x:c r="O201">
        <x:v>47</x:v>
      </x:c>
      <x:c r="P201">
        <x:v>80</x:v>
      </x:c>
      <x:c r="Q201">
        <x:v>52</x:v>
      </x:c>
      <x:c r="R201">
        <x:v>78</x:v>
      </x:c>
      <x:c r="S201">
        <x:v>72</x:v>
      </x:c>
      <x:c r="T201">
        <x:v>51</x:v>
      </x:c>
      <x:c r="U201">
        <x:v>61</x:v>
      </x:c>
    </x:row>
    <x:row r="202">
      <x:c r="A202" t="s">
        <x:v>558</x:v>
      </x:c>
      <x:c r="B202" t="s">
        <x:v>324</x:v>
      </x:c>
      <x:c r="C202" t="s">
        <x:v>333</x:v>
      </x:c>
      <x:c r="D202">
        <x:v>8477476</x:v>
      </x:c>
      <x:c r="E202">
        <x:v>62</x:v>
      </x:c>
      <x:c r="F202">
        <x:v>37</x:v>
      </x:c>
      <x:c r="G202">
        <x:v>91</x:v>
      </x:c>
      <x:c r="H202">
        <x:v>59</x:v>
      </x:c>
      <x:c r="I202">
        <x:v>78</x:v>
      </x:c>
      <x:c r="J202">
        <x:v>90</x:v>
      </x:c>
      <x:c r="K202">
        <x:v>87</x:v>
      </x:c>
      <x:c r="L202">
        <x:v>57</x:v>
      </x:c>
      <x:c r="M202">
        <x:v>65</x:v>
      </x:c>
      <x:c r="N202">
        <x:v>58</x:v>
      </x:c>
      <x:c r="O202">
        <x:v>61</x:v>
      </x:c>
      <x:c r="P202">
        <x:v>69</x:v>
      </x:c>
      <x:c r="Q202">
        <x:v>61</x:v>
      </x:c>
      <x:c r="R202">
        <x:v>80</x:v>
      </x:c>
      <x:c r="S202">
        <x:v>77</x:v>
      </x:c>
      <x:c r="T202">
        <x:v>51</x:v>
      </x:c>
      <x:c r="U202">
        <x:v>61</x:v>
      </x:c>
    </x:row>
    <x:row r="203">
      <x:c r="A203" t="s">
        <x:v>559</x:v>
      </x:c>
      <x:c r="B203" t="s">
        <x:v>366</x:v>
      </x:c>
      <x:c r="C203" t="s">
        <x:v>333</x:v>
      </x:c>
      <x:c r="D203">
        <x:v>8478414</x:v>
      </x:c>
      <x:c r="E203">
        <x:v>71</x:v>
      </x:c>
      <x:c r="F203">
        <x:v>51</x:v>
      </x:c>
      <x:c r="G203">
        <x:v>88</x:v>
      </x:c>
      <x:c r="H203">
        <x:v>59</x:v>
      </x:c>
      <x:c r="I203">
        <x:v>87</x:v>
      </x:c>
      <x:c r="J203">
        <x:v>90</x:v>
      </x:c>
      <x:c r="K203">
        <x:v>94</x:v>
      </x:c>
      <x:c r="L203">
        <x:v>59</x:v>
      </x:c>
      <x:c r="M203">
        <x:v>73</x:v>
      </x:c>
      <x:c r="N203">
        <x:v>55</x:v>
      </x:c>
      <x:c r="O203">
        <x:v>61</x:v>
      </x:c>
      <x:c r="P203">
        <x:v>64</x:v>
      </x:c>
      <x:c r="Q203">
        <x:v>63</x:v>
      </x:c>
      <x:c r="R203">
        <x:v>80</x:v>
      </x:c>
      <x:c r="S203">
        <x:v>77</x:v>
      </x:c>
      <x:c r="T203">
        <x:v>51</x:v>
      </x:c>
      <x:c r="U203">
        <x:v>61</x:v>
      </x:c>
    </x:row>
    <x:row r="204">
      <x:c r="A204" t="s">
        <x:v>560</x:v>
      </x:c>
      <x:c r="B204" t="s">
        <x:v>345</x:v>
      </x:c>
      <x:c r="C204" t="s">
        <x:v>331</x:v>
      </x:c>
      <x:c r="D204">
        <x:v>8476463</x:v>
      </x:c>
      <x:c r="E204">
        <x:v>66</x:v>
      </x:c>
      <x:c r="F204">
        <x:v>39</x:v>
      </x:c>
      <x:c r="G204">
        <x:v>91</x:v>
      </x:c>
      <x:c r="H204">
        <x:v>43</x:v>
      </x:c>
      <x:c r="I204">
        <x:v>82</x:v>
      </x:c>
      <x:c r="J204">
        <x:v>92</x:v>
      </x:c>
      <x:c r="K204">
        <x:v>83</x:v>
      </x:c>
      <x:c r="L204">
        <x:v>41</x:v>
      </x:c>
      <x:c r="M204">
        <x:v>30</x:v>
      </x:c>
      <x:c r="N204">
        <x:v>54</x:v>
      </x:c>
      <x:c r="O204">
        <x:v>47</x:v>
      </x:c>
      <x:c r="P204">
        <x:v>79</x:v>
      </x:c>
      <x:c r="Q204">
        <x:v>52</x:v>
      </x:c>
      <x:c r="R204">
        <x:v>85</x:v>
      </x:c>
      <x:c r="S204">
        <x:v>75</x:v>
      </x:c>
      <x:c r="T204">
        <x:v>51</x:v>
      </x:c>
      <x:c r="U204">
        <x:v>61</x:v>
      </x:c>
    </x:row>
    <x:row r="205">
      <x:c r="A205" t="s">
        <x:v>561</x:v>
      </x:c>
      <x:c r="B205" t="s">
        <x:v>402</x:v>
      </x:c>
      <x:c r="C205" t="s">
        <x:v>331</x:v>
      </x:c>
      <x:c r="D205">
        <x:v>8480796</x:v>
      </x:c>
      <x:c r="E205">
        <x:v>83</x:v>
      </x:c>
      <x:c r="F205">
        <x:v>63</x:v>
      </x:c>
      <x:c r="G205">
        <x:v>86</x:v>
      </x:c>
      <x:c r="H205">
        <x:v>42</x:v>
      </x:c>
      <x:c r="I205">
        <x:v>85</x:v>
      </x:c>
      <x:c r="J205">
        <x:v>91</x:v>
      </x:c>
      <x:c r="K205">
        <x:v>99</x:v>
      </x:c>
      <x:c r="L205">
        <x:v>41</x:v>
      </x:c>
      <x:c r="M205">
        <x:v>30</x:v>
      </x:c>
      <x:c r="N205">
        <x:v>54</x:v>
      </x:c>
      <x:c r="O205">
        <x:v>47</x:v>
      </x:c>
      <x:c r="P205">
        <x:v>79</x:v>
      </x:c>
      <x:c r="Q205">
        <x:v>52</x:v>
      </x:c>
      <x:c r="R205">
        <x:v>73</x:v>
      </x:c>
      <x:c r="S205">
        <x:v>75</x:v>
      </x:c>
      <x:c r="T205">
        <x:v>51</x:v>
      </x:c>
      <x:c r="U205">
        <x:v>61</x:v>
      </x:c>
    </x:row>
    <x:row r="206">
      <x:c r="A206" t="s">
        <x:v>562</x:v>
      </x:c>
      <x:c r="B206" t="s">
        <x:v>400</x:v>
      </x:c>
      <x:c r="C206" t="s">
        <x:v>319</x:v>
      </x:c>
      <x:c r="D206">
        <x:v>8482113</x:v>
      </x:c>
      <x:c r="E206">
        <x:v>68</x:v>
      </x:c>
      <x:c r="F206">
        <x:v>39</x:v>
      </x:c>
      <x:c r="G206">
        <x:v>82</x:v>
      </x:c>
      <x:c r="H206">
        <x:v>58</x:v>
      </x:c>
      <x:c r="I206">
        <x:v>81</x:v>
      </x:c>
      <x:c r="J206">
        <x:v>90</x:v>
      </x:c>
      <x:c r="K206">
        <x:v>86</x:v>
      </x:c>
      <x:c r="L206">
        <x:v>58</x:v>
      </x:c>
      <x:c r="M206">
        <x:v>90</x:v>
      </x:c>
      <x:c r="N206">
        <x:v>59</x:v>
      </x:c>
      <x:c r="O206">
        <x:v>58</x:v>
      </x:c>
      <x:c r="P206">
        <x:v>70</x:v>
      </x:c>
      <x:c r="Q206">
        <x:v>92</x:v>
      </x:c>
      <x:c r="R206">
        <x:v>71</x:v>
      </x:c>
      <x:c r="S206">
        <x:v>72</x:v>
      </x:c>
      <x:c r="T206">
        <x:v>51</x:v>
      </x:c>
      <x:c r="U206">
        <x:v>61</x:v>
      </x:c>
    </x:row>
    <x:row r="207">
      <x:c r="A207" t="s">
        <x:v>563</x:v>
      </x:c>
      <x:c r="B207" t="s">
        <x:v>402</x:v>
      </x:c>
      <x:c r="C207" t="s">
        <x:v>331</x:v>
      </x:c>
      <x:c r="D207">
        <x:v>8480873</x:v>
      </x:c>
      <x:c r="E207">
        <x:v>74</x:v>
      </x:c>
      <x:c r="F207">
        <x:v>36</x:v>
      </x:c>
      <x:c r="G207">
        <x:v>94</x:v>
      </x:c>
      <x:c r="H207">
        <x:v>44</x:v>
      </x:c>
      <x:c r="I207">
        <x:v>77</x:v>
      </x:c>
      <x:c r="J207">
        <x:v>91</x:v>
      </x:c>
      <x:c r="K207">
        <x:v>94</x:v>
      </x:c>
      <x:c r="L207">
        <x:v>43</x:v>
      </x:c>
      <x:c r="M207">
        <x:v>30</x:v>
      </x:c>
      <x:c r="N207">
        <x:v>56</x:v>
      </x:c>
      <x:c r="O207">
        <x:v>47</x:v>
      </x:c>
      <x:c r="P207">
        <x:v>77</x:v>
      </x:c>
      <x:c r="Q207">
        <x:v>52</x:v>
      </x:c>
      <x:c r="R207">
        <x:v>72</x:v>
      </x:c>
      <x:c r="S207">
        <x:v>72</x:v>
      </x:c>
      <x:c r="T207">
        <x:v>51</x:v>
      </x:c>
      <x:c r="U207">
        <x:v>61</x:v>
      </x:c>
    </x:row>
    <x:row r="208">
      <x:c r="A208" t="s">
        <x:v>564</x:v>
      </x:c>
      <x:c r="B208" t="s">
        <x:v>356</x:v>
      </x:c>
      <x:c r="C208" t="s">
        <x:v>333</x:v>
      </x:c>
      <x:c r="D208">
        <x:v>8477511</x:v>
      </x:c>
      <x:c r="E208">
        <x:v>63</x:v>
      </x:c>
      <x:c r="F208">
        <x:v>76</x:v>
      </x:c>
      <x:c r="G208">
        <x:v>82</x:v>
      </x:c>
      <x:c r="H208">
        <x:v>58</x:v>
      </x:c>
      <x:c r="I208">
        <x:v>91</x:v>
      </x:c>
      <x:c r="J208">
        <x:v>84</x:v>
      </x:c>
      <x:c r="K208">
        <x:v>87</x:v>
      </x:c>
      <x:c r="L208">
        <x:v>60</x:v>
      </x:c>
      <x:c r="M208">
        <x:v>68</x:v>
      </x:c>
      <x:c r="N208">
        <x:v>57</x:v>
      </x:c>
      <x:c r="O208">
        <x:v>64</x:v>
      </x:c>
      <x:c r="P208">
        <x:v>63</x:v>
      </x:c>
      <x:c r="Q208">
        <x:v>64</x:v>
      </x:c>
      <x:c r="R208">
        <x:v>83</x:v>
      </x:c>
      <x:c r="S208">
        <x:v>77</x:v>
      </x:c>
      <x:c r="T208">
        <x:v>51</x:v>
      </x:c>
      <x:c r="U208">
        <x:v>61</x:v>
      </x:c>
    </x:row>
    <x:row r="209">
      <x:c r="A209" t="s">
        <x:v>565</x:v>
      </x:c>
      <x:c r="B209" t="s">
        <x:v>361</x:v>
      </x:c>
      <x:c r="C209" t="s">
        <x:v>339</x:v>
      </x:c>
      <x:c r="D209">
        <x:v>8480064</x:v>
      </x:c>
      <x:c r="E209">
        <x:v>65</x:v>
      </x:c>
      <x:c r="F209">
        <x:v>37</x:v>
      </x:c>
      <x:c r="G209">
        <x:v>79</x:v>
      </x:c>
      <x:c r="H209">
        <x:v>60</x:v>
      </x:c>
      <x:c r="I209">
        <x:v>79</x:v>
      </x:c>
      <x:c r="J209">
        <x:v>86</x:v>
      </x:c>
      <x:c r="K209">
        <x:v>73</x:v>
      </x:c>
      <x:c r="L209">
        <x:v>59</x:v>
      </x:c>
      <x:c r="M209">
        <x:v>88</x:v>
      </x:c>
      <x:c r="N209">
        <x:v>60</x:v>
      </x:c>
      <x:c r="O209">
        <x:v>60</x:v>
      </x:c>
      <x:c r="P209">
        <x:v>66</x:v>
      </x:c>
      <x:c r="Q209">
        <x:v>82</x:v>
      </x:c>
      <x:c r="R209">
        <x:v>73</x:v>
      </x:c>
      <x:c r="S209">
        <x:v>77</x:v>
      </x:c>
      <x:c r="T209">
        <x:v>51</x:v>
      </x:c>
      <x:c r="U209">
        <x:v>61</x:v>
      </x:c>
    </x:row>
    <x:row r="210">
      <x:c r="A210" t="s">
        <x:v>566</x:v>
      </x:c>
      <x:c r="B210" t="s">
        <x:v>400</x:v>
      </x:c>
      <x:c r="C210" t="s">
        <x:v>333</x:v>
      </x:c>
      <x:c r="D210">
        <x:v>8477409</x:v>
      </x:c>
      <x:c r="E210">
        <x:v>65</x:v>
      </x:c>
      <x:c r="F210">
        <x:v>35</x:v>
      </x:c>
      <x:c r="G210">
        <x:v>84</x:v>
      </x:c>
      <x:c r="H210">
        <x:v>58</x:v>
      </x:c>
      <x:c r="I210">
        <x:v>77</x:v>
      </x:c>
      <x:c r="J210">
        <x:v>88</x:v>
      </x:c>
      <x:c r="K210">
        <x:v>95</x:v>
      </x:c>
      <x:c r="L210">
        <x:v>61</x:v>
      </x:c>
      <x:c r="M210">
        <x:v>71</x:v>
      </x:c>
      <x:c r="N210">
        <x:v>59</x:v>
      </x:c>
      <x:c r="O210">
        <x:v>61</x:v>
      </x:c>
      <x:c r="P210">
        <x:v>62</x:v>
      </x:c>
      <x:c r="Q210">
        <x:v>52</x:v>
      </x:c>
      <x:c r="R210">
        <x:v>82</x:v>
      </x:c>
      <x:c r="S210">
        <x:v>77</x:v>
      </x:c>
      <x:c r="T210">
        <x:v>51</x:v>
      </x:c>
      <x:c r="U210">
        <x:v>61</x:v>
      </x:c>
    </x:row>
    <x:row r="211">
      <x:c r="A211" t="s">
        <x:v>567</x:v>
      </x:c>
      <x:c r="B211" t="s">
        <x:v>340</x:v>
      </x:c>
      <x:c r="C211" t="s">
        <x:v>323</x:v>
      </x:c>
      <x:c r="D211">
        <x:v>8484227</x:v>
      </x:c>
      <x:c r="E211">
        <x:v>58</x:v>
      </x:c>
      <x:c r="F211">
        <x:v>32</x:v>
      </x:c>
      <x:c r="G211">
        <x:v>93</x:v>
      </x:c>
      <x:c r="H211">
        <x:v>62</x:v>
      </x:c>
      <x:c r="I211">
        <x:v>75</x:v>
      </x:c>
      <x:c r="J211">
        <x:v>88</x:v>
      </x:c>
      <x:c r="K211">
        <x:v>87</x:v>
      </x:c>
      <x:c r="L211">
        <x:v>64</x:v>
      </x:c>
      <x:c r="M211">
        <x:v>70</x:v>
      </x:c>
      <x:c r="N211">
        <x:v>62</x:v>
      </x:c>
      <x:c r="O211">
        <x:v>61</x:v>
      </x:c>
      <x:c r="P211">
        <x:v>61</x:v>
      </x:c>
      <x:c r="Q211">
        <x:v>81</x:v>
      </x:c>
      <x:c r="R211">
        <x:v>66</x:v>
      </x:c>
      <x:c r="S211">
        <x:v>71</x:v>
      </x:c>
      <x:c r="T211">
        <x:v>51</x:v>
      </x:c>
      <x:c r="U211">
        <x:v>61</x:v>
      </x:c>
    </x:row>
    <x:row r="212">
      <x:c r="A212" t="s">
        <x:v>568</x:v>
      </x:c>
      <x:c r="B212" t="s">
        <x:v>402</x:v>
      </x:c>
      <x:c r="C212" t="s">
        <x:v>326</x:v>
      </x:c>
      <x:c r="D212">
        <x:v>8477949</x:v>
      </x:c>
      <x:c r="E212">
        <x:v>66</x:v>
      </x:c>
      <x:c r="F212">
        <x:v>74</x:v>
      </x:c>
      <x:c r="G212">
        <x:v>79</x:v>
      </x:c>
      <x:c r="H212">
        <x:v>63</x:v>
      </x:c>
      <x:c r="I212">
        <x:v>89</x:v>
      </x:c>
      <x:c r="J212">
        <x:v>91</x:v>
      </x:c>
      <x:c r="K212">
        <x:v>96</x:v>
      </x:c>
      <x:c r="L212">
        <x:v>64</x:v>
      </x:c>
      <x:c r="M212">
        <x:v>73</x:v>
      </x:c>
      <x:c r="N212">
        <x:v>60</x:v>
      </x:c>
      <x:c r="O212">
        <x:v>65</x:v>
      </x:c>
      <x:c r="P212">
        <x:v>76</x:v>
      </x:c>
      <x:c r="Q212">
        <x:v>86</x:v>
      </x:c>
      <x:c r="R212">
        <x:v>79</x:v>
      </x:c>
      <x:c r="S212">
        <x:v>8</x:v>
      </x:c>
      <x:c r="T212">
        <x:v>51</x:v>
      </x:c>
      <x:c r="U212">
        <x:v>61</x:v>
      </x:c>
    </x:row>
    <x:row r="213">
      <x:c r="A213" t="s">
        <x:v>569</x:v>
      </x:c>
      <x:c r="B213" t="s">
        <x:v>340</x:v>
      </x:c>
      <x:c r="C213" t="s">
        <x:v>319</x:v>
      </x:c>
      <x:c r="D213">
        <x:v>8477505</x:v>
      </x:c>
      <x:c r="E213">
        <x:v>59</x:v>
      </x:c>
      <x:c r="F213">
        <x:v>37</x:v>
      </x:c>
      <x:c r="G213">
        <x:v>93</x:v>
      </x:c>
      <x:c r="H213">
        <x:v>57</x:v>
      </x:c>
      <x:c r="I213">
        <x:v>80</x:v>
      </x:c>
      <x:c r="J213">
        <x:v>92</x:v>
      </x:c>
      <x:c r="K213">
        <x:v>96</x:v>
      </x:c>
      <x:c r="L213">
        <x:v>58</x:v>
      </x:c>
      <x:c r="M213">
        <x:v>88</x:v>
      </x:c>
      <x:c r="N213">
        <x:v>61</x:v>
      </x:c>
      <x:c r="O213">
        <x:v>57</x:v>
      </x:c>
      <x:c r="P213">
        <x:v>72</x:v>
      </x:c>
      <x:c r="Q213">
        <x:v>63</x:v>
      </x:c>
      <x:c r="R213">
        <x:v>83</x:v>
      </x:c>
      <x:c r="S213">
        <x:v>76</x:v>
      </x:c>
      <x:c r="T213">
        <x:v>51</x:v>
      </x:c>
      <x:c r="U213">
        <x:v>61</x:v>
      </x:c>
    </x:row>
    <x:row r="214">
      <x:c r="A214" t="s">
        <x:v>570</x:v>
      </x:c>
      <x:c r="B214" t="s">
        <x:v>370</x:v>
      </x:c>
      <x:c r="C214" t="s">
        <x:v>331</x:v>
      </x:c>
      <x:c r="D214">
        <x:v>8482245</x:v>
      </x:c>
      <x:c r="E214">
        <x:v>72</x:v>
      </x:c>
      <x:c r="F214">
        <x:v>59</x:v>
      </x:c>
      <x:c r="G214">
        <x:v>79</x:v>
      </x:c>
      <x:c r="H214">
        <x:v>42</x:v>
      </x:c>
      <x:c r="I214">
        <x:v>84</x:v>
      </x:c>
      <x:c r="J214">
        <x:v>92</x:v>
      </x:c>
      <x:c r="K214">
        <x:v>97</x:v>
      </x:c>
      <x:c r="L214">
        <x:v>42</x:v>
      </x:c>
      <x:c r="M214">
        <x:v>30</x:v>
      </x:c>
      <x:c r="N214">
        <x:v>55</x:v>
      </x:c>
      <x:c r="O214">
        <x:v>47</x:v>
      </x:c>
      <x:c r="P214">
        <x:v>80</x:v>
      </x:c>
      <x:c r="Q214">
        <x:v>52</x:v>
      </x:c>
      <x:c r="R214">
        <x:v>80</x:v>
      </x:c>
      <x:c r="S214">
        <x:v>72</x:v>
      </x:c>
      <x:c r="T214">
        <x:v>51</x:v>
      </x:c>
      <x:c r="U214">
        <x:v>61</x:v>
      </x:c>
    </x:row>
    <x:row r="215">
      <x:c r="A215" t="s">
        <x:v>571</x:v>
      </x:c>
      <x:c r="B215" t="s">
        <x:v>386</x:v>
      </x:c>
      <x:c r="C215" t="s">
        <x:v>331</x:v>
      </x:c>
      <x:c r="D215">
        <x:v>8482100</x:v>
      </x:c>
      <x:c r="E215">
        <x:v>78</x:v>
      </x:c>
      <x:c r="F215">
        <x:v>66</x:v>
      </x:c>
      <x:c r="G215">
        <x:v>86</x:v>
      </x:c>
      <x:c r="H215">
        <x:v>44</x:v>
      </x:c>
      <x:c r="I215">
        <x:v>86</x:v>
      </x:c>
      <x:c r="J215">
        <x:v>88</x:v>
      </x:c>
      <x:c r="K215">
        <x:v>97</x:v>
      </x:c>
      <x:c r="L215">
        <x:v>45</x:v>
      </x:c>
      <x:c r="M215">
        <x:v>30</x:v>
      </x:c>
      <x:c r="N215">
        <x:v>54</x:v>
      </x:c>
      <x:c r="O215">
        <x:v>53</x:v>
      </x:c>
      <x:c r="P215">
        <x:v>76</x:v>
      </x:c>
      <x:c r="Q215">
        <x:v>54</x:v>
      </x:c>
      <x:c r="R215">
        <x:v>67</x:v>
      </x:c>
      <x:c r="S215">
        <x:v>66</x:v>
      </x:c>
      <x:c r="T215">
        <x:v>54</x:v>
      </x:c>
      <x:c r="U215">
        <x:v>61</x:v>
      </x:c>
    </x:row>
    <x:row r="216">
      <x:c r="A216" t="s">
        <x:v>572</x:v>
      </x:c>
      <x:c r="B216" t="s">
        <x:v>386</x:v>
      </x:c>
      <x:c r="C216" t="s">
        <x:v>339</x:v>
      </x:c>
      <x:c r="D216">
        <x:v>8473533</x:v>
      </x:c>
      <x:c r="E216">
        <x:v>76</x:v>
      </x:c>
      <x:c r="F216">
        <x:v>62</x:v>
      </x:c>
      <x:c r="G216">
        <x:v>89</x:v>
      </x:c>
      <x:c r="H216">
        <x:v>54</x:v>
      </x:c>
      <x:c r="I216">
        <x:v>87</x:v>
      </x:c>
      <x:c r="J216">
        <x:v>86</x:v>
      </x:c>
      <x:c r="K216">
        <x:v>92</x:v>
      </x:c>
      <x:c r="L216">
        <x:v>55</x:v>
      </x:c>
      <x:c r="M216">
        <x:v>93</x:v>
      </x:c>
      <x:c r="N216">
        <x:v>54</x:v>
      </x:c>
      <x:c r="O216">
        <x:v>58</x:v>
      </x:c>
      <x:c r="P216">
        <x:v>72</x:v>
      </x:c>
      <x:c r="Q216">
        <x:v>52</x:v>
      </x:c>
      <x:c r="R216">
        <x:v>92</x:v>
      </x:c>
      <x:c r="S216">
        <x:v>91</x:v>
      </x:c>
      <x:c r="T216">
        <x:v>42</x:v>
      </x:c>
      <x:c r="U216">
        <x:v>61</x:v>
      </x:c>
    </x:row>
    <x:row r="217">
      <x:c r="A217" t="s">
        <x:v>573</x:v>
      </x:c>
      <x:c r="B217" t="s">
        <x:v>327</x:v>
      </x:c>
      <x:c r="C217" t="s">
        <x:v>331</x:v>
      </x:c>
      <x:c r="D217">
        <x:v>8482655</x:v>
      </x:c>
      <x:c r="E217">
        <x:v>71</x:v>
      </x:c>
      <x:c r="F217">
        <x:v>73</x:v>
      </x:c>
      <x:c r="G217">
        <x:v>80</x:v>
      </x:c>
      <x:c r="H217">
        <x:v>44</x:v>
      </x:c>
      <x:c r="I217">
        <x:v>81</x:v>
      </x:c>
      <x:c r="J217">
        <x:v>92</x:v>
      </x:c>
      <x:c r="K217">
        <x:v>95</x:v>
      </x:c>
      <x:c r="L217">
        <x:v>43</x:v>
      </x:c>
      <x:c r="M217">
        <x:v>30</x:v>
      </x:c>
      <x:c r="N217">
        <x:v>55</x:v>
      </x:c>
      <x:c r="O217">
        <x:v>47</x:v>
      </x:c>
      <x:c r="P217">
        <x:v>79</x:v>
      </x:c>
      <x:c r="Q217">
        <x:v>51</x:v>
      </x:c>
      <x:c r="R217">
        <x:v>72</x:v>
      </x:c>
      <x:c r="S217">
        <x:v>72</x:v>
      </x:c>
      <x:c r="T217">
        <x:v>51</x:v>
      </x:c>
      <x:c r="U217">
        <x:v>61</x:v>
      </x:c>
    </x:row>
    <x:row r="218">
      <x:c r="A218" t="s">
        <x:v>574</x:v>
      </x:c>
      <x:c r="B218" t="s">
        <x:v>427</x:v>
      </x:c>
      <x:c r="C218" t="s">
        <x:v>331</x:v>
      </x:c>
      <x:c r="D218">
        <x:v>8481546</x:v>
      </x:c>
      <x:c r="E218">
        <x:v>68</x:v>
      </x:c>
      <x:c r="F218">
        <x:v>38</x:v>
      </x:c>
      <x:c r="G218">
        <x:v>86</x:v>
      </x:c>
      <x:c r="H218">
        <x:v>43</x:v>
      </x:c>
      <x:c r="I218">
        <x:v>80</x:v>
      </x:c>
      <x:c r="J218">
        <x:v>94</x:v>
      </x:c>
      <x:c r="K218">
        <x:v>93</x:v>
      </x:c>
      <x:c r="L218">
        <x:v>42</x:v>
      </x:c>
      <x:c r="M218">
        <x:v>30</x:v>
      </x:c>
      <x:c r="N218">
        <x:v>55</x:v>
      </x:c>
      <x:c r="O218">
        <x:v>47</x:v>
      </x:c>
      <x:c r="P218">
        <x:v>80</x:v>
      </x:c>
      <x:c r="Q218">
        <x:v>52</x:v>
      </x:c>
      <x:c r="R218">
        <x:v>71</x:v>
      </x:c>
      <x:c r="S218">
        <x:v>75</x:v>
      </x:c>
      <x:c r="T218">
        <x:v>51</x:v>
      </x:c>
      <x:c r="U218">
        <x:v>60</x:v>
      </x:c>
    </x:row>
    <x:row r="219">
      <x:c r="A219" t="s">
        <x:v>575</x:v>
      </x:c>
      <x:c r="B219" t="s">
        <x:v>576</x:v>
      </x:c>
      <x:c r="C219" t="s">
        <x:v>331</x:v>
      </x:c>
      <x:c r="D219">
        <x:v>8480727</x:v>
      </x:c>
      <x:c r="E219">
        <x:v>78</x:v>
      </x:c>
      <x:c r="F219">
        <x:v>40</x:v>
      </x:c>
      <x:c r="G219">
        <x:v>85</x:v>
      </x:c>
      <x:c r="H219">
        <x:v>40</x:v>
      </x:c>
      <x:c r="I219">
        <x:v>81</x:v>
      </x:c>
      <x:c r="J219">
        <x:v>91</x:v>
      </x:c>
      <x:c r="K219">
        <x:v>96</x:v>
      </x:c>
      <x:c r="L219">
        <x:v>39</x:v>
      </x:c>
      <x:c r="M219">
        <x:v>30</x:v>
      </x:c>
      <x:c r="N219">
        <x:v>52</x:v>
      </x:c>
      <x:c r="O219">
        <x:v>46</x:v>
      </x:c>
      <x:c r="P219">
        <x:v>79</x:v>
      </x:c>
      <x:c r="Q219">
        <x:v>52</x:v>
      </x:c>
      <x:c r="R219">
        <x:v>78</x:v>
      </x:c>
      <x:c r="S219">
        <x:v>72</x:v>
      </x:c>
      <x:c r="T219">
        <x:v>51</x:v>
      </x:c>
      <x:c r="U219">
        <x:v>60</x:v>
      </x:c>
    </x:row>
    <x:row r="220">
      <x:c r="A220" t="s">
        <x:v>577</x:v>
      </x:c>
      <x:c r="B220" t="s">
        <x:v>386</x:v>
      </x:c>
      <x:c r="C220" t="s">
        <x:v>358</x:v>
      </x:c>
      <x:c r="D220">
        <x:v>8475791</x:v>
      </x:c>
      <x:c r="E220">
        <x:v>62</x:v>
      </x:c>
      <x:c r="F220">
        <x:v>39</x:v>
      </x:c>
      <x:c r="G220">
        <x:v>82</x:v>
      </x:c>
      <x:c r="H220">
        <x:v>58</x:v>
      </x:c>
      <x:c r="I220">
        <x:v>81</x:v>
      </x:c>
      <x:c r="J220">
        <x:v>85</x:v>
      </x:c>
      <x:c r="K220">
        <x:v>94</x:v>
      </x:c>
      <x:c r="L220">
        <x:v>58</x:v>
      </x:c>
      <x:c r="M220">
        <x:v>70</x:v>
      </x:c>
      <x:c r="N220">
        <x:v>57</x:v>
      </x:c>
      <x:c r="O220">
        <x:v>57</x:v>
      </x:c>
      <x:c r="P220">
        <x:v>61</x:v>
      </x:c>
      <x:c r="Q220">
        <x:v>64</x:v>
      </x:c>
      <x:c r="R220">
        <x:v>89</x:v>
      </x:c>
      <x:c r="S220">
        <x:v>83</x:v>
      </x:c>
      <x:c r="T220">
        <x:v>51</x:v>
      </x:c>
      <x:c r="U220">
        <x:v>60</x:v>
      </x:c>
    </x:row>
    <x:row r="221">
      <x:c r="A221" t="s">
        <x:v>578</x:v>
      </x:c>
      <x:c r="B221" t="s">
        <x:v>368</x:v>
      </x:c>
      <x:c r="C221" t="s">
        <x:v>339</x:v>
      </x:c>
      <x:c r="D221">
        <x:v>8474150</x:v>
      </x:c>
      <x:c r="E221">
        <x:v>59</x:v>
      </x:c>
      <x:c r="F221">
        <x:v>40</x:v>
      </x:c>
      <x:c r="G221">
        <x:v>92</x:v>
      </x:c>
      <x:c r="H221">
        <x:v>56</x:v>
      </x:c>
      <x:c r="I221">
        <x:v>82</x:v>
      </x:c>
      <x:c r="J221">
        <x:v>88</x:v>
      </x:c>
      <x:c r="K221">
        <x:v>98</x:v>
      </x:c>
      <x:c r="L221">
        <x:v>56</x:v>
      </x:c>
      <x:c r="M221">
        <x:v>90</x:v>
      </x:c>
      <x:c r="N221">
        <x:v>56</x:v>
      </x:c>
      <x:c r="O221">
        <x:v>57</x:v>
      </x:c>
      <x:c r="P221">
        <x:v>72</x:v>
      </x:c>
      <x:c r="Q221">
        <x:v>55</x:v>
      </x:c>
      <x:c r="R221">
        <x:v>90</x:v>
      </x:c>
      <x:c r="S221">
        <x:v>87</x:v>
      </x:c>
      <x:c r="T221">
        <x:v>51</x:v>
      </x:c>
      <x:c r="U221">
        <x:v>60</x:v>
      </x:c>
    </x:row>
    <x:row r="222">
      <x:c r="A222" t="s">
        <x:v>579</x:v>
      </x:c>
      <x:c r="B222" t="s">
        <x:v>327</x:v>
      </x:c>
      <x:c r="C222" t="s">
        <x:v>331</x:v>
      </x:c>
      <x:c r="D222">
        <x:v>8480426</x:v>
      </x:c>
      <x:c r="E222">
        <x:v>76</x:v>
      </x:c>
      <x:c r="F222">
        <x:v>79</x:v>
      </x:c>
      <x:c r="G222">
        <x:v>67</x:v>
      </x:c>
      <x:c r="H222">
        <x:v>43</x:v>
      </x:c>
      <x:c r="I222">
        <x:v>82</x:v>
      </x:c>
      <x:c r="J222">
        <x:v>89</x:v>
      </x:c>
      <x:c r="K222">
        <x:v>90</x:v>
      </x:c>
      <x:c r="L222">
        <x:v>42</x:v>
      </x:c>
      <x:c r="M222">
        <x:v>30</x:v>
      </x:c>
      <x:c r="N222">
        <x:v>56</x:v>
      </x:c>
      <x:c r="O222">
        <x:v>48</x:v>
      </x:c>
      <x:c r="P222">
        <x:v>74</x:v>
      </x:c>
      <x:c r="Q222">
        <x:v>57</x:v>
      </x:c>
      <x:c r="R222">
        <x:v>72</x:v>
      </x:c>
      <x:c r="S222">
        <x:v>72</x:v>
      </x:c>
      <x:c r="T222">
        <x:v>54</x:v>
      </x:c>
      <x:c r="U222">
        <x:v>60</x:v>
      </x:c>
    </x:row>
    <x:row r="223">
      <x:c r="A223" t="s">
        <x:v>580</x:v>
      </x:c>
      <x:c r="B223" t="s">
        <x:v>366</x:v>
      </x:c>
      <x:c r="C223" t="s">
        <x:v>339</x:v>
      </x:c>
      <x:c r="D223">
        <x:v>8475149</x:v>
      </x:c>
      <x:c r="E223">
        <x:v>60</x:v>
      </x:c>
      <x:c r="F223">
        <x:v>37</x:v>
      </x:c>
      <x:c r="G223">
        <x:v>95</x:v>
      </x:c>
      <x:c r="H223">
        <x:v>57</x:v>
      </x:c>
      <x:c r="I223">
        <x:v>80</x:v>
      </x:c>
      <x:c r="J223">
        <x:v>86</x:v>
      </x:c>
      <x:c r="K223">
        <x:v>92</x:v>
      </x:c>
      <x:c r="L223">
        <x:v>58</x:v>
      </x:c>
      <x:c r="M223">
        <x:v>67</x:v>
      </x:c>
      <x:c r="N223">
        <x:v>60</x:v>
      </x:c>
      <x:c r="O223">
        <x:v>56</x:v>
      </x:c>
      <x:c r="P223">
        <x:v>66</x:v>
      </x:c>
      <x:c r="Q223">
        <x:v>54</x:v>
      </x:c>
      <x:c r="R223">
        <x:v>87</x:v>
      </x:c>
      <x:c r="S223">
        <x:v>75</x:v>
      </x:c>
      <x:c r="T223">
        <x:v>51</x:v>
      </x:c>
      <x:c r="U223">
        <x:v>60</x:v>
      </x:c>
    </x:row>
    <x:row r="224">
      <x:c r="A224" t="s">
        <x:v>581</x:v>
      </x:c>
      <x:c r="B224" t="s">
        <x:v>439</x:v>
      </x:c>
      <x:c r="C224" t="s">
        <x:v>331</x:v>
      </x:c>
      <x:c r="D224">
        <x:v>8476917</x:v>
      </x:c>
      <x:c r="E224">
        <x:v>72</x:v>
      </x:c>
      <x:c r="F224">
        <x:v>43</x:v>
      </x:c>
      <x:c r="G224">
        <x:v>80</x:v>
      </x:c>
      <x:c r="H224">
        <x:v>40</x:v>
      </x:c>
      <x:c r="I224">
        <x:v>86</x:v>
      </x:c>
      <x:c r="J224">
        <x:v>92</x:v>
      </x:c>
      <x:c r="K224">
        <x:v>98</x:v>
      </x:c>
      <x:c r="L224">
        <x:v>39</x:v>
      </x:c>
      <x:c r="M224">
        <x:v>30</x:v>
      </x:c>
      <x:c r="N224">
        <x:v>52</x:v>
      </x:c>
      <x:c r="O224">
        <x:v>46</x:v>
      </x:c>
      <x:c r="P224">
        <x:v>80</x:v>
      </x:c>
      <x:c r="Q224">
        <x:v>52</x:v>
      </x:c>
      <x:c r="R224">
        <x:v>83</x:v>
      </x:c>
      <x:c r="S224">
        <x:v>72</x:v>
      </x:c>
      <x:c r="T224">
        <x:v>51</x:v>
      </x:c>
      <x:c r="U224">
        <x:v>60</x:v>
      </x:c>
    </x:row>
    <x:row r="225">
      <x:c r="A225" t="s">
        <x:v>582</x:v>
      </x:c>
      <x:c r="B225" t="s">
        <x:v>334</x:v>
      </x:c>
      <x:c r="C225" t="s">
        <x:v>331</x:v>
      </x:c>
      <x:c r="D225">
        <x:v>8475279</x:v>
      </x:c>
      <x:c r="E225">
        <x:v>80</x:v>
      </x:c>
      <x:c r="F225">
        <x:v>67</x:v>
      </x:c>
      <x:c r="G225">
        <x:v>77</x:v>
      </x:c>
      <x:c r="H225">
        <x:v>38</x:v>
      </x:c>
      <x:c r="I225">
        <x:v>87</x:v>
      </x:c>
      <x:c r="J225">
        <x:v>92</x:v>
      </x:c>
      <x:c r="K225">
        <x:v>99</x:v>
      </x:c>
      <x:c r="L225">
        <x:v>37</x:v>
      </x:c>
      <x:c r="M225">
        <x:v>30</x:v>
      </x:c>
      <x:c r="N225">
        <x:v>50</x:v>
      </x:c>
      <x:c r="O225">
        <x:v>47</x:v>
      </x:c>
      <x:c r="P225">
        <x:v>79</x:v>
      </x:c>
      <x:c r="Q225">
        <x:v>52</x:v>
      </x:c>
      <x:c r="R225">
        <x:v>86</x:v>
      </x:c>
      <x:c r="S225">
        <x:v>76</x:v>
      </x:c>
      <x:c r="T225">
        <x:v>51</x:v>
      </x:c>
      <x:c r="U225">
        <x:v>60</x:v>
      </x:c>
    </x:row>
    <x:row r="226">
      <x:c r="A226" t="s">
        <x:v>583</x:v>
      </x:c>
      <x:c r="B226" t="s">
        <x:v>584</x:v>
      </x:c>
      <x:c r="C226" t="s">
        <x:v>331</x:v>
      </x:c>
      <x:c r="D226">
        <x:v>8475906</x:v>
      </x:c>
      <x:c r="E226">
        <x:v>71</x:v>
      </x:c>
      <x:c r="F226">
        <x:v>34</x:v>
      </x:c>
      <x:c r="G226">
        <x:v>82</x:v>
      </x:c>
      <x:c r="H226">
        <x:v>46</x:v>
      </x:c>
      <x:c r="I226">
        <x:v>76</x:v>
      </x:c>
      <x:c r="J226">
        <x:v>91</x:v>
      </x:c>
      <x:c r="K226">
        <x:v>70</x:v>
      </x:c>
      <x:c r="L226">
        <x:v>43</x:v>
      </x:c>
      <x:c r="M226">
        <x:v>30</x:v>
      </x:c>
      <x:c r="N226">
        <x:v>56</x:v>
      </x:c>
      <x:c r="O226">
        <x:v>51</x:v>
      </x:c>
      <x:c r="P226">
        <x:v>73</x:v>
      </x:c>
      <x:c r="Q226">
        <x:v>54</x:v>
      </x:c>
      <x:c r="R226">
        <x:v>87</x:v>
      </x:c>
      <x:c r="S226">
        <x:v>76</x:v>
      </x:c>
      <x:c r="T226">
        <x:v>51</x:v>
      </x:c>
      <x:c r="U226">
        <x:v>60</x:v>
      </x:c>
    </x:row>
    <x:row r="227">
      <x:c r="A227" t="s">
        <x:v>585</x:v>
      </x:c>
      <x:c r="B227" t="s">
        <x:v>320</x:v>
      </x:c>
      <x:c r="C227" t="s">
        <x:v>331</x:v>
      </x:c>
      <x:c r="D227">
        <x:v>8476473</x:v>
      </x:c>
      <x:c r="E227">
        <x:v>75</x:v>
      </x:c>
      <x:c r="F227">
        <x:v>87</x:v>
      </x:c>
      <x:c r="G227">
        <x:v>83</x:v>
      </x:c>
      <x:c r="H227">
        <x:v>39</x:v>
      </x:c>
      <x:c r="I227">
        <x:v>86</x:v>
      </x:c>
      <x:c r="J227">
        <x:v>89</x:v>
      </x:c>
      <x:c r="K227">
        <x:v>97</x:v>
      </x:c>
      <x:c r="L227">
        <x:v>38</x:v>
      </x:c>
      <x:c r="M227">
        <x:v>30</x:v>
      </x:c>
      <x:c r="N227">
        <x:v>52</x:v>
      </x:c>
      <x:c r="O227">
        <x:v>47</x:v>
      </x:c>
      <x:c r="P227">
        <x:v>80</x:v>
      </x:c>
      <x:c r="Q227">
        <x:v>52</x:v>
      </x:c>
      <x:c r="R227">
        <x:v>85</x:v>
      </x:c>
      <x:c r="S227">
        <x:v>81</x:v>
      </x:c>
      <x:c r="T227">
        <x:v>51</x:v>
      </x:c>
      <x:c r="U227">
        <x:v>60</x:v>
      </x:c>
    </x:row>
    <x:row r="228">
      <x:c r="A228" t="s">
        <x:v>586</x:v>
      </x:c>
      <x:c r="B228" t="s">
        <x:v>393</x:v>
      </x:c>
      <x:c r="C228" t="s">
        <x:v>331</x:v>
      </x:c>
      <x:c r="D228">
        <x:v>8479378</x:v>
      </x:c>
      <x:c r="E228">
        <x:v>76</x:v>
      </x:c>
      <x:c r="F228">
        <x:v>90</x:v>
      </x:c>
      <x:c r="G228">
        <x:v>72</x:v>
      </x:c>
      <x:c r="H228">
        <x:v>42</x:v>
      </x:c>
      <x:c r="I228">
        <x:v>94</x:v>
      </x:c>
      <x:c r="J228">
        <x:v>87</x:v>
      </x:c>
      <x:c r="K228">
        <x:v>92</x:v>
      </x:c>
      <x:c r="L228">
        <x:v>41</x:v>
      </x:c>
      <x:c r="M228">
        <x:v>30</x:v>
      </x:c>
      <x:c r="N228">
        <x:v>53</x:v>
      </x:c>
      <x:c r="O228">
        <x:v>48</x:v>
      </x:c>
      <x:c r="P228">
        <x:v>76</x:v>
      </x:c>
      <x:c r="Q228">
        <x:v>52</x:v>
      </x:c>
      <x:c r="R228">
        <x:v>75</x:v>
      </x:c>
      <x:c r="S228">
        <x:v>73</x:v>
      </x:c>
      <x:c r="T228">
        <x:v>51</x:v>
      </x:c>
      <x:c r="U228">
        <x:v>60</x:v>
      </x:c>
    </x:row>
    <x:row r="229">
      <x:c r="A229" t="s">
        <x:v>587</x:v>
      </x:c>
      <x:c r="B229" t="s">
        <x:v>396</x:v>
      </x:c>
      <x:c r="C229" t="s">
        <x:v>333</x:v>
      </x:c>
      <x:c r="D229">
        <x:v>8477402</x:v>
      </x:c>
      <x:c r="E229">
        <x:v>59</x:v>
      </x:c>
      <x:c r="F229">
        <x:v>42</x:v>
      </x:c>
      <x:c r="G229">
        <x:v>88</x:v>
      </x:c>
      <x:c r="H229">
        <x:v>59</x:v>
      </x:c>
      <x:c r="I229">
        <x:v>80</x:v>
      </x:c>
      <x:c r="J229">
        <x:v>89</x:v>
      </x:c>
      <x:c r="K229">
        <x:v>97</x:v>
      </x:c>
      <x:c r="L229">
        <x:v>59</x:v>
      </x:c>
      <x:c r="M229">
        <x:v>77</x:v>
      </x:c>
      <x:c r="N229">
        <x:v>58</x:v>
      </x:c>
      <x:c r="O229">
        <x:v>58</x:v>
      </x:c>
      <x:c r="P229">
        <x:v>70</x:v>
      </x:c>
      <x:c r="Q229">
        <x:v>62</x:v>
      </x:c>
      <x:c r="R229">
        <x:v>81</x:v>
      </x:c>
      <x:c r="S229">
        <x:v>79</x:v>
      </x:c>
      <x:c r="T229">
        <x:v>51</x:v>
      </x:c>
      <x:c r="U229">
        <x:v>60</x:v>
      </x:c>
    </x:row>
    <x:row r="230">
      <x:c r="A230" t="s">
        <x:v>588</x:v>
      </x:c>
      <x:c r="B230" t="s">
        <x:v>396</x:v>
      </x:c>
      <x:c r="C230" t="s">
        <x:v>326</x:v>
      </x:c>
      <x:c r="D230">
        <x:v>8483516</x:v>
      </x:c>
      <x:c r="E230">
        <x:v>66</x:v>
      </x:c>
      <x:c r="F230">
        <x:v>36</x:v>
      </x:c>
      <x:c r="G230">
        <x:v>91</x:v>
      </x:c>
      <x:c r="H230">
        <x:v>58</x:v>
      </x:c>
      <x:c r="I230">
        <x:v>78</x:v>
      </x:c>
      <x:c r="J230">
        <x:v>86</x:v>
      </x:c>
      <x:c r="K230">
        <x:v>85</x:v>
      </x:c>
      <x:c r="L230">
        <x:v>59</x:v>
      </x:c>
      <x:c r="M230">
        <x:v>67</x:v>
      </x:c>
      <x:c r="N230">
        <x:v>60</x:v>
      </x:c>
      <x:c r="O230">
        <x:v>60</x:v>
      </x:c>
      <x:c r="P230">
        <x:v>63</x:v>
      </x:c>
      <x:c r="Q230">
        <x:v>75</x:v>
      </x:c>
      <x:c r="R230">
        <x:v>66</x:v>
      </x:c>
      <x:c r="S230">
        <x:v>67</x:v>
      </x:c>
      <x:c r="T230">
        <x:v>54</x:v>
      </x:c>
      <x:c r="U230">
        <x:v>60</x:v>
      </x:c>
    </x:row>
    <x:row r="231">
      <x:c r="A231" t="s">
        <x:v>589</x:v>
      </x:c>
      <x:c r="B231" t="s">
        <x:v>427</x:v>
      </x:c>
      <x:c r="C231" t="s">
        <x:v>326</x:v>
      </x:c>
      <x:c r="D231">
        <x:v>8484387</x:v>
      </x:c>
      <x:c r="E231">
        <x:v>59</x:v>
      </x:c>
      <x:c r="F231">
        <x:v>44</x:v>
      </x:c>
      <x:c r="G231">
        <x:v>78</x:v>
      </x:c>
      <x:c r="H231">
        <x:v>61</x:v>
      </x:c>
      <x:c r="I231">
        <x:v>75</x:v>
      </x:c>
      <x:c r="J231">
        <x:v>85</x:v>
      </x:c>
      <x:c r="K231">
        <x:v>97</x:v>
      </x:c>
      <x:c r="L231">
        <x:v>60</x:v>
      </x:c>
      <x:c r="M231">
        <x:v>63</x:v>
      </x:c>
      <x:c r="N231">
        <x:v>59</x:v>
      </x:c>
      <x:c r="O231">
        <x:v>58</x:v>
      </x:c>
      <x:c r="P231">
        <x:v>61</x:v>
      </x:c>
      <x:c r="Q231">
        <x:v>88</x:v>
      </x:c>
      <x:c r="R231">
        <x:v>66</x:v>
      </x:c>
      <x:c r="S231">
        <x:v>71</x:v>
      </x:c>
      <x:c r="T231">
        <x:v>51</x:v>
      </x:c>
      <x:c r="U231">
        <x:v>60</x:v>
      </x:c>
    </x:row>
    <x:row r="232">
      <x:c r="A232" t="s">
        <x:v>590</x:v>
      </x:c>
      <x:c r="B232" t="s">
        <x:v>383</x:v>
      </x:c>
      <x:c r="C232" t="s">
        <x:v>333</x:v>
      </x:c>
      <x:c r="D232">
        <x:v>8482109</x:v>
      </x:c>
      <x:c r="E232">
        <x:v>67</x:v>
      </x:c>
      <x:c r="F232">
        <x:v>40</x:v>
      </x:c>
      <x:c r="G232">
        <x:v>91</x:v>
      </x:c>
      <x:c r="H232">
        <x:v>57</x:v>
      </x:c>
      <x:c r="I232">
        <x:v>82</x:v>
      </x:c>
      <x:c r="J232">
        <x:v>88</x:v>
      </x:c>
      <x:c r="K232">
        <x:v>99</x:v>
      </x:c>
      <x:c r="L232">
        <x:v>58</x:v>
      </x:c>
      <x:c r="M232">
        <x:v>66</x:v>
      </x:c>
      <x:c r="N232">
        <x:v>59</x:v>
      </x:c>
      <x:c r="O232">
        <x:v>59</x:v>
      </x:c>
      <x:c r="P232">
        <x:v>63</x:v>
      </x:c>
      <x:c r="Q232">
        <x:v>63</x:v>
      </x:c>
      <x:c r="R232">
        <x:v>71</x:v>
      </x:c>
      <x:c r="S232">
        <x:v>71</x:v>
      </x:c>
      <x:c r="T232">
        <x:v>51</x:v>
      </x:c>
      <x:c r="U232">
        <x:v>60</x:v>
      </x:c>
    </x:row>
    <x:row r="233">
      <x:c r="A233" t="s">
        <x:v>591</x:v>
      </x:c>
      <x:c r="B233" t="s">
        <x:v>481</x:v>
      </x:c>
      <x:c r="C233" t="s">
        <x:v>319</x:v>
      </x:c>
      <x:c r="D233">
        <x:v>8482259</x:v>
      </x:c>
      <x:c r="E233">
        <x:v>75</x:v>
      </x:c>
      <x:c r="F233">
        <x:v>60</x:v>
      </x:c>
      <x:c r="G233">
        <x:v>84</x:v>
      </x:c>
      <x:c r="H233">
        <x:v>56</x:v>
      </x:c>
      <x:c r="I233">
        <x:v>82</x:v>
      </x:c>
      <x:c r="J233">
        <x:v>86</x:v>
      </x:c>
      <x:c r="K233">
        <x:v>94</x:v>
      </x:c>
      <x:c r="L233">
        <x:v>55</x:v>
      </x:c>
      <x:c r="M233">
        <x:v>68</x:v>
      </x:c>
      <x:c r="N233">
        <x:v>53</x:v>
      </x:c>
      <x:c r="O233">
        <x:v>62</x:v>
      </x:c>
      <x:c r="P233">
        <x:v>63</x:v>
      </x:c>
      <x:c r="Q233">
        <x:v>56</x:v>
      </x:c>
      <x:c r="R233">
        <x:v>77</x:v>
      </x:c>
      <x:c r="S233">
        <x:v>72</x:v>
      </x:c>
      <x:c r="T233">
        <x:v>51</x:v>
      </x:c>
      <x:c r="U233">
        <x:v>60</x:v>
      </x:c>
    </x:row>
    <x:row r="234">
      <x:c r="A234" t="s">
        <x:v>592</x:v>
      </x:c>
      <x:c r="B234" t="s">
        <x:v>364</x:v>
      </x:c>
      <x:c r="C234" t="s">
        <x:v>331</x:v>
      </x:c>
      <x:c r="D234">
        <x:v>8477220</x:v>
      </x:c>
      <x:c r="E234">
        <x:v>72</x:v>
      </x:c>
      <x:c r="F234">
        <x:v>41</x:v>
      </x:c>
      <x:c r="G234">
        <x:v>90</x:v>
      </x:c>
      <x:c r="H234">
        <x:v>40</x:v>
      </x:c>
      <x:c r="I234">
        <x:v>77</x:v>
      </x:c>
      <x:c r="J234">
        <x:v>90</x:v>
      </x:c>
      <x:c r="K234">
        <x:v>99</x:v>
      </x:c>
      <x:c r="L234">
        <x:v>40</x:v>
      </x:c>
      <x:c r="M234">
        <x:v>30</x:v>
      </x:c>
      <x:c r="N234">
        <x:v>53</x:v>
      </x:c>
      <x:c r="O234">
        <x:v>47</x:v>
      </x:c>
      <x:c r="P234">
        <x:v>78</x:v>
      </x:c>
      <x:c r="Q234">
        <x:v>52</x:v>
      </x:c>
      <x:c r="R234">
        <x:v>86</x:v>
      </x:c>
      <x:c r="S234">
        <x:v>79</x:v>
      </x:c>
      <x:c r="T234">
        <x:v>51</x:v>
      </x:c>
      <x:c r="U234">
        <x:v>60</x:v>
      </x:c>
    </x:row>
    <x:row r="235">
      <x:c r="A235" t="s">
        <x:v>593</x:v>
      </x:c>
      <x:c r="B235" t="s">
        <x:v>420</x:v>
      </x:c>
      <x:c r="C235" t="s">
        <x:v>331</x:v>
      </x:c>
      <x:c r="D235">
        <x:v>8476467</x:v>
      </x:c>
      <x:c r="E235">
        <x:v>76</x:v>
      </x:c>
      <x:c r="F235">
        <x:v>71</x:v>
      </x:c>
      <x:c r="G235">
        <x:v>88</x:v>
      </x:c>
      <x:c r="H235">
        <x:v>39</x:v>
      </x:c>
      <x:c r="I235">
        <x:v>97</x:v>
      </x:c>
      <x:c r="J235">
        <x:v>88</x:v>
      </x:c>
      <x:c r="K235">
        <x:v>98</x:v>
      </x:c>
      <x:c r="L235">
        <x:v>38</x:v>
      </x:c>
      <x:c r="M235">
        <x:v>30</x:v>
      </x:c>
      <x:c r="N235">
        <x:v>51</x:v>
      </x:c>
      <x:c r="O235">
        <x:v>47</x:v>
      </x:c>
      <x:c r="P235">
        <x:v>79</x:v>
      </x:c>
      <x:c r="Q235">
        <x:v>52</x:v>
      </x:c>
      <x:c r="R235">
        <x:v>87</x:v>
      </x:c>
      <x:c r="S235">
        <x:v>75</x:v>
      </x:c>
      <x:c r="T235">
        <x:v>51</x:v>
      </x:c>
      <x:c r="U235">
        <x:v>60</x:v>
      </x:c>
    </x:row>
    <x:row r="236">
      <x:c r="A236" t="s">
        <x:v>594</x:v>
      </x:c>
      <x:c r="B236" t="s">
        <x:v>354</x:v>
      </x:c>
      <x:c r="C236" t="s">
        <x:v>331</x:v>
      </x:c>
      <x:c r="D236">
        <x:v>8478450</x:v>
      </x:c>
      <x:c r="E236">
        <x:v>79</x:v>
      </x:c>
      <x:c r="F236">
        <x:v>52</x:v>
      </x:c>
      <x:c r="G236">
        <x:v>82</x:v>
      </x:c>
      <x:c r="H236">
        <x:v>41</x:v>
      </x:c>
      <x:c r="I236">
        <x:v>79</x:v>
      </x:c>
      <x:c r="J236">
        <x:v>91</x:v>
      </x:c>
      <x:c r="K236">
        <x:v>96</x:v>
      </x:c>
      <x:c r="L236">
        <x:v>41</x:v>
      </x:c>
      <x:c r="M236">
        <x:v>30</x:v>
      </x:c>
      <x:c r="N236">
        <x:v>55</x:v>
      </x:c>
      <x:c r="O236">
        <x:v>46</x:v>
      </x:c>
      <x:c r="P236">
        <x:v>78</x:v>
      </x:c>
      <x:c r="Q236">
        <x:v>52</x:v>
      </x:c>
      <x:c r="R236">
        <x:v>75</x:v>
      </x:c>
      <x:c r="S236">
        <x:v>71</x:v>
      </x:c>
      <x:c r="T236">
        <x:v>51</x:v>
      </x:c>
      <x:c r="U236">
        <x:v>60</x:v>
      </x:c>
    </x:row>
    <x:row r="237">
      <x:c r="A237" t="s">
        <x:v>595</x:v>
      </x:c>
      <x:c r="B237" t="s">
        <x:v>379</x:v>
      </x:c>
      <x:c r="C237" t="s">
        <x:v>326</x:v>
      </x:c>
      <x:c r="D237">
        <x:v>8470621</x:v>
      </x:c>
      <x:c r="E237">
        <x:v>60</x:v>
      </x:c>
      <x:c r="F237">
        <x:v>86</x:v>
      </x:c>
      <x:c r="G237">
        <x:v>78</x:v>
      </x:c>
      <x:c r="H237">
        <x:v>54</x:v>
      </x:c>
      <x:c r="I237">
        <x:v>85</x:v>
      </x:c>
      <x:c r="J237">
        <x:v>84</x:v>
      </x:c>
      <x:c r="K237">
        <x:v>90</x:v>
      </x:c>
      <x:c r="L237">
        <x:v>56</x:v>
      </x:c>
      <x:c r="M237">
        <x:v>65</x:v>
      </x:c>
      <x:c r="N237">
        <x:v>54</x:v>
      </x:c>
      <x:c r="O237">
        <x:v>57</x:v>
      </x:c>
      <x:c r="P237">
        <x:v>61</x:v>
      </x:c>
      <x:c r="Q237">
        <x:v>74</x:v>
      </x:c>
      <x:c r="R237">
        <x:v>96</x:v>
      </x:c>
      <x:c r="S237">
        <x:v>87</x:v>
      </x:c>
      <x:c r="T237">
        <x:v>51</x:v>
      </x:c>
      <x:c r="U237">
        <x:v>60</x:v>
      </x:c>
    </x:row>
    <x:row r="238">
      <x:c r="A238" t="s">
        <x:v>596</x:v>
      </x:c>
      <x:c r="B238" t="s">
        <x:v>439</x:v>
      </x:c>
      <x:c r="C238" t="s">
        <x:v>323</x:v>
      </x:c>
      <x:c r="D238">
        <x:v>8475151</x:v>
      </x:c>
      <x:c r="E238">
        <x:v>64</x:v>
      </x:c>
      <x:c r="F238">
        <x:v>35</x:v>
      </x:c>
      <x:c r="G238">
        <x:v>87</x:v>
      </x:c>
      <x:c r="H238">
        <x:v>57</x:v>
      </x:c>
      <x:c r="I238">
        <x:v>78</x:v>
      </x:c>
      <x:c r="J238">
        <x:v>89</x:v>
      </x:c>
      <x:c r="K238">
        <x:v>59</x:v>
      </x:c>
      <x:c r="L238">
        <x:v>57</x:v>
      </x:c>
      <x:c r="M238">
        <x:v>69</x:v>
      </x:c>
      <x:c r="N238">
        <x:v>60</x:v>
      </x:c>
      <x:c r="O238">
        <x:v>58</x:v>
      </x:c>
      <x:c r="P238">
        <x:v>67</x:v>
      </x:c>
      <x:c r="Q238">
        <x:v>78</x:v>
      </x:c>
      <x:c r="R238">
        <x:v>87</x:v>
      </x:c>
      <x:c r="S238">
        <x:v>81</x:v>
      </x:c>
      <x:c r="T238">
        <x:v>47</x:v>
      </x:c>
      <x:c r="U238">
        <x:v>60</x:v>
      </x:c>
    </x:row>
    <x:row r="239">
      <x:c r="A239" t="s">
        <x:v>597</x:v>
      </x:c>
      <x:c r="B239" t="s">
        <x:v>364</x:v>
      </x:c>
      <x:c r="C239" t="s">
        <x:v>358</x:v>
      </x:c>
      <x:c r="D239">
        <x:v>8475314</x:v>
      </x:c>
      <x:c r="E239">
        <x:v>68</x:v>
      </x:c>
      <x:c r="F239">
        <x:v>81</x:v>
      </x:c>
      <x:c r="G239">
        <x:v>89</x:v>
      </x:c>
      <x:c r="H239">
        <x:v>56</x:v>
      </x:c>
      <x:c r="I239">
        <x:v>89</x:v>
      </x:c>
      <x:c r="J239">
        <x:v>86</x:v>
      </x:c>
      <x:c r="K239">
        <x:v>99</x:v>
      </x:c>
      <x:c r="L239">
        <x:v>58</x:v>
      </x:c>
      <x:c r="M239">
        <x:v>75</x:v>
      </x:c>
      <x:c r="N239">
        <x:v>55</x:v>
      </x:c>
      <x:c r="O239">
        <x:v>58</x:v>
      </x:c>
      <x:c r="P239">
        <x:v>62</x:v>
      </x:c>
      <x:c r="Q239">
        <x:v>53</x:v>
      </x:c>
      <x:c r="R239">
        <x:v>89</x:v>
      </x:c>
      <x:c r="S239">
        <x:v>88</x:v>
      </x:c>
      <x:c r="T239">
        <x:v>51</x:v>
      </x:c>
      <x:c r="U239">
        <x:v>60</x:v>
      </x:c>
    </x:row>
    <x:row r="240">
      <x:c r="A240" t="s">
        <x:v>598</x:v>
      </x:c>
      <x:c r="B240" t="s">
        <x:v>340</x:v>
      </x:c>
      <x:c r="C240" t="s">
        <x:v>333</x:v>
      </x:c>
      <x:c r="D240">
        <x:v>8480748</x:v>
      </x:c>
      <x:c r="E240">
        <x:v>98</x:v>
      </x:c>
      <x:c r="F240">
        <x:v>45</x:v>
      </x:c>
      <x:c r="G240">
        <x:v>80</x:v>
      </x:c>
      <x:c r="H240">
        <x:v>54</x:v>
      </x:c>
      <x:c r="I240">
        <x:v>81</x:v>
      </x:c>
      <x:c r="J240">
        <x:v>87</x:v>
      </x:c>
      <x:c r="K240">
        <x:v>90</x:v>
      </x:c>
      <x:c r="L240">
        <x:v>56</x:v>
      </x:c>
      <x:c r="M240">
        <x:v>69</x:v>
      </x:c>
      <x:c r="N240">
        <x:v>53</x:v>
      </x:c>
      <x:c r="O240">
        <x:v>60</x:v>
      </x:c>
      <x:c r="P240">
        <x:v>68</x:v>
      </x:c>
      <x:c r="Q240">
        <x:v>58</x:v>
      </x:c>
      <x:c r="R240">
        <x:v>79</x:v>
      </x:c>
      <x:c r="S240">
        <x:v>72</x:v>
      </x:c>
      <x:c r="T240">
        <x:v>51</x:v>
      </x:c>
      <x:c r="U240">
        <x:v>60</x:v>
      </x:c>
    </x:row>
    <x:row r="241">
      <x:c r="A241" t="s">
        <x:v>599</x:v>
      </x:c>
      <x:c r="B241" t="s">
        <x:v>439</x:v>
      </x:c>
      <x:c r="C241" t="s">
        <x:v>319</x:v>
      </x:c>
      <x:c r="D241">
        <x:v>8476461</x:v>
      </x:c>
      <x:c r="E241">
        <x:v>67</x:v>
      </x:c>
      <x:c r="F241">
        <x:v>45</x:v>
      </x:c>
      <x:c r="G241">
        <x:v>85</x:v>
      </x:c>
      <x:c r="H241">
        <x:v>55</x:v>
      </x:c>
      <x:c r="I241">
        <x:v>85</x:v>
      </x:c>
      <x:c r="J241">
        <x:v>87</x:v>
      </x:c>
      <x:c r="K241">
        <x:v>95</x:v>
      </x:c>
      <x:c r="L241">
        <x:v>55</x:v>
      </x:c>
      <x:c r="M241">
        <x:v>90</x:v>
      </x:c>
      <x:c r="N241">
        <x:v>56</x:v>
      </x:c>
      <x:c r="O241">
        <x:v>55</x:v>
      </x:c>
      <x:c r="P241">
        <x:v>70</x:v>
      </x:c>
      <x:c r="Q241">
        <x:v>66</x:v>
      </x:c>
      <x:c r="R241">
        <x:v>87</x:v>
      </x:c>
      <x:c r="S241">
        <x:v>89</x:v>
      </x:c>
      <x:c r="T241">
        <x:v>51</x:v>
      </x:c>
      <x:c r="U241">
        <x:v>60</x:v>
      </x:c>
    </x:row>
    <x:row r="242">
      <x:c r="A242" t="s">
        <x:v>600</x:v>
      </x:c>
      <x:c r="B242" t="s">
        <x:v>345</x:v>
      </x:c>
      <x:c r="C242" t="s">
        <x:v>333</x:v>
      </x:c>
      <x:c r="D242">
        <x:v>8476399</x:v>
      </x:c>
      <x:c r="E242">
        <x:v>76</x:v>
      </x:c>
      <x:c r="F242">
        <x:v>54</x:v>
      </x:c>
      <x:c r="G242">
        <x:v>80</x:v>
      </x:c>
      <x:c r="H242">
        <x:v>57</x:v>
      </x:c>
      <x:c r="I242">
        <x:v>81</x:v>
      </x:c>
      <x:c r="J242">
        <x:v>88</x:v>
      </x:c>
      <x:c r="K242">
        <x:v>88</x:v>
      </x:c>
      <x:c r="L242">
        <x:v>55</x:v>
      </x:c>
      <x:c r="M242">
        <x:v>70</x:v>
      </x:c>
      <x:c r="N242">
        <x:v>54</x:v>
      </x:c>
      <x:c r="O242">
        <x:v>59</x:v>
      </x:c>
      <x:c r="P242">
        <x:v>72</x:v>
      </x:c>
      <x:c r="Q242">
        <x:v>56</x:v>
      </x:c>
      <x:c r="R242">
        <x:v>87</x:v>
      </x:c>
      <x:c r="S242">
        <x:v>80</x:v>
      </x:c>
      <x:c r="T242">
        <x:v>51</x:v>
      </x:c>
      <x:c r="U242">
        <x:v>60</x:v>
      </x:c>
    </x:row>
    <x:row r="243">
      <x:c r="A243" t="s">
        <x:v>601</x:v>
      </x:c>
      <x:c r="B243" t="s">
        <x:v>372</x:v>
      </x:c>
      <x:c r="C243" t="s">
        <x:v>326</x:v>
      </x:c>
      <x:c r="D243">
        <x:v>8476539</x:v>
      </x:c>
      <x:c r="E243">
        <x:v>67</x:v>
      </x:c>
      <x:c r="F243">
        <x:v>37</x:v>
      </x:c>
      <x:c r="G243">
        <x:v>83</x:v>
      </x:c>
      <x:c r="H243">
        <x:v>58</x:v>
      </x:c>
      <x:c r="I243">
        <x:v>76</x:v>
      </x:c>
      <x:c r="J243">
        <x:v>87</x:v>
      </x:c>
      <x:c r="K243">
        <x:v>84</x:v>
      </x:c>
      <x:c r="L243">
        <x:v>57</x:v>
      </x:c>
      <x:c r="M243">
        <x:v>70</x:v>
      </x:c>
      <x:c r="N243">
        <x:v>57</x:v>
      </x:c>
      <x:c r="O243">
        <x:v>57</x:v>
      </x:c>
      <x:c r="P243">
        <x:v>60</x:v>
      </x:c>
      <x:c r="Q243">
        <x:v>72</x:v>
      </x:c>
      <x:c r="R243">
        <x:v>88</x:v>
      </x:c>
      <x:c r="S243">
        <x:v>77</x:v>
      </x:c>
      <x:c r="T243">
        <x:v>51</x:v>
      </x:c>
      <x:c r="U243">
        <x:v>60</x:v>
      </x:c>
    </x:row>
    <x:row r="244">
      <x:c r="A244" t="s">
        <x:v>602</x:v>
      </x:c>
      <x:c r="B244" t="s">
        <x:v>324</x:v>
      </x:c>
      <x:c r="C244" t="s">
        <x:v>333</x:v>
      </x:c>
      <x:c r="D244">
        <x:v>8476455</x:v>
      </x:c>
      <x:c r="E244">
        <x:v>70</x:v>
      </x:c>
      <x:c r="F244">
        <x:v>60</x:v>
      </x:c>
      <x:c r="G244">
        <x:v>78</x:v>
      </x:c>
      <x:c r="H244">
        <x:v>56</x:v>
      </x:c>
      <x:c r="I244">
        <x:v>85</x:v>
      </x:c>
      <x:c r="J244">
        <x:v>82</x:v>
      </x:c>
      <x:c r="K244">
        <x:v>78</x:v>
      </x:c>
      <x:c r="L244">
        <x:v>57</x:v>
      </x:c>
      <x:c r="M244">
        <x:v>76</x:v>
      </x:c>
      <x:c r="N244">
        <x:v>57</x:v>
      </x:c>
      <x:c r="O244">
        <x:v>57</x:v>
      </x:c>
      <x:c r="P244">
        <x:v>63</x:v>
      </x:c>
      <x:c r="Q244">
        <x:v>65</x:v>
      </x:c>
      <x:c r="R244">
        <x:v>87</x:v>
      </x:c>
      <x:c r="S244">
        <x:v>90</x:v>
      </x:c>
      <x:c r="T244">
        <x:v>54</x:v>
      </x:c>
      <x:c r="U244">
        <x:v>60</x:v>
      </x:c>
    </x:row>
    <x:row r="245">
      <x:c r="A245" t="s">
        <x:v>603</x:v>
      </x:c>
      <x:c r="B245" t="s">
        <x:v>343</x:v>
      </x:c>
      <x:c r="C245" t="s">
        <x:v>331</x:v>
      </x:c>
      <x:c r="D245">
        <x:v>8474574</x:v>
      </x:c>
      <x:c r="E245">
        <x:v>74</x:v>
      </x:c>
      <x:c r="F245">
        <x:v>49</x:v>
      </x:c>
      <x:c r="G245">
        <x:v>77</x:v>
      </x:c>
      <x:c r="H245">
        <x:v>39</x:v>
      </x:c>
      <x:c r="I245">
        <x:v>93</x:v>
      </x:c>
      <x:c r="J245">
        <x:v>91</x:v>
      </x:c>
      <x:c r="K245">
        <x:v>92</x:v>
      </x:c>
      <x:c r="L245">
        <x:v>39</x:v>
      </x:c>
      <x:c r="M245">
        <x:v>30</x:v>
      </x:c>
      <x:c r="N245">
        <x:v>52</x:v>
      </x:c>
      <x:c r="O245">
        <x:v>46</x:v>
      </x:c>
      <x:c r="P245">
        <x:v>78</x:v>
      </x:c>
      <x:c r="Q245">
        <x:v>56</x:v>
      </x:c>
      <x:c r="R245">
        <x:v>88</x:v>
      </x:c>
      <x:c r="S245">
        <x:v>80</x:v>
      </x:c>
      <x:c r="T245">
        <x:v>51</x:v>
      </x:c>
      <x:c r="U245">
        <x:v>60</x:v>
      </x:c>
    </x:row>
    <x:row r="246">
      <x:c r="A246" t="s">
        <x:v>604</x:v>
      </x:c>
      <x:c r="B246" t="s">
        <x:v>343</x:v>
      </x:c>
      <x:c r="C246" t="s">
        <x:v>323</x:v>
      </x:c>
      <x:c r="D246">
        <x:v>8475794</x:v>
      </x:c>
      <x:c r="E246">
        <x:v>62</x:v>
      </x:c>
      <x:c r="F246">
        <x:v>38</x:v>
      </x:c>
      <x:c r="G246">
        <x:v>95</x:v>
      </x:c>
      <x:c r="H246">
        <x:v>58</x:v>
      </x:c>
      <x:c r="I246">
        <x:v>81</x:v>
      </x:c>
      <x:c r="J246">
        <x:v>85</x:v>
      </x:c>
      <x:c r="K246">
        <x:v>52</x:v>
      </x:c>
      <x:c r="L246">
        <x:v>59</x:v>
      </x:c>
      <x:c r="M246">
        <x:v>87</x:v>
      </x:c>
      <x:c r="N246">
        <x:v>59</x:v>
      </x:c>
      <x:c r="O246">
        <x:v>59</x:v>
      </x:c>
      <x:c r="P246">
        <x:v>63</x:v>
      </x:c>
      <x:c r="Q246">
        <x:v>78</x:v>
      </x:c>
      <x:c r="R246">
        <x:v>87</x:v>
      </x:c>
      <x:c r="S246">
        <x:v>82</x:v>
      </x:c>
      <x:c r="T246">
        <x:v>51</x:v>
      </x:c>
      <x:c r="U246">
        <x:v>60</x:v>
      </x:c>
    </x:row>
    <x:row r="247">
      <x:c r="A247" t="s">
        <x:v>605</x:v>
      </x:c>
      <x:c r="B247" t="s">
        <x:v>402</x:v>
      </x:c>
      <x:c r="C247" t="s">
        <x:v>323</x:v>
      </x:c>
      <x:c r="D247">
        <x:v>8479385</x:v>
      </x:c>
      <x:c r="E247">
        <x:v>58</x:v>
      </x:c>
      <x:c r="F247">
        <x:v>34</x:v>
      </x:c>
      <x:c r="G247">
        <x:v>96</x:v>
      </x:c>
      <x:c r="H247">
        <x:v>62</x:v>
      </x:c>
      <x:c r="I247">
        <x:v>77</x:v>
      </x:c>
      <x:c r="J247">
        <x:v>86</x:v>
      </x:c>
      <x:c r="K247">
        <x:v>91</x:v>
      </x:c>
      <x:c r="L247">
        <x:v>58</x:v>
      </x:c>
      <x:c r="M247">
        <x:v>64</x:v>
      </x:c>
      <x:c r="N247">
        <x:v>59</x:v>
      </x:c>
      <x:c r="O247">
        <x:v>59</x:v>
      </x:c>
      <x:c r="P247">
        <x:v>62</x:v>
      </x:c>
      <x:c r="Q247">
        <x:v>79</x:v>
      </x:c>
      <x:c r="R247">
        <x:v>76</x:v>
      </x:c>
      <x:c r="S247">
        <x:v>77</x:v>
      </x:c>
      <x:c r="T247">
        <x:v>51</x:v>
      </x:c>
      <x:c r="U247">
        <x:v>60</x:v>
      </x:c>
    </x:row>
    <x:row r="248">
      <x:c r="A248" t="s">
        <x:v>606</x:v>
      </x:c>
      <x:c r="B248" t="s">
        <x:v>383</x:v>
      </x:c>
      <x:c r="C248" t="s">
        <x:v>331</x:v>
      </x:c>
      <x:c r="D248">
        <x:v>8482073</x:v>
      </x:c>
      <x:c r="E248">
        <x:v>79</x:v>
      </x:c>
      <x:c r="F248">
        <x:v>43</x:v>
      </x:c>
      <x:c r="G248">
        <x:v>89</x:v>
      </x:c>
      <x:c r="H248">
        <x:v>40</x:v>
      </x:c>
      <x:c r="I248">
        <x:v>88</x:v>
      </x:c>
      <x:c r="J248">
        <x:v>91</x:v>
      </x:c>
      <x:c r="K248">
        <x:v>99</x:v>
      </x:c>
      <x:c r="L248">
        <x:v>40</x:v>
      </x:c>
      <x:c r="M248">
        <x:v>30</x:v>
      </x:c>
      <x:c r="N248">
        <x:v>52</x:v>
      </x:c>
      <x:c r="O248">
        <x:v>46</x:v>
      </x:c>
      <x:c r="P248">
        <x:v>79</x:v>
      </x:c>
      <x:c r="Q248">
        <x:v>52</x:v>
      </x:c>
      <x:c r="R248">
        <x:v>71</x:v>
      </x:c>
      <x:c r="S248">
        <x:v>74</x:v>
      </x:c>
      <x:c r="T248">
        <x:v>51</x:v>
      </x:c>
      <x:c r="U248">
        <x:v>60</x:v>
      </x:c>
    </x:row>
    <x:row r="249">
      <x:c r="A249" t="s">
        <x:v>607</x:v>
      </x:c>
      <x:c r="B249" t="s">
        <x:v>340</x:v>
      </x:c>
      <x:c r="C249" t="s">
        <x:v>333</x:v>
      </x:c>
      <x:c r="D249">
        <x:v>8475726</x:v>
      </x:c>
      <x:c r="E249">
        <x:v>62</x:v>
      </x:c>
      <x:c r="F249">
        <x:v>35</x:v>
      </x:c>
      <x:c r="G249">
        <x:v>96</x:v>
      </x:c>
      <x:c r="H249">
        <x:v>57</x:v>
      </x:c>
      <x:c r="I249">
        <x:v>78</x:v>
      </x:c>
      <x:c r="J249">
        <x:v>85</x:v>
      </x:c>
      <x:c r="K249">
        <x:v>96</x:v>
      </x:c>
      <x:c r="L249">
        <x:v>59</x:v>
      </x:c>
      <x:c r="M249">
        <x:v>66</x:v>
      </x:c>
      <x:c r="N249">
        <x:v>58</x:v>
      </x:c>
      <x:c r="O249">
        <x:v>59</x:v>
      </x:c>
      <x:c r="P249">
        <x:v>61</x:v>
      </x:c>
      <x:c r="Q249">
        <x:v>65</x:v>
      </x:c>
      <x:c r="R249">
        <x:v>87</x:v>
      </x:c>
      <x:c r="S249">
        <x:v>80</x:v>
      </x:c>
      <x:c r="T249">
        <x:v>51</x:v>
      </x:c>
      <x:c r="U249">
        <x:v>60</x:v>
      </x:c>
    </x:row>
    <x:row r="250">
      <x:c r="A250" t="s">
        <x:v>608</x:v>
      </x:c>
      <x:c r="B250" t="s">
        <x:v>324</x:v>
      </x:c>
      <x:c r="C250" t="s">
        <x:v>331</x:v>
      </x:c>
      <x:c r="D250">
        <x:v>8484258</x:v>
      </x:c>
      <x:c r="E250">
        <x:v>69</x:v>
      </x:c>
      <x:c r="F250">
        <x:v>34</x:v>
      </x:c>
      <x:c r="G250">
        <x:v>91</x:v>
      </x:c>
      <x:c r="H250">
        <x:v>44</x:v>
      </x:c>
      <x:c r="I250">
        <x:v>77</x:v>
      </x:c>
      <x:c r="J250">
        <x:v>87</x:v>
      </x:c>
      <x:c r="K250">
        <x:v>99</x:v>
      </x:c>
      <x:c r="L250">
        <x:v>44</x:v>
      </x:c>
      <x:c r="M250">
        <x:v>30</x:v>
      </x:c>
      <x:c r="N250">
        <x:v>57</x:v>
      </x:c>
      <x:c r="O250">
        <x:v>48</x:v>
      </x:c>
      <x:c r="P250">
        <x:v>76</x:v>
      </x:c>
      <x:c r="Q250">
        <x:v>52</x:v>
      </x:c>
      <x:c r="R250">
        <x:v>70</x:v>
      </x:c>
      <x:c r="S250">
        <x:v>70</x:v>
      </x:c>
      <x:c r="T250">
        <x:v>54</x:v>
      </x:c>
      <x:c r="U250">
        <x:v>60</x:v>
      </x:c>
    </x:row>
    <x:row r="251">
      <x:c r="A251" t="s">
        <x:v>609</x:v>
      </x:c>
      <x:c r="B251" t="s">
        <x:v>361</x:v>
      </x:c>
      <x:c r="C251" t="s">
        <x:v>329</x:v>
      </x:c>
      <x:c r="D251">
        <x:v>8480802</x:v>
      </x:c>
      <x:c r="E251">
        <x:v>58</x:v>
      </x:c>
      <x:c r="F251">
        <x:v>38</x:v>
      </x:c>
      <x:c r="G251">
        <x:v>94</x:v>
      </x:c>
      <x:c r="H251">
        <x:v>60</x:v>
      </x:c>
      <x:c r="I251">
        <x:v>81</x:v>
      </x:c>
      <x:c r="J251">
        <x:v>88</x:v>
      </x:c>
      <x:c r="K251">
        <x:v>98</x:v>
      </x:c>
      <x:c r="L251">
        <x:v>56</x:v>
      </x:c>
      <x:c r="M251">
        <x:v>88</x:v>
      </x:c>
      <x:c r="N251">
        <x:v>62</x:v>
      </x:c>
      <x:c r="O251">
        <x:v>56</x:v>
      </x:c>
      <x:c r="P251">
        <x:v>74</x:v>
      </x:c>
      <x:c r="Q251">
        <x:v>52</x:v>
      </x:c>
      <x:c r="R251">
        <x:v>73</x:v>
      </x:c>
      <x:c r="S251">
        <x:v>76</x:v>
      </x:c>
      <x:c r="T251">
        <x:v>51</x:v>
      </x:c>
      <x:c r="U251">
        <x:v>60</x:v>
      </x:c>
    </x:row>
    <x:row r="252">
      <x:c r="A252" t="s">
        <x:v>610</x:v>
      </x:c>
      <x:c r="B252" t="s">
        <x:v>361</x:v>
      </x:c>
      <x:c r="C252" t="s">
        <x:v>331</x:v>
      </x:c>
      <x:c r="D252">
        <x:v>8482671</x:v>
      </x:c>
      <x:c r="E252">
        <x:v>67</x:v>
      </x:c>
      <x:c r="F252">
        <x:v>43</x:v>
      </x:c>
      <x:c r="G252">
        <x:v>94</x:v>
      </x:c>
      <x:c r="H252">
        <x:v>44</x:v>
      </x:c>
      <x:c r="I252">
        <x:v>89</x:v>
      </x:c>
      <x:c r="J252">
        <x:v>93</x:v>
      </x:c>
      <x:c r="K252">
        <x:v>99</x:v>
      </x:c>
      <x:c r="L252">
        <x:v>44</x:v>
      </x:c>
      <x:c r="M252">
        <x:v>30</x:v>
      </x:c>
      <x:c r="N252">
        <x:v>55</x:v>
      </x:c>
      <x:c r="O252">
        <x:v>48</x:v>
      </x:c>
      <x:c r="P252">
        <x:v>78</x:v>
      </x:c>
      <x:c r="Q252">
        <x:v>62</x:v>
      </x:c>
      <x:c r="R252">
        <x:v>70</x:v>
      </x:c>
      <x:c r="S252">
        <x:v>79</x:v>
      </x:c>
      <x:c r="T252">
        <x:v>51</x:v>
      </x:c>
      <x:c r="U252">
        <x:v>60</x:v>
      </x:c>
    </x:row>
    <x:row r="253">
      <x:c r="A253" t="s">
        <x:v>611</x:v>
      </x:c>
      <x:c r="B253" t="s">
        <x:v>352</x:v>
      </x:c>
      <x:c r="C253" t="s">
        <x:v>331</x:v>
      </x:c>
      <x:c r="D253">
        <x:v>8478854</x:v>
      </x:c>
      <x:c r="E253">
        <x:v>68</x:v>
      </x:c>
      <x:c r="F253">
        <x:v>37</x:v>
      </x:c>
      <x:c r="G253">
        <x:v>90</x:v>
      </x:c>
      <x:c r="H253">
        <x:v>42</x:v>
      </x:c>
      <x:c r="I253">
        <x:v>79</x:v>
      </x:c>
      <x:c r="J253">
        <x:v>89</x:v>
      </x:c>
      <x:c r="K253">
        <x:v>94</x:v>
      </x:c>
      <x:c r="L253">
        <x:v>42</x:v>
      </x:c>
      <x:c r="M253">
        <x:v>30</x:v>
      </x:c>
      <x:c r="N253">
        <x:v>56</x:v>
      </x:c>
      <x:c r="O253">
        <x:v>47</x:v>
      </x:c>
      <x:c r="P253">
        <x:v>78</x:v>
      </x:c>
      <x:c r="Q253">
        <x:v>52</x:v>
      </x:c>
      <x:c r="R253">
        <x:v>72</x:v>
      </x:c>
      <x:c r="S253">
        <x:v>71</x:v>
      </x:c>
      <x:c r="T253">
        <x:v>51</x:v>
      </x:c>
      <x:c r="U253">
        <x:v>60</x:v>
      </x:c>
    </x:row>
    <x:row r="254">
      <x:c r="A254" t="s">
        <x:v>612</x:v>
      </x:c>
      <x:c r="B254" t="s">
        <x:v>379</x:v>
      </x:c>
      <x:c r="C254" t="s">
        <x:v>331</x:v>
      </x:c>
      <x:c r="D254">
        <x:v>8479998</x:v>
      </x:c>
      <x:c r="E254">
        <x:v>76</x:v>
      </x:c>
      <x:c r="F254">
        <x:v>35</x:v>
      </x:c>
      <x:c r="G254">
        <x:v>90</x:v>
      </x:c>
      <x:c r="H254">
        <x:v>41</x:v>
      </x:c>
      <x:c r="I254">
        <x:v>78</x:v>
      </x:c>
      <x:c r="J254">
        <x:v>92</x:v>
      </x:c>
      <x:c r="K254">
        <x:v>99</x:v>
      </x:c>
      <x:c r="L254">
        <x:v>41</x:v>
      </x:c>
      <x:c r="M254">
        <x:v>30</x:v>
      </x:c>
      <x:c r="N254">
        <x:v>53</x:v>
      </x:c>
      <x:c r="O254">
        <x:v>47</x:v>
      </x:c>
      <x:c r="P254">
        <x:v>80</x:v>
      </x:c>
      <x:c r="Q254">
        <x:v>52</x:v>
      </x:c>
      <x:c r="R254">
        <x:v>73</x:v>
      </x:c>
      <x:c r="S254">
        <x:v>75</x:v>
      </x:c>
      <x:c r="T254">
        <x:v>51</x:v>
      </x:c>
      <x:c r="U254">
        <x:v>60</x:v>
      </x:c>
    </x:row>
    <x:row r="255">
      <x:c r="A255" t="s">
        <x:v>613</x:v>
      </x:c>
      <x:c r="B255" t="s">
        <x:v>386</x:v>
      </x:c>
      <x:c r="C255" t="s">
        <x:v>331</x:v>
      </x:c>
      <x:c r="D255">
        <x:v>8476958</x:v>
      </x:c>
      <x:c r="E255">
        <x:v>66</x:v>
      </x:c>
      <x:c r="F255">
        <x:v>41</x:v>
      </x:c>
      <x:c r="G255">
        <x:v>95</x:v>
      </x:c>
      <x:c r="H255">
        <x:v>43</x:v>
      </x:c>
      <x:c r="I255">
        <x:v>85</x:v>
      </x:c>
      <x:c r="J255">
        <x:v>92</x:v>
      </x:c>
      <x:c r="K255">
        <x:v>77</x:v>
      </x:c>
      <x:c r="L255">
        <x:v>40</x:v>
      </x:c>
      <x:c r="M255">
        <x:v>30</x:v>
      </x:c>
      <x:c r="N255">
        <x:v>53</x:v>
      </x:c>
      <x:c r="O255">
        <x:v>46</x:v>
      </x:c>
      <x:c r="P255">
        <x:v>78</x:v>
      </x:c>
      <x:c r="Q255">
        <x:v>61</x:v>
      </x:c>
      <x:c r="R255">
        <x:v>85</x:v>
      </x:c>
      <x:c r="S255">
        <x:v>86</x:v>
      </x:c>
      <x:c r="T255">
        <x:v>49</x:v>
      </x:c>
      <x:c r="U255">
        <x:v>60</x:v>
      </x:c>
    </x:row>
    <x:row r="256">
      <x:c r="A256" t="s">
        <x:v>614</x:v>
      </x:c>
      <x:c r="B256" t="s">
        <x:v>334</x:v>
      </x:c>
      <x:c r="C256" t="s">
        <x:v>331</x:v>
      </x:c>
      <x:c r="D256">
        <x:v>8477365</x:v>
      </x:c>
      <x:c r="E256">
        <x:v>91</x:v>
      </x:c>
      <x:c r="F256">
        <x:v>87</x:v>
      </x:c>
      <x:c r="G256">
        <x:v>80</x:v>
      </x:c>
      <x:c r="H256">
        <x:v>39</x:v>
      </x:c>
      <x:c r="I256">
        <x:v>81</x:v>
      </x:c>
      <x:c r="J256">
        <x:v>87</x:v>
      </x:c>
      <x:c r="K256">
        <x:v>81</x:v>
      </x:c>
      <x:c r="L256">
        <x:v>38</x:v>
      </x:c>
      <x:c r="M256">
        <x:v>30</x:v>
      </x:c>
      <x:c r="N256">
        <x:v>50</x:v>
      </x:c>
      <x:c r="O256">
        <x:v>46</x:v>
      </x:c>
      <x:c r="P256">
        <x:v>78</x:v>
      </x:c>
      <x:c r="Q256">
        <x:v>52</x:v>
      </x:c>
      <x:c r="R256">
        <x:v>79</x:v>
      </x:c>
      <x:c r="S256">
        <x:v>73</x:v>
      </x:c>
      <x:c r="T256">
        <x:v>51</x:v>
      </x:c>
      <x:c r="U256">
        <x:v>60</x:v>
      </x:c>
    </x:row>
    <x:row r="257">
      <x:c r="A257" t="s">
        <x:v>615</x:v>
      </x:c>
      <x:c r="B257" t="s">
        <x:v>427</x:v>
      </x:c>
      <x:c r="C257" t="s">
        <x:v>333</x:v>
      </x:c>
      <x:c r="D257">
        <x:v>8480015</x:v>
      </x:c>
      <x:c r="E257">
        <x:v>74</x:v>
      </x:c>
      <x:c r="F257">
        <x:v>42</x:v>
      </x:c>
      <x:c r="G257">
        <x:v>87</x:v>
      </x:c>
      <x:c r="H257">
        <x:v>58</x:v>
      </x:c>
      <x:c r="I257">
        <x:v>86</x:v>
      </x:c>
      <x:c r="J257">
        <x:v>87</x:v>
      </x:c>
      <x:c r="K257">
        <x:v>97</x:v>
      </x:c>
      <x:c r="L257">
        <x:v>57</x:v>
      </x:c>
      <x:c r="M257">
        <x:v>67</x:v>
      </x:c>
      <x:c r="N257">
        <x:v>55</x:v>
      </x:c>
      <x:c r="O257">
        <x:v>61</x:v>
      </x:c>
      <x:c r="P257">
        <x:v>65</x:v>
      </x:c>
      <x:c r="Q257">
        <x:v>64</x:v>
      </x:c>
      <x:c r="R257">
        <x:v>73</x:v>
      </x:c>
      <x:c r="S257">
        <x:v>75</x:v>
      </x:c>
      <x:c r="T257">
        <x:v>51</x:v>
      </x:c>
      <x:c r="U257">
        <x:v>60</x:v>
      </x:c>
    </x:row>
    <x:row r="258">
      <x:c r="A258" t="s">
        <x:v>616</x:v>
      </x:c>
      <x:c r="B258" t="s">
        <x:v>334</x:v>
      </x:c>
      <x:c r="C258" t="s">
        <x:v>333</x:v>
      </x:c>
      <x:c r="D258">
        <x:v>8478474</x:v>
      </x:c>
      <x:c r="E258">
        <x:v>81</x:v>
      </x:c>
      <x:c r="F258">
        <x:v>74</x:v>
      </x:c>
      <x:c r="G258">
        <x:v>84</x:v>
      </x:c>
      <x:c r="H258">
        <x:v>55</x:v>
      </x:c>
      <x:c r="I258">
        <x:v>90</x:v>
      </x:c>
      <x:c r="J258">
        <x:v>87</x:v>
      </x:c>
      <x:c r="K258">
        <x:v>98</x:v>
      </x:c>
      <x:c r="L258">
        <x:v>56</x:v>
      </x:c>
      <x:c r="M258">
        <x:v>71</x:v>
      </x:c>
      <x:c r="N258">
        <x:v>53</x:v>
      </x:c>
      <x:c r="O258">
        <x:v>59</x:v>
      </x:c>
      <x:c r="P258">
        <x:v>74</x:v>
      </x:c>
      <x:c r="Q258">
        <x:v>52</x:v>
      </x:c>
      <x:c r="R258">
        <x:v>77</x:v>
      </x:c>
      <x:c r="S258">
        <x:v>78</x:v>
      </x:c>
      <x:c r="T258">
        <x:v>51</x:v>
      </x:c>
      <x:c r="U258">
        <x:v>60</x:v>
      </x:c>
    </x:row>
    <x:row r="259">
      <x:c r="A259" t="s">
        <x:v>617</x:v>
      </x:c>
      <x:c r="B259" t="s">
        <x:v>356</x:v>
      </x:c>
      <x:c r="C259" t="s">
        <x:v>326</x:v>
      </x:c>
      <x:c r="D259">
        <x:v>8484984</x:v>
      </x:c>
      <x:c r="E259">
        <x:v>58</x:v>
      </x:c>
      <x:c r="F259">
        <x:v>35</x:v>
      </x:c>
      <x:c r="G259">
        <x:v>84</x:v>
      </x:c>
      <x:c r="H259">
        <x:v>61</x:v>
      </x:c>
      <x:c r="I259">
        <x:v>78</x:v>
      </x:c>
      <x:c r="J259">
        <x:v>85</x:v>
      </x:c>
      <x:c r="K259">
        <x:v>96</x:v>
      </x:c>
      <x:c r="L259">
        <x:v>61</x:v>
      </x:c>
      <x:c r="M259">
        <x:v>61</x:v>
      </x:c>
      <x:c r="N259">
        <x:v>63</x:v>
      </x:c>
      <x:c r="O259">
        <x:v>57</x:v>
      </x:c>
      <x:c r="P259">
        <x:v>60</x:v>
      </x:c>
      <x:c r="Q259">
        <x:v>77</x:v>
      </x:c>
      <x:c r="R259">
        <x:v>66</x:v>
      </x:c>
      <x:c r="S259">
        <x:v>71</x:v>
      </x:c>
      <x:c r="T259">
        <x:v>54</x:v>
      </x:c>
      <x:c r="U259">
        <x:v>60</x:v>
      </x:c>
    </x:row>
    <x:row r="260">
      <x:c r="A260" t="s">
        <x:v>618</x:v>
      </x:c>
      <x:c r="B260" t="s">
        <x:v>348</x:v>
      </x:c>
      <x:c r="C260" t="s">
        <x:v>331</x:v>
      </x:c>
      <x:c r="D260">
        <x:v>8476331</x:v>
      </x:c>
      <x:c r="E260">
        <x:v>77</x:v>
      </x:c>
      <x:c r="F260">
        <x:v>39</x:v>
      </x:c>
      <x:c r="G260">
        <x:v>83</x:v>
      </x:c>
      <x:c r="H260">
        <x:v>40</x:v>
      </x:c>
      <x:c r="I260">
        <x:v>81</x:v>
      </x:c>
      <x:c r="J260">
        <x:v>93</x:v>
      </x:c>
      <x:c r="K260">
        <x:v>99</x:v>
      </x:c>
      <x:c r="L260">
        <x:v>40</x:v>
      </x:c>
      <x:c r="M260">
        <x:v>30</x:v>
      </x:c>
      <x:c r="N260">
        <x:v>53</x:v>
      </x:c>
      <x:c r="O260">
        <x:v>46</x:v>
      </x:c>
      <x:c r="P260">
        <x:v>80</x:v>
      </x:c>
      <x:c r="Q260">
        <x:v>52</x:v>
      </x:c>
      <x:c r="R260">
        <x:v>84</x:v>
      </x:c>
      <x:c r="S260">
        <x:v>73</x:v>
      </x:c>
      <x:c r="T260">
        <x:v>51</x:v>
      </x:c>
      <x:c r="U260">
        <x:v>60</x:v>
      </x:c>
    </x:row>
    <x:row r="261">
      <x:c r="A261" t="s">
        <x:v>619</x:v>
      </x:c>
      <x:c r="B261" t="s">
        <x:v>420</x:v>
      </x:c>
      <x:c r="C261" t="s">
        <x:v>326</x:v>
      </x:c>
      <x:c r="D261">
        <x:v>8478444</x:v>
      </x:c>
      <x:c r="E261">
        <x:v>64</x:v>
      </x:c>
      <x:c r="F261">
        <x:v>36</x:v>
      </x:c>
      <x:c r="G261">
        <x:v>96</x:v>
      </x:c>
      <x:c r="H261">
        <x:v>58</x:v>
      </x:c>
      <x:c r="I261">
        <x:v>78</x:v>
      </x:c>
      <x:c r="J261">
        <x:v>91</x:v>
      </x:c>
      <x:c r="K261">
        <x:v>92</x:v>
      </x:c>
      <x:c r="L261">
        <x:v>61</x:v>
      </x:c>
      <x:c r="M261">
        <x:v>72</x:v>
      </x:c>
      <x:c r="N261">
        <x:v>57</x:v>
      </x:c>
      <x:c r="O261">
        <x:v>60</x:v>
      </x:c>
      <x:c r="P261">
        <x:v>66</x:v>
      </x:c>
      <x:c r="Q261">
        <x:v>75</x:v>
      </x:c>
      <x:c r="R261">
        <x:v>78</x:v>
      </x:c>
      <x:c r="S261">
        <x:v>74</x:v>
      </x:c>
      <x:c r="T261">
        <x:v>51</x:v>
      </x:c>
      <x:c r="U261">
        <x:v>60</x:v>
      </x:c>
    </x:row>
    <x:row r="262">
      <x:c r="A262" t="s">
        <x:v>620</x:v>
      </x:c>
      <x:c r="B262" t="s">
        <x:v>576</x:v>
      </x:c>
      <x:c r="C262" t="s">
        <x:v>331</x:v>
      </x:c>
      <x:c r="D262">
        <x:v>8478136</x:v>
      </x:c>
      <x:c r="E262">
        <x:v>75</x:v>
      </x:c>
      <x:c r="F262">
        <x:v>87</x:v>
      </x:c>
      <x:c r="G262">
        <x:v>79</x:v>
      </x:c>
      <x:c r="H262">
        <x:v>39</x:v>
      </x:c>
      <x:c r="I262">
        <x:v>86</x:v>
      </x:c>
      <x:c r="J262">
        <x:v>89</x:v>
      </x:c>
      <x:c r="K262">
        <x:v>94</x:v>
      </x:c>
      <x:c r="L262">
        <x:v>40</x:v>
      </x:c>
      <x:c r="M262">
        <x:v>30</x:v>
      </x:c>
      <x:c r="N262">
        <x:v>52</x:v>
      </x:c>
      <x:c r="O262">
        <x:v>46</x:v>
      </x:c>
      <x:c r="P262">
        <x:v>79</x:v>
      </x:c>
      <x:c r="Q262">
        <x:v>52</x:v>
      </x:c>
      <x:c r="R262">
        <x:v>78</x:v>
      </x:c>
      <x:c r="S262">
        <x:v>73</x:v>
      </x:c>
      <x:c r="T262">
        <x:v>51</x:v>
      </x:c>
      <x:c r="U262">
        <x:v>60</x:v>
      </x:c>
    </x:row>
    <x:row r="263">
      <x:c r="A263" t="s">
        <x:v>621</x:v>
      </x:c>
      <x:c r="B263" t="s">
        <x:v>379</x:v>
      </x:c>
      <x:c r="C263" t="s">
        <x:v>326</x:v>
      </x:c>
      <x:c r="D263">
        <x:v>8482155</x:v>
      </x:c>
      <x:c r="E263">
        <x:v>83</x:v>
      </x:c>
      <x:c r="F263">
        <x:v>41</x:v>
      </x:c>
      <x:c r="G263">
        <x:v>92</x:v>
      </x:c>
      <x:c r="H263">
        <x:v>55</x:v>
      </x:c>
      <x:c r="I263">
        <x:v>82</x:v>
      </x:c>
      <x:c r="J263">
        <x:v>88</x:v>
      </x:c>
      <x:c r="K263">
        <x:v>98</x:v>
      </x:c>
      <x:c r="L263">
        <x:v>57</x:v>
      </x:c>
      <x:c r="M263">
        <x:v>78</x:v>
      </x:c>
      <x:c r="N263">
        <x:v>55</x:v>
      </x:c>
      <x:c r="O263">
        <x:v>58</x:v>
      </x:c>
      <x:c r="P263">
        <x:v>69</x:v>
      </x:c>
      <x:c r="Q263">
        <x:v>55</x:v>
      </x:c>
      <x:c r="R263">
        <x:v>70</x:v>
      </x:c>
      <x:c r="S263">
        <x:v>74</x:v>
      </x:c>
      <x:c r="T263">
        <x:v>51</x:v>
      </x:c>
      <x:c r="U263">
        <x:v>60</x:v>
      </x:c>
    </x:row>
    <x:row r="264">
      <x:c r="A264" t="s">
        <x:v>622</x:v>
      </x:c>
      <x:c r="B264" t="s">
        <x:v>361</x:v>
      </x:c>
      <x:c r="C264" t="s">
        <x:v>331</x:v>
      </x:c>
      <x:c r="D264">
        <x:v>8481806</x:v>
      </x:c>
      <x:c r="E264">
        <x:v>78</x:v>
      </x:c>
      <x:c r="F264">
        <x:v>68</x:v>
      </x:c>
      <x:c r="G264">
        <x:v>80</x:v>
      </x:c>
      <x:c r="H264">
        <x:v>40</x:v>
      </x:c>
      <x:c r="I264">
        <x:v>93</x:v>
      </x:c>
      <x:c r="J264">
        <x:v>87</x:v>
      </x:c>
      <x:c r="K264">
        <x:v>94</x:v>
      </x:c>
      <x:c r="L264">
        <x:v>41</x:v>
      </x:c>
      <x:c r="M264">
        <x:v>30</x:v>
      </x:c>
      <x:c r="N264">
        <x:v>53</x:v>
      </x:c>
      <x:c r="O264">
        <x:v>48</x:v>
      </x:c>
      <x:c r="P264">
        <x:v>77</x:v>
      </x:c>
      <x:c r="Q264">
        <x:v>67</x:v>
      </x:c>
      <x:c r="R264">
        <x:v>69</x:v>
      </x:c>
      <x:c r="S264">
        <x:v>68</x:v>
      </x:c>
      <x:c r="T264">
        <x:v>51</x:v>
      </x:c>
      <x:c r="U264">
        <x:v>60</x:v>
      </x:c>
    </x:row>
    <x:row r="265">
      <x:c r="A265" t="s">
        <x:v>623</x:v>
      </x:c>
      <x:c r="B265" t="s">
        <x:v>427</x:v>
      </x:c>
      <x:c r="C265" t="s">
        <x:v>331</x:v>
      </x:c>
      <x:c r="D265">
        <x:v>8476372</x:v>
      </x:c>
      <x:c r="E265">
        <x:v>77</x:v>
      </x:c>
      <x:c r="F265">
        <x:v>74</x:v>
      </x:c>
      <x:c r="G265">
        <x:v>86</x:v>
      </x:c>
      <x:c r="H265">
        <x:v>38</x:v>
      </x:c>
      <x:c r="I265">
        <x:v>84</x:v>
      </x:c>
      <x:c r="J265">
        <x:v>88</x:v>
      </x:c>
      <x:c r="K265">
        <x:v>99</x:v>
      </x:c>
      <x:c r="L265">
        <x:v>37</x:v>
      </x:c>
      <x:c r="M265">
        <x:v>30</x:v>
      </x:c>
      <x:c r="N265">
        <x:v>49</x:v>
      </x:c>
      <x:c r="O265">
        <x:v>46</x:v>
      </x:c>
      <x:c r="P265">
        <x:v>79</x:v>
      </x:c>
      <x:c r="Q265">
        <x:v>52</x:v>
      </x:c>
      <x:c r="R265">
        <x:v>81</x:v>
      </x:c>
      <x:c r="S265">
        <x:v>75</x:v>
      </x:c>
      <x:c r="T265">
        <x:v>51</x:v>
      </x:c>
      <x:c r="U265">
        <x:v>60</x:v>
      </x:c>
    </x:row>
    <x:row r="266">
      <x:c r="A266" t="s">
        <x:v>624</x:v>
      </x:c>
      <x:c r="B266" t="s">
        <x:v>320</x:v>
      </x:c>
      <x:c r="C266" t="s">
        <x:v>331</x:v>
      </x:c>
      <x:c r="D266">
        <x:v>8478013</x:v>
      </x:c>
      <x:c r="E266">
        <x:v>68</x:v>
      </x:c>
      <x:c r="F266">
        <x:v>41</x:v>
      </x:c>
      <x:c r="G266">
        <x:v>90</x:v>
      </x:c>
      <x:c r="H266">
        <x:v>45</x:v>
      </x:c>
      <x:c r="I266">
        <x:v>83</x:v>
      </x:c>
      <x:c r="J266">
        <x:v>91</x:v>
      </x:c>
      <x:c r="K266">
        <x:v>81</x:v>
      </x:c>
      <x:c r="L266">
        <x:v>44</x:v>
      </x:c>
      <x:c r="M266">
        <x:v>30</x:v>
      </x:c>
      <x:c r="N266">
        <x:v>55</x:v>
      </x:c>
      <x:c r="O266">
        <x:v>50</x:v>
      </x:c>
      <x:c r="P266">
        <x:v>77</x:v>
      </x:c>
      <x:c r="Q266">
        <x:v>52</x:v>
      </x:c>
      <x:c r="R266">
        <x:v>78</x:v>
      </x:c>
      <x:c r="S266">
        <x:v>70</x:v>
      </x:c>
      <x:c r="T266">
        <x:v>51</x:v>
      </x:c>
      <x:c r="U266">
        <x:v>60</x:v>
      </x:c>
    </x:row>
    <x:row r="267">
      <x:c r="A267" t="s">
        <x:v>625</x:v>
      </x:c>
      <x:c r="B267" t="s">
        <x:v>370</x:v>
      </x:c>
      <x:c r="C267" t="s">
        <x:v>319</x:v>
      </x:c>
      <x:c r="D267">
        <x:v>8481596</x:v>
      </x:c>
      <x:c r="E267">
        <x:v>68</x:v>
      </x:c>
      <x:c r="F267">
        <x:v>39</x:v>
      </x:c>
      <x:c r="G267">
        <x:v>81</x:v>
      </x:c>
      <x:c r="H267">
        <x:v>59</x:v>
      </x:c>
      <x:c r="I267">
        <x:v>81</x:v>
      </x:c>
      <x:c r="J267">
        <x:v>90</x:v>
      </x:c>
      <x:c r="K267">
        <x:v>88</x:v>
      </x:c>
      <x:c r="L267">
        <x:v>56</x:v>
      </x:c>
      <x:c r="M267">
        <x:v>88</x:v>
      </x:c>
      <x:c r="N267">
        <x:v>56</x:v>
      </x:c>
      <x:c r="O267">
        <x:v>60</x:v>
      </x:c>
      <x:c r="P267">
        <x:v>72</x:v>
      </x:c>
      <x:c r="Q267">
        <x:v>75</x:v>
      </x:c>
      <x:c r="R267">
        <x:v>72</x:v>
      </x:c>
      <x:c r="S267">
        <x:v>75</x:v>
      </x:c>
      <x:c r="T267">
        <x:v>51</x:v>
      </x:c>
      <x:c r="U267">
        <x:v>60</x:v>
      </x:c>
    </x:row>
    <x:row r="268">
      <x:c r="A268" t="s">
        <x:v>626</x:v>
      </x:c>
      <x:c r="B268" t="s">
        <x:v>439</x:v>
      </x:c>
      <x:c r="C268" t="s">
        <x:v>319</x:v>
      </x:c>
      <x:c r="D268">
        <x:v>8476419</x:v>
      </x:c>
      <x:c r="E268">
        <x:v>71</x:v>
      </x:c>
      <x:c r="F268">
        <x:v>40</x:v>
      </x:c>
      <x:c r="G268">
        <x:v>97</x:v>
      </x:c>
      <x:c r="H268">
        <x:v>57</x:v>
      </x:c>
      <x:c r="I268">
        <x:v>79</x:v>
      </x:c>
      <x:c r="J268">
        <x:v>86</x:v>
      </x:c>
      <x:c r="K268">
        <x:v>92</x:v>
      </x:c>
      <x:c r="L268">
        <x:v>54</x:v>
      </x:c>
      <x:c r="M268">
        <x:v>91</x:v>
      </x:c>
      <x:c r="N268">
        <x:v>55</x:v>
      </x:c>
      <x:c r="O268">
        <x:v>57</x:v>
      </x:c>
      <x:c r="P268">
        <x:v>74</x:v>
      </x:c>
      <x:c r="Q268">
        <x:v>53</x:v>
      </x:c>
      <x:c r="R268">
        <x:v>87</x:v>
      </x:c>
      <x:c r="S268">
        <x:v>81</x:v>
      </x:c>
      <x:c r="T268">
        <x:v>51</x:v>
      </x:c>
      <x:c r="U268">
        <x:v>60</x:v>
      </x:c>
    </x:row>
    <x:row r="269">
      <x:c r="A269" t="s">
        <x:v>627</x:v>
      </x:c>
      <x:c r="B269" t="s">
        <x:v>420</x:v>
      </x:c>
      <x:c r="C269" t="s">
        <x:v>319</x:v>
      </x:c>
      <x:c r="D269">
        <x:v>8482079</x:v>
      </x:c>
      <x:c r="E269">
        <x:v>65</x:v>
      </x:c>
      <x:c r="F269">
        <x:v>32</x:v>
      </x:c>
      <x:c r="G269">
        <x:v>92</x:v>
      </x:c>
      <x:c r="H269">
        <x:v>59</x:v>
      </x:c>
      <x:c r="I269">
        <x:v>75</x:v>
      </x:c>
      <x:c r="J269">
        <x:v>88</x:v>
      </x:c>
      <x:c r="K269">
        <x:v>80</x:v>
      </x:c>
      <x:c r="L269">
        <x:v>58</x:v>
      </x:c>
      <x:c r="M269">
        <x:v>87</x:v>
      </x:c>
      <x:c r="N269">
        <x:v>61</x:v>
      </x:c>
      <x:c r="O269">
        <x:v>58</x:v>
      </x:c>
      <x:c r="P269">
        <x:v>64</x:v>
      </x:c>
      <x:c r="Q269">
        <x:v>69</x:v>
      </x:c>
      <x:c r="R269">
        <x:v>71</x:v>
      </x:c>
      <x:c r="S269">
        <x:v>77</x:v>
      </x:c>
      <x:c r="T269">
        <x:v>51</x:v>
      </x:c>
      <x:c r="U269">
        <x:v>60</x:v>
      </x:c>
    </x:row>
    <x:row r="270">
      <x:c r="A270" t="s">
        <x:v>628</x:v>
      </x:c>
      <x:c r="B270" t="s">
        <x:v>337</x:v>
      </x:c>
      <x:c r="C270" t="s">
        <x:v>331</x:v>
      </x:c>
      <x:c r="D270">
        <x:v>8483485</x:v>
      </x:c>
      <x:c r="E270">
        <x:v>67</x:v>
      </x:c>
      <x:c r="F270">
        <x:v>33</x:v>
      </x:c>
      <x:c r="G270">
        <x:v>94</x:v>
      </x:c>
      <x:c r="H270">
        <x:v>44</x:v>
      </x:c>
      <x:c r="I270">
        <x:v>75</x:v>
      </x:c>
      <x:c r="J270">
        <x:v>90</x:v>
      </x:c>
      <x:c r="K270">
        <x:v>93</x:v>
      </x:c>
      <x:c r="L270">
        <x:v>43</x:v>
      </x:c>
      <x:c r="M270">
        <x:v>30</x:v>
      </x:c>
      <x:c r="N270">
        <x:v>54</x:v>
      </x:c>
      <x:c r="O270">
        <x:v>51</x:v>
      </x:c>
      <x:c r="P270">
        <x:v>77</x:v>
      </x:c>
      <x:c r="Q270">
        <x:v>52</x:v>
      </x:c>
      <x:c r="R270">
        <x:v>66</x:v>
      </x:c>
      <x:c r="S270">
        <x:v>69</x:v>
      </x:c>
      <x:c r="T270">
        <x:v>51</x:v>
      </x:c>
      <x:c r="U270">
        <x:v>60</x:v>
      </x:c>
    </x:row>
    <x:row r="271">
      <x:c r="A271" t="s">
        <x:v>629</x:v>
      </x:c>
      <x:c r="B271" t="s">
        <x:v>396</x:v>
      </x:c>
      <x:c r="C271" t="s">
        <x:v>329</x:v>
      </x:c>
      <x:c r="D271">
        <x:v>8481580</x:v>
      </x:c>
      <x:c r="E271">
        <x:v>61</x:v>
      </x:c>
      <x:c r="F271">
        <x:v>38</x:v>
      </x:c>
      <x:c r="G271">
        <x:v>85</x:v>
      </x:c>
      <x:c r="H271">
        <x:v>58</x:v>
      </x:c>
      <x:c r="I271">
        <x:v>76</x:v>
      </x:c>
      <x:c r="J271">
        <x:v>87</x:v>
      </x:c>
      <x:c r="K271">
        <x:v>96</x:v>
      </x:c>
      <x:c r="L271">
        <x:v>58</x:v>
      </x:c>
      <x:c r="M271">
        <x:v>81</x:v>
      </x:c>
      <x:c r="N271">
        <x:v>59</x:v>
      </x:c>
      <x:c r="O271">
        <x:v>57</x:v>
      </x:c>
      <x:c r="P271">
        <x:v>70</x:v>
      </x:c>
      <x:c r="Q271">
        <x:v>63</x:v>
      </x:c>
      <x:c r="R271">
        <x:v>70</x:v>
      </x:c>
      <x:c r="S271">
        <x:v>75</x:v>
      </x:c>
      <x:c r="T271">
        <x:v>51</x:v>
      </x:c>
      <x:c r="U271">
        <x:v>60</x:v>
      </x:c>
    </x:row>
    <x:row r="272">
      <x:c r="A272" t="s">
        <x:v>630</x:v>
      </x:c>
      <x:c r="B272" t="s">
        <x:v>427</x:v>
      </x:c>
      <x:c r="C272" t="s">
        <x:v>331</x:v>
      </x:c>
      <x:c r="D272">
        <x:v>8477499</x:v>
      </x:c>
      <x:c r="E272">
        <x:v>75</x:v>
      </x:c>
      <x:c r="F272">
        <x:v>43</x:v>
      </x:c>
      <x:c r="G272">
        <x:v>87</x:v>
      </x:c>
      <x:c r="H272">
        <x:v>41</x:v>
      </x:c>
      <x:c r="I272">
        <x:v>89</x:v>
      </x:c>
      <x:c r="J272">
        <x:v>93</x:v>
      </x:c>
      <x:c r="K272">
        <x:v>76</x:v>
      </x:c>
      <x:c r="L272">
        <x:v>40</x:v>
      </x:c>
      <x:c r="M272">
        <x:v>30</x:v>
      </x:c>
      <x:c r="N272">
        <x:v>55</x:v>
      </x:c>
      <x:c r="O272">
        <x:v>46</x:v>
      </x:c>
      <x:c r="P272">
        <x:v>77</x:v>
      </x:c>
      <x:c r="Q272">
        <x:v>62</x:v>
      </x:c>
      <x:c r="R272">
        <x:v>83</x:v>
      </x:c>
      <x:c r="S272">
        <x:v>78</x:v>
      </x:c>
      <x:c r="T272">
        <x:v>51</x:v>
      </x:c>
      <x:c r="U272">
        <x:v>60</x:v>
      </x:c>
    </x:row>
    <x:row r="273">
      <x:c r="A273" t="s">
        <x:v>631</x:v>
      </x:c>
      <x:c r="B273" t="s">
        <x:v>383</x:v>
      </x:c>
      <x:c r="C273" t="s">
        <x:v>331</x:v>
      </x:c>
      <x:c r="D273">
        <x:v>8480434</x:v>
      </x:c>
      <x:c r="E273">
        <x:v>70</x:v>
      </x:c>
      <x:c r="F273">
        <x:v>39</x:v>
      </x:c>
      <x:c r="G273">
        <x:v>77</x:v>
      </x:c>
      <x:c r="H273">
        <x:v>44</x:v>
      </x:c>
      <x:c r="I273">
        <x:v>76</x:v>
      </x:c>
      <x:c r="J273">
        <x:v>91</x:v>
      </x:c>
      <x:c r="K273">
        <x:v>80</x:v>
      </x:c>
      <x:c r="L273">
        <x:v>43</x:v>
      </x:c>
      <x:c r="M273">
        <x:v>30</x:v>
      </x:c>
      <x:c r="N273">
        <x:v>57</x:v>
      </x:c>
      <x:c r="O273">
        <x:v>48</x:v>
      </x:c>
      <x:c r="P273">
        <x:v>75</x:v>
      </x:c>
      <x:c r="Q273">
        <x:v>52</x:v>
      </x:c>
      <x:c r="R273">
        <x:v>75</x:v>
      </x:c>
      <x:c r="S273">
        <x:v>70</x:v>
      </x:c>
      <x:c r="T273">
        <x:v>51</x:v>
      </x:c>
      <x:c r="U273">
        <x:v>60</x:v>
      </x:c>
    </x:row>
    <x:row r="274">
      <x:c r="A274" t="s">
        <x:v>632</x:v>
      </x:c>
      <x:c r="B274" t="s">
        <x:v>436</x:v>
      </x:c>
      <x:c r="C274" t="s">
        <x:v>331</x:v>
      </x:c>
      <x:c r="D274">
        <x:v>8481568</x:v>
      </x:c>
      <x:c r="E274">
        <x:v>68</x:v>
      </x:c>
      <x:c r="F274">
        <x:v>63</x:v>
      </x:c>
      <x:c r="G274">
        <x:v>95</x:v>
      </x:c>
      <x:c r="H274">
        <x:v>42</x:v>
      </x:c>
      <x:c r="I274">
        <x:v>87</x:v>
      </x:c>
      <x:c r="J274">
        <x:v>93</x:v>
      </x:c>
      <x:c r="K274">
        <x:v>99</x:v>
      </x:c>
      <x:c r="L274">
        <x:v>41</x:v>
      </x:c>
      <x:c r="M274">
        <x:v>30</x:v>
      </x:c>
      <x:c r="N274">
        <x:v>54</x:v>
      </x:c>
      <x:c r="O274">
        <x:v>46</x:v>
      </x:c>
      <x:c r="P274">
        <x:v>80</x:v>
      </x:c>
      <x:c r="Q274">
        <x:v>52</x:v>
      </x:c>
      <x:c r="R274">
        <x:v>71</x:v>
      </x:c>
      <x:c r="S274">
        <x:v>77</x:v>
      </x:c>
      <x:c r="T274">
        <x:v>51</x:v>
      </x:c>
      <x:c r="U274">
        <x:v>60</x:v>
      </x:c>
    </x:row>
    <x:row r="275">
      <x:c r="A275" t="s">
        <x:v>633</x:v>
      </x:c>
      <x:c r="B275" t="s">
        <x:v>400</x:v>
      </x:c>
      <x:c r="C275" t="s">
        <x:v>326</x:v>
      </x:c>
      <x:c r="D275">
        <x:v>8475765</x:v>
      </x:c>
      <x:c r="E275">
        <x:v>64</x:v>
      </x:c>
      <x:c r="F275">
        <x:v>40</x:v>
      </x:c>
      <x:c r="G275">
        <x:v>96</x:v>
      </x:c>
      <x:c r="H275">
        <x:v>58</x:v>
      </x:c>
      <x:c r="I275">
        <x:v>83</x:v>
      </x:c>
      <x:c r="J275">
        <x:v>85</x:v>
      </x:c>
      <x:c r="K275">
        <x:v>93</x:v>
      </x:c>
      <x:c r="L275">
        <x:v>58</x:v>
      </x:c>
      <x:c r="M275">
        <x:v>68</x:v>
      </x:c>
      <x:c r="N275">
        <x:v>56</x:v>
      </x:c>
      <x:c r="O275">
        <x:v>59</x:v>
      </x:c>
      <x:c r="P275">
        <x:v>61</x:v>
      </x:c>
      <x:c r="Q275">
        <x:v>75</x:v>
      </x:c>
      <x:c r="R275">
        <x:v>88</x:v>
      </x:c>
      <x:c r="S275">
        <x:v>79</x:v>
      </x:c>
      <x:c r="T275">
        <x:v>51</x:v>
      </x:c>
      <x:c r="U275">
        <x:v>60</x:v>
      </x:c>
    </x:row>
    <x:row r="276">
      <x:c r="A276" t="s">
        <x:v>634</x:v>
      </x:c>
      <x:c r="B276" t="s">
        <x:v>427</x:v>
      </x:c>
      <x:c r="C276" t="s">
        <x:v>339</x:v>
      </x:c>
      <x:c r="D276">
        <x:v>8477989</x:v>
      </x:c>
      <x:c r="E276">
        <x:v>60</x:v>
      </x:c>
      <x:c r="F276">
        <x:v>49</x:v>
      </x:c>
      <x:c r="G276">
        <x:v>92</x:v>
      </x:c>
      <x:c r="H276">
        <x:v>56</x:v>
      </x:c>
      <x:c r="I276">
        <x:v>79</x:v>
      </x:c>
      <x:c r="J276">
        <x:v>88</x:v>
      </x:c>
      <x:c r="K276">
        <x:v>96</x:v>
      </x:c>
      <x:c r="L276">
        <x:v>57</x:v>
      </x:c>
      <x:c r="M276">
        <x:v>90</x:v>
      </x:c>
      <x:c r="N276">
        <x:v>58</x:v>
      </x:c>
      <x:c r="O276">
        <x:v>57</x:v>
      </x:c>
      <x:c r="P276">
        <x:v>71</x:v>
      </x:c>
      <x:c r="Q276">
        <x:v>63</x:v>
      </x:c>
      <x:c r="R276">
        <x:v>79</x:v>
      </x:c>
      <x:c r="S276">
        <x:v>75</x:v>
      </x:c>
      <x:c r="T276">
        <x:v>51</x:v>
      </x:c>
      <x:c r="U276">
        <x:v>60</x:v>
      </x:c>
    </x:row>
    <x:row r="277">
      <x:c r="A277" t="s">
        <x:v>635</x:v>
      </x:c>
      <x:c r="B277" t="s">
        <x:v>370</x:v>
      </x:c>
      <x:c r="C277" t="s">
        <x:v>339</x:v>
      </x:c>
      <x:c r="D277">
        <x:v>8482667</x:v>
      </x:c>
      <x:c r="E277">
        <x:v>65</x:v>
      </x:c>
      <x:c r="F277">
        <x:v>36</x:v>
      </x:c>
      <x:c r="G277">
        <x:v>86</x:v>
      </x:c>
      <x:c r="H277">
        <x:v>60</x:v>
      </x:c>
      <x:c r="I277">
        <x:v>76</x:v>
      </x:c>
      <x:c r="J277">
        <x:v>90</x:v>
      </x:c>
      <x:c r="K277">
        <x:v>95</x:v>
      </x:c>
      <x:c r="L277">
        <x:v>58</x:v>
      </x:c>
      <x:c r="M277">
        <x:v>68</x:v>
      </x:c>
      <x:c r="N277">
        <x:v>62</x:v>
      </x:c>
      <x:c r="O277">
        <x:v>56</x:v>
      </x:c>
      <x:c r="P277">
        <x:v>66</x:v>
      </x:c>
      <x:c r="Q277">
        <x:v>80</x:v>
      </x:c>
      <x:c r="R277">
        <x:v>69</x:v>
      </x:c>
      <x:c r="S277">
        <x:v>77</x:v>
      </x:c>
      <x:c r="T277">
        <x:v>51</x:v>
      </x:c>
      <x:c r="U277">
        <x:v>60</x:v>
      </x:c>
    </x:row>
    <x:row r="278">
      <x:c r="A278" t="s">
        <x:v>636</x:v>
      </x:c>
      <x:c r="B278" t="s">
        <x:v>393</x:v>
      </x:c>
      <x:c r="C278" t="s">
        <x:v>326</x:v>
      </x:c>
      <x:c r="D278">
        <x:v>8484762</x:v>
      </x:c>
      <x:c r="E278">
        <x:v>67</x:v>
      </x:c>
      <x:c r="F278">
        <x:v>37</x:v>
      </x:c>
      <x:c r="G278">
        <x:v>78</x:v>
      </x:c>
      <x:c r="H278">
        <x:v>58</x:v>
      </x:c>
      <x:c r="I278">
        <x:v>80</x:v>
      </x:c>
      <x:c r="J278">
        <x:v>87</x:v>
      </x:c>
      <x:c r="K278">
        <x:v>96</x:v>
      </x:c>
      <x:c r="L278">
        <x:v>61</x:v>
      </x:c>
      <x:c r="M278">
        <x:v>69</x:v>
      </x:c>
      <x:c r="N278">
        <x:v>61</x:v>
      </x:c>
      <x:c r="O278">
        <x:v>59</x:v>
      </x:c>
      <x:c r="P278">
        <x:v>60</x:v>
      </x:c>
      <x:c r="Q278">
        <x:v>75</x:v>
      </x:c>
      <x:c r="R278">
        <x:v>65</x:v>
      </x:c>
      <x:c r="S278">
        <x:v>66</x:v>
      </x:c>
      <x:c r="T278">
        <x:v>54</x:v>
      </x:c>
      <x:c r="U278">
        <x:v>60</x:v>
      </x:c>
    </x:row>
    <x:row r="279">
      <x:c r="A279" t="s">
        <x:v>637</x:v>
      </x:c>
      <x:c r="B279" t="s">
        <x:v>576</x:v>
      </x:c>
      <x:c r="C279" t="s">
        <x:v>331</x:v>
      </x:c>
      <x:c r="D279">
        <x:v>8480860</x:v>
      </x:c>
      <x:c r="E279">
        <x:v>77</x:v>
      </x:c>
      <x:c r="F279">
        <x:v>71</x:v>
      </x:c>
      <x:c r="G279">
        <x:v>81</x:v>
      </x:c>
      <x:c r="H279">
        <x:v>40</x:v>
      </x:c>
      <x:c r="I279">
        <x:v>92</x:v>
      </x:c>
      <x:c r="J279">
        <x:v>94</x:v>
      </x:c>
      <x:c r="K279">
        <x:v>95</x:v>
      </x:c>
      <x:c r="L279">
        <x:v>39</x:v>
      </x:c>
      <x:c r="M279">
        <x:v>30</x:v>
      </x:c>
      <x:c r="N279">
        <x:v>52</x:v>
      </x:c>
      <x:c r="O279">
        <x:v>46</x:v>
      </x:c>
      <x:c r="P279">
        <x:v>79</x:v>
      </x:c>
      <x:c r="Q279">
        <x:v>52</x:v>
      </x:c>
      <x:c r="R279">
        <x:v>71</x:v>
      </x:c>
      <x:c r="S279">
        <x:v>75</x:v>
      </x:c>
      <x:c r="T279">
        <x:v>51</x:v>
      </x:c>
      <x:c r="U279">
        <x:v>60</x:v>
      </x:c>
    </x:row>
    <x:row r="280">
      <x:c r="A280" t="s">
        <x:v>638</x:v>
      </x:c>
      <x:c r="B280" t="s">
        <x:v>576</x:v>
      </x:c>
      <x:c r="C280" t="s">
        <x:v>331</x:v>
      </x:c>
      <x:c r="D280">
        <x:v>8478840</x:v>
      </x:c>
      <x:c r="E280">
        <x:v>77</x:v>
      </x:c>
      <x:c r="F280">
        <x:v>62</x:v>
      </x:c>
      <x:c r="G280">
        <x:v>83</x:v>
      </x:c>
      <x:c r="H280">
        <x:v>39</x:v>
      </x:c>
      <x:c r="I280">
        <x:v>83</x:v>
      </x:c>
      <x:c r="J280">
        <x:v>89</x:v>
      </x:c>
      <x:c r="K280">
        <x:v>96</x:v>
      </x:c>
      <x:c r="L280">
        <x:v>38</x:v>
      </x:c>
      <x:c r="M280">
        <x:v>30</x:v>
      </x:c>
      <x:c r="N280">
        <x:v>51</x:v>
      </x:c>
      <x:c r="O280">
        <x:v>47</x:v>
      </x:c>
      <x:c r="P280">
        <x:v>78</x:v>
      </x:c>
      <x:c r="Q280">
        <x:v>52</x:v>
      </x:c>
      <x:c r="R280">
        <x:v>77</x:v>
      </x:c>
      <x:c r="S280">
        <x:v>75</x:v>
      </x:c>
      <x:c r="T280">
        <x:v>51</x:v>
      </x:c>
      <x:c r="U280">
        <x:v>60</x:v>
      </x:c>
    </x:row>
    <x:row r="281">
      <x:c r="A281" t="s">
        <x:v>639</x:v>
      </x:c>
      <x:c r="B281" t="s">
        <x:v>420</x:v>
      </x:c>
      <x:c r="C281" t="s">
        <x:v>331</x:v>
      </x:c>
      <x:c r="D281">
        <x:v>8474568</x:v>
      </x:c>
      <x:c r="E281">
        <x:v>89</x:v>
      </x:c>
      <x:c r="F281">
        <x:v>89</x:v>
      </x:c>
      <x:c r="G281">
        <x:v>85</x:v>
      </x:c>
      <x:c r="H281">
        <x:v>36</x:v>
      </x:c>
      <x:c r="I281">
        <x:v>90</x:v>
      </x:c>
      <x:c r="J281">
        <x:v>84</x:v>
      </x:c>
      <x:c r="K281">
        <x:v>81</x:v>
      </x:c>
      <x:c r="L281">
        <x:v>37</x:v>
      </x:c>
      <x:c r="M281">
        <x:v>30</x:v>
      </x:c>
      <x:c r="N281">
        <x:v>50</x:v>
      </x:c>
      <x:c r="O281">
        <x:v>46</x:v>
      </x:c>
      <x:c r="P281">
        <x:v>76</x:v>
      </x:c>
      <x:c r="Q281">
        <x:v>52</x:v>
      </x:c>
      <x:c r="R281">
        <x:v>90</x:v>
      </x:c>
      <x:c r="S281">
        <x:v>79</x:v>
      </x:c>
      <x:c r="T281">
        <x:v>51</x:v>
      </x:c>
      <x:c r="U281">
        <x:v>60</x:v>
      </x:c>
    </x:row>
    <x:row r="282">
      <x:c r="A282" t="s">
        <x:v>640</x:v>
      </x:c>
      <x:c r="B282" t="s">
        <x:v>383</x:v>
      </x:c>
      <x:c r="C282" t="s">
        <x:v>333</x:v>
      </x:c>
      <x:c r="D282">
        <x:v>8482157</x:v>
      </x:c>
      <x:c r="E282">
        <x:v>90</x:v>
      </x:c>
      <x:c r="F282">
        <x:v>79</x:v>
      </x:c>
      <x:c r="G282">
        <x:v>80</x:v>
      </x:c>
      <x:c r="H282">
        <x:v>56</x:v>
      </x:c>
      <x:c r="I282">
        <x:v>88</x:v>
      </x:c>
      <x:c r="J282">
        <x:v>86</x:v>
      </x:c>
      <x:c r="K282">
        <x:v>99</x:v>
      </x:c>
      <x:c r="L282">
        <x:v>56</x:v>
      </x:c>
      <x:c r="M282">
        <x:v>71</x:v>
      </x:c>
      <x:c r="N282">
        <x:v>54</x:v>
      </x:c>
      <x:c r="O282">
        <x:v>58</x:v>
      </x:c>
      <x:c r="P282">
        <x:v>69</x:v>
      </x:c>
      <x:c r="Q282">
        <x:v>52</x:v>
      </x:c>
      <x:c r="R282">
        <x:v>70</x:v>
      </x:c>
      <x:c r="S282">
        <x:v>76</x:v>
      </x:c>
      <x:c r="T282">
        <x:v>51</x:v>
      </x:c>
      <x:c r="U282">
        <x:v>60</x:v>
      </x:c>
    </x:row>
    <x:row r="283">
      <x:c r="A283" t="s">
        <x:v>641</x:v>
      </x:c>
      <x:c r="B283" t="s">
        <x:v>370</x:v>
      </x:c>
      <x:c r="C283" t="s">
        <x:v>331</x:v>
      </x:c>
      <x:c r="D283">
        <x:v>8481606</x:v>
      </x:c>
      <x:c r="E283">
        <x:v>71</x:v>
      </x:c>
      <x:c r="F283">
        <x:v>32</x:v>
      </x:c>
      <x:c r="G283">
        <x:v>91</x:v>
      </x:c>
      <x:c r="H283">
        <x:v>45</x:v>
      </x:c>
      <x:c r="I283">
        <x:v>75</x:v>
      </x:c>
      <x:c r="J283">
        <x:v>89</x:v>
      </x:c>
      <x:c r="K283">
        <x:v>93</x:v>
      </x:c>
      <x:c r="L283">
        <x:v>43</x:v>
      </x:c>
      <x:c r="M283">
        <x:v>30</x:v>
      </x:c>
      <x:c r="N283">
        <x:v>56</x:v>
      </x:c>
      <x:c r="O283">
        <x:v>47</x:v>
      </x:c>
      <x:c r="P283">
        <x:v>75</x:v>
      </x:c>
      <x:c r="Q283">
        <x:v>52</x:v>
      </x:c>
      <x:c r="R283">
        <x:v>70</x:v>
      </x:c>
      <x:c r="S283">
        <x:v>73</x:v>
      </x:c>
      <x:c r="T283">
        <x:v>51</x:v>
      </x:c>
      <x:c r="U283">
        <x:v>60</x:v>
      </x:c>
    </x:row>
    <x:row r="284">
      <x:c r="A284" t="s">
        <x:v>642</x:v>
      </x:c>
      <x:c r="B284" t="s">
        <x:v>327</x:v>
      </x:c>
      <x:c r="C284" t="s">
        <x:v>331</x:v>
      </x:c>
      <x:c r="D284">
        <x:v>8478416</x:v>
      </x:c>
      <x:c r="E284">
        <x:v>79</x:v>
      </x:c>
      <x:c r="F284">
        <x:v>79</x:v>
      </x:c>
      <x:c r="G284">
        <x:v>74</x:v>
      </x:c>
      <x:c r="H284">
        <x:v>38</x:v>
      </x:c>
      <x:c r="I284">
        <x:v>91</x:v>
      </x:c>
      <x:c r="J284">
        <x:v>88</x:v>
      </x:c>
      <x:c r="K284">
        <x:v>85</x:v>
      </x:c>
      <x:c r="L284">
        <x:v>39</x:v>
      </x:c>
      <x:c r="M284">
        <x:v>30</x:v>
      </x:c>
      <x:c r="N284">
        <x:v>51</x:v>
      </x:c>
      <x:c r="O284">
        <x:v>46</x:v>
      </x:c>
      <x:c r="P284">
        <x:v>78</x:v>
      </x:c>
      <x:c r="Q284">
        <x:v>52</x:v>
      </x:c>
      <x:c r="R284">
        <x:v>78</x:v>
      </x:c>
      <x:c r="S284">
        <x:v>79</x:v>
      </x:c>
      <x:c r="T284">
        <x:v>51</x:v>
      </x:c>
      <x:c r="U284">
        <x:v>60</x:v>
      </x:c>
    </x:row>
    <x:row r="285">
      <x:c r="A285" t="s">
        <x:v>643</x:v>
      </x:c>
      <x:c r="B285" t="s">
        <x:v>427</x:v>
      </x:c>
      <x:c r="C285" t="s">
        <x:v>358</x:v>
      </x:c>
      <x:c r="D285">
        <x:v>8480220</x:v>
      </x:c>
      <x:c r="E285">
        <x:v>68</x:v>
      </x:c>
      <x:c r="F285">
        <x:v>51</x:v>
      </x:c>
      <x:c r="G285">
        <x:v>87</x:v>
      </x:c>
      <x:c r="H285">
        <x:v>56</x:v>
      </x:c>
      <x:c r="I285">
        <x:v>79</x:v>
      </x:c>
      <x:c r="J285">
        <x:v>86</x:v>
      </x:c>
      <x:c r="K285">
        <x:v>98</x:v>
      </x:c>
      <x:c r="L285">
        <x:v>57</x:v>
      </x:c>
      <x:c r="M285">
        <x:v>86</x:v>
      </x:c>
      <x:c r="N285">
        <x:v>57</x:v>
      </x:c>
      <x:c r="O285">
        <x:v>57</x:v>
      </x:c>
      <x:c r="P285">
        <x:v>70</x:v>
      </x:c>
      <x:c r="Q285">
        <x:v>52</x:v>
      </x:c>
      <x:c r="R285">
        <x:v>72</x:v>
      </x:c>
      <x:c r="S285">
        <x:v>68</x:v>
      </x:c>
      <x:c r="T285">
        <x:v>51</x:v>
      </x:c>
      <x:c r="U285">
        <x:v>59</x:v>
      </x:c>
    </x:row>
    <x:row r="286">
      <x:c r="A286" t="s">
        <x:v>644</x:v>
      </x:c>
      <x:c r="B286" t="s">
        <x:v>386</x:v>
      </x:c>
      <x:c r="C286" t="s">
        <x:v>329</x:v>
      </x:c>
      <x:c r="D286">
        <x:v>8476921</x:v>
      </x:c>
      <x:c r="E286">
        <x:v>69</x:v>
      </x:c>
      <x:c r="F286">
        <x:v>55</x:v>
      </x:c>
      <x:c r="G286">
        <x:v>87</x:v>
      </x:c>
      <x:c r="H286">
        <x:v>52</x:v>
      </x:c>
      <x:c r="I286">
        <x:v>82</x:v>
      </x:c>
      <x:c r="J286">
        <x:v>85</x:v>
      </x:c>
      <x:c r="K286">
        <x:v>94</x:v>
      </x:c>
      <x:c r="L286">
        <x:v>54</x:v>
      </x:c>
      <x:c r="M286">
        <x:v>72</x:v>
      </x:c>
      <x:c r="N286">
        <x:v>54</x:v>
      </x:c>
      <x:c r="O286">
        <x:v>55</x:v>
      </x:c>
      <x:c r="P286">
        <x:v>72</x:v>
      </x:c>
      <x:c r="Q286">
        <x:v>59</x:v>
      </x:c>
      <x:c r="R286">
        <x:v>86</x:v>
      </x:c>
      <x:c r="S286">
        <x:v>80</x:v>
      </x:c>
      <x:c r="T286">
        <x:v>51</x:v>
      </x:c>
      <x:c r="U286">
        <x:v>59</x:v>
      </x:c>
    </x:row>
    <x:row r="287">
      <x:c r="A287" t="s">
        <x:v>645</x:v>
      </x:c>
      <x:c r="B287" t="s">
        <x:v>576</x:v>
      </x:c>
      <x:c r="C287" t="s">
        <x:v>333</x:v>
      </x:c>
      <x:c r="D287">
        <x:v>8476456</x:v>
      </x:c>
      <x:c r="E287">
        <x:v>62</x:v>
      </x:c>
      <x:c r="F287">
        <x:v>52</x:v>
      </x:c>
      <x:c r="G287">
        <x:v>79</x:v>
      </x:c>
      <x:c r="H287">
        <x:v>56</x:v>
      </x:c>
      <x:c r="I287">
        <x:v>79</x:v>
      </x:c>
      <x:c r="J287">
        <x:v>89</x:v>
      </x:c>
      <x:c r="K287">
        <x:v>80</x:v>
      </x:c>
      <x:c r="L287">
        <x:v>58</x:v>
      </x:c>
      <x:c r="M287">
        <x:v>69</x:v>
      </x:c>
      <x:c r="N287">
        <x:v>57</x:v>
      </x:c>
      <x:c r="O287">
        <x:v>57</x:v>
      </x:c>
      <x:c r="P287">
        <x:v>68</x:v>
      </x:c>
      <x:c r="Q287">
        <x:v>75</x:v>
      </x:c>
      <x:c r="R287">
        <x:v>86</x:v>
      </x:c>
      <x:c r="S287">
        <x:v>81</x:v>
      </x:c>
      <x:c r="T287">
        <x:v>51</x:v>
      </x:c>
      <x:c r="U287">
        <x:v>59</x:v>
      </x:c>
    </x:row>
    <x:row r="288">
      <x:c r="A288" t="s">
        <x:v>646</x:v>
      </x:c>
      <x:c r="B288" t="s">
        <x:v>361</x:v>
      </x:c>
      <x:c r="C288" t="s">
        <x:v>329</x:v>
      </x:c>
      <x:c r="D288">
        <x:v>8482659</x:v>
      </x:c>
      <x:c r="E288">
        <x:v>65</x:v>
      </x:c>
      <x:c r="F288">
        <x:v>52</x:v>
      </x:c>
      <x:c r="G288">
        <x:v>93</x:v>
      </x:c>
      <x:c r="H288">
        <x:v>57</x:v>
      </x:c>
      <x:c r="I288">
        <x:v>80</x:v>
      </x:c>
      <x:c r="J288">
        <x:v>85</x:v>
      </x:c>
      <x:c r="K288">
        <x:v>98</x:v>
      </x:c>
      <x:c r="L288">
        <x:v>56</x:v>
      </x:c>
      <x:c r="M288">
        <x:v>65</x:v>
      </x:c>
      <x:c r="N288">
        <x:v>56</x:v>
      </x:c>
      <x:c r="O288">
        <x:v>59</x:v>
      </x:c>
      <x:c r="P288">
        <x:v>63</x:v>
      </x:c>
      <x:c r="Q288">
        <x:v>55</x:v>
      </x:c>
      <x:c r="R288">
        <x:v>69</x:v>
      </x:c>
      <x:c r="S288">
        <x:v>65</x:v>
      </x:c>
      <x:c r="T288">
        <x:v>51</x:v>
      </x:c>
      <x:c r="U288">
        <x:v>59</x:v>
      </x:c>
    </x:row>
    <x:row r="289">
      <x:c r="A289" t="s">
        <x:v>647</x:v>
      </x:c>
      <x:c r="B289" t="s">
        <x:v>366</x:v>
      </x:c>
      <x:c r="C289" t="s">
        <x:v>333</x:v>
      </x:c>
      <x:c r="D289">
        <x:v>8477015</x:v>
      </x:c>
      <x:c r="E289">
        <x:v>59</x:v>
      </x:c>
      <x:c r="F289">
        <x:v>31</x:v>
      </x:c>
      <x:c r="G289">
        <x:v>91</x:v>
      </x:c>
      <x:c r="H289">
        <x:v>56</x:v>
      </x:c>
      <x:c r="I289">
        <x:v>74</x:v>
      </x:c>
      <x:c r="J289">
        <x:v>87</x:v>
      </x:c>
      <x:c r="K289">
        <x:v>93</x:v>
      </x:c>
      <x:c r="L289">
        <x:v>56</x:v>
      </x:c>
      <x:c r="M289">
        <x:v>67</x:v>
      </x:c>
      <x:c r="N289">
        <x:v>56</x:v>
      </x:c>
      <x:c r="O289">
        <x:v>57</x:v>
      </x:c>
      <x:c r="P289">
        <x:v>71</x:v>
      </x:c>
      <x:c r="Q289">
        <x:v>52</x:v>
      </x:c>
      <x:c r="R289">
        <x:v>82</x:v>
      </x:c>
      <x:c r="S289">
        <x:v>76</x:v>
      </x:c>
      <x:c r="T289">
        <x:v>49</x:v>
      </x:c>
      <x:c r="U289">
        <x:v>59</x:v>
      </x:c>
    </x:row>
    <x:row r="290">
      <x:c r="A290" t="s">
        <x:v>648</x:v>
      </x:c>
      <x:c r="B290" t="s">
        <x:v>436</x:v>
      </x:c>
      <x:c r="C290" t="s">
        <x:v>323</x:v>
      </x:c>
      <x:c r="D290">
        <x:v>8483493</x:v>
      </x:c>
      <x:c r="E290">
        <x:v>61</x:v>
      </x:c>
      <x:c r="F290">
        <x:v>33</x:v>
      </x:c>
      <x:c r="G290">
        <x:v>86</x:v>
      </x:c>
      <x:c r="H290">
        <x:v>57</x:v>
      </x:c>
      <x:c r="I290">
        <x:v>76</x:v>
      </x:c>
      <x:c r="J290">
        <x:v>88</x:v>
      </x:c>
      <x:c r="K290">
        <x:v>86</x:v>
      </x:c>
      <x:c r="L290">
        <x:v>57</x:v>
      </x:c>
      <x:c r="M290">
        <x:v>86</x:v>
      </x:c>
      <x:c r="N290">
        <x:v>57</x:v>
      </x:c>
      <x:c r="O290">
        <x:v>57</x:v>
      </x:c>
      <x:c r="P290">
        <x:v>68</x:v>
      </x:c>
      <x:c r="Q290">
        <x:v>80</x:v>
      </x:c>
      <x:c r="R290">
        <x:v>67</x:v>
      </x:c>
      <x:c r="S290">
        <x:v>70</x:v>
      </x:c>
      <x:c r="T290">
        <x:v>54</x:v>
      </x:c>
      <x:c r="U290">
        <x:v>59</x:v>
      </x:c>
    </x:row>
    <x:row r="291">
      <x:c r="A291" t="s">
        <x:v>649</x:v>
      </x:c>
      <x:c r="B291" t="s">
        <x:v>368</x:v>
      </x:c>
      <x:c r="C291" t="s">
        <x:v>333</x:v>
      </x:c>
      <x:c r="D291">
        <x:v>8474102</x:v>
      </x:c>
      <x:c r="E291">
        <x:v>70</x:v>
      </x:c>
      <x:c r="F291">
        <x:v>36</x:v>
      </x:c>
      <x:c r="G291">
        <x:v>81</x:v>
      </x:c>
      <x:c r="H291">
        <x:v>54</x:v>
      </x:c>
      <x:c r="I291">
        <x:v>78</x:v>
      </x:c>
      <x:c r="J291">
        <x:v>84</x:v>
      </x:c>
      <x:c r="K291">
        <x:v>82</x:v>
      </x:c>
      <x:c r="L291">
        <x:v>55</x:v>
      </x:c>
      <x:c r="M291">
        <x:v>66</x:v>
      </x:c>
      <x:c r="N291">
        <x:v>54</x:v>
      </x:c>
      <x:c r="O291">
        <x:v>57</x:v>
      </x:c>
      <x:c r="P291">
        <x:v>62</x:v>
      </x:c>
      <x:c r="Q291">
        <x:v>67</x:v>
      </x:c>
      <x:c r="R291">
        <x:v>91</x:v>
      </x:c>
      <x:c r="S291">
        <x:v>79</x:v>
      </x:c>
      <x:c r="T291">
        <x:v>51</x:v>
      </x:c>
      <x:c r="U291">
        <x:v>59</x:v>
      </x:c>
    </x:row>
    <x:row r="292">
      <x:c r="A292" t="s">
        <x:v>650</x:v>
      </x:c>
      <x:c r="B292" t="s">
        <x:v>368</x:v>
      </x:c>
      <x:c r="C292" t="s">
        <x:v>331</x:v>
      </x:c>
      <x:c r="D292">
        <x:v>8482511</x:v>
      </x:c>
      <x:c r="E292">
        <x:v>67</x:v>
      </x:c>
      <x:c r="F292">
        <x:v>42</x:v>
      </x:c>
      <x:c r="G292">
        <x:v>91</x:v>
      </x:c>
      <x:c r="H292">
        <x:v>44</x:v>
      </x:c>
      <x:c r="I292">
        <x:v>87</x:v>
      </x:c>
      <x:c r="J292">
        <x:v>88</x:v>
      </x:c>
      <x:c r="K292">
        <x:v>93</x:v>
      </x:c>
      <x:c r="L292">
        <x:v>43</x:v>
      </x:c>
      <x:c r="M292">
        <x:v>30</x:v>
      </x:c>
      <x:c r="N292">
        <x:v>55</x:v>
      </x:c>
      <x:c r="O292">
        <x:v>48</x:v>
      </x:c>
      <x:c r="P292">
        <x:v>75</x:v>
      </x:c>
      <x:c r="Q292">
        <x:v>56</x:v>
      </x:c>
      <x:c r="R292">
        <x:v>70</x:v>
      </x:c>
      <x:c r="S292">
        <x:v>72</x:v>
      </x:c>
      <x:c r="T292">
        <x:v>51</x:v>
      </x:c>
      <x:c r="U292">
        <x:v>59</x:v>
      </x:c>
    </x:row>
    <x:row r="293">
      <x:c r="A293" t="s">
        <x:v>651</x:v>
      </x:c>
      <x:c r="B293" t="s">
        <x:v>334</x:v>
      </x:c>
      <x:c r="C293" t="s">
        <x:v>329</x:v>
      </x:c>
      <x:c r="D293">
        <x:v>8476882</x:v>
      </x:c>
      <x:c r="E293">
        <x:v>58</x:v>
      </x:c>
      <x:c r="F293">
        <x:v>31</x:v>
      </x:c>
      <x:c r="G293">
        <x:v>97</x:v>
      </x:c>
      <x:c r="H293">
        <x:v>58</x:v>
      </x:c>
      <x:c r="I293">
        <x:v>75</x:v>
      </x:c>
      <x:c r="J293">
        <x:v>88</x:v>
      </x:c>
      <x:c r="K293">
        <x:v>93</x:v>
      </x:c>
      <x:c r="L293">
        <x:v>57</x:v>
      </x:c>
      <x:c r="M293">
        <x:v>73</x:v>
      </x:c>
      <x:c r="N293">
        <x:v>57</x:v>
      </x:c>
      <x:c r="O293">
        <x:v>56</x:v>
      </x:c>
      <x:c r="P293">
        <x:v>70</x:v>
      </x:c>
      <x:c r="Q293">
        <x:v>78</x:v>
      </x:c>
      <x:c r="R293">
        <x:v>83</x:v>
      </x:c>
      <x:c r="S293">
        <x:v>75</x:v>
      </x:c>
      <x:c r="T293">
        <x:v>51</x:v>
      </x:c>
      <x:c r="U293">
        <x:v>59</x:v>
      </x:c>
    </x:row>
    <x:row r="294">
      <x:c r="A294" t="s">
        <x:v>652</x:v>
      </x:c>
      <x:c r="B294" t="s">
        <x:v>396</x:v>
      </x:c>
      <x:c r="C294" t="s">
        <x:v>339</x:v>
      </x:c>
      <x:c r="D294">
        <x:v>8482745</x:v>
      </x:c>
      <x:c r="E294">
        <x:v>68</x:v>
      </x:c>
      <x:c r="F294">
        <x:v>42</x:v>
      </x:c>
      <x:c r="G294">
        <x:v>80</x:v>
      </x:c>
      <x:c r="H294">
        <x:v>56</x:v>
      </x:c>
      <x:c r="I294">
        <x:v>85</x:v>
      </x:c>
      <x:c r="J294">
        <x:v>85</x:v>
      </x:c>
      <x:c r="K294">
        <x:v>92</x:v>
      </x:c>
      <x:c r="L294">
        <x:v>57</x:v>
      </x:c>
      <x:c r="M294">
        <x:v>87</x:v>
      </x:c>
      <x:c r="N294">
        <x:v>57</x:v>
      </x:c>
      <x:c r="O294">
        <x:v>58</x:v>
      </x:c>
      <x:c r="P294">
        <x:v>62</x:v>
      </x:c>
      <x:c r="Q294">
        <x:v>89</x:v>
      </x:c>
      <x:c r="R294">
        <x:v>69</x:v>
      </x:c>
      <x:c r="S294">
        <x:v>78</x:v>
      </x:c>
      <x:c r="T294">
        <x:v>51</x:v>
      </x:c>
      <x:c r="U294">
        <x:v>59</x:v>
      </x:c>
    </x:row>
    <x:row r="295">
      <x:c r="A295" t="s">
        <x:v>653</x:v>
      </x:c>
      <x:c r="B295" t="s">
        <x:v>396</x:v>
      </x:c>
      <x:c r="C295" t="s">
        <x:v>333</x:v>
      </x:c>
      <x:c r="D295">
        <x:v>8482089</x:v>
      </x:c>
      <x:c r="E295">
        <x:v>76</x:v>
      </x:c>
      <x:c r="F295">
        <x:v>63</x:v>
      </x:c>
      <x:c r="G295">
        <x:v>81</x:v>
      </x:c>
      <x:c r="H295">
        <x:v>57</x:v>
      </x:c>
      <x:c r="I295">
        <x:v>82</x:v>
      </x:c>
      <x:c r="J295">
        <x:v>85</x:v>
      </x:c>
      <x:c r="K295">
        <x:v>89</x:v>
      </x:c>
      <x:c r="L295">
        <x:v>56</x:v>
      </x:c>
      <x:c r="M295">
        <x:v>65</x:v>
      </x:c>
      <x:c r="N295">
        <x:v>56</x:v>
      </x:c>
      <x:c r="O295">
        <x:v>57</x:v>
      </x:c>
      <x:c r="P295">
        <x:v>63</x:v>
      </x:c>
      <x:c r="Q295">
        <x:v>83</x:v>
      </x:c>
      <x:c r="R295">
        <x:v>70</x:v>
      </x:c>
      <x:c r="S295">
        <x:v>67</x:v>
      </x:c>
      <x:c r="T295">
        <x:v>51</x:v>
      </x:c>
      <x:c r="U295">
        <x:v>59</x:v>
      </x:c>
    </x:row>
    <x:row r="296">
      <x:c r="A296" t="s">
        <x:v>654</x:v>
      </x:c>
      <x:c r="B296" t="s">
        <x:v>350</x:v>
      </x:c>
      <x:c r="C296" t="s">
        <x:v>331</x:v>
      </x:c>
      <x:c r="D296">
        <x:v>8477845</x:v>
      </x:c>
      <x:c r="E296">
        <x:v>65</x:v>
      </x:c>
      <x:c r="F296">
        <x:v>40</x:v>
      </x:c>
      <x:c r="G296">
        <x:v>91</x:v>
      </x:c>
      <x:c r="H296">
        <x:v>39</x:v>
      </x:c>
      <x:c r="I296">
        <x:v>83</x:v>
      </x:c>
      <x:c r="J296">
        <x:v>86</x:v>
      </x:c>
      <x:c r="K296">
        <x:v>91</x:v>
      </x:c>
      <x:c r="L296">
        <x:v>40</x:v>
      </x:c>
      <x:c r="M296">
        <x:v>30</x:v>
      </x:c>
      <x:c r="N296">
        <x:v>52</x:v>
      </x:c>
      <x:c r="O296">
        <x:v>46</x:v>
      </x:c>
      <x:c r="P296">
        <x:v>77</x:v>
      </x:c>
      <x:c r="Q296">
        <x:v>53</x:v>
      </x:c>
      <x:c r="R296">
        <x:v>86</x:v>
      </x:c>
      <x:c r="S296">
        <x:v>75</x:v>
      </x:c>
      <x:c r="T296">
        <x:v>51</x:v>
      </x:c>
      <x:c r="U296">
        <x:v>59</x:v>
      </x:c>
    </x:row>
    <x:row r="297">
      <x:c r="A297" t="s">
        <x:v>655</x:v>
      </x:c>
      <x:c r="B297" t="s">
        <x:v>350</x:v>
      </x:c>
      <x:c r="C297" t="s">
        <x:v>333</x:v>
      </x:c>
      <x:c r="D297">
        <x:v>8482475</x:v>
      </x:c>
      <x:c r="E297">
        <x:v>64</x:v>
      </x:c>
      <x:c r="F297">
        <x:v>35</x:v>
      </x:c>
      <x:c r="G297">
        <x:v>96</x:v>
      </x:c>
      <x:c r="H297">
        <x:v>57</x:v>
      </x:c>
      <x:c r="I297">
        <x:v>78</x:v>
      </x:c>
      <x:c r="J297">
        <x:v>84</x:v>
      </x:c>
      <x:c r="K297">
        <x:v>84</x:v>
      </x:c>
      <x:c r="L297">
        <x:v>58</x:v>
      </x:c>
      <x:c r="M297">
        <x:v>66</x:v>
      </x:c>
      <x:c r="N297">
        <x:v>55</x:v>
      </x:c>
      <x:c r="O297">
        <x:v>59</x:v>
      </x:c>
      <x:c r="P297">
        <x:v>63</x:v>
      </x:c>
      <x:c r="Q297">
        <x:v>80</x:v>
      </x:c>
      <x:c r="R297">
        <x:v>70</x:v>
      </x:c>
      <x:c r="S297">
        <x:v>67</x:v>
      </x:c>
      <x:c r="T297">
        <x:v>51</x:v>
      </x:c>
      <x:c r="U297">
        <x:v>59</x:v>
      </x:c>
    </x:row>
    <x:row r="298">
      <x:c r="A298" t="s">
        <x:v>656</x:v>
      </x:c>
      <x:c r="B298" t="s">
        <x:v>350</x:v>
      </x:c>
      <x:c r="C298" t="s">
        <x:v>331</x:v>
      </x:c>
      <x:c r="D298">
        <x:v>8479398</x:v>
      </x:c>
      <x:c r="E298">
        <x:v>68</x:v>
      </x:c>
      <x:c r="F298">
        <x:v>44</x:v>
      </x:c>
      <x:c r="G298">
        <x:v>90</x:v>
      </x:c>
      <x:c r="H298">
        <x:v>43</x:v>
      </x:c>
      <x:c r="I298">
        <x:v>75</x:v>
      </x:c>
      <x:c r="J298">
        <x:v>90</x:v>
      </x:c>
      <x:c r="K298">
        <x:v>84</x:v>
      </x:c>
      <x:c r="L298">
        <x:v>42</x:v>
      </x:c>
      <x:c r="M298">
        <x:v>30</x:v>
      </x:c>
      <x:c r="N298">
        <x:v>55</x:v>
      </x:c>
      <x:c r="O298">
        <x:v>46</x:v>
      </x:c>
      <x:c r="P298">
        <x:v>76</x:v>
      </x:c>
      <x:c r="Q298">
        <x:v>52</x:v>
      </x:c>
      <x:c r="R298">
        <x:v>76</x:v>
      </x:c>
      <x:c r="S298">
        <x:v>74</x:v>
      </x:c>
      <x:c r="T298">
        <x:v>51</x:v>
      </x:c>
      <x:c r="U298">
        <x:v>59</x:v>
      </x:c>
    </x:row>
    <x:row r="299">
      <x:c r="A299" t="s">
        <x:v>657</x:v>
      </x:c>
      <x:c r="B299" t="s">
        <x:v>340</x:v>
      </x:c>
      <x:c r="C299" t="s">
        <x:v>331</x:v>
      </x:c>
      <x:c r="D299">
        <x:v>8473507</x:v>
      </x:c>
      <x:c r="E299">
        <x:v>73</x:v>
      </x:c>
      <x:c r="F299">
        <x:v>40</x:v>
      </x:c>
      <x:c r="G299">
        <x:v>87</x:v>
      </x:c>
      <x:c r="H299">
        <x:v>39</x:v>
      </x:c>
      <x:c r="I299">
        <x:v>82</x:v>
      </x:c>
      <x:c r="J299">
        <x:v>86</x:v>
      </x:c>
      <x:c r="K299">
        <x:v>86</x:v>
      </x:c>
      <x:c r="L299">
        <x:v>38</x:v>
      </x:c>
      <x:c r="M299">
        <x:v>30</x:v>
      </x:c>
      <x:c r="N299">
        <x:v>51</x:v>
      </x:c>
      <x:c r="O299">
        <x:v>45</x:v>
      </x:c>
      <x:c r="P299">
        <x:v>75</x:v>
      </x:c>
      <x:c r="Q299">
        <x:v>52</x:v>
      </x:c>
      <x:c r="R299">
        <x:v>93</x:v>
      </x:c>
      <x:c r="S299">
        <x:v>79</x:v>
      </x:c>
      <x:c r="T299">
        <x:v>51</x:v>
      </x:c>
      <x:c r="U299">
        <x:v>59</x:v>
      </x:c>
    </x:row>
    <x:row r="300">
      <x:c r="A300" t="s">
        <x:v>658</x:v>
      </x:c>
      <x:c r="B300" t="s">
        <x:v>337</x:v>
      </x:c>
      <x:c r="C300" t="s">
        <x:v>331</x:v>
      </x:c>
      <x:c r="D300">
        <x:v>8475790</x:v>
      </x:c>
      <x:c r="E300">
        <x:v>75</x:v>
      </x:c>
      <x:c r="F300">
        <x:v>70</x:v>
      </x:c>
      <x:c r="G300">
        <x:v>86</x:v>
      </x:c>
      <x:c r="H300">
        <x:v>37</x:v>
      </x:c>
      <x:c r="I300">
        <x:v>89</x:v>
      </x:c>
      <x:c r="J300">
        <x:v>87</x:v>
      </x:c>
      <x:c r="K300">
        <x:v>66</x:v>
      </x:c>
      <x:c r="L300">
        <x:v>37</x:v>
      </x:c>
      <x:c r="M300">
        <x:v>30</x:v>
      </x:c>
      <x:c r="N300">
        <x:v>50</x:v>
      </x:c>
      <x:c r="O300">
        <x:v>46</x:v>
      </x:c>
      <x:c r="P300">
        <x:v>77</x:v>
      </x:c>
      <x:c r="Q300">
        <x:v>52</x:v>
      </x:c>
      <x:c r="R300">
        <x:v>87</x:v>
      </x:c>
      <x:c r="S300">
        <x:v>79</x:v>
      </x:c>
      <x:c r="T300">
        <x:v>46</x:v>
      </x:c>
      <x:c r="U300">
        <x:v>59</x:v>
      </x:c>
    </x:row>
    <x:row r="301">
      <x:c r="A301" t="s">
        <x:v>659</x:v>
      </x:c>
      <x:c r="B301" t="s">
        <x:v>368</x:v>
      </x:c>
      <x:c r="C301" t="s">
        <x:v>329</x:v>
      </x:c>
      <x:c r="D301">
        <x:v>8477429</x:v>
      </x:c>
      <x:c r="E301">
        <x:v>60</x:v>
      </x:c>
      <x:c r="F301">
        <x:v>37</x:v>
      </x:c>
      <x:c r="G301">
        <x:v>91</x:v>
      </x:c>
      <x:c r="H301">
        <x:v>55</x:v>
      </x:c>
      <x:c r="I301">
        <x:v>80</x:v>
      </x:c>
      <x:c r="J301">
        <x:v>86</x:v>
      </x:c>
      <x:c r="K301">
        <x:v>93</x:v>
      </x:c>
      <x:c r="L301">
        <x:v>56</x:v>
      </x:c>
      <x:c r="M301">
        <x:v>89</x:v>
      </x:c>
      <x:c r="N301">
        <x:v>59</x:v>
      </x:c>
      <x:c r="O301">
        <x:v>53</x:v>
      </x:c>
      <x:c r="P301">
        <x:v>70</x:v>
      </x:c>
      <x:c r="Q301">
        <x:v>52</x:v>
      </x:c>
      <x:c r="R301">
        <x:v>83</x:v>
      </x:c>
      <x:c r="S301">
        <x:v>77</x:v>
      </x:c>
      <x:c r="T301">
        <x:v>51</x:v>
      </x:c>
      <x:c r="U301">
        <x:v>59</x:v>
      </x:c>
    </x:row>
    <x:row r="302">
      <x:c r="A302" t="s">
        <x:v>660</x:v>
      </x:c>
      <x:c r="B302" t="s">
        <x:v>396</x:v>
      </x:c>
      <x:c r="C302" t="s">
        <x:v>331</x:v>
      </x:c>
      <x:c r="D302">
        <x:v>8481006</x:v>
      </x:c>
      <x:c r="E302">
        <x:v>77</x:v>
      </x:c>
      <x:c r="F302">
        <x:v>91</x:v>
      </x:c>
      <x:c r="G302">
        <x:v>77</x:v>
      </x:c>
      <x:c r="H302">
        <x:v>39</x:v>
      </x:c>
      <x:c r="I302">
        <x:v>79</x:v>
      </x:c>
      <x:c r="J302">
        <x:v>84</x:v>
      </x:c>
      <x:c r="K302">
        <x:v>87</x:v>
      </x:c>
      <x:c r="L302">
        <x:v>39</x:v>
      </x:c>
      <x:c r="M302">
        <x:v>30</x:v>
      </x:c>
      <x:c r="N302">
        <x:v>52</x:v>
      </x:c>
      <x:c r="O302">
        <x:v>46</x:v>
      </x:c>
      <x:c r="P302">
        <x:v>75</x:v>
      </x:c>
      <x:c r="Q302">
        <x:v>52</x:v>
      </x:c>
      <x:c r="R302">
        <x:v>70</x:v>
      </x:c>
      <x:c r="S302">
        <x:v>68</x:v>
      </x:c>
      <x:c r="T302">
        <x:v>51</x:v>
      </x:c>
      <x:c r="U302">
        <x:v>59</x:v>
      </x:c>
    </x:row>
    <x:row r="303">
      <x:c r="A303" t="s">
        <x:v>661</x:v>
      </x:c>
      <x:c r="B303" t="s">
        <x:v>379</x:v>
      </x:c>
      <x:c r="C303" t="s">
        <x:v>331</x:v>
      </x:c>
      <x:c r="D303">
        <x:v>8482730</x:v>
      </x:c>
      <x:c r="E303">
        <x:v>67</x:v>
      </x:c>
      <x:c r="F303">
        <x:v>51</x:v>
      </x:c>
      <x:c r="G303">
        <x:v>78</x:v>
      </x:c>
      <x:c r="H303">
        <x:v>47</x:v>
      </x:c>
      <x:c r="I303">
        <x:v>79</x:v>
      </x:c>
      <x:c r="J303">
        <x:v>90</x:v>
      </x:c>
      <x:c r="K303">
        <x:v>99</x:v>
      </x:c>
      <x:c r="L303">
        <x:v>46</x:v>
      </x:c>
      <x:c r="M303">
        <x:v>30</x:v>
      </x:c>
      <x:c r="N303">
        <x:v>59</x:v>
      </x:c>
      <x:c r="O303">
        <x:v>48</x:v>
      </x:c>
      <x:c r="P303">
        <x:v>76</x:v>
      </x:c>
      <x:c r="Q303">
        <x:v>70</x:v>
      </x:c>
      <x:c r="R303">
        <x:v>68</x:v>
      </x:c>
      <x:c r="S303">
        <x:v>72</x:v>
      </x:c>
      <x:c r="T303">
        <x:v>51</x:v>
      </x:c>
      <x:c r="U303">
        <x:v>59</x:v>
      </x:c>
    </x:row>
    <x:row r="304">
      <x:c r="A304" t="s">
        <x:v>662</x:v>
      </x:c>
      <x:c r="B304" t="s">
        <x:v>420</x:v>
      </x:c>
      <x:c r="C304" t="s">
        <x:v>333</x:v>
      </x:c>
      <x:c r="D304">
        <x:v>8478498</x:v>
      </x:c>
      <x:c r="E304">
        <x:v>65</x:v>
      </x:c>
      <x:c r="F304">
        <x:v>34</x:v>
      </x:c>
      <x:c r="G304">
        <x:v>95</x:v>
      </x:c>
      <x:c r="H304">
        <x:v>58</x:v>
      </x:c>
      <x:c r="I304">
        <x:v>77</x:v>
      </x:c>
      <x:c r="J304">
        <x:v>87</x:v>
      </x:c>
      <x:c r="K304">
        <x:v>98</x:v>
      </x:c>
      <x:c r="L304">
        <x:v>57</x:v>
      </x:c>
      <x:c r="M304">
        <x:v>69</x:v>
      </x:c>
      <x:c r="N304">
        <x:v>54</x:v>
      </x:c>
      <x:c r="O304">
        <x:v>60</x:v>
      </x:c>
      <x:c r="P304">
        <x:v>67</x:v>
      </x:c>
      <x:c r="Q304">
        <x:v>89</x:v>
      </x:c>
      <x:c r="R304">
        <x:v>79</x:v>
      </x:c>
      <x:c r="S304">
        <x:v>75</x:v>
      </x:c>
      <x:c r="T304">
        <x:v>34</x:v>
      </x:c>
      <x:c r="U304">
        <x:v>59</x:v>
      </x:c>
    </x:row>
    <x:row r="305">
      <x:c r="A305" t="s">
        <x:v>663</x:v>
      </x:c>
      <x:c r="B305" t="s">
        <x:v>372</x:v>
      </x:c>
      <x:c r="C305" t="s">
        <x:v>331</x:v>
      </x:c>
      <x:c r="D305">
        <x:v>8480950</x:v>
      </x:c>
      <x:c r="E305">
        <x:v>75</x:v>
      </x:c>
      <x:c r="F305">
        <x:v>73</x:v>
      </x:c>
      <x:c r="G305">
        <x:v>81</x:v>
      </x:c>
      <x:c r="H305">
        <x:v>38</x:v>
      </x:c>
      <x:c r="I305">
        <x:v>84</x:v>
      </x:c>
      <x:c r="J305">
        <x:v>86</x:v>
      </x:c>
      <x:c r="K305">
        <x:v>83</x:v>
      </x:c>
      <x:c r="L305">
        <x:v>37</x:v>
      </x:c>
      <x:c r="M305">
        <x:v>30</x:v>
      </x:c>
      <x:c r="N305">
        <x:v>51</x:v>
      </x:c>
      <x:c r="O305">
        <x:v>45</x:v>
      </x:c>
      <x:c r="P305">
        <x:v>77</x:v>
      </x:c>
      <x:c r="Q305">
        <x:v>52</x:v>
      </x:c>
      <x:c r="R305">
        <x:v>81</x:v>
      </x:c>
      <x:c r="S305">
        <x:v>72</x:v>
      </x:c>
      <x:c r="T305">
        <x:v>51</x:v>
      </x:c>
      <x:c r="U305">
        <x:v>59</x:v>
      </x:c>
    </x:row>
    <x:row r="306">
      <x:c r="A306" t="s">
        <x:v>664</x:v>
      </x:c>
      <x:c r="B306" t="s">
        <x:v>393</x:v>
      </x:c>
      <x:c r="C306" t="s">
        <x:v>331</x:v>
      </x:c>
      <x:c r="D306">
        <x:v>8483490</x:v>
      </x:c>
      <x:c r="E306">
        <x:v>70</x:v>
      </x:c>
      <x:c r="F306">
        <x:v>57</x:v>
      </x:c>
      <x:c r="G306">
        <x:v>94</x:v>
      </x:c>
      <x:c r="H306">
        <x:v>43</x:v>
      </x:c>
      <x:c r="I306">
        <x:v>83</x:v>
      </x:c>
      <x:c r="J306">
        <x:v>89</x:v>
      </x:c>
      <x:c r="K306">
        <x:v>92</x:v>
      </x:c>
      <x:c r="L306">
        <x:v>42</x:v>
      </x:c>
      <x:c r="M306">
        <x:v>30</x:v>
      </x:c>
      <x:c r="N306">
        <x:v>53</x:v>
      </x:c>
      <x:c r="O306">
        <x:v>48</x:v>
      </x:c>
      <x:c r="P306">
        <x:v>78</x:v>
      </x:c>
      <x:c r="Q306">
        <x:v>51</x:v>
      </x:c>
      <x:c r="R306">
        <x:v>68</x:v>
      </x:c>
      <x:c r="S306">
        <x:v>67</x:v>
      </x:c>
      <x:c r="T306">
        <x:v>54</x:v>
      </x:c>
      <x:c r="U306">
        <x:v>59</x:v>
      </x:c>
    </x:row>
    <x:row r="307">
      <x:c r="A307" t="s">
        <x:v>665</x:v>
      </x:c>
      <x:c r="B307" t="s">
        <x:v>481</x:v>
      </x:c>
      <x:c r="C307" t="s">
        <x:v>331</x:v>
      </x:c>
      <x:c r="D307">
        <x:v>8479324</x:v>
      </x:c>
      <x:c r="E307">
        <x:v>70</x:v>
      </x:c>
      <x:c r="F307">
        <x:v>65</x:v>
      </x:c>
      <x:c r="G307">
        <x:v>79</x:v>
      </x:c>
      <x:c r="H307">
        <x:v>38</x:v>
      </x:c>
      <x:c r="I307">
        <x:v>81</x:v>
      </x:c>
      <x:c r="J307">
        <x:v>89</x:v>
      </x:c>
      <x:c r="K307">
        <x:v>95</x:v>
      </x:c>
      <x:c r="L307">
        <x:v>38</x:v>
      </x:c>
      <x:c r="M307">
        <x:v>30</x:v>
      </x:c>
      <x:c r="N307">
        <x:v>50</x:v>
      </x:c>
      <x:c r="O307">
        <x:v>46</x:v>
      </x:c>
      <x:c r="P307">
        <x:v>80</x:v>
      </x:c>
      <x:c r="Q307">
        <x:v>52</x:v>
      </x:c>
      <x:c r="R307">
        <x:v>76</x:v>
      </x:c>
      <x:c r="S307">
        <x:v>77</x:v>
      </x:c>
      <x:c r="T307">
        <x:v>51</x:v>
      </x:c>
      <x:c r="U307">
        <x:v>59</x:v>
      </x:c>
    </x:row>
    <x:row r="308">
      <x:c r="A308" t="s">
        <x:v>666</x:v>
      </x:c>
      <x:c r="B308" t="s">
        <x:v>402</x:v>
      </x:c>
      <x:c r="C308" t="s">
        <x:v>339</x:v>
      </x:c>
      <x:c r="D308">
        <x:v>8479400</x:v>
      </x:c>
      <x:c r="E308">
        <x:v>64</x:v>
      </x:c>
      <x:c r="F308">
        <x:v>44</x:v>
      </x:c>
      <x:c r="G308">
        <x:v>78</x:v>
      </x:c>
      <x:c r="H308">
        <x:v>57</x:v>
      </x:c>
      <x:c r="I308">
        <x:v>87</x:v>
      </x:c>
      <x:c r="J308">
        <x:v>86</x:v>
      </x:c>
      <x:c r="K308">
        <x:v>65</x:v>
      </x:c>
      <x:c r="L308">
        <x:v>57</x:v>
      </x:c>
      <x:c r="M308">
        <x:v>87</x:v>
      </x:c>
      <x:c r="N308">
        <x:v>62</x:v>
      </x:c>
      <x:c r="O308">
        <x:v>56</x:v>
      </x:c>
      <x:c r="P308">
        <x:v>63</x:v>
      </x:c>
      <x:c r="Q308">
        <x:v>83</x:v>
      </x:c>
      <x:c r="R308">
        <x:v>77</x:v>
      </x:c>
      <x:c r="S308">
        <x:v>77</x:v>
      </x:c>
      <x:c r="T308">
        <x:v>51</x:v>
      </x:c>
      <x:c r="U308">
        <x:v>59</x:v>
      </x:c>
    </x:row>
    <x:row r="309">
      <x:c r="A309" t="s">
        <x:v>667</x:v>
      </x:c>
      <x:c r="B309" t="s">
        <x:v>327</x:v>
      </x:c>
      <x:c r="C309" t="s">
        <x:v>329</x:v>
      </x:c>
      <x:c r="D309">
        <x:v>8476826</x:v>
      </x:c>
      <x:c r="E309">
        <x:v>70</x:v>
      </x:c>
      <x:c r="F309">
        <x:v>66</x:v>
      </x:c>
      <x:c r="G309">
        <x:v>79</x:v>
      </x:c>
      <x:c r="H309">
        <x:v>54</x:v>
      </x:c>
      <x:c r="I309">
        <x:v>78</x:v>
      </x:c>
      <x:c r="J309">
        <x:v>86</x:v>
      </x:c>
      <x:c r="K309">
        <x:v>96</x:v>
      </x:c>
      <x:c r="L309">
        <x:v>54</x:v>
      </x:c>
      <x:c r="M309">
        <x:v>85</x:v>
      </x:c>
      <x:c r="N309">
        <x:v>55</x:v>
      </x:c>
      <x:c r="O309">
        <x:v>52</x:v>
      </x:c>
      <x:c r="P309">
        <x:v>70</x:v>
      </x:c>
      <x:c r="Q309">
        <x:v>58</x:v>
      </x:c>
      <x:c r="R309">
        <x:v>87</x:v>
      </x:c>
      <x:c r="S309">
        <x:v>80</x:v>
      </x:c>
      <x:c r="T309">
        <x:v>51</x:v>
      </x:c>
      <x:c r="U309">
        <x:v>59</x:v>
      </x:c>
    </x:row>
    <x:row r="310">
      <x:c r="A310" t="s">
        <x:v>668</x:v>
      </x:c>
      <x:c r="B310" t="s">
        <x:v>364</x:v>
      </x:c>
      <x:c r="C310" t="s">
        <x:v>331</x:v>
      </x:c>
      <x:c r="D310">
        <x:v>8479369</x:v>
      </x:c>
      <x:c r="E310">
        <x:v>76</x:v>
      </x:c>
      <x:c r="F310">
        <x:v>46</x:v>
      </x:c>
      <x:c r="G310">
        <x:v>91</x:v>
      </x:c>
      <x:c r="H310">
        <x:v>38</x:v>
      </x:c>
      <x:c r="I310">
        <x:v>86</x:v>
      </x:c>
      <x:c r="J310">
        <x:v>91</x:v>
      </x:c>
      <x:c r="K310">
        <x:v>96</x:v>
      </x:c>
      <x:c r="L310">
        <x:v>38</x:v>
      </x:c>
      <x:c r="M310">
        <x:v>30</x:v>
      </x:c>
      <x:c r="N310">
        <x:v>51</x:v>
      </x:c>
      <x:c r="O310">
        <x:v>47</x:v>
      </x:c>
      <x:c r="P310">
        <x:v>78</x:v>
      </x:c>
      <x:c r="Q310">
        <x:v>54</x:v>
      </x:c>
      <x:c r="R310">
        <x:v>75</x:v>
      </x:c>
      <x:c r="S310">
        <x:v>74</x:v>
      </x:c>
      <x:c r="T310">
        <x:v>51</x:v>
      </x:c>
      <x:c r="U310">
        <x:v>59</x:v>
      </x:c>
    </x:row>
    <x:row r="311">
      <x:c r="A311" t="s">
        <x:v>669</x:v>
      </x:c>
      <x:c r="B311" t="s">
        <x:v>361</x:v>
      </x:c>
      <x:c r="C311" t="s">
        <x:v>331</x:v>
      </x:c>
      <x:c r="D311">
        <x:v>8482803</x:v>
      </x:c>
      <x:c r="E311">
        <x:v>68</x:v>
      </x:c>
      <x:c r="F311">
        <x:v>32</x:v>
      </x:c>
      <x:c r="G311">
        <x:v>85</x:v>
      </x:c>
      <x:c r="H311">
        <x:v>43</x:v>
      </x:c>
      <x:c r="I311">
        <x:v>75</x:v>
      </x:c>
      <x:c r="J311">
        <x:v>88</x:v>
      </x:c>
      <x:c r="K311">
        <x:v>93</x:v>
      </x:c>
      <x:c r="L311">
        <x:v>42</x:v>
      </x:c>
      <x:c r="M311">
        <x:v>30</x:v>
      </x:c>
      <x:c r="N311">
        <x:v>53</x:v>
      </x:c>
      <x:c r="O311">
        <x:v>48</x:v>
      </x:c>
      <x:c r="P311">
        <x:v>75</x:v>
      </x:c>
      <x:c r="Q311">
        <x:v>51</x:v>
      </x:c>
      <x:c r="R311">
        <x:v>68</x:v>
      </x:c>
      <x:c r="S311">
        <x:v>72</x:v>
      </x:c>
      <x:c r="T311">
        <x:v>51</x:v>
      </x:c>
      <x:c r="U311">
        <x:v>59</x:v>
      </x:c>
    </x:row>
    <x:row r="312">
      <x:c r="A312" t="s">
        <x:v>670</x:v>
      </x:c>
      <x:c r="B312" t="s">
        <x:v>361</x:v>
      </x:c>
      <x:c r="C312" t="s">
        <x:v>333</x:v>
      </x:c>
      <x:c r="D312">
        <x:v>8482097</x:v>
      </x:c>
      <x:c r="E312">
        <x:v>62</x:v>
      </x:c>
      <x:c r="F312">
        <x:v>36</x:v>
      </x:c>
      <x:c r="G312">
        <x:v>93</x:v>
      </x:c>
      <x:c r="H312">
        <x:v>57</x:v>
      </x:c>
      <x:c r="I312">
        <x:v>78</x:v>
      </x:c>
      <x:c r="J312">
        <x:v>86</x:v>
      </x:c>
      <x:c r="K312">
        <x:v>96</x:v>
      </x:c>
      <x:c r="L312">
        <x:v>57</x:v>
      </x:c>
      <x:c r="M312">
        <x:v>64</x:v>
      </x:c>
      <x:c r="N312">
        <x:v>58</x:v>
      </x:c>
      <x:c r="O312">
        <x:v>58</x:v>
      </x:c>
      <x:c r="P312">
        <x:v>63</x:v>
      </x:c>
      <x:c r="Q312">
        <x:v>93</x:v>
      </x:c>
      <x:c r="R312">
        <x:v>70</x:v>
      </x:c>
      <x:c r="S312">
        <x:v>76</x:v>
      </x:c>
      <x:c r="T312">
        <x:v>51</x:v>
      </x:c>
      <x:c r="U312">
        <x:v>59</x:v>
      </x:c>
    </x:row>
    <x:row r="313">
      <x:c r="A313" t="s">
        <x:v>671</x:v>
      </x:c>
      <x:c r="B313" t="s">
        <x:v>324</x:v>
      </x:c>
      <x:c r="C313" t="s">
        <x:v>339</x:v>
      </x:c>
      <x:c r="D313">
        <x:v>8475768</x:v>
      </x:c>
      <x:c r="E313">
        <x:v>62</x:v>
      </x:c>
      <x:c r="F313">
        <x:v>35</x:v>
      </x:c>
      <x:c r="G313">
        <x:v>93</x:v>
      </x:c>
      <x:c r="H313">
        <x:v>57</x:v>
      </x:c>
      <x:c r="I313">
        <x:v>77</x:v>
      </x:c>
      <x:c r="J313">
        <x:v>86</x:v>
      </x:c>
      <x:c r="K313">
        <x:v>79</x:v>
      </x:c>
      <x:c r="L313">
        <x:v>56</x:v>
      </x:c>
      <x:c r="M313">
        <x:v>76</x:v>
      </x:c>
      <x:c r="N313">
        <x:v>56</x:v>
      </x:c>
      <x:c r="O313">
        <x:v>58</x:v>
      </x:c>
      <x:c r="P313">
        <x:v>66</x:v>
      </x:c>
      <x:c r="Q313">
        <x:v>53</x:v>
      </x:c>
      <x:c r="R313">
        <x:v>87</x:v>
      </x:c>
      <x:c r="S313">
        <x:v>75</x:v>
      </x:c>
      <x:c r="T313">
        <x:v>51</x:v>
      </x:c>
      <x:c r="U313">
        <x:v>59</x:v>
      </x:c>
    </x:row>
    <x:row r="314">
      <x:c r="A314" t="s">
        <x:v>672</x:v>
      </x:c>
      <x:c r="B314" t="s">
        <x:v>366</x:v>
      </x:c>
      <x:c r="C314" t="s">
        <x:v>331</x:v>
      </x:c>
      <x:c r="D314">
        <x:v>8477488</x:v>
      </x:c>
      <x:c r="E314">
        <x:v>67</x:v>
      </x:c>
      <x:c r="F314">
        <x:v>44</x:v>
      </x:c>
      <x:c r="G314">
        <x:v>92</x:v>
      </x:c>
      <x:c r="H314">
        <x:v>40</x:v>
      </x:c>
      <x:c r="I314">
        <x:v>86</x:v>
      </x:c>
      <x:c r="J314">
        <x:v>91</x:v>
      </x:c>
      <x:c r="K314">
        <x:v>74</x:v>
      </x:c>
      <x:c r="L314">
        <x:v>38</x:v>
      </x:c>
      <x:c r="M314">
        <x:v>30</x:v>
      </x:c>
      <x:c r="N314">
        <x:v>52</x:v>
      </x:c>
      <x:c r="O314">
        <x:v>46</x:v>
      </x:c>
      <x:c r="P314">
        <x:v>79</x:v>
      </x:c>
      <x:c r="Q314">
        <x:v>52</x:v>
      </x:c>
      <x:c r="R314">
        <x:v>83</x:v>
      </x:c>
      <x:c r="S314">
        <x:v>77</x:v>
      </x:c>
      <x:c r="T314">
        <x:v>51</x:v>
      </x:c>
      <x:c r="U314">
        <x:v>59</x:v>
      </x:c>
    </x:row>
    <x:row r="315">
      <x:c r="A315" t="s">
        <x:v>673</x:v>
      </x:c>
      <x:c r="B315" t="s">
        <x:v>356</x:v>
      </x:c>
      <x:c r="C315" t="s">
        <x:v>323</x:v>
      </x:c>
      <x:c r="D315">
        <x:v>8482110</x:v>
      </x:c>
      <x:c r="E315">
        <x:v>59</x:v>
      </x:c>
      <x:c r="F315">
        <x:v>48</x:v>
      </x:c>
      <x:c r="G315">
        <x:v>89</x:v>
      </x:c>
      <x:c r="H315">
        <x:v>56</x:v>
      </x:c>
      <x:c r="I315">
        <x:v>78</x:v>
      </x:c>
      <x:c r="J315">
        <x:v>89</x:v>
      </x:c>
      <x:c r="K315">
        <x:v>99</x:v>
      </x:c>
      <x:c r="L315">
        <x:v>56</x:v>
      </x:c>
      <x:c r="M315">
        <x:v>77</x:v>
      </x:c>
      <x:c r="N315">
        <x:v>54</x:v>
      </x:c>
      <x:c r="O315">
        <x:v>58</x:v>
      </x:c>
      <x:c r="P315">
        <x:v>71</x:v>
      </x:c>
      <x:c r="Q315">
        <x:v>54</x:v>
      </x:c>
      <x:c r="R315">
        <x:v>71</x:v>
      </x:c>
      <x:c r="S315">
        <x:v>78</x:v>
      </x:c>
      <x:c r="T315">
        <x:v>51</x:v>
      </x:c>
      <x:c r="U315">
        <x:v>59</x:v>
      </x:c>
    </x:row>
    <x:row r="316">
      <x:c r="A316" t="s">
        <x:v>674</x:v>
      </x:c>
      <x:c r="B316" t="s">
        <x:v>366</x:v>
      </x:c>
      <x:c r="C316" t="s">
        <x:v>331</x:v>
      </x:c>
      <x:c r="D316">
        <x:v>8478399</x:v>
      </x:c>
      <x:c r="E316">
        <x:v>74</x:v>
      </x:c>
      <x:c r="F316">
        <x:v>63</x:v>
      </x:c>
      <x:c r="G316">
        <x:v>83</x:v>
      </x:c>
      <x:c r="H316">
        <x:v>38</x:v>
      </x:c>
      <x:c r="I316">
        <x:v>87</x:v>
      </x:c>
      <x:c r="J316">
        <x:v>91</x:v>
      </x:c>
      <x:c r="K316">
        <x:v>97</x:v>
      </x:c>
      <x:c r="L316">
        <x:v>38</x:v>
      </x:c>
      <x:c r="M316">
        <x:v>30</x:v>
      </x:c>
      <x:c r="N316">
        <x:v>52</x:v>
      </x:c>
      <x:c r="O316">
        <x:v>45</x:v>
      </x:c>
      <x:c r="P316">
        <x:v>78</x:v>
      </x:c>
      <x:c r="Q316">
        <x:v>52</x:v>
      </x:c>
      <x:c r="R316">
        <x:v>77</x:v>
      </x:c>
      <x:c r="S316">
        <x:v>73</x:v>
      </x:c>
      <x:c r="T316">
        <x:v>51</x:v>
      </x:c>
      <x:c r="U316">
        <x:v>59</x:v>
      </x:c>
    </x:row>
    <x:row r="317">
      <x:c r="A317" t="s">
        <x:v>675</x:v>
      </x:c>
      <x:c r="B317" t="s">
        <x:v>337</x:v>
      </x:c>
      <x:c r="C317" t="s">
        <x:v>358</x:v>
      </x:c>
      <x:c r="D317">
        <x:v>8481716</x:v>
      </x:c>
      <x:c r="E317">
        <x:v>70</x:v>
      </x:c>
      <x:c r="F317">
        <x:v>77</x:v>
      </x:c>
      <x:c r="G317">
        <x:v>78</x:v>
      </x:c>
      <x:c r="H317">
        <x:v>57</x:v>
      </x:c>
      <x:c r="I317">
        <x:v>90</x:v>
      </x:c>
      <x:c r="J317">
        <x:v>84</x:v>
      </x:c>
      <x:c r="K317">
        <x:v>84</x:v>
      </x:c>
      <x:c r="L317">
        <x:v>56</x:v>
      </x:c>
      <x:c r="M317">
        <x:v>67</x:v>
      </x:c>
      <x:c r="N317">
        <x:v>54</x:v>
      </x:c>
      <x:c r="O317">
        <x:v>59</x:v>
      </x:c>
      <x:c r="P317">
        <x:v>62</x:v>
      </x:c>
      <x:c r="Q317">
        <x:v>52</x:v>
      </x:c>
      <x:c r="R317">
        <x:v>71</x:v>
      </x:c>
      <x:c r="S317">
        <x:v>75</x:v>
      </x:c>
      <x:c r="T317">
        <x:v>51</x:v>
      </x:c>
      <x:c r="U317">
        <x:v>59</x:v>
      </x:c>
    </x:row>
    <x:row r="318">
      <x:c r="A318" t="s">
        <x:v>676</x:v>
      </x:c>
      <x:c r="B318" t="s">
        <x:v>400</x:v>
      </x:c>
      <x:c r="C318" t="s">
        <x:v>331</x:v>
      </x:c>
      <x:c r="D318">
        <x:v>8478859</x:v>
      </x:c>
      <x:c r="E318">
        <x:v>78</x:v>
      </x:c>
      <x:c r="F318">
        <x:v>66</x:v>
      </x:c>
      <x:c r="G318">
        <x:v>78</x:v>
      </x:c>
      <x:c r="H318">
        <x:v>39</x:v>
      </x:c>
      <x:c r="I318">
        <x:v>88</x:v>
      </x:c>
      <x:c r="J318">
        <x:v>92</x:v>
      </x:c>
      <x:c r="K318">
        <x:v>91</x:v>
      </x:c>
      <x:c r="L318">
        <x:v>38</x:v>
      </x:c>
      <x:c r="M318">
        <x:v>30</x:v>
      </x:c>
      <x:c r="N318">
        <x:v>51</x:v>
      </x:c>
      <x:c r="O318">
        <x:v>46</x:v>
      </x:c>
      <x:c r="P318">
        <x:v>78</x:v>
      </x:c>
      <x:c r="Q318">
        <x:v>52</x:v>
      </x:c>
      <x:c r="R318">
        <x:v>78</x:v>
      </x:c>
      <x:c r="S318">
        <x:v>70</x:v>
      </x:c>
      <x:c r="T318">
        <x:v>51</x:v>
      </x:c>
      <x:c r="U318">
        <x:v>59</x:v>
      </x:c>
    </x:row>
    <x:row r="319">
      <x:c r="A319" t="s">
        <x:v>677</x:v>
      </x:c>
      <x:c r="B319" t="s">
        <x:v>379</x:v>
      </x:c>
      <x:c r="C319" t="s">
        <x:v>329</x:v>
      </x:c>
      <x:c r="D319">
        <x:v>8479675</x:v>
      </x:c>
      <x:c r="E319">
        <x:v>65</x:v>
      </x:c>
      <x:c r="F319">
        <x:v>34</x:v>
      </x:c>
      <x:c r="G319">
        <x:v>95</x:v>
      </x:c>
      <x:c r="H319">
        <x:v>55</x:v>
      </x:c>
      <x:c r="I319">
        <x:v>77</x:v>
      </x:c>
      <x:c r="J319">
        <x:v>87</x:v>
      </x:c>
      <x:c r="K319">
        <x:v>88</x:v>
      </x:c>
      <x:c r="L319">
        <x:v>55</x:v>
      </x:c>
      <x:c r="M319">
        <x:v>65</x:v>
      </x:c>
      <x:c r="N319">
        <x:v>55</x:v>
      </x:c>
      <x:c r="O319">
        <x:v>57</x:v>
      </x:c>
      <x:c r="P319">
        <x:v>69</x:v>
      </x:c>
      <x:c r="Q319">
        <x:v>83</x:v>
      </x:c>
      <x:c r="R319">
        <x:v>80</x:v>
      </x:c>
      <x:c r="S319">
        <x:v>75</x:v>
      </x:c>
      <x:c r="T319">
        <x:v>51</x:v>
      </x:c>
      <x:c r="U319">
        <x:v>59</x:v>
      </x:c>
    </x:row>
    <x:row r="320">
      <x:c r="A320" t="s">
        <x:v>678</x:v>
      </x:c>
      <x:c r="B320" t="s">
        <x:v>361</x:v>
      </x:c>
      <x:c r="C320" t="s">
        <x:v>333</x:v>
      </x:c>
      <x:c r="D320">
        <x:v>8484145</x:v>
      </x:c>
      <x:c r="E320">
        <x:v>61</x:v>
      </x:c>
      <x:c r="F320">
        <x:v>34</x:v>
      </x:c>
      <x:c r="G320">
        <x:v>79</x:v>
      </x:c>
      <x:c r="H320">
        <x:v>58</x:v>
      </x:c>
      <x:c r="I320">
        <x:v>76</x:v>
      </x:c>
      <x:c r="J320">
        <x:v>86</x:v>
      </x:c>
      <x:c r="K320">
        <x:v>85</x:v>
      </x:c>
      <x:c r="L320">
        <x:v>58</x:v>
      </x:c>
      <x:c r="M320">
        <x:v>68</x:v>
      </x:c>
      <x:c r="N320">
        <x:v>60</x:v>
      </x:c>
      <x:c r="O320">
        <x:v>56</x:v>
      </x:c>
      <x:c r="P320">
        <x:v>68</x:v>
      </x:c>
      <x:c r="Q320">
        <x:v>52</x:v>
      </x:c>
      <x:c r="R320">
        <x:v>66</x:v>
      </x:c>
      <x:c r="S320">
        <x:v>65</x:v>
      </x:c>
      <x:c r="T320">
        <x:v>51</x:v>
      </x:c>
      <x:c r="U320">
        <x:v>59</x:v>
      </x:c>
    </x:row>
    <x:row r="321">
      <x:c r="A321" t="s">
        <x:v>679</x:v>
      </x:c>
      <x:c r="B321" t="s">
        <x:v>481</x:v>
      </x:c>
      <x:c r="C321" t="s">
        <x:v>333</x:v>
      </x:c>
      <x:c r="D321">
        <x:v>8481554</x:v>
      </x:c>
      <x:c r="E321">
        <x:v>61</x:v>
      </x:c>
      <x:c r="F321">
        <x:v>41</x:v>
      </x:c>
      <x:c r="G321">
        <x:v>91</x:v>
      </x:c>
      <x:c r="H321">
        <x:v>55</x:v>
      </x:c>
      <x:c r="I321">
        <x:v>84</x:v>
      </x:c>
      <x:c r="J321">
        <x:v>84</x:v>
      </x:c>
      <x:c r="K321">
        <x:v>86</x:v>
      </x:c>
      <x:c r="L321">
        <x:v>57</x:v>
      </x:c>
      <x:c r="M321">
        <x:v>71</x:v>
      </x:c>
      <x:c r="N321">
        <x:v>59</x:v>
      </x:c>
      <x:c r="O321">
        <x:v>56</x:v>
      </x:c>
      <x:c r="P321">
        <x:v>61</x:v>
      </x:c>
      <x:c r="Q321">
        <x:v>79</x:v>
      </x:c>
      <x:c r="R321">
        <x:v>71</x:v>
      </x:c>
      <x:c r="S321">
        <x:v>75</x:v>
      </x:c>
      <x:c r="T321">
        <x:v>51</x:v>
      </x:c>
      <x:c r="U321">
        <x:v>59</x:v>
      </x:c>
    </x:row>
    <x:row r="322">
      <x:c r="A322" t="s">
        <x:v>680</x:v>
      </x:c>
      <x:c r="B322" t="s">
        <x:v>439</x:v>
      </x:c>
      <x:c r="C322" t="s">
        <x:v>333</x:v>
      </x:c>
      <x:c r="D322">
        <x:v>8480009</x:v>
      </x:c>
      <x:c r="E322">
        <x:v>80</x:v>
      </x:c>
      <x:c r="F322">
        <x:v>41</x:v>
      </x:c>
      <x:c r="G322">
        <x:v>87</x:v>
      </x:c>
      <x:c r="H322">
        <x:v>54</x:v>
      </x:c>
      <x:c r="I322">
        <x:v>79</x:v>
      </x:c>
      <x:c r="J322">
        <x:v>86</x:v>
      </x:c>
      <x:c r="K322">
        <x:v>95</x:v>
      </x:c>
      <x:c r="L322">
        <x:v>56</x:v>
      </x:c>
      <x:c r="M322">
        <x:v>62</x:v>
      </x:c>
      <x:c r="N322">
        <x:v>55</x:v>
      </x:c>
      <x:c r="O322">
        <x:v>55</x:v>
      </x:c>
      <x:c r="P322">
        <x:v>69</x:v>
      </x:c>
      <x:c r="Q322">
        <x:v>73</x:v>
      </x:c>
      <x:c r="R322">
        <x:v>73</x:v>
      </x:c>
      <x:c r="S322">
        <x:v>74</x:v>
      </x:c>
      <x:c r="T322">
        <x:v>51</x:v>
      </x:c>
      <x:c r="U322">
        <x:v>59</x:v>
      </x:c>
    </x:row>
    <x:row r="323">
      <x:c r="A323" t="s">
        <x:v>681</x:v>
      </x:c>
      <x:c r="B323" t="s">
        <x:v>370</x:v>
      </x:c>
      <x:c r="C323" t="s">
        <x:v>331</x:v>
      </x:c>
      <x:c r="D323">
        <x:v>8476891</x:v>
      </x:c>
      <x:c r="E323">
        <x:v>68</x:v>
      </x:c>
      <x:c r="F323">
        <x:v>32</x:v>
      </x:c>
      <x:c r="G323">
        <x:v>86</x:v>
      </x:c>
      <x:c r="H323">
        <x:v>41</x:v>
      </x:c>
      <x:c r="I323">
        <x:v>74</x:v>
      </x:c>
      <x:c r="J323">
        <x:v>88</x:v>
      </x:c>
      <x:c r="K323">
        <x:v>91</x:v>
      </x:c>
      <x:c r="L323">
        <x:v>40</x:v>
      </x:c>
      <x:c r="M323">
        <x:v>30</x:v>
      </x:c>
      <x:c r="N323">
        <x:v>53</x:v>
      </x:c>
      <x:c r="O323">
        <x:v>45</x:v>
      </x:c>
      <x:c r="P323">
        <x:v>74</x:v>
      </x:c>
      <x:c r="Q323">
        <x:v>52</x:v>
      </x:c>
      <x:c r="R323">
        <x:v>82</x:v>
      </x:c>
      <x:c r="S323">
        <x:v>73</x:v>
      </x:c>
      <x:c r="T323">
        <x:v>51</x:v>
      </x:c>
      <x:c r="U323">
        <x:v>59</x:v>
      </x:c>
    </x:row>
    <x:row r="324">
      <x:c r="A324" t="s">
        <x:v>682</x:v>
      </x:c>
      <x:c r="B324" t="s">
        <x:v>372</x:v>
      </x:c>
      <x:c r="C324" t="s">
        <x:v>326</x:v>
      </x:c>
      <x:c r="D324">
        <x:v>8482146</x:v>
      </x:c>
      <x:c r="E324">
        <x:v>58</x:v>
      </x:c>
      <x:c r="F324">
        <x:v>34</x:v>
      </x:c>
      <x:c r="G324">
        <x:v>87</x:v>
      </x:c>
      <x:c r="H324">
        <x:v>58</x:v>
      </x:c>
      <x:c r="I324">
        <x:v>77</x:v>
      </x:c>
      <x:c r="J324">
        <x:v>86</x:v>
      </x:c>
      <x:c r="K324">
        <x:v>96</x:v>
      </x:c>
      <x:c r="L324">
        <x:v>58</x:v>
      </x:c>
      <x:c r="M324">
        <x:v>62</x:v>
      </x:c>
      <x:c r="N324">
        <x:v>62</x:v>
      </x:c>
      <x:c r="O324">
        <x:v>54</x:v>
      </x:c>
      <x:c r="P324">
        <x:v>61</x:v>
      </x:c>
      <x:c r="Q324">
        <x:v>71</x:v>
      </x:c>
      <x:c r="R324">
        <x:v>70</x:v>
      </x:c>
      <x:c r="S324">
        <x:v>77</x:v>
      </x:c>
      <x:c r="T324">
        <x:v>51</x:v>
      </x:c>
      <x:c r="U324">
        <x:v>59</x:v>
      </x:c>
    </x:row>
    <x:row r="325">
      <x:c r="A325" t="s">
        <x:v>683</x:v>
      </x:c>
      <x:c r="B325" t="s">
        <x:v>348</x:v>
      </x:c>
      <x:c r="C325" t="s">
        <x:v>331</x:v>
      </x:c>
      <x:c r="D325">
        <x:v>8480049</x:v>
      </x:c>
      <x:c r="E325">
        <x:v>71</x:v>
      </x:c>
      <x:c r="F325">
        <x:v>45</x:v>
      </x:c>
      <x:c r="G325">
        <x:v>92</x:v>
      </x:c>
      <x:c r="H325">
        <x:v>39</x:v>
      </x:c>
      <x:c r="I325">
        <x:v>88</x:v>
      </x:c>
      <x:c r="J325">
        <x:v>93</x:v>
      </x:c>
      <x:c r="K325">
        <x:v>87</x:v>
      </x:c>
      <x:c r="L325">
        <x:v>38</x:v>
      </x:c>
      <x:c r="M325">
        <x:v>30</x:v>
      </x:c>
      <x:c r="N325">
        <x:v>53</x:v>
      </x:c>
      <x:c r="O325">
        <x:v>46</x:v>
      </x:c>
      <x:c r="P325">
        <x:v>80</x:v>
      </x:c>
      <x:c r="Q325">
        <x:v>52</x:v>
      </x:c>
      <x:c r="R325">
        <x:v>72</x:v>
      </x:c>
      <x:c r="S325">
        <x:v>74</x:v>
      </x:c>
      <x:c r="T325">
        <x:v>51</x:v>
      </x:c>
      <x:c r="U325">
        <x:v>59</x:v>
      </x:c>
    </x:row>
    <x:row r="326">
      <x:c r="A326" t="s">
        <x:v>684</x:v>
      </x:c>
      <x:c r="B326" t="s">
        <x:v>334</x:v>
      </x:c>
      <x:c r="C326" t="s">
        <x:v>339</x:v>
      </x:c>
      <x:c r="D326">
        <x:v>8479999</x:v>
      </x:c>
      <x:c r="E326">
        <x:v>59</x:v>
      </x:c>
      <x:c r="F326">
        <x:v>36</x:v>
      </x:c>
      <x:c r="G326">
        <x:v>93</x:v>
      </x:c>
      <x:c r="H326">
        <x:v>57</x:v>
      </x:c>
      <x:c r="I326">
        <x:v>78</x:v>
      </x:c>
      <x:c r="J326">
        <x:v>86</x:v>
      </x:c>
      <x:c r="K326">
        <x:v>90</x:v>
      </x:c>
      <x:c r="L326">
        <x:v>57</x:v>
      </x:c>
      <x:c r="M326">
        <x:v>82</x:v>
      </x:c>
      <x:c r="N326">
        <x:v>58</x:v>
      </x:c>
      <x:c r="O326">
        <x:v>57</x:v>
      </x:c>
      <x:c r="P326">
        <x:v>61</x:v>
      </x:c>
      <x:c r="Q326">
        <x:v>81</x:v>
      </x:c>
      <x:c r="R326">
        <x:v>75</x:v>
      </x:c>
      <x:c r="S326">
        <x:v>74</x:v>
      </x:c>
      <x:c r="T326">
        <x:v>51</x:v>
      </x:c>
      <x:c r="U326">
        <x:v>59</x:v>
      </x:c>
    </x:row>
    <x:row r="327">
      <x:c r="A327" t="s">
        <x:v>685</x:v>
      </x:c>
      <x:c r="B327" t="s">
        <x:v>370</x:v>
      </x:c>
      <x:c r="C327" t="s">
        <x:v>331</x:v>
      </x:c>
      <x:c r="D327">
        <x:v>8482095</x:v>
      </x:c>
      <x:c r="E327">
        <x:v>78</x:v>
      </x:c>
      <x:c r="F327">
        <x:v>75</x:v>
      </x:c>
      <x:c r="G327">
        <x:v>82</x:v>
      </x:c>
      <x:c r="H327">
        <x:v>39</x:v>
      </x:c>
      <x:c r="I327">
        <x:v>89</x:v>
      </x:c>
      <x:c r="J327">
        <x:v>87</x:v>
      </x:c>
      <x:c r="K327">
        <x:v>91</x:v>
      </x:c>
      <x:c r="L327">
        <x:v>39</x:v>
      </x:c>
      <x:c r="M327">
        <x:v>30</x:v>
      </x:c>
      <x:c r="N327">
        <x:v>52</x:v>
      </x:c>
      <x:c r="O327">
        <x:v>46</x:v>
      </x:c>
      <x:c r="P327">
        <x:v>76</x:v>
      </x:c>
      <x:c r="Q327">
        <x:v>52</x:v>
      </x:c>
      <x:c r="R327">
        <x:v>68</x:v>
      </x:c>
      <x:c r="S327">
        <x:v>65</x:v>
      </x:c>
      <x:c r="T327">
        <x:v>51</x:v>
      </x:c>
      <x:c r="U327">
        <x:v>59</x:v>
      </x:c>
    </x:row>
    <x:row r="328">
      <x:c r="A328" t="s">
        <x:v>686</x:v>
      </x:c>
      <x:c r="B328" t="s">
        <x:v>337</x:v>
      </x:c>
      <x:c r="C328" t="s">
        <x:v>326</x:v>
      </x:c>
      <x:c r="D328">
        <x:v>8479671</x:v>
      </x:c>
      <x:c r="E328">
        <x:v>88</x:v>
      </x:c>
      <x:c r="F328">
        <x:v>95</x:v>
      </x:c>
      <x:c r="G328">
        <x:v>76</x:v>
      </x:c>
      <x:c r="H328">
        <x:v>53</x:v>
      </x:c>
      <x:c r="I328">
        <x:v>87</x:v>
      </x:c>
      <x:c r="J328">
        <x:v>84</x:v>
      </x:c>
      <x:c r="K328">
        <x:v>83</x:v>
      </x:c>
      <x:c r="L328">
        <x:v>53</x:v>
      </x:c>
      <x:c r="M328">
        <x:v>64</x:v>
      </x:c>
      <x:c r="N328">
        <x:v>52</x:v>
      </x:c>
      <x:c r="O328">
        <x:v>57</x:v>
      </x:c>
      <x:c r="P328">
        <x:v>68</x:v>
      </x:c>
      <x:c r="Q328">
        <x:v>52</x:v>
      </x:c>
      <x:c r="R328">
        <x:v>75</x:v>
      </x:c>
      <x:c r="S328">
        <x:v>71</x:v>
      </x:c>
      <x:c r="T328">
        <x:v>51</x:v>
      </x:c>
      <x:c r="U328">
        <x:v>59</x:v>
      </x:c>
    </x:row>
    <x:row r="329">
      <x:c r="A329" t="s">
        <x:v>687</x:v>
      </x:c>
      <x:c r="B329" t="s">
        <x:v>337</x:v>
      </x:c>
      <x:c r="C329" t="s">
        <x:v>331</x:v>
      </x:c>
      <x:c r="D329">
        <x:v>8479371</x:v>
      </x:c>
      <x:c r="E329">
        <x:v>72</x:v>
      </x:c>
      <x:c r="F329">
        <x:v>48</x:v>
      </x:c>
      <x:c r="G329">
        <x:v>85</x:v>
      </x:c>
      <x:c r="H329">
        <x:v>40</x:v>
      </x:c>
      <x:c r="I329">
        <x:v>78</x:v>
      </x:c>
      <x:c r="J329">
        <x:v>88</x:v>
      </x:c>
      <x:c r="K329">
        <x:v>92</x:v>
      </x:c>
      <x:c r="L329">
        <x:v>39</x:v>
      </x:c>
      <x:c r="M329">
        <x:v>30</x:v>
      </x:c>
      <x:c r="N329">
        <x:v>50</x:v>
      </x:c>
      <x:c r="O329">
        <x:v>47</x:v>
      </x:c>
      <x:c r="P329">
        <x:v>77</x:v>
      </x:c>
      <x:c r="Q329">
        <x:v>52</x:v>
      </x:c>
      <x:c r="R329">
        <x:v>75</x:v>
      </x:c>
      <x:c r="S329">
        <x:v>75</x:v>
      </x:c>
      <x:c r="T329">
        <x:v>51</x:v>
      </x:c>
      <x:c r="U329">
        <x:v>59</x:v>
      </x:c>
    </x:row>
    <x:row r="330">
      <x:c r="A330" t="s">
        <x:v>688</x:v>
      </x:c>
      <x:c r="B330" t="s">
        <x:v>337</x:v>
      </x:c>
      <x:c r="C330" t="s">
        <x:v>331</x:v>
      </x:c>
      <x:c r="D330">
        <x:v>8477369</x:v>
      </x:c>
      <x:c r="E330">
        <x:v>76</x:v>
      </x:c>
      <x:c r="F330">
        <x:v>42</x:v>
      </x:c>
      <x:c r="G330">
        <x:v>82</x:v>
      </x:c>
      <x:c r="H330">
        <x:v>38</x:v>
      </x:c>
      <x:c r="I330">
        <x:v>86</x:v>
      </x:c>
      <x:c r="J330">
        <x:v>87</x:v>
      </x:c>
      <x:c r="K330">
        <x:v>95</x:v>
      </x:c>
      <x:c r="L330">
        <x:v>38</x:v>
      </x:c>
      <x:c r="M330">
        <x:v>30</x:v>
      </x:c>
      <x:c r="N330">
        <x:v>49</x:v>
      </x:c>
      <x:c r="O330">
        <x:v>47</x:v>
      </x:c>
      <x:c r="P330">
        <x:v>77</x:v>
      </x:c>
      <x:c r="Q330">
        <x:v>52</x:v>
      </x:c>
      <x:c r="R330">
        <x:v>82</x:v>
      </x:c>
      <x:c r="S330">
        <x:v>73</x:v>
      </x:c>
      <x:c r="T330">
        <x:v>51</x:v>
      </x:c>
      <x:c r="U330">
        <x:v>59</x:v>
      </x:c>
    </x:row>
    <x:row r="331">
      <x:c r="A331" t="s">
        <x:v>689</x:v>
      </x:c>
      <x:c r="B331" t="s">
        <x:v>402</x:v>
      </x:c>
      <x:c r="C331" t="s">
        <x:v>326</x:v>
      </x:c>
      <x:c r="D331">
        <x:v>8484186</x:v>
      </x:c>
      <x:c r="E331">
        <x:v>71</x:v>
      </x:c>
      <x:c r="F331">
        <x:v>59</x:v>
      </x:c>
      <x:c r="G331">
        <x:v>80</x:v>
      </x:c>
      <x:c r="H331">
        <x:v>57</x:v>
      </x:c>
      <x:c r="I331">
        <x:v>82</x:v>
      </x:c>
      <x:c r="J331">
        <x:v>83</x:v>
      </x:c>
      <x:c r="K331">
        <x:v>89</x:v>
      </x:c>
      <x:c r="L331">
        <x:v>57</x:v>
      </x:c>
      <x:c r="M331">
        <x:v>69</x:v>
      </x:c>
      <x:c r="N331">
        <x:v>56</x:v>
      </x:c>
      <x:c r="O331">
        <x:v>58</x:v>
      </x:c>
      <x:c r="P331">
        <x:v>60</x:v>
      </x:c>
      <x:c r="Q331">
        <x:v>77</x:v>
      </x:c>
      <x:c r="R331">
        <x:v>66</x:v>
      </x:c>
      <x:c r="S331">
        <x:v>69</x:v>
      </x:c>
      <x:c r="T331">
        <x:v>54</x:v>
      </x:c>
      <x:c r="U331">
        <x:v>59</x:v>
      </x:c>
    </x:row>
    <x:row r="332">
      <x:c r="A332" t="s">
        <x:v>690</x:v>
      </x:c>
      <x:c r="B332" t="s">
        <x:v>340</x:v>
      </x:c>
      <x:c r="C332" t="s">
        <x:v>326</x:v>
      </x:c>
      <x:c r="D332">
        <x:v>8484911</x:v>
      </x:c>
      <x:c r="E332">
        <x:v>66</x:v>
      </x:c>
      <x:c r="F332">
        <x:v>38</x:v>
      </x:c>
      <x:c r="G332">
        <x:v>94</x:v>
      </x:c>
      <x:c r="H332">
        <x:v>56</x:v>
      </x:c>
      <x:c r="I332">
        <x:v>80</x:v>
      </x:c>
      <x:c r="J332">
        <x:v>85</x:v>
      </x:c>
      <x:c r="K332">
        <x:v>94</x:v>
      </x:c>
      <x:c r="L332">
        <x:v>57</x:v>
      </x:c>
      <x:c r="M332">
        <x:v>66</x:v>
      </x:c>
      <x:c r="N332">
        <x:v>55</x:v>
      </x:c>
      <x:c r="O332">
        <x:v>57</x:v>
      </x:c>
      <x:c r="P332">
        <x:v>71</x:v>
      </x:c>
      <x:c r="Q332">
        <x:v>64</x:v>
      </x:c>
      <x:c r="R332">
        <x:v>67</x:v>
      </x:c>
      <x:c r="S332">
        <x:v>66</x:v>
      </x:c>
      <x:c r="T332">
        <x:v>51</x:v>
      </x:c>
      <x:c r="U332">
        <x:v>59</x:v>
      </x:c>
    </x:row>
    <x:row r="333">
      <x:c r="A333" t="s">
        <x:v>691</x:v>
      </x:c>
      <x:c r="B333" t="s">
        <x:v>481</x:v>
      </x:c>
      <x:c r="C333" t="s">
        <x:v>331</x:v>
      </x:c>
      <x:c r="D333">
        <x:v>8482858</x:v>
      </x:c>
      <x:c r="E333">
        <x:v>72</x:v>
      </x:c>
      <x:c r="F333">
        <x:v>33</x:v>
      </x:c>
      <x:c r="G333">
        <x:v>81</x:v>
      </x:c>
      <x:c r="H333">
        <x:v>42</x:v>
      </x:c>
      <x:c r="I333">
        <x:v>76</x:v>
      </x:c>
      <x:c r="J333">
        <x:v>89</x:v>
      </x:c>
      <x:c r="K333">
        <x:v>89</x:v>
      </x:c>
      <x:c r="L333">
        <x:v>41</x:v>
      </x:c>
      <x:c r="M333">
        <x:v>30</x:v>
      </x:c>
      <x:c r="N333">
        <x:v>52</x:v>
      </x:c>
      <x:c r="O333">
        <x:v>48</x:v>
      </x:c>
      <x:c r="P333">
        <x:v>76</x:v>
      </x:c>
      <x:c r="Q333">
        <x:v>52</x:v>
      </x:c>
      <x:c r="R333">
        <x:v>70</x:v>
      </x:c>
      <x:c r="S333">
        <x:v>68</x:v>
      </x:c>
      <x:c r="T333">
        <x:v>51</x:v>
      </x:c>
      <x:c r="U333">
        <x:v>59</x:v>
      </x:c>
    </x:row>
    <x:row r="334">
      <x:c r="A334" t="s">
        <x:v>692</x:v>
      </x:c>
      <x:c r="B334" t="s">
        <x:v>352</x:v>
      </x:c>
      <x:c r="C334" t="s">
        <x:v>323</x:v>
      </x:c>
      <x:c r="D334">
        <x:v>8478458</x:v>
      </x:c>
      <x:c r="E334">
        <x:v>61</x:v>
      </x:c>
      <x:c r="F334">
        <x:v>34</x:v>
      </x:c>
      <x:c r="G334">
        <x:v>93</x:v>
      </x:c>
      <x:c r="H334">
        <x:v>57</x:v>
      </x:c>
      <x:c r="I334">
        <x:v>77</x:v>
      </x:c>
      <x:c r="J334">
        <x:v>86</x:v>
      </x:c>
      <x:c r="K334">
        <x:v>89</x:v>
      </x:c>
      <x:c r="L334">
        <x:v>55</x:v>
      </x:c>
      <x:c r="M334">
        <x:v>83</x:v>
      </x:c>
      <x:c r="N334">
        <x:v>53</x:v>
      </x:c>
      <x:c r="O334">
        <x:v>59</x:v>
      </x:c>
      <x:c r="P334">
        <x:v>61</x:v>
      </x:c>
      <x:c r="Q334">
        <x:v>59</x:v>
      </x:c>
      <x:c r="R334">
        <x:v>77</x:v>
      </x:c>
      <x:c r="S334">
        <x:v>74</x:v>
      </x:c>
      <x:c r="T334">
        <x:v>51</x:v>
      </x:c>
      <x:c r="U334">
        <x:v>59</x:v>
      </x:c>
    </x:row>
    <x:row r="335">
      <x:c r="A335" t="s">
        <x:v>693</x:v>
      </x:c>
      <x:c r="B335" t="s">
        <x:v>393</x:v>
      </x:c>
      <x:c r="C335" t="s">
        <x:v>333</x:v>
      </x:c>
      <x:c r="D335">
        <x:v>8473986</x:v>
      </x:c>
      <x:c r="E335">
        <x:v>65</x:v>
      </x:c>
      <x:c r="F335">
        <x:v>41</x:v>
      </x:c>
      <x:c r="G335">
        <x:v>83</x:v>
      </x:c>
      <x:c r="H335">
        <x:v>52</x:v>
      </x:c>
      <x:c r="I335">
        <x:v>83</x:v>
      </x:c>
      <x:c r="J335">
        <x:v>87</x:v>
      </x:c>
      <x:c r="K335">
        <x:v>98</x:v>
      </x:c>
      <x:c r="L335">
        <x:v>54</x:v>
      </x:c>
      <x:c r="M335">
        <x:v>71</x:v>
      </x:c>
      <x:c r="N335">
        <x:v>53</x:v>
      </x:c>
      <x:c r="O335">
        <x:v>56</x:v>
      </x:c>
      <x:c r="P335">
        <x:v>71</x:v>
      </x:c>
      <x:c r="Q335">
        <x:v>68</x:v>
      </x:c>
      <x:c r="R335">
        <x:v>90</x:v>
      </x:c>
      <x:c r="S335">
        <x:v>83</x:v>
      </x:c>
      <x:c r="T335">
        <x:v>51</x:v>
      </x:c>
      <x:c r="U335">
        <x:v>59</x:v>
      </x:c>
    </x:row>
    <x:row r="336">
      <x:c r="A336" t="s">
        <x:v>694</x:v>
      </x:c>
      <x:c r="B336" t="s">
        <x:v>576</x:v>
      </x:c>
      <x:c r="C336" t="s">
        <x:v>333</x:v>
      </x:c>
      <x:c r="D336">
        <x:v>8482679</x:v>
      </x:c>
      <x:c r="E336">
        <x:v>59</x:v>
      </x:c>
      <x:c r="F336">
        <x:v>35</x:v>
      </x:c>
      <x:c r="G336">
        <x:v>87</x:v>
      </x:c>
      <x:c r="H336">
        <x:v>57</x:v>
      </x:c>
      <x:c r="I336">
        <x:v>75</x:v>
      </x:c>
      <x:c r="J336">
        <x:v>87</x:v>
      </x:c>
      <x:c r="K336">
        <x:v>97</x:v>
      </x:c>
      <x:c r="L336">
        <x:v>58</x:v>
      </x:c>
      <x:c r="M336">
        <x:v>76</x:v>
      </x:c>
      <x:c r="N336">
        <x:v>56</x:v>
      </x:c>
      <x:c r="O336">
        <x:v>57</x:v>
      </x:c>
      <x:c r="P336">
        <x:v>61</x:v>
      </x:c>
      <x:c r="Q336">
        <x:v>63</x:v>
      </x:c>
      <x:c r="R336">
        <x:v>69</x:v>
      </x:c>
      <x:c r="S336">
        <x:v>74</x:v>
      </x:c>
      <x:c r="T336">
        <x:v>51</x:v>
      </x:c>
      <x:c r="U336">
        <x:v>59</x:v>
      </x:c>
    </x:row>
    <x:row r="337">
      <x:c r="A337" t="s">
        <x:v>695</x:v>
      </x:c>
      <x:c r="B337" t="s">
        <x:v>439</x:v>
      </x:c>
      <x:c r="C337" t="s">
        <x:v>331</x:v>
      </x:c>
      <x:c r="D337">
        <x:v>8476429</x:v>
      </x:c>
      <x:c r="E337">
        <x:v>73</x:v>
      </x:c>
      <x:c r="F337">
        <x:v>78</x:v>
      </x:c>
      <x:c r="G337">
        <x:v>78</x:v>
      </x:c>
      <x:c r="H337">
        <x:v>38</x:v>
      </x:c>
      <x:c r="I337">
        <x:v>87</x:v>
      </x:c>
      <x:c r="J337">
        <x:v>86</x:v>
      </x:c>
      <x:c r="K337">
        <x:v>97</x:v>
      </x:c>
      <x:c r="L337">
        <x:v>38</x:v>
      </x:c>
      <x:c r="M337">
        <x:v>30</x:v>
      </x:c>
      <x:c r="N337">
        <x:v>51</x:v>
      </x:c>
      <x:c r="O337">
        <x:v>46</x:v>
      </x:c>
      <x:c r="P337">
        <x:v>78</x:v>
      </x:c>
      <x:c r="Q337">
        <x:v>52</x:v>
      </x:c>
      <x:c r="R337">
        <x:v>86</x:v>
      </x:c>
      <x:c r="S337">
        <x:v>78</x:v>
      </x:c>
      <x:c r="T337">
        <x:v>51</x:v>
      </x:c>
      <x:c r="U337">
        <x:v>59</x:v>
      </x:c>
    </x:row>
    <x:row r="338">
      <x:c r="A338" t="s">
        <x:v>696</x:v>
      </x:c>
      <x:c r="B338" t="s">
        <x:v>345</x:v>
      </x:c>
      <x:c r="C338" t="s">
        <x:v>331</x:v>
      </x:c>
      <x:c r="D338">
        <x:v>8476874</x:v>
      </x:c>
      <x:c r="E338">
        <x:v>68</x:v>
      </x:c>
      <x:c r="F338">
        <x:v>39</x:v>
      </x:c>
      <x:c r="G338">
        <x:v>96</x:v>
      </x:c>
      <x:c r="H338">
        <x:v>40</x:v>
      </x:c>
      <x:c r="I338">
        <x:v>81</x:v>
      </x:c>
      <x:c r="J338">
        <x:v>88</x:v>
      </x:c>
      <x:c r="K338">
        <x:v>79</x:v>
      </x:c>
      <x:c r="L338">
        <x:v>39</x:v>
      </x:c>
      <x:c r="M338">
        <x:v>30</x:v>
      </x:c>
      <x:c r="N338">
        <x:v>53</x:v>
      </x:c>
      <x:c r="O338">
        <x:v>47</x:v>
      </x:c>
      <x:c r="P338">
        <x:v>76</x:v>
      </x:c>
      <x:c r="Q338">
        <x:v>52</x:v>
      </x:c>
      <x:c r="R338">
        <x:v>82</x:v>
      </x:c>
      <x:c r="S338">
        <x:v>76</x:v>
      </x:c>
      <x:c r="T338">
        <x:v>51</x:v>
      </x:c>
      <x:c r="U338">
        <x:v>59</x:v>
      </x:c>
    </x:row>
    <x:row r="339">
      <x:c r="A339" t="s">
        <x:v>697</x:v>
      </x:c>
      <x:c r="B339" t="s">
        <x:v>439</x:v>
      </x:c>
      <x:c r="C339" t="s">
        <x:v>333</x:v>
      </x:c>
      <x:c r="D339">
        <x:v>8481601</x:v>
      </x:c>
      <x:c r="E339">
        <x:v>58</x:v>
      </x:c>
      <x:c r="F339">
        <x:v>40</x:v>
      </x:c>
      <x:c r="G339">
        <x:v>95</x:v>
      </x:c>
      <x:c r="H339">
        <x:v>56</x:v>
      </x:c>
      <x:c r="I339">
        <x:v>83</x:v>
      </x:c>
      <x:c r="J339">
        <x:v>87</x:v>
      </x:c>
      <x:c r="K339">
        <x:v>95</x:v>
      </x:c>
      <x:c r="L339">
        <x:v>56</x:v>
      </x:c>
      <x:c r="M339">
        <x:v>64</x:v>
      </x:c>
      <x:c r="N339">
        <x:v>55</x:v>
      </x:c>
      <x:c r="O339">
        <x:v>58</x:v>
      </x:c>
      <x:c r="P339">
        <x:v>72</x:v>
      </x:c>
      <x:c r="Q339">
        <x:v>82</x:v>
      </x:c>
      <x:c r="R339">
        <x:v>70</x:v>
      </x:c>
      <x:c r="S339">
        <x:v>74</x:v>
      </x:c>
      <x:c r="T339">
        <x:v>51</x:v>
      </x:c>
      <x:c r="U339">
        <x:v>59</x:v>
      </x:c>
    </x:row>
    <x:row r="340">
      <x:c r="A340" t="s">
        <x:v>698</x:v>
      </x:c>
      <x:c r="B340" t="s">
        <x:v>379</x:v>
      </x:c>
      <x:c r="C340" t="s">
        <x:v>331</x:v>
      </x:c>
      <x:c r="D340">
        <x:v>8475208</x:v>
      </x:c>
      <x:c r="E340">
        <x:v>69</x:v>
      </x:c>
      <x:c r="F340">
        <x:v>42</x:v>
      </x:c>
      <x:c r="G340">
        <x:v>92</x:v>
      </x:c>
      <x:c r="H340">
        <x:v>39</x:v>
      </x:c>
      <x:c r="I340">
        <x:v>87</x:v>
      </x:c>
      <x:c r="J340">
        <x:v>89</x:v>
      </x:c>
      <x:c r="K340">
        <x:v>99</x:v>
      </x:c>
      <x:c r="L340">
        <x:v>39</x:v>
      </x:c>
      <x:c r="M340">
        <x:v>30</x:v>
      </x:c>
      <x:c r="N340">
        <x:v>52</x:v>
      </x:c>
      <x:c r="O340">
        <x:v>46</x:v>
      </x:c>
      <x:c r="P340">
        <x:v>77</x:v>
      </x:c>
      <x:c r="Q340">
        <x:v>52</x:v>
      </x:c>
      <x:c r="R340">
        <x:v>87</x:v>
      </x:c>
      <x:c r="S340">
        <x:v>77</x:v>
      </x:c>
      <x:c r="T340">
        <x:v>51</x:v>
      </x:c>
      <x:c r="U340">
        <x:v>59</x:v>
      </x:c>
    </x:row>
    <x:row r="341">
      <x:c r="A341" t="s">
        <x:v>699</x:v>
      </x:c>
      <x:c r="B341" t="s">
        <x:v>386</x:v>
      </x:c>
      <x:c r="C341" t="s">
        <x:v>331</x:v>
      </x:c>
      <x:c r="D341">
        <x:v>8478970</x:v>
      </x:c>
      <x:c r="E341">
        <x:v>69</x:v>
      </x:c>
      <x:c r="F341">
        <x:v>47</x:v>
      </x:c>
      <x:c r="G341">
        <x:v>90</x:v>
      </x:c>
      <x:c r="H341">
        <x:v>40</x:v>
      </x:c>
      <x:c r="I341">
        <x:v>83</x:v>
      </x:c>
      <x:c r="J341">
        <x:v>91</x:v>
      </x:c>
      <x:c r="K341">
        <x:v>93</x:v>
      </x:c>
      <x:c r="L341">
        <x:v>40</x:v>
      </x:c>
      <x:c r="M341">
        <x:v>30</x:v>
      </x:c>
      <x:c r="N341">
        <x:v>52</x:v>
      </x:c>
      <x:c r="O341">
        <x:v>46</x:v>
      </x:c>
      <x:c r="P341">
        <x:v>78</x:v>
      </x:c>
      <x:c r="Q341">
        <x:v>52</x:v>
      </x:c>
      <x:c r="R341">
        <x:v>77</x:v>
      </x:c>
      <x:c r="S341">
        <x:v>72</x:v>
      </x:c>
      <x:c r="T341">
        <x:v>46</x:v>
      </x:c>
      <x:c r="U341">
        <x:v>59</x:v>
      </x:c>
    </x:row>
    <x:row r="342">
      <x:c r="A342" t="s">
        <x:v>700</x:v>
      </x:c>
      <x:c r="B342" t="s">
        <x:v>372</x:v>
      </x:c>
      <x:c r="C342" t="s">
        <x:v>331</x:v>
      </x:c>
      <x:c r="D342">
        <x:v>8479980</x:v>
      </x:c>
      <x:c r="E342">
        <x:v>75</x:v>
      </x:c>
      <x:c r="F342">
        <x:v>82</x:v>
      </x:c>
      <x:c r="G342">
        <x:v>82</x:v>
      </x:c>
      <x:c r="H342">
        <x:v>39</x:v>
      </x:c>
      <x:c r="I342">
        <x:v>93</x:v>
      </x:c>
      <x:c r="J342">
        <x:v>90</x:v>
      </x:c>
      <x:c r="K342">
        <x:v>85</x:v>
      </x:c>
      <x:c r="L342">
        <x:v>39</x:v>
      </x:c>
      <x:c r="M342">
        <x:v>30</x:v>
      </x:c>
      <x:c r="N342">
        <x:v>52</x:v>
      </x:c>
      <x:c r="O342">
        <x:v>46</x:v>
      </x:c>
      <x:c r="P342">
        <x:v>76</x:v>
      </x:c>
      <x:c r="Q342">
        <x:v>52</x:v>
      </x:c>
      <x:c r="R342">
        <x:v>74</x:v>
      </x:c>
      <x:c r="S342">
        <x:v>70</x:v>
      </x:c>
      <x:c r="T342">
        <x:v>51</x:v>
      </x:c>
      <x:c r="U342">
        <x:v>59</x:v>
      </x:c>
    </x:row>
    <x:row r="343">
      <x:c r="A343" t="s">
        <x:v>701</x:v>
      </x:c>
      <x:c r="B343" t="s">
        <x:v>402</x:v>
      </x:c>
      <x:c r="C343" t="s">
        <x:v>331</x:v>
      </x:c>
      <x:c r="D343">
        <x:v>8479576</x:v>
      </x:c>
      <x:c r="E343">
        <x:v>79</x:v>
      </x:c>
      <x:c r="F343">
        <x:v>54</x:v>
      </x:c>
      <x:c r="G343">
        <x:v>72</x:v>
      </x:c>
      <x:c r="H343">
        <x:v>36</x:v>
      </x:c>
      <x:c r="I343">
        <x:v>92</x:v>
      </x:c>
      <x:c r="J343">
        <x:v>88</x:v>
      </x:c>
      <x:c r="K343">
        <x:v>80</x:v>
      </x:c>
      <x:c r="L343">
        <x:v>36</x:v>
      </x:c>
      <x:c r="M343">
        <x:v>30</x:v>
      </x:c>
      <x:c r="N343">
        <x:v>50</x:v>
      </x:c>
      <x:c r="O343">
        <x:v>45</x:v>
      </x:c>
      <x:c r="P343">
        <x:v>79</x:v>
      </x:c>
      <x:c r="Q343">
        <x:v>52</x:v>
      </x:c>
      <x:c r="R343">
        <x:v>77</x:v>
      </x:c>
      <x:c r="S343">
        <x:v>72</x:v>
      </x:c>
      <x:c r="T343">
        <x:v>51</x:v>
      </x:c>
      <x:c r="U343">
        <x:v>59</x:v>
      </x:c>
    </x:row>
    <x:row r="344">
      <x:c r="A344" t="s">
        <x:v>702</x:v>
      </x:c>
      <x:c r="B344" t="s">
        <x:v>356</x:v>
      </x:c>
      <x:c r="C344" t="s">
        <x:v>331</x:v>
      </x:c>
      <x:c r="D344">
        <x:v>8482087</x:v>
      </x:c>
      <x:c r="E344">
        <x:v>80</x:v>
      </x:c>
      <x:c r="F344">
        <x:v>75</x:v>
      </x:c>
      <x:c r="G344">
        <x:v>75</x:v>
      </x:c>
      <x:c r="H344">
        <x:v>39</x:v>
      </x:c>
      <x:c r="I344">
        <x:v>84</x:v>
      </x:c>
      <x:c r="J344">
        <x:v>90</x:v>
      </x:c>
      <x:c r="K344">
        <x:v>74</x:v>
      </x:c>
      <x:c r="L344">
        <x:v>39</x:v>
      </x:c>
      <x:c r="M344">
        <x:v>30</x:v>
      </x:c>
      <x:c r="N344">
        <x:v>54</x:v>
      </x:c>
      <x:c r="O344">
        <x:v>47</x:v>
      </x:c>
      <x:c r="P344">
        <x:v>76</x:v>
      </x:c>
      <x:c r="Q344">
        <x:v>52</x:v>
      </x:c>
      <x:c r="R344">
        <x:v>70</x:v>
      </x:c>
      <x:c r="S344">
        <x:v>75</x:v>
      </x:c>
      <x:c r="T344">
        <x:v>51</x:v>
      </x:c>
      <x:c r="U344">
        <x:v>59</x:v>
      </x:c>
    </x:row>
    <x:row r="345">
      <x:c r="A345" t="s">
        <x:v>703</x:v>
      </x:c>
      <x:c r="B345" t="s">
        <x:v>383</x:v>
      </x:c>
      <x:c r="C345" t="s">
        <x:v>331</x:v>
      </x:c>
      <x:c r="D345">
        <x:v>8481525</x:v>
      </x:c>
      <x:c r="E345">
        <x:v>77</x:v>
      </x:c>
      <x:c r="F345">
        <x:v>43</x:v>
      </x:c>
      <x:c r="G345">
        <x:v>81</x:v>
      </x:c>
      <x:c r="H345">
        <x:v>39</x:v>
      </x:c>
      <x:c r="I345">
        <x:v>85</x:v>
      </x:c>
      <x:c r="J345">
        <x:v>88</x:v>
      </x:c>
      <x:c r="K345">
        <x:v>91</x:v>
      </x:c>
      <x:c r="L345">
        <x:v>40</x:v>
      </x:c>
      <x:c r="M345">
        <x:v>30</x:v>
      </x:c>
      <x:c r="N345">
        <x:v>51</x:v>
      </x:c>
      <x:c r="O345">
        <x:v>50</x:v>
      </x:c>
      <x:c r="P345">
        <x:v>75</x:v>
      </x:c>
      <x:c r="Q345">
        <x:v>55</x:v>
      </x:c>
      <x:c r="R345">
        <x:v>68</x:v>
      </x:c>
      <x:c r="S345">
        <x:v>68</x:v>
      </x:c>
      <x:c r="T345">
        <x:v>54</x:v>
      </x:c>
      <x:c r="U345">
        <x:v>59</x:v>
      </x:c>
    </x:row>
    <x:row r="346">
      <x:c r="A346" t="s">
        <x:v>704</x:v>
      </x:c>
      <x:c r="B346" t="s">
        <x:v>334</x:v>
      </x:c>
      <x:c r="C346" t="s">
        <x:v>333</x:v>
      </x:c>
      <x:c r="D346">
        <x:v>8482175</x:v>
      </x:c>
      <x:c r="E346">
        <x:v>58</x:v>
      </x:c>
      <x:c r="F346">
        <x:v>32</x:v>
      </x:c>
      <x:c r="G346">
        <x:v>88</x:v>
      </x:c>
      <x:c r="H346">
        <x:v>60</x:v>
      </x:c>
      <x:c r="I346">
        <x:v>75</x:v>
      </x:c>
      <x:c r="J346">
        <x:v>86</x:v>
      </x:c>
      <x:c r="K346">
        <x:v>98</x:v>
      </x:c>
      <x:c r="L346">
        <x:v>58</x:v>
      </x:c>
      <x:c r="M346">
        <x:v>67</x:v>
      </x:c>
      <x:c r="N346">
        <x:v>56</x:v>
      </x:c>
      <x:c r="O346">
        <x:v>61</x:v>
      </x:c>
      <x:c r="P346">
        <x:v>61</x:v>
      </x:c>
      <x:c r="Q346">
        <x:v>68</x:v>
      </x:c>
      <x:c r="R346">
        <x:v>70</x:v>
      </x:c>
      <x:c r="S346">
        <x:v>75</x:v>
      </x:c>
      <x:c r="T346">
        <x:v>51</x:v>
      </x:c>
      <x:c r="U346">
        <x:v>59</x:v>
      </x:c>
    </x:row>
    <x:row r="347">
      <x:c r="A347" t="s">
        <x:v>705</x:v>
      </x:c>
      <x:c r="B347" t="s">
        <x:v>396</x:v>
      </x:c>
      <x:c r="C347" t="s">
        <x:v>331</x:v>
      </x:c>
      <x:c r="D347">
        <x:v>8478443</x:v>
      </x:c>
      <x:c r="E347">
        <x:v>74</x:v>
      </x:c>
      <x:c r="F347">
        <x:v>71</x:v>
      </x:c>
      <x:c r="G347">
        <x:v>81</x:v>
      </x:c>
      <x:c r="H347">
        <x:v>39</x:v>
      </x:c>
      <x:c r="I347">
        <x:v>89</x:v>
      </x:c>
      <x:c r="J347">
        <x:v>91</x:v>
      </x:c>
      <x:c r="K347">
        <x:v>84</x:v>
      </x:c>
      <x:c r="L347">
        <x:v>38</x:v>
      </x:c>
      <x:c r="M347">
        <x:v>30</x:v>
      </x:c>
      <x:c r="N347">
        <x:v>51</x:v>
      </x:c>
      <x:c r="O347">
        <x:v>45</x:v>
      </x:c>
      <x:c r="P347">
        <x:v>79</x:v>
      </x:c>
      <x:c r="Q347">
        <x:v>52</x:v>
      </x:c>
      <x:c r="R347">
        <x:v>79</x:v>
      </x:c>
      <x:c r="S347">
        <x:v>78</x:v>
      </x:c>
      <x:c r="T347">
        <x:v>51</x:v>
      </x:c>
      <x:c r="U347">
        <x:v>59</x:v>
      </x:c>
    </x:row>
    <x:row r="348">
      <x:c r="A348" t="s">
        <x:v>706</x:v>
      </x:c>
      <x:c r="B348" t="s">
        <x:v>350</x:v>
      </x:c>
      <x:c r="C348" t="s">
        <x:v>333</x:v>
      </x:c>
      <x:c r="D348">
        <x:v>8479638</x:v>
      </x:c>
      <x:c r="E348">
        <x:v>70</x:v>
      </x:c>
      <x:c r="F348">
        <x:v>43</x:v>
      </x:c>
      <x:c r="G348">
        <x:v>93</x:v>
      </x:c>
      <x:c r="H348">
        <x:v>55</x:v>
      </x:c>
      <x:c r="I348">
        <x:v>90</x:v>
      </x:c>
      <x:c r="J348">
        <x:v>83</x:v>
      </x:c>
      <x:c r="K348">
        <x:v>85</x:v>
      </x:c>
      <x:c r="L348">
        <x:v>56</x:v>
      </x:c>
      <x:c r="M348">
        <x:v>62</x:v>
      </x:c>
      <x:c r="N348">
        <x:v>54</x:v>
      </x:c>
      <x:c r="O348">
        <x:v>58</x:v>
      </x:c>
      <x:c r="P348">
        <x:v>63</x:v>
      </x:c>
      <x:c r="Q348">
        <x:v>52</x:v>
      </x:c>
      <x:c r="R348">
        <x:v>70</x:v>
      </x:c>
      <x:c r="S348">
        <x:v>70</x:v>
      </x:c>
      <x:c r="T348">
        <x:v>51</x:v>
      </x:c>
      <x:c r="U348">
        <x:v>59</x:v>
      </x:c>
    </x:row>
    <x:row r="349">
      <x:c r="A349" t="s">
        <x:v>707</x:v>
      </x:c>
      <x:c r="B349" t="s">
        <x:v>436</x:v>
      </x:c>
      <x:c r="C349" t="s">
        <x:v>331</x:v>
      </x:c>
      <x:c r="D349">
        <x:v>8484783</x:v>
      </x:c>
      <x:c r="E349">
        <x:v>76</x:v>
      </x:c>
      <x:c r="F349">
        <x:v>38</x:v>
      </x:c>
      <x:c r="G349">
        <x:v>80</x:v>
      </x:c>
      <x:c r="H349">
        <x:v>44</x:v>
      </x:c>
      <x:c r="I349">
        <x:v>81</x:v>
      </x:c>
      <x:c r="J349">
        <x:v>90</x:v>
      </x:c>
      <x:c r="K349">
        <x:v>89</x:v>
      </x:c>
      <x:c r="L349">
        <x:v>42</x:v>
      </x:c>
      <x:c r="M349">
        <x:v>30</x:v>
      </x:c>
      <x:c r="N349">
        <x:v>56</x:v>
      </x:c>
      <x:c r="O349">
        <x:v>46</x:v>
      </x:c>
      <x:c r="P349">
        <x:v>74</x:v>
      </x:c>
      <x:c r="Q349">
        <x:v>52</x:v>
      </x:c>
      <x:c r="R349">
        <x:v>65</x:v>
      </x:c>
      <x:c r="S349">
        <x:v>65</x:v>
      </x:c>
      <x:c r="T349">
        <x:v>51</x:v>
      </x:c>
      <x:c r="U349">
        <x:v>59</x:v>
      </x:c>
    </x:row>
    <x:row r="350">
      <x:c r="A350" t="s">
        <x:v>708</x:v>
      </x:c>
      <x:c r="B350" t="s">
        <x:v>348</x:v>
      </x:c>
      <x:c r="C350" t="s">
        <x:v>339</x:v>
      </x:c>
      <x:c r="D350">
        <x:v>8476392</x:v>
      </x:c>
      <x:c r="E350">
        <x:v>76</x:v>
      </x:c>
      <x:c r="F350">
        <x:v>84</x:v>
      </x:c>
      <x:c r="G350">
        <x:v>93</x:v>
      </x:c>
      <x:c r="H350">
        <x:v>52</x:v>
      </x:c>
      <x:c r="I350">
        <x:v>88</x:v>
      </x:c>
      <x:c r="J350">
        <x:v>85</x:v>
      </x:c>
      <x:c r="K350">
        <x:v>89</x:v>
      </x:c>
      <x:c r="L350">
        <x:v>53</x:v>
      </x:c>
      <x:c r="M350">
        <x:v>90</x:v>
      </x:c>
      <x:c r="N350">
        <x:v>54</x:v>
      </x:c>
      <x:c r="O350">
        <x:v>52</x:v>
      </x:c>
      <x:c r="P350">
        <x:v>71</x:v>
      </x:c>
      <x:c r="Q350">
        <x:v>52</x:v>
      </x:c>
      <x:c r="R350">
        <x:v>86</x:v>
      </x:c>
      <x:c r="S350">
        <x:v>88</x:v>
      </x:c>
      <x:c r="T350">
        <x:v>51</x:v>
      </x:c>
      <x:c r="U350">
        <x:v>59</x:v>
      </x:c>
    </x:row>
    <x:row r="351">
      <x:c r="A351" t="s">
        <x:v>709</x:v>
      </x:c>
      <x:c r="B351" t="s">
        <x:v>379</x:v>
      </x:c>
      <x:c r="C351" t="s">
        <x:v>331</x:v>
      </x:c>
      <x:c r="D351">
        <x:v>8476879</x:v>
      </x:c>
      <x:c r="E351">
        <x:v>69</x:v>
      </x:c>
      <x:c r="F351">
        <x:v>42</x:v>
      </x:c>
      <x:c r="G351">
        <x:v>93</x:v>
      </x:c>
      <x:c r="H351">
        <x:v>38</x:v>
      </x:c>
      <x:c r="I351">
        <x:v>86</x:v>
      </x:c>
      <x:c r="J351">
        <x:v>89</x:v>
      </x:c>
      <x:c r="K351">
        <x:v>99</x:v>
      </x:c>
      <x:c r="L351">
        <x:v>37</x:v>
      </x:c>
      <x:c r="M351">
        <x:v>30</x:v>
      </x:c>
      <x:c r="N351">
        <x:v>50</x:v>
      </x:c>
      <x:c r="O351">
        <x:v>46</x:v>
      </x:c>
      <x:c r="P351">
        <x:v>79</x:v>
      </x:c>
      <x:c r="Q351">
        <x:v>52</x:v>
      </x:c>
      <x:c r="R351">
        <x:v>85</x:v>
      </x:c>
      <x:c r="S351">
        <x:v>78</x:v>
      </x:c>
      <x:c r="T351">
        <x:v>51</x:v>
      </x:c>
      <x:c r="U351">
        <x:v>59</x:v>
      </x:c>
    </x:row>
    <x:row r="352">
      <x:c r="A352" t="s">
        <x:v>710</x:v>
      </x:c>
      <x:c r="B352" t="s">
        <x:v>345</x:v>
      </x:c>
      <x:c r="C352" t="s">
        <x:v>323</x:v>
      </x:c>
      <x:c r="D352">
        <x:v>8477451</x:v>
      </x:c>
      <x:c r="E352">
        <x:v>65</x:v>
      </x:c>
      <x:c r="F352">
        <x:v>75</x:v>
      </x:c>
      <x:c r="G352">
        <x:v>80</x:v>
      </x:c>
      <x:c r="H352">
        <x:v>55</x:v>
      </x:c>
      <x:c r="I352">
        <x:v>83</x:v>
      </x:c>
      <x:c r="J352">
        <x:v>87</x:v>
      </x:c>
      <x:c r="K352">
        <x:v>92</x:v>
      </x:c>
      <x:c r="L352">
        <x:v>56</x:v>
      </x:c>
      <x:c r="M352">
        <x:v>86</x:v>
      </x:c>
      <x:c r="N352">
        <x:v>54</x:v>
      </x:c>
      <x:c r="O352">
        <x:v>59</x:v>
      </x:c>
      <x:c r="P352">
        <x:v>65</x:v>
      </x:c>
      <x:c r="Q352">
        <x:v>54</x:v>
      </x:c>
      <x:c r="R352">
        <x:v>83</x:v>
      </x:c>
      <x:c r="S352">
        <x:v>79</x:v>
      </x:c>
      <x:c r="T352">
        <x:v>51</x:v>
      </x:c>
      <x:c r="U352">
        <x:v>59</x:v>
      </x:c>
    </x:row>
    <x:row r="353">
      <x:c r="A353" t="s">
        <x:v>711</x:v>
      </x:c>
      <x:c r="B353" t="s">
        <x:v>386</x:v>
      </x:c>
      <x:c r="C353" t="s">
        <x:v>326</x:v>
      </x:c>
      <x:c r="D353">
        <x:v>8482809</x:v>
      </x:c>
      <x:c r="E353">
        <x:v>58</x:v>
      </x:c>
      <x:c r="F353">
        <x:v>34</x:v>
      </x:c>
      <x:c r="G353">
        <x:v>83</x:v>
      </x:c>
      <x:c r="H353">
        <x:v>58</x:v>
      </x:c>
      <x:c r="I353">
        <x:v>77</x:v>
      </x:c>
      <x:c r="J353">
        <x:v>86</x:v>
      </x:c>
      <x:c r="K353">
        <x:v>97</x:v>
      </x:c>
      <x:c r="L353">
        <x:v>57</x:v>
      </x:c>
      <x:c r="M353">
        <x:v>63</x:v>
      </x:c>
      <x:c r="N353">
        <x:v>57</x:v>
      </x:c>
      <x:c r="O353">
        <x:v>58</x:v>
      </x:c>
      <x:c r="P353">
        <x:v>63</x:v>
      </x:c>
      <x:c r="Q353">
        <x:v>80</x:v>
      </x:c>
      <x:c r="R353">
        <x:v>67</x:v>
      </x:c>
      <x:c r="S353">
        <x:v>71</x:v>
      </x:c>
      <x:c r="T353">
        <x:v>51</x:v>
      </x:c>
      <x:c r="U353">
        <x:v>59</x:v>
      </x:c>
    </x:row>
    <x:row r="354">
      <x:c r="A354" t="s">
        <x:v>712</x:v>
      </x:c>
      <x:c r="B354" t="s">
        <x:v>386</x:v>
      </x:c>
      <x:c r="C354" t="s">
        <x:v>331</x:v>
      </x:c>
      <x:c r="D354">
        <x:v>8483565</x:v>
      </x:c>
      <x:c r="E354">
        <x:v>72</x:v>
      </x:c>
      <x:c r="F354">
        <x:v>33</x:v>
      </x:c>
      <x:c r="G354">
        <x:v>93</x:v>
      </x:c>
      <x:c r="H354">
        <x:v>42</x:v>
      </x:c>
      <x:c r="I354">
        <x:v>75</x:v>
      </x:c>
      <x:c r="J354">
        <x:v>87</x:v>
      </x:c>
      <x:c r="K354">
        <x:v>84</x:v>
      </x:c>
      <x:c r="L354">
        <x:v>41</x:v>
      </x:c>
      <x:c r="M354">
        <x:v>30</x:v>
      </x:c>
      <x:c r="N354">
        <x:v>54</x:v>
      </x:c>
      <x:c r="O354">
        <x:v>49</x:v>
      </x:c>
      <x:c r="P354">
        <x:v>76</x:v>
      </x:c>
      <x:c r="Q354">
        <x:v>52</x:v>
      </x:c>
      <x:c r="R354">
        <x:v>74</x:v>
      </x:c>
      <x:c r="S354">
        <x:v>70</x:v>
      </x:c>
      <x:c r="T354">
        <x:v>51</x:v>
      </x:c>
      <x:c r="U354">
        <x:v>59</x:v>
      </x:c>
    </x:row>
    <x:row r="355">
      <x:c r="A355" t="s">
        <x:v>713</x:v>
      </x:c>
      <x:c r="B355" t="s">
        <x:v>393</x:v>
      </x:c>
      <x:c r="C355" t="s">
        <x:v>331</x:v>
      </x:c>
      <x:c r="D355">
        <x:v>8475324</x:v>
      </x:c>
      <x:c r="E355">
        <x:v>70</x:v>
      </x:c>
      <x:c r="F355">
        <x:v>37</x:v>
      </x:c>
      <x:c r="G355">
        <x:v>89</x:v>
      </x:c>
      <x:c r="H355">
        <x:v>40</x:v>
      </x:c>
      <x:c r="I355">
        <x:v>81</x:v>
      </x:c>
      <x:c r="J355">
        <x:v>89</x:v>
      </x:c>
      <x:c r="K355">
        <x:v>84</x:v>
      </x:c>
      <x:c r="L355">
        <x:v>39</x:v>
      </x:c>
      <x:c r="M355">
        <x:v>30</x:v>
      </x:c>
      <x:c r="N355">
        <x:v>53</x:v>
      </x:c>
      <x:c r="O355">
        <x:v>47</x:v>
      </x:c>
      <x:c r="P355">
        <x:v>75</x:v>
      </x:c>
      <x:c r="Q355">
        <x:v>52</x:v>
      </x:c>
      <x:c r="R355">
        <x:v>87</x:v>
      </x:c>
      <x:c r="S355">
        <x:v>74</x:v>
      </x:c>
      <x:c r="T355">
        <x:v>51</x:v>
      </x:c>
      <x:c r="U355">
        <x:v>59</x:v>
      </x:c>
    </x:row>
    <x:row r="356">
      <x:c r="A356" t="s">
        <x:v>714</x:v>
      </x:c>
      <x:c r="B356" t="s">
        <x:v>320</x:v>
      </x:c>
      <x:c r="C356" t="s">
        <x:v>331</x:v>
      </x:c>
      <x:c r="D356">
        <x:v>8479442</x:v>
      </x:c>
      <x:c r="E356">
        <x:v>68</x:v>
      </x:c>
      <x:c r="F356">
        <x:v>35</x:v>
      </x:c>
      <x:c r="G356">
        <x:v>88</x:v>
      </x:c>
      <x:c r="H356">
        <x:v>39</x:v>
      </x:c>
      <x:c r="I356">
        <x:v>76</x:v>
      </x:c>
      <x:c r="J356">
        <x:v>90</x:v>
      </x:c>
      <x:c r="K356">
        <x:v>86</x:v>
      </x:c>
      <x:c r="L356">
        <x:v>38</x:v>
      </x:c>
      <x:c r="M356">
        <x:v>30</x:v>
      </x:c>
      <x:c r="N356">
        <x:v>51</x:v>
      </x:c>
      <x:c r="O356">
        <x:v>46</x:v>
      </x:c>
      <x:c r="P356">
        <x:v>76</x:v>
      </x:c>
      <x:c r="Q356">
        <x:v>52</x:v>
      </x:c>
      <x:c r="R356">
        <x:v>82</x:v>
      </x:c>
      <x:c r="S356">
        <x:v>72</x:v>
      </x:c>
      <x:c r="T356">
        <x:v>51</x:v>
      </x:c>
      <x:c r="U356">
        <x:v>59</x:v>
      </x:c>
    </x:row>
    <x:row r="357">
      <x:c r="A357" t="s">
        <x:v>715</x:v>
      </x:c>
      <x:c r="B357" t="s">
        <x:v>481</x:v>
      </x:c>
      <x:c r="C357" t="s">
        <x:v>319</x:v>
      </x:c>
      <x:c r="D357">
        <x:v>8482665</x:v>
      </x:c>
      <x:c r="E357">
        <x:v>59</x:v>
      </x:c>
      <x:c r="F357">
        <x:v>47</x:v>
      </x:c>
      <x:c r="G357">
        <x:v>93</x:v>
      </x:c>
      <x:c r="H357">
        <x:v>58</x:v>
      </x:c>
      <x:c r="I357">
        <x:v>78</x:v>
      </x:c>
      <x:c r="J357">
        <x:v>91</x:v>
      </x:c>
      <x:c r="K357">
        <x:v>99</x:v>
      </x:c>
      <x:c r="L357">
        <x:v>57</x:v>
      </x:c>
      <x:c r="M357">
        <x:v>88</x:v>
      </x:c>
      <x:c r="N357">
        <x:v>57</x:v>
      </x:c>
      <x:c r="O357">
        <x:v>58</x:v>
      </x:c>
      <x:c r="P357">
        <x:v>68</x:v>
      </x:c>
      <x:c r="Q357">
        <x:v>78</x:v>
      </x:c>
      <x:c r="R357">
        <x:v>70</x:v>
      </x:c>
      <x:c r="S357">
        <x:v>74</x:v>
      </x:c>
      <x:c r="T357">
        <x:v>51</x:v>
      </x:c>
      <x:c r="U357">
        <x:v>59</x:v>
      </x:c>
    </x:row>
    <x:row r="358">
      <x:c r="A358" t="s">
        <x:v>716</x:v>
      </x:c>
      <x:c r="B358" t="s">
        <x:v>379</x:v>
      </x:c>
      <x:c r="C358" t="s">
        <x:v>339</x:v>
      </x:c>
      <x:c r="D358">
        <x:v>8476872</x:v>
      </x:c>
      <x:c r="E358">
        <x:v>74</x:v>
      </x:c>
      <x:c r="F358">
        <x:v>66</x:v>
      </x:c>
      <x:c r="G358">
        <x:v>85</x:v>
      </x:c>
      <x:c r="H358">
        <x:v>53</x:v>
      </x:c>
      <x:c r="I358">
        <x:v>84</x:v>
      </x:c>
      <x:c r="J358">
        <x:v>84</x:v>
      </x:c>
      <x:c r="K358">
        <x:v>86</x:v>
      </x:c>
      <x:c r="L358">
        <x:v>54</x:v>
      </x:c>
      <x:c r="M358">
        <x:v>89</x:v>
      </x:c>
      <x:c r="N358">
        <x:v>51</x:v>
      </x:c>
      <x:c r="O358">
        <x:v>56</x:v>
      </x:c>
      <x:c r="P358">
        <x:v>70</x:v>
      </x:c>
      <x:c r="Q358">
        <x:v>53</x:v>
      </x:c>
      <x:c r="R358">
        <x:v>83</x:v>
      </x:c>
      <x:c r="S358">
        <x:v>80</x:v>
      </x:c>
      <x:c r="T358">
        <x:v>51</x:v>
      </x:c>
      <x:c r="U358">
        <x:v>59</x:v>
      </x:c>
    </x:row>
    <x:row r="359">
      <x:c r="A359" t="s">
        <x:v>717</x:v>
      </x:c>
      <x:c r="B359" t="s">
        <x:v>379</x:v>
      </x:c>
      <x:c r="C359" t="s">
        <x:v>339</x:v>
      </x:c>
      <x:c r="D359">
        <x:v>8475287</x:v>
      </x:c>
      <x:c r="E359">
        <x:v>70</x:v>
      </x:c>
      <x:c r="F359">
        <x:v>37</x:v>
      </x:c>
      <x:c r="G359">
        <x:v>78</x:v>
      </x:c>
      <x:c r="H359">
        <x:v>55</x:v>
      </x:c>
      <x:c r="I359">
        <x:v>77</x:v>
      </x:c>
      <x:c r="J359">
        <x:v>87</x:v>
      </x:c>
      <x:c r="K359">
        <x:v>96</x:v>
      </x:c>
      <x:c r="L359">
        <x:v>54</x:v>
      </x:c>
      <x:c r="M359">
        <x:v>88</x:v>
      </x:c>
      <x:c r="N359">
        <x:v>55</x:v>
      </x:c>
      <x:c r="O359">
        <x:v>55</x:v>
      </x:c>
      <x:c r="P359">
        <x:v>71</x:v>
      </x:c>
      <x:c r="Q359">
        <x:v>68</x:v>
      </x:c>
      <x:c r="R359">
        <x:v>87</x:v>
      </x:c>
      <x:c r="S359">
        <x:v>76</x:v>
      </x:c>
      <x:c r="T359">
        <x:v>51</x:v>
      </x:c>
      <x:c r="U359">
        <x:v>59</x:v>
      </x:c>
    </x:row>
    <x:row r="360">
      <x:c r="A360" t="s">
        <x:v>718</x:v>
      </x:c>
      <x:c r="B360" t="s">
        <x:v>576</x:v>
      </x:c>
      <x:c r="C360" t="s">
        <x:v>331</x:v>
      </x:c>
      <x:c r="D360">
        <x:v>8483495</x:v>
      </x:c>
      <x:c r="E360">
        <x:v>67</x:v>
      </x:c>
      <x:c r="F360">
        <x:v>33</x:v>
      </x:c>
      <x:c r="G360">
        <x:v>85</x:v>
      </x:c>
      <x:c r="H360">
        <x:v>44</x:v>
      </x:c>
      <x:c r="I360">
        <x:v>76</x:v>
      </x:c>
      <x:c r="J360">
        <x:v>90</x:v>
      </x:c>
      <x:c r="K360">
        <x:v>88</x:v>
      </x:c>
      <x:c r="L360">
        <x:v>42</x:v>
      </x:c>
      <x:c r="M360">
        <x:v>30</x:v>
      </x:c>
      <x:c r="N360">
        <x:v>53</x:v>
      </x:c>
      <x:c r="O360">
        <x:v>50</x:v>
      </x:c>
      <x:c r="P360">
        <x:v>75</x:v>
      </x:c>
      <x:c r="Q360">
        <x:v>73</x:v>
      </x:c>
      <x:c r="R360">
        <x:v>66</x:v>
      </x:c>
      <x:c r="S360">
        <x:v>66</x:v>
      </x:c>
      <x:c r="T360">
        <x:v>54</x:v>
      </x:c>
      <x:c r="U360">
        <x:v>59</x:v>
      </x:c>
    </x:row>
    <x:row r="361">
      <x:c r="A361" t="s">
        <x:v>719</x:v>
      </x:c>
      <x:c r="B361" t="s">
        <x:v>427</x:v>
      </x:c>
      <x:c r="C361" t="s">
        <x:v>331</x:v>
      </x:c>
      <x:c r="D361">
        <x:v>8482142</x:v>
      </x:c>
      <x:c r="E361">
        <x:v>66</x:v>
      </x:c>
      <x:c r="F361">
        <x:v>44</x:v>
      </x:c>
      <x:c r="G361">
        <x:v>88</x:v>
      </x:c>
      <x:c r="H361">
        <x:v>43</x:v>
      </x:c>
      <x:c r="I361">
        <x:v>75</x:v>
      </x:c>
      <x:c r="J361">
        <x:v>92</x:v>
      </x:c>
      <x:c r="K361">
        <x:v>95</x:v>
      </x:c>
      <x:c r="L361">
        <x:v>44</x:v>
      </x:c>
      <x:c r="M361">
        <x:v>30</x:v>
      </x:c>
      <x:c r="N361">
        <x:v>55</x:v>
      </x:c>
      <x:c r="O361">
        <x:v>48</x:v>
      </x:c>
      <x:c r="P361">
        <x:v>74</x:v>
      </x:c>
      <x:c r="Q361">
        <x:v>52</x:v>
      </x:c>
      <x:c r="R361">
        <x:v>70</x:v>
      </x:c>
      <x:c r="S361">
        <x:v>71</x:v>
      </x:c>
      <x:c r="T361">
        <x:v>51</x:v>
      </x:c>
      <x:c r="U361">
        <x:v>59</x:v>
      </x:c>
    </x:row>
    <x:row r="362">
      <x:c r="A362" t="s">
        <x:v>720</x:v>
      </x:c>
      <x:c r="B362" t="s">
        <x:v>327</x:v>
      </x:c>
      <x:c r="C362" t="s">
        <x:v>333</x:v>
      </x:c>
      <x:c r="D362">
        <x:v>8481624</x:v>
      </x:c>
      <x:c r="E362">
        <x:v>60</x:v>
      </x:c>
      <x:c r="F362">
        <x:v>37</x:v>
      </x:c>
      <x:c r="G362">
        <x:v>93</x:v>
      </x:c>
      <x:c r="H362">
        <x:v>55</x:v>
      </x:c>
      <x:c r="I362">
        <x:v>80</x:v>
      </x:c>
      <x:c r="J362">
        <x:v>88</x:v>
      </x:c>
      <x:c r="K362">
        <x:v>94</x:v>
      </x:c>
      <x:c r="L362">
        <x:v>56</x:v>
      </x:c>
      <x:c r="M362">
        <x:v>64</x:v>
      </x:c>
      <x:c r="N362">
        <x:v>53</x:v>
      </x:c>
      <x:c r="O362">
        <x:v>57</x:v>
      </x:c>
      <x:c r="P362">
        <x:v>71</x:v>
      </x:c>
      <x:c r="Q362">
        <x:v>54</x:v>
      </x:c>
      <x:c r="R362">
        <x:v>80</x:v>
      </x:c>
      <x:c r="S362">
        <x:v>75</x:v>
      </x:c>
      <x:c r="T362">
        <x:v>51</x:v>
      </x:c>
      <x:c r="U362">
        <x:v>59</x:v>
      </x:c>
    </x:row>
    <x:row r="363">
      <x:c r="A363" t="s">
        <x:v>721</x:v>
      </x:c>
      <x:c r="B363" t="s">
        <x:v>427</x:v>
      </x:c>
      <x:c r="C363" t="s">
        <x:v>331</x:v>
      </x:c>
      <x:c r="D363">
        <x:v>8481122</x:v>
      </x:c>
      <x:c r="E363">
        <x:v>85</x:v>
      </x:c>
      <x:c r="F363">
        <x:v>72</x:v>
      </x:c>
      <x:c r="G363">
        <x:v>82</x:v>
      </x:c>
      <x:c r="H363">
        <x:v>37</x:v>
      </x:c>
      <x:c r="I363">
        <x:v>88</x:v>
      </x:c>
      <x:c r="J363">
        <x:v>88</x:v>
      </x:c>
      <x:c r="K363">
        <x:v>93</x:v>
      </x:c>
      <x:c r="L363">
        <x:v>36</x:v>
      </x:c>
      <x:c r="M363">
        <x:v>30</x:v>
      </x:c>
      <x:c r="N363">
        <x:v>49</x:v>
      </x:c>
      <x:c r="O363">
        <x:v>45</x:v>
      </x:c>
      <x:c r="P363">
        <x:v>78</x:v>
      </x:c>
      <x:c r="Q363">
        <x:v>52</x:v>
      </x:c>
      <x:c r="R363">
        <x:v>74</x:v>
      </x:c>
      <x:c r="S363">
        <x:v>70</x:v>
      </x:c>
      <x:c r="T363">
        <x:v>51</x:v>
      </x:c>
      <x:c r="U363">
        <x:v>59</x:v>
      </x:c>
    </x:row>
    <x:row r="364">
      <x:c r="A364" t="s">
        <x:v>722</x:v>
      </x:c>
      <x:c r="B364" t="s">
        <x:v>340</x:v>
      </x:c>
      <x:c r="C364" t="s">
        <x:v>331</x:v>
      </x:c>
      <x:c r="D364">
        <x:v>8475181</x:v>
      </x:c>
      <x:c r="E364">
        <x:v>66</x:v>
      </x:c>
      <x:c r="F364">
        <x:v>35</x:v>
      </x:c>
      <x:c r="G364">
        <x:v>93</x:v>
      </x:c>
      <x:c r="H364">
        <x:v>40</x:v>
      </x:c>
      <x:c r="I364">
        <x:v>78</x:v>
      </x:c>
      <x:c r="J364">
        <x:v>87</x:v>
      </x:c>
      <x:c r="K364">
        <x:v>67</x:v>
      </x:c>
      <x:c r="L364">
        <x:v>38</x:v>
      </x:c>
      <x:c r="M364">
        <x:v>30</x:v>
      </x:c>
      <x:c r="N364">
        <x:v>52</x:v>
      </x:c>
      <x:c r="O364">
        <x:v>46</x:v>
      </x:c>
      <x:c r="P364">
        <x:v>75</x:v>
      </x:c>
      <x:c r="Q364">
        <x:v>57</x:v>
      </x:c>
      <x:c r="R364">
        <x:v>88</x:v>
      </x:c>
      <x:c r="S364">
        <x:v>76</x:v>
      </x:c>
      <x:c r="T364">
        <x:v>51</x:v>
      </x:c>
      <x:c r="U364">
        <x:v>58</x:v>
      </x:c>
    </x:row>
    <x:row r="365">
      <x:c r="A365" t="s">
        <x:v>723</x:v>
      </x:c>
      <x:c r="B365" t="s">
        <x:v>576</x:v>
      </x:c>
      <x:c r="C365" t="s">
        <x:v>339</x:v>
      </x:c>
      <x:c r="D365">
        <x:v>8480028</x:v>
      </x:c>
      <x:c r="E365">
        <x:v>63</x:v>
      </x:c>
      <x:c r="F365">
        <x:v>33</x:v>
      </x:c>
      <x:c r="G365">
        <x:v>89</x:v>
      </x:c>
      <x:c r="H365">
        <x:v>56</x:v>
      </x:c>
      <x:c r="I365">
        <x:v>76</x:v>
      </x:c>
      <x:c r="J365">
        <x:v>86</x:v>
      </x:c>
      <x:c r="K365">
        <x:v>98</x:v>
      </x:c>
      <x:c r="L365">
        <x:v>56</x:v>
      </x:c>
      <x:c r="M365">
        <x:v>90</x:v>
      </x:c>
      <x:c r="N365">
        <x:v>55</x:v>
      </x:c>
      <x:c r="O365">
        <x:v>58</x:v>
      </x:c>
      <x:c r="P365">
        <x:v>62</x:v>
      </x:c>
      <x:c r="Q365">
        <x:v>86</x:v>
      </x:c>
      <x:c r="R365">
        <x:v>73</x:v>
      </x:c>
      <x:c r="S365">
        <x:v>73</x:v>
      </x:c>
      <x:c r="T365">
        <x:v>51</x:v>
      </x:c>
      <x:c r="U365">
        <x:v>58</x:v>
      </x:c>
    </x:row>
    <x:row r="366">
      <x:c r="A366" t="s">
        <x:v>724</x:v>
      </x:c>
      <x:c r="C366" t="s">
        <x:v>331</x:v>
      </x:c>
      <x:c r="D366">
        <x:v>8481219</x:v>
      </x:c>
      <x:c r="E366">
        <x:v>76</x:v>
      </x:c>
      <x:c r="F366">
        <x:v>75</x:v>
      </x:c>
      <x:c r="G366">
        <x:v>84</x:v>
      </x:c>
      <x:c r="H366">
        <x:v>38</x:v>
      </x:c>
      <x:c r="I366">
        <x:v>81</x:v>
      </x:c>
      <x:c r="J366">
        <x:v>88</x:v>
      </x:c>
      <x:c r="K366">
        <x:v>88</x:v>
      </x:c>
      <x:c r="L366">
        <x:v>37</x:v>
      </x:c>
      <x:c r="M366">
        <x:v>30</x:v>
      </x:c>
      <x:c r="N366">
        <x:v>51</x:v>
      </x:c>
      <x:c r="O366">
        <x:v>47</x:v>
      </x:c>
      <x:c r="P366">
        <x:v>76</x:v>
      </x:c>
      <x:c r="Q366">
        <x:v>55</x:v>
      </x:c>
      <x:c r="R366">
        <x:v>69</x:v>
      </x:c>
      <x:c r="S366">
        <x:v>69</x:v>
      </x:c>
      <x:c r="T366">
        <x:v>54</x:v>
      </x:c>
      <x:c r="U366">
        <x:v>58</x:v>
      </x:c>
    </x:row>
    <x:row r="367">
      <x:c r="A367" t="s">
        <x:v>725</x:v>
      </x:c>
      <x:c r="B367" t="s">
        <x:v>364</x:v>
      </x:c>
      <x:c r="C367" t="s">
        <x:v>339</x:v>
      </x:c>
      <x:c r="D367">
        <x:v>8480855</x:v>
      </x:c>
      <x:c r="E367">
        <x:v>89</x:v>
      </x:c>
      <x:c r="F367">
        <x:v>88</x:v>
      </x:c>
      <x:c r="G367">
        <x:v>78</x:v>
      </x:c>
      <x:c r="H367">
        <x:v>53</x:v>
      </x:c>
      <x:c r="I367">
        <x:v>86</x:v>
      </x:c>
      <x:c r="J367">
        <x:v>84</x:v>
      </x:c>
      <x:c r="K367">
        <x:v>93</x:v>
      </x:c>
      <x:c r="L367">
        <x:v>53</x:v>
      </x:c>
      <x:c r="M367">
        <x:v>86</x:v>
      </x:c>
      <x:c r="N367">
        <x:v>53</x:v>
      </x:c>
      <x:c r="O367">
        <x:v>53</x:v>
      </x:c>
      <x:c r="P367">
        <x:v>68</x:v>
      </x:c>
      <x:c r="Q367">
        <x:v>52</x:v>
      </x:c>
      <x:c r="R367">
        <x:v>71</x:v>
      </x:c>
      <x:c r="S367">
        <x:v>66</x:v>
      </x:c>
      <x:c r="T367">
        <x:v>51</x:v>
      </x:c>
      <x:c r="U367">
        <x:v>58</x:v>
      </x:c>
    </x:row>
    <x:row r="368">
      <x:c r="A368" t="s">
        <x:v>726</x:v>
      </x:c>
      <x:c r="B368" t="s">
        <x:v>348</x:v>
      </x:c>
      <x:c r="C368" t="s">
        <x:v>339</x:v>
      </x:c>
      <x:c r="D368">
        <x:v>8480113</x:v>
      </x:c>
      <x:c r="E368">
        <x:v>69</x:v>
      </x:c>
      <x:c r="F368">
        <x:v>42</x:v>
      </x:c>
      <x:c r="G368">
        <x:v>94</x:v>
      </x:c>
      <x:c r="H368">
        <x:v>54</x:v>
      </x:c>
      <x:c r="I368">
        <x:v>80</x:v>
      </x:c>
      <x:c r="J368">
        <x:v>86</x:v>
      </x:c>
      <x:c r="K368">
        <x:v>96</x:v>
      </x:c>
      <x:c r="L368">
        <x:v>54</x:v>
      </x:c>
      <x:c r="M368">
        <x:v>69</x:v>
      </x:c>
      <x:c r="N368">
        <x:v>53</x:v>
      </x:c>
      <x:c r="O368">
        <x:v>55</x:v>
      </x:c>
      <x:c r="P368">
        <x:v>69</x:v>
      </x:c>
      <x:c r="Q368">
        <x:v>56</x:v>
      </x:c>
      <x:c r="R368">
        <x:v>85</x:v>
      </x:c>
      <x:c r="S368">
        <x:v>75</x:v>
      </x:c>
      <x:c r="T368">
        <x:v>51</x:v>
      </x:c>
      <x:c r="U368">
        <x:v>58</x:v>
      </x:c>
    </x:row>
    <x:row r="369">
      <x:c r="A369" t="s">
        <x:v>727</x:v>
      </x:c>
      <x:c r="B369" t="s">
        <x:v>366</x:v>
      </x:c>
      <x:c r="C369" t="s">
        <x:v>333</x:v>
      </x:c>
      <x:c r="D369">
        <x:v>8474037</x:v>
      </x:c>
      <x:c r="E369">
        <x:v>58</x:v>
      </x:c>
      <x:c r="F369">
        <x:v>44</x:v>
      </x:c>
      <x:c r="G369">
        <x:v>93</x:v>
      </x:c>
      <x:c r="H369">
        <x:v>53</x:v>
      </x:c>
      <x:c r="I369">
        <x:v>86</x:v>
      </x:c>
      <x:c r="J369">
        <x:v>83</x:v>
      </x:c>
      <x:c r="K369">
        <x:v>89</x:v>
      </x:c>
      <x:c r="L369">
        <x:v>55</x:v>
      </x:c>
      <x:c r="M369">
        <x:v>68</x:v>
      </x:c>
      <x:c r="N369">
        <x:v>54</x:v>
      </x:c>
      <x:c r="O369">
        <x:v>57</x:v>
      </x:c>
      <x:c r="P369">
        <x:v>61</x:v>
      </x:c>
      <x:c r="Q369">
        <x:v>74</x:v>
      </x:c>
      <x:c r="R369">
        <x:v>90</x:v>
      </x:c>
      <x:c r="S369">
        <x:v>78</x:v>
      </x:c>
      <x:c r="T369">
        <x:v>51</x:v>
      </x:c>
      <x:c r="U369">
        <x:v>58</x:v>
      </x:c>
    </x:row>
    <x:row r="370">
      <x:c r="A370" t="s">
        <x:v>728</x:v>
      </x:c>
      <x:c r="B370" t="s">
        <x:v>368</x:v>
      </x:c>
      <x:c r="C370" t="s">
        <x:v>331</x:v>
      </x:c>
      <x:c r="D370">
        <x:v>8480879</x:v>
      </x:c>
      <x:c r="E370">
        <x:v>73</x:v>
      </x:c>
      <x:c r="F370">
        <x:v>56</x:v>
      </x:c>
      <x:c r="G370">
        <x:v>87</x:v>
      </x:c>
      <x:c r="H370">
        <x:v>38</x:v>
      </x:c>
      <x:c r="I370">
        <x:v>78</x:v>
      </x:c>
      <x:c r="J370">
        <x:v>84</x:v>
      </x:c>
      <x:c r="K370">
        <x:v>83</x:v>
      </x:c>
      <x:c r="L370">
        <x:v>39</x:v>
      </x:c>
      <x:c r="M370">
        <x:v>30</x:v>
      </x:c>
      <x:c r="N370">
        <x:v>49</x:v>
      </x:c>
      <x:c r="O370">
        <x:v>46</x:v>
      </x:c>
      <x:c r="P370">
        <x:v>76</x:v>
      </x:c>
      <x:c r="Q370">
        <x:v>52</x:v>
      </x:c>
      <x:c r="R370">
        <x:v>70</x:v>
      </x:c>
      <x:c r="S370">
        <x:v>68</x:v>
      </x:c>
      <x:c r="T370">
        <x:v>51</x:v>
      </x:c>
      <x:c r="U370">
        <x:v>58</x:v>
      </x:c>
    </x:row>
    <x:row r="371">
      <x:c r="A371" t="s">
        <x:v>729</x:v>
      </x:c>
      <x:c r="B371" t="s">
        <x:v>350</x:v>
      </x:c>
      <x:c r="C371" t="s">
        <x:v>323</x:v>
      </x:c>
      <x:c r="D371">
        <x:v>8478438</x:v>
      </x:c>
      <x:c r="E371">
        <x:v>56</x:v>
      </x:c>
      <x:c r="F371">
        <x:v>36</x:v>
      </x:c>
      <x:c r="G371">
        <x:v>92</x:v>
      </x:c>
      <x:c r="H371">
        <x:v>55</x:v>
      </x:c>
      <x:c r="I371">
        <x:v>79</x:v>
      </x:c>
      <x:c r="J371">
        <x:v>84</x:v>
      </x:c>
      <x:c r="K371">
        <x:v>95</x:v>
      </x:c>
      <x:c r="L371">
        <x:v>55</x:v>
      </x:c>
      <x:c r="M371">
        <x:v>80</x:v>
      </x:c>
      <x:c r="N371">
        <x:v>55</x:v>
      </x:c>
      <x:c r="O371">
        <x:v>56</x:v>
      </x:c>
      <x:c r="P371">
        <x:v>63</x:v>
      </x:c>
      <x:c r="Q371">
        <x:v>61</x:v>
      </x:c>
      <x:c r="R371">
        <x:v>76</x:v>
      </x:c>
      <x:c r="S371">
        <x:v>73</x:v>
      </x:c>
      <x:c r="T371">
        <x:v>51</x:v>
      </x:c>
      <x:c r="U371">
        <x:v>58</x:v>
      </x:c>
    </x:row>
    <x:row r="372">
      <x:c r="A372" t="s">
        <x:v>730</x:v>
      </x:c>
      <x:c r="B372" t="s">
        <x:v>320</x:v>
      </x:c>
      <x:c r="C372" t="s">
        <x:v>339</x:v>
      </x:c>
      <x:c r="D372">
        <x:v>8480068</x:v>
      </x:c>
      <x:c r="E372">
        <x:v>61</x:v>
      </x:c>
      <x:c r="F372">
        <x:v>40</x:v>
      </x:c>
      <x:c r="G372">
        <x:v>95</x:v>
      </x:c>
      <x:c r="H372">
        <x:v>53</x:v>
      </x:c>
      <x:c r="I372">
        <x:v>83</x:v>
      </x:c>
      <x:c r="J372">
        <x:v>85</x:v>
      </x:c>
      <x:c r="K372">
        <x:v>91</x:v>
      </x:c>
      <x:c r="L372">
        <x:v>54</x:v>
      </x:c>
      <x:c r="M372">
        <x:v>88</x:v>
      </x:c>
      <x:c r="N372">
        <x:v>56</x:v>
      </x:c>
      <x:c r="O372">
        <x:v>54</x:v>
      </x:c>
      <x:c r="P372">
        <x:v>73</x:v>
      </x:c>
      <x:c r="Q372">
        <x:v>62</x:v>
      </x:c>
      <x:c r="R372">
        <x:v>73</x:v>
      </x:c>
      <x:c r="S372">
        <x:v>74</x:v>
      </x:c>
      <x:c r="T372">
        <x:v>51</x:v>
      </x:c>
      <x:c r="U372">
        <x:v>58</x:v>
      </x:c>
    </x:row>
    <x:row r="373">
      <x:c r="A373" t="s">
        <x:v>731</x:v>
      </x:c>
      <x:c r="B373" t="s">
        <x:v>320</x:v>
      </x:c>
      <x:c r="C373" t="s">
        <x:v>329</x:v>
      </x:c>
      <x:c r="D373">
        <x:v>8480459</x:v>
      </x:c>
      <x:c r="E373">
        <x:v>62</x:v>
      </x:c>
      <x:c r="F373">
        <x:v>33</x:v>
      </x:c>
      <x:c r="G373">
        <x:v>90</x:v>
      </x:c>
      <x:c r="H373">
        <x:v>56</x:v>
      </x:c>
      <x:c r="I373">
        <x:v>76</x:v>
      </x:c>
      <x:c r="J373">
        <x:v>86</x:v>
      </x:c>
      <x:c r="K373">
        <x:v>86</x:v>
      </x:c>
      <x:c r="L373">
        <x:v>54</x:v>
      </x:c>
      <x:c r="M373">
        <x:v>85</x:v>
      </x:c>
      <x:c r="N373">
        <x:v>54</x:v>
      </x:c>
      <x:c r="O373">
        <x:v>57</x:v>
      </x:c>
      <x:c r="P373">
        <x:v>70</x:v>
      </x:c>
      <x:c r="Q373">
        <x:v>62</x:v>
      </x:c>
      <x:c r="R373">
        <x:v>77</x:v>
      </x:c>
      <x:c r="S373">
        <x:v>73</x:v>
      </x:c>
      <x:c r="T373">
        <x:v>51</x:v>
      </x:c>
      <x:c r="U373">
        <x:v>58</x:v>
      </x:c>
    </x:row>
    <x:row r="374">
      <x:c r="A374" t="s">
        <x:v>732</x:v>
      </x:c>
      <x:c r="C374" t="s">
        <x:v>331</x:v>
      </x:c>
      <x:c r="D374">
        <x:v>8484223</x:v>
      </x:c>
      <x:c r="E374">
        <x:v>65</x:v>
      </x:c>
      <x:c r="F374">
        <x:v>31</x:v>
      </x:c>
      <x:c r="G374">
        <x:v>91</x:v>
      </x:c>
      <x:c r="H374">
        <x:v>43</x:v>
      </x:c>
      <x:c r="I374">
        <x:v>75</x:v>
      </x:c>
      <x:c r="J374">
        <x:v>85</x:v>
      </x:c>
      <x:c r="K374">
        <x:v>90</x:v>
      </x:c>
      <x:c r="L374">
        <x:v>42</x:v>
      </x:c>
      <x:c r="M374">
        <x:v>30</x:v>
      </x:c>
      <x:c r="N374">
        <x:v>52</x:v>
      </x:c>
      <x:c r="O374">
        <x:v>51</x:v>
      </x:c>
      <x:c r="P374">
        <x:v>72</x:v>
      </x:c>
      <x:c r="Q374">
        <x:v>51</x:v>
      </x:c>
      <x:c r="R374">
        <x:v>66</x:v>
      </x:c>
      <x:c r="S374">
        <x:v>68</x:v>
      </x:c>
      <x:c r="T374">
        <x:v>54</x:v>
      </x:c>
      <x:c r="U374">
        <x:v>58</x:v>
      </x:c>
    </x:row>
    <x:row r="375">
      <x:c r="A375" t="s">
        <x:v>733</x:v>
      </x:c>
      <x:c r="B375" t="s">
        <x:v>370</x:v>
      </x:c>
      <x:c r="C375" t="s">
        <x:v>339</x:v>
      </x:c>
      <x:c r="D375">
        <x:v>8477998</x:v>
      </x:c>
      <x:c r="E375">
        <x:v>66</x:v>
      </x:c>
      <x:c r="F375">
        <x:v>41</x:v>
      </x:c>
      <x:c r="G375">
        <x:v>91</x:v>
      </x:c>
      <x:c r="H375">
        <x:v>52</x:v>
      </x:c>
      <x:c r="I375">
        <x:v>82</x:v>
      </x:c>
      <x:c r="J375">
        <x:v>84</x:v>
      </x:c>
      <x:c r="K375">
        <x:v>89</x:v>
      </x:c>
      <x:c r="L375">
        <x:v>54</x:v>
      </x:c>
      <x:c r="M375">
        <x:v>69</x:v>
      </x:c>
      <x:c r="N375">
        <x:v>50</x:v>
      </x:c>
      <x:c r="O375">
        <x:v>57</x:v>
      </x:c>
      <x:c r="P375">
        <x:v>67</x:v>
      </x:c>
      <x:c r="Q375">
        <x:v>54</x:v>
      </x:c>
      <x:c r="R375">
        <x:v>78</x:v>
      </x:c>
      <x:c r="S375">
        <x:v>73</x:v>
      </x:c>
      <x:c r="T375">
        <x:v>51</x:v>
      </x:c>
      <x:c r="U375">
        <x:v>58</x:v>
      </x:c>
    </x:row>
    <x:row r="376">
      <x:c r="A376" t="s">
        <x:v>734</x:v>
      </x:c>
      <x:c r="B376" t="s">
        <x:v>352</x:v>
      </x:c>
      <x:c r="C376" t="s">
        <x:v>329</x:v>
      </x:c>
      <x:c r="D376">
        <x:v>8477503</x:v>
      </x:c>
      <x:c r="E376">
        <x:v>60</x:v>
      </x:c>
      <x:c r="F376">
        <x:v>85</x:v>
      </x:c>
      <x:c r="G376">
        <x:v>76</x:v>
      </x:c>
      <x:c r="H376">
        <x:v>56</x:v>
      </x:c>
      <x:c r="I376">
        <x:v>82</x:v>
      </x:c>
      <x:c r="J376">
        <x:v>85</x:v>
      </x:c>
      <x:c r="K376">
        <x:v>96</x:v>
      </x:c>
      <x:c r="L376">
        <x:v>55</x:v>
      </x:c>
      <x:c r="M376">
        <x:v>84</x:v>
      </x:c>
      <x:c r="N376">
        <x:v>56</x:v>
      </x:c>
      <x:c r="O376">
        <x:v>54</x:v>
      </x:c>
      <x:c r="P376">
        <x:v>60</x:v>
      </x:c>
      <x:c r="Q376">
        <x:v>61</x:v>
      </x:c>
      <x:c r="R376">
        <x:v>81</x:v>
      </x:c>
      <x:c r="S376">
        <x:v>78</x:v>
      </x:c>
      <x:c r="T376">
        <x:v>51</x:v>
      </x:c>
      <x:c r="U376">
        <x:v>58</x:v>
      </x:c>
    </x:row>
    <x:row r="377">
      <x:c r="A377" t="s">
        <x:v>735</x:v>
      </x:c>
      <x:c r="B377" t="s">
        <x:v>334</x:v>
      </x:c>
      <x:c r="C377" t="s">
        <x:v>339</x:v>
      </x:c>
      <x:c r="D377">
        <x:v>8483489</x:v>
      </x:c>
      <x:c r="E377">
        <x:v>73</x:v>
      </x:c>
      <x:c r="F377">
        <x:v>36</x:v>
      </x:c>
      <x:c r="G377">
        <x:v>92</x:v>
      </x:c>
      <x:c r="H377">
        <x:v>54</x:v>
      </x:c>
      <x:c r="I377">
        <x:v>78</x:v>
      </x:c>
      <x:c r="J377">
        <x:v>85</x:v>
      </x:c>
      <x:c r="K377">
        <x:v>95</x:v>
      </x:c>
      <x:c r="L377">
        <x:v>54</x:v>
      </x:c>
      <x:c r="M377">
        <x:v>86</x:v>
      </x:c>
      <x:c r="N377">
        <x:v>52</x:v>
      </x:c>
      <x:c r="O377">
        <x:v>56</x:v>
      </x:c>
      <x:c r="P377">
        <x:v>69</x:v>
      </x:c>
      <x:c r="Q377">
        <x:v>74</x:v>
      </x:c>
      <x:c r="R377">
        <x:v>66</x:v>
      </x:c>
      <x:c r="S377">
        <x:v>69</x:v>
      </x:c>
      <x:c r="T377">
        <x:v>51</x:v>
      </x:c>
      <x:c r="U377">
        <x:v>58</x:v>
      </x:c>
    </x:row>
    <x:row r="378">
      <x:c r="A378" t="s">
        <x:v>736</x:v>
      </x:c>
      <x:c r="B378" t="s">
        <x:v>439</x:v>
      </x:c>
      <x:c r="C378" t="s">
        <x:v>333</x:v>
      </x:c>
      <x:c r="D378">
        <x:v>8481711</x:v>
      </x:c>
      <x:c r="E378">
        <x:v>59</x:v>
      </x:c>
      <x:c r="F378">
        <x:v>32</x:v>
      </x:c>
      <x:c r="G378">
        <x:v>93</x:v>
      </x:c>
      <x:c r="H378">
        <x:v>56</x:v>
      </x:c>
      <x:c r="I378">
        <x:v>76</x:v>
      </x:c>
      <x:c r="J378">
        <x:v>85</x:v>
      </x:c>
      <x:c r="K378">
        <x:v>87</x:v>
      </x:c>
      <x:c r="L378">
        <x:v>56</x:v>
      </x:c>
      <x:c r="M378">
        <x:v>67</x:v>
      </x:c>
      <x:c r="N378">
        <x:v>57</x:v>
      </x:c>
      <x:c r="O378">
        <x:v>56</x:v>
      </x:c>
      <x:c r="P378">
        <x:v>59</x:v>
      </x:c>
      <x:c r="Q378">
        <x:v>55</x:v>
      </x:c>
      <x:c r="R378">
        <x:v>72</x:v>
      </x:c>
      <x:c r="S378">
        <x:v>69</x:v>
      </x:c>
      <x:c r="T378">
        <x:v>51</x:v>
      </x:c>
      <x:c r="U378">
        <x:v>58</x:v>
      </x:c>
    </x:row>
    <x:row r="379">
      <x:c r="A379" t="s">
        <x:v>737</x:v>
      </x:c>
      <x:c r="B379" t="s">
        <x:v>324</x:v>
      </x:c>
      <x:c r="C379" t="s">
        <x:v>323</x:v>
      </x:c>
      <x:c r="D379">
        <x:v>8478462</x:v>
      </x:c>
      <x:c r="E379">
        <x:v>66</x:v>
      </x:c>
      <x:c r="F379">
        <x:v>67</x:v>
      </x:c>
      <x:c r="G379">
        <x:v>90</x:v>
      </x:c>
      <x:c r="H379">
        <x:v>53</x:v>
      </x:c>
      <x:c r="I379">
        <x:v>86</x:v>
      </x:c>
      <x:c r="J379">
        <x:v>84</x:v>
      </x:c>
      <x:c r="K379">
        <x:v>90</x:v>
      </x:c>
      <x:c r="L379">
        <x:v>54</x:v>
      </x:c>
      <x:c r="M379">
        <x:v>87</x:v>
      </x:c>
      <x:c r="N379">
        <x:v>54</x:v>
      </x:c>
      <x:c r="O379">
        <x:v>53</x:v>
      </x:c>
      <x:c r="P379">
        <x:v>69</x:v>
      </x:c>
      <x:c r="Q379">
        <x:v>63</x:v>
      </x:c>
      <x:c r="R379">
        <x:v>77</x:v>
      </x:c>
      <x:c r="S379">
        <x:v>73</x:v>
      </x:c>
      <x:c r="T379">
        <x:v>58</x:v>
      </x:c>
      <x:c r="U379">
        <x:v>58</x:v>
      </x:c>
    </x:row>
    <x:row r="380">
      <x:c r="A380" t="s">
        <x:v>738</x:v>
      </x:c>
      <x:c r="B380" t="s">
        <x:v>361</x:v>
      </x:c>
      <x:c r="C380" t="s">
        <x:v>331</x:v>
      </x:c>
      <x:c r="D380">
        <x:v>8479982</x:v>
      </x:c>
      <x:c r="E380">
        <x:v>71</x:v>
      </x:c>
      <x:c r="F380">
        <x:v>39</x:v>
      </x:c>
      <x:c r="G380">
        <x:v>84</x:v>
      </x:c>
      <x:c r="H380">
        <x:v>38</x:v>
      </x:c>
      <x:c r="I380">
        <x:v>81</x:v>
      </x:c>
      <x:c r="J380">
        <x:v>88</x:v>
      </x:c>
      <x:c r="K380">
        <x:v>74</x:v>
      </x:c>
      <x:c r="L380">
        <x:v>38</x:v>
      </x:c>
      <x:c r="M380">
        <x:v>30</x:v>
      </x:c>
      <x:c r="N380">
        <x:v>53</x:v>
      </x:c>
      <x:c r="O380">
        <x:v>45</x:v>
      </x:c>
      <x:c r="P380">
        <x:v>78</x:v>
      </x:c>
      <x:c r="Q380">
        <x:v>52</x:v>
      </x:c>
      <x:c r="R380">
        <x:v>72</x:v>
      </x:c>
      <x:c r="S380">
        <x:v>72</x:v>
      </x:c>
      <x:c r="T380">
        <x:v>51</x:v>
      </x:c>
      <x:c r="U380">
        <x:v>58</x:v>
      </x:c>
    </x:row>
    <x:row r="381">
      <x:c r="A381" t="s">
        <x:v>739</x:v>
      </x:c>
      <x:c r="B381" t="s">
        <x:v>383</x:v>
      </x:c>
      <x:c r="C381" t="s">
        <x:v>333</x:v>
      </x:c>
      <x:c r="D381">
        <x:v>8477416</x:v>
      </x:c>
      <x:c r="E381">
        <x:v>66</x:v>
      </x:c>
      <x:c r="F381">
        <x:v>40</x:v>
      </x:c>
      <x:c r="G381">
        <x:v>94</x:v>
      </x:c>
      <x:c r="H381">
        <x:v>55</x:v>
      </x:c>
      <x:c r="I381">
        <x:v>76</x:v>
      </x:c>
      <x:c r="J381">
        <x:v>84</x:v>
      </x:c>
      <x:c r="K381">
        <x:v>97</x:v>
      </x:c>
      <x:c r="L381">
        <x:v>54</x:v>
      </x:c>
      <x:c r="M381">
        <x:v>68</x:v>
      </x:c>
      <x:c r="N381">
        <x:v>55</x:v>
      </x:c>
      <x:c r="O381">
        <x:v>55</x:v>
      </x:c>
      <x:c r="P381">
        <x:v>62</x:v>
      </x:c>
      <x:c r="Q381">
        <x:v>67</x:v>
      </x:c>
      <x:c r="R381">
        <x:v>81</x:v>
      </x:c>
      <x:c r="S381">
        <x:v>73</x:v>
      </x:c>
      <x:c r="T381">
        <x:v>51</x:v>
      </x:c>
      <x:c r="U381">
        <x:v>58</x:v>
      </x:c>
    </x:row>
    <x:row r="382">
      <x:c r="A382" t="s">
        <x:v>740</x:v>
      </x:c>
      <x:c r="B382" t="s">
        <x:v>345</x:v>
      </x:c>
      <x:c r="C382" t="s">
        <x:v>331</x:v>
      </x:c>
      <x:c r="D382">
        <x:v>8474567</x:v>
      </x:c>
      <x:c r="E382">
        <x:v>74</x:v>
      </x:c>
      <x:c r="F382">
        <x:v>49</x:v>
      </x:c>
      <x:c r="G382">
        <x:v>83</x:v>
      </x:c>
      <x:c r="H382">
        <x:v>37</x:v>
      </x:c>
      <x:c r="I382">
        <x:v>88</x:v>
      </x:c>
      <x:c r="J382">
        <x:v>85</x:v>
      </x:c>
      <x:c r="K382">
        <x:v>78</x:v>
      </x:c>
      <x:c r="L382">
        <x:v>37</x:v>
      </x:c>
      <x:c r="M382">
        <x:v>30</x:v>
      </x:c>
      <x:c r="N382">
        <x:v>50</x:v>
      </x:c>
      <x:c r="O382">
        <x:v>46</x:v>
      </x:c>
      <x:c r="P382">
        <x:v>75</x:v>
      </x:c>
      <x:c r="Q382">
        <x:v>62</x:v>
      </x:c>
      <x:c r="R382">
        <x:v>88</x:v>
      </x:c>
      <x:c r="S382">
        <x:v>76</x:v>
      </x:c>
      <x:c r="T382">
        <x:v>51</x:v>
      </x:c>
      <x:c r="U382">
        <x:v>58</x:v>
      </x:c>
    </x:row>
    <x:row r="383">
      <x:c r="A383" t="s">
        <x:v>741</x:v>
      </x:c>
      <x:c r="B383" t="s">
        <x:v>420</x:v>
      </x:c>
      <x:c r="C383" t="s">
        <x:v>331</x:v>
      </x:c>
      <x:c r="D383">
        <x:v>8483678</x:v>
      </x:c>
      <x:c r="E383">
        <x:v>79</x:v>
      </x:c>
      <x:c r="F383">
        <x:v>46</x:v>
      </x:c>
      <x:c r="G383">
        <x:v>85</x:v>
      </x:c>
      <x:c r="H383">
        <x:v>38</x:v>
      </x:c>
      <x:c r="I383">
        <x:v>78</x:v>
      </x:c>
      <x:c r="J383">
        <x:v>86</x:v>
      </x:c>
      <x:c r="K383">
        <x:v>90</x:v>
      </x:c>
      <x:c r="L383">
        <x:v>38</x:v>
      </x:c>
      <x:c r="M383">
        <x:v>30</x:v>
      </x:c>
      <x:c r="N383">
        <x:v>49</x:v>
      </x:c>
      <x:c r="O383">
        <x:v>49</x:v>
      </x:c>
      <x:c r="P383">
        <x:v>75</x:v>
      </x:c>
      <x:c r="Q383">
        <x:v>51</x:v>
      </x:c>
      <x:c r="R383">
        <x:v>66</x:v>
      </x:c>
      <x:c r="S383">
        <x:v>66</x:v>
      </x:c>
      <x:c r="T383">
        <x:v>51</x:v>
      </x:c>
      <x:c r="U383">
        <x:v>58</x:v>
      </x:c>
    </x:row>
    <x:row r="384">
      <x:c r="A384" t="s">
        <x:v>742</x:v>
      </x:c>
      <x:c r="B384" t="s">
        <x:v>352</x:v>
      </x:c>
      <x:c r="C384" t="s">
        <x:v>331</x:v>
      </x:c>
      <x:c r="D384">
        <x:v>8475690</x:v>
      </x:c>
      <x:c r="E384">
        <x:v>67</x:v>
      </x:c>
      <x:c r="F384">
        <x:v>41</x:v>
      </x:c>
      <x:c r="G384">
        <x:v>94</x:v>
      </x:c>
      <x:c r="H384">
        <x:v>39</x:v>
      </x:c>
      <x:c r="I384">
        <x:v>84</x:v>
      </x:c>
      <x:c r="J384">
        <x:v>87</x:v>
      </x:c>
      <x:c r="K384">
        <x:v>45</x:v>
      </x:c>
      <x:c r="L384">
        <x:v>38</x:v>
      </x:c>
      <x:c r="M384">
        <x:v>30</x:v>
      </x:c>
      <x:c r="N384">
        <x:v>52</x:v>
      </x:c>
      <x:c r="O384">
        <x:v>46</x:v>
      </x:c>
      <x:c r="P384">
        <x:v>78</x:v>
      </x:c>
      <x:c r="Q384">
        <x:v>52</x:v>
      </x:c>
      <x:c r="R384">
        <x:v>89</x:v>
      </x:c>
      <x:c r="S384">
        <x:v>79</x:v>
      </x:c>
      <x:c r="T384">
        <x:v>51</x:v>
      </x:c>
      <x:c r="U384">
        <x:v>58</x:v>
      </x:c>
    </x:row>
    <x:row r="385">
      <x:c r="A385" t="s">
        <x:v>743</x:v>
      </x:c>
      <x:c r="B385" t="s">
        <x:v>324</x:v>
      </x:c>
      <x:c r="C385" t="s">
        <x:v>339</x:v>
      </x:c>
      <x:c r="D385">
        <x:v>8480448</x:v>
      </x:c>
      <x:c r="E385">
        <x:v>76</x:v>
      </x:c>
      <x:c r="F385">
        <x:v>41</x:v>
      </x:c>
      <x:c r="G385">
        <x:v>87</x:v>
      </x:c>
      <x:c r="H385">
        <x:v>52</x:v>
      </x:c>
      <x:c r="I385">
        <x:v>78</x:v>
      </x:c>
      <x:c r="J385">
        <x:v>83</x:v>
      </x:c>
      <x:c r="K385">
        <x:v>98</x:v>
      </x:c>
      <x:c r="L385">
        <x:v>53</x:v>
      </x:c>
      <x:c r="M385">
        <x:v>75</x:v>
      </x:c>
      <x:c r="N385">
        <x:v>52</x:v>
      </x:c>
      <x:c r="O385">
        <x:v>57</x:v>
      </x:c>
      <x:c r="P385">
        <x:v>72</x:v>
      </x:c>
      <x:c r="Q385">
        <x:v>52</x:v>
      </x:c>
      <x:c r="R385">
        <x:v>72</x:v>
      </x:c>
      <x:c r="S385">
        <x:v>69</x:v>
      </x:c>
      <x:c r="T385">
        <x:v>51</x:v>
      </x:c>
      <x:c r="U385">
        <x:v>58</x:v>
      </x:c>
    </x:row>
    <x:row r="386">
      <x:c r="A386" t="s">
        <x:v>744</x:v>
      </x:c>
      <x:c r="B386" t="s">
        <x:v>352</x:v>
      </x:c>
      <x:c r="C386" t="s">
        <x:v>339</x:v>
      </x:c>
      <x:c r="D386">
        <x:v>8477426</x:v>
      </x:c>
      <x:c r="E386">
        <x:v>69</x:v>
      </x:c>
      <x:c r="F386">
        <x:v>73</x:v>
      </x:c>
      <x:c r="G386">
        <x:v>86</x:v>
      </x:c>
      <x:c r="H386">
        <x:v>54</x:v>
      </x:c>
      <x:c r="I386">
        <x:v>88</x:v>
      </x:c>
      <x:c r="J386">
        <x:v>84</x:v>
      </x:c>
      <x:c r="K386">
        <x:v>80</x:v>
      </x:c>
      <x:c r="L386">
        <x:v>52</x:v>
      </x:c>
      <x:c r="M386">
        <x:v>88</x:v>
      </x:c>
      <x:c r="N386">
        <x:v>52</x:v>
      </x:c>
      <x:c r="O386">
        <x:v>55</x:v>
      </x:c>
      <x:c r="P386">
        <x:v>64</x:v>
      </x:c>
      <x:c r="Q386">
        <x:v>52</x:v>
      </x:c>
      <x:c r="R386">
        <x:v>80</x:v>
      </x:c>
      <x:c r="S386">
        <x:v>79</x:v>
      </x:c>
      <x:c r="T386">
        <x:v>51</x:v>
      </x:c>
      <x:c r="U386">
        <x:v>58</x:v>
      </x:c>
    </x:row>
    <x:row r="387">
      <x:c r="A387" t="s">
        <x:v>745</x:v>
      </x:c>
      <x:c r="B387" t="s">
        <x:v>345</x:v>
      </x:c>
      <x:c r="C387" t="s">
        <x:v>326</x:v>
      </x:c>
      <x:c r="D387">
        <x:v>8481553</x:v>
      </x:c>
      <x:c r="E387">
        <x:v>67</x:v>
      </x:c>
      <x:c r="F387">
        <x:v>32</x:v>
      </x:c>
      <x:c r="G387">
        <x:v>88</x:v>
      </x:c>
      <x:c r="H387">
        <x:v>56</x:v>
      </x:c>
      <x:c r="I387">
        <x:v>73</x:v>
      </x:c>
      <x:c r="J387">
        <x:v>85</x:v>
      </x:c>
      <x:c r="K387">
        <x:v>88</x:v>
      </x:c>
      <x:c r="L387">
        <x:v>55</x:v>
      </x:c>
      <x:c r="M387">
        <x:v>70</x:v>
      </x:c>
      <x:c r="N387">
        <x:v>54</x:v>
      </x:c>
      <x:c r="O387">
        <x:v>57</x:v>
      </x:c>
      <x:c r="P387">
        <x:v>63</x:v>
      </x:c>
      <x:c r="Q387">
        <x:v>75</x:v>
      </x:c>
      <x:c r="R387">
        <x:v>70</x:v>
      </x:c>
      <x:c r="S387">
        <x:v>76</x:v>
      </x:c>
      <x:c r="T387">
        <x:v>51</x:v>
      </x:c>
      <x:c r="U387">
        <x:v>58</x:v>
      </x:c>
    </x:row>
    <x:row r="388">
      <x:c r="A388" t="s">
        <x:v>746</x:v>
      </x:c>
      <x:c r="B388" t="s">
        <x:v>345</x:v>
      </x:c>
      <x:c r="C388" t="s">
        <x:v>333</x:v>
      </x:c>
      <x:c r="D388">
        <x:v>8475220</x:v>
      </x:c>
      <x:c r="E388">
        <x:v>85</x:v>
      </x:c>
      <x:c r="F388">
        <x:v>88</x:v>
      </x:c>
      <x:c r="G388">
        <x:v>77</x:v>
      </x:c>
      <x:c r="H388">
        <x:v>48</x:v>
      </x:c>
      <x:c r="I388">
        <x:v>87</x:v>
      </x:c>
      <x:c r="J388">
        <x:v>83</x:v>
      </x:c>
      <x:c r="K388">
        <x:v>81</x:v>
      </x:c>
      <x:c r="L388">
        <x:v>49</x:v>
      </x:c>
      <x:c r="M388">
        <x:v>69</x:v>
      </x:c>
      <x:c r="N388">
        <x:v>51</x:v>
      </x:c>
      <x:c r="O388">
        <x:v>54</x:v>
      </x:c>
      <x:c r="P388">
        <x:v>68</x:v>
      </x:c>
      <x:c r="Q388">
        <x:v>53</x:v>
      </x:c>
      <x:c r="R388">
        <x:v>86</x:v>
      </x:c>
      <x:c r="S388">
        <x:v>79</x:v>
      </x:c>
      <x:c r="T388">
        <x:v>51</x:v>
      </x:c>
      <x:c r="U388">
        <x:v>58</x:v>
      </x:c>
    </x:row>
    <x:row r="389">
      <x:c r="A389" t="s">
        <x:v>747</x:v>
      </x:c>
      <x:c r="B389" t="s">
        <x:v>352</x:v>
      </x:c>
      <x:c r="C389" t="s">
        <x:v>339</x:v>
      </x:c>
      <x:c r="D389">
        <x:v>8478057</x:v>
      </x:c>
      <x:c r="E389">
        <x:v>88</x:v>
      </x:c>
      <x:c r="F389">
        <x:v>82</x:v>
      </x:c>
      <x:c r="G389">
        <x:v>79</x:v>
      </x:c>
      <x:c r="H389">
        <x:v>53</x:v>
      </x:c>
      <x:c r="I389">
        <x:v>84</x:v>
      </x:c>
      <x:c r="J389">
        <x:v>83</x:v>
      </x:c>
      <x:c r="K389">
        <x:v>78</x:v>
      </x:c>
      <x:c r="L389">
        <x:v>52</x:v>
      </x:c>
      <x:c r="M389">
        <x:v>66</x:v>
      </x:c>
      <x:c r="N389">
        <x:v>51</x:v>
      </x:c>
      <x:c r="O389">
        <x:v>55</x:v>
      </x:c>
      <x:c r="P389">
        <x:v>64</x:v>
      </x:c>
      <x:c r="Q389">
        <x:v>52</x:v>
      </x:c>
      <x:c r="R389">
        <x:v>77</x:v>
      </x:c>
      <x:c r="S389">
        <x:v>71</x:v>
      </x:c>
      <x:c r="T389">
        <x:v>51</x:v>
      </x:c>
      <x:c r="U389">
        <x:v>58</x:v>
      </x:c>
    </x:row>
    <x:row r="390">
      <x:c r="A390" t="s">
        <x:v>748</x:v>
      </x:c>
      <x:c r="B390" t="s">
        <x:v>420</x:v>
      </x:c>
      <x:c r="C390" t="s">
        <x:v>326</x:v>
      </x:c>
      <x:c r="D390">
        <x:v>8475848</x:v>
      </x:c>
      <x:c r="E390">
        <x:v>68</x:v>
      </x:c>
      <x:c r="F390">
        <x:v>58</x:v>
      </x:c>
      <x:c r="G390">
        <x:v>83</x:v>
      </x:c>
      <x:c r="H390">
        <x:v>53</x:v>
      </x:c>
      <x:c r="I390">
        <x:v>79</x:v>
      </x:c>
      <x:c r="J390">
        <x:v>83</x:v>
      </x:c>
      <x:c r="K390">
        <x:v>95</x:v>
      </x:c>
      <x:c r="L390">
        <x:v>54</x:v>
      </x:c>
      <x:c r="M390">
        <x:v>69</x:v>
      </x:c>
      <x:c r="N390">
        <x:v>53</x:v>
      </x:c>
      <x:c r="O390">
        <x:v>53</x:v>
      </x:c>
      <x:c r="P390">
        <x:v>61</x:v>
      </x:c>
      <x:c r="Q390">
        <x:v>56</x:v>
      </x:c>
      <x:c r="R390">
        <x:v>87</x:v>
      </x:c>
      <x:c r="S390">
        <x:v>81</x:v>
      </x:c>
      <x:c r="T390">
        <x:v>51</x:v>
      </x:c>
      <x:c r="U390">
        <x:v>58</x:v>
      </x:c>
    </x:row>
    <x:row r="391">
      <x:c r="A391" t="s">
        <x:v>749</x:v>
      </x:c>
      <x:c r="B391" t="s">
        <x:v>320</x:v>
      </x:c>
      <x:c r="C391" t="s">
        <x:v>333</x:v>
      </x:c>
      <x:c r="D391">
        <x:v>8481617</x:v>
      </x:c>
      <x:c r="E391">
        <x:v>84</x:v>
      </x:c>
      <x:c r="F391">
        <x:v>79</x:v>
      </x:c>
      <x:c r="G391">
        <x:v>84</x:v>
      </x:c>
      <x:c r="H391">
        <x:v>53</x:v>
      </x:c>
      <x:c r="I391">
        <x:v>81</x:v>
      </x:c>
      <x:c r="J391">
        <x:v>85</x:v>
      </x:c>
      <x:c r="K391">
        <x:v>98</x:v>
      </x:c>
      <x:c r="L391">
        <x:v>54</x:v>
      </x:c>
      <x:c r="M391">
        <x:v>70</x:v>
      </x:c>
      <x:c r="N391">
        <x:v>53</x:v>
      </x:c>
      <x:c r="O391">
        <x:v>56</x:v>
      </x:c>
      <x:c r="P391">
        <x:v>67</x:v>
      </x:c>
      <x:c r="Q391">
        <x:v>53</x:v>
      </x:c>
      <x:c r="R391">
        <x:v>70</x:v>
      </x:c>
      <x:c r="S391">
        <x:v>68</x:v>
      </x:c>
      <x:c r="T391">
        <x:v>51</x:v>
      </x:c>
      <x:c r="U391">
        <x:v>58</x:v>
      </x:c>
    </x:row>
    <x:row r="392">
      <x:c r="A392" t="s">
        <x:v>750</x:v>
      </x:c>
      <x:c r="B392" t="s">
        <x:v>350</x:v>
      </x:c>
      <x:c r="C392" t="s">
        <x:v>331</x:v>
      </x:c>
      <x:c r="D392">
        <x:v>8481527</x:v>
      </x:c>
      <x:c r="E392">
        <x:v>76</x:v>
      </x:c>
      <x:c r="F392">
        <x:v>39</x:v>
      </x:c>
      <x:c r="G392">
        <x:v>90</x:v>
      </x:c>
      <x:c r="H392">
        <x:v>37</x:v>
      </x:c>
      <x:c r="I392">
        <x:v>83</x:v>
      </x:c>
      <x:c r="J392">
        <x:v>85</x:v>
      </x:c>
      <x:c r="K392">
        <x:v>93</x:v>
      </x:c>
      <x:c r="L392">
        <x:v>38</x:v>
      </x:c>
      <x:c r="M392">
        <x:v>30</x:v>
      </x:c>
      <x:c r="N392">
        <x:v>52</x:v>
      </x:c>
      <x:c r="O392">
        <x:v>46</x:v>
      </x:c>
      <x:c r="P392">
        <x:v>75</x:v>
      </x:c>
      <x:c r="Q392">
        <x:v>52</x:v>
      </x:c>
      <x:c r="R392">
        <x:v>69</x:v>
      </x:c>
      <x:c r="S392">
        <x:v>67</x:v>
      </x:c>
      <x:c r="T392">
        <x:v>44</x:v>
      </x:c>
      <x:c r="U392">
        <x:v>58</x:v>
      </x:c>
    </x:row>
    <x:row r="393">
      <x:c r="A393" t="s">
        <x:v>751</x:v>
      </x:c>
      <x:c r="B393" t="s">
        <x:v>370</x:v>
      </x:c>
      <x:c r="C393" t="s">
        <x:v>333</x:v>
      </x:c>
      <x:c r="D393">
        <x:v>8480188</x:v>
      </x:c>
      <x:c r="E393">
        <x:v>73</x:v>
      </x:c>
      <x:c r="F393">
        <x:v>38</x:v>
      </x:c>
      <x:c r="G393">
        <x:v>94</x:v>
      </x:c>
      <x:c r="H393">
        <x:v>55</x:v>
      </x:c>
      <x:c r="I393">
        <x:v>80</x:v>
      </x:c>
      <x:c r="J393">
        <x:v>84</x:v>
      </x:c>
      <x:c r="K393">
        <x:v>99</x:v>
      </x:c>
      <x:c r="L393">
        <x:v>54</x:v>
      </x:c>
      <x:c r="M393">
        <x:v>68</x:v>
      </x:c>
      <x:c r="N393">
        <x:v>53</x:v>
      </x:c>
      <x:c r="O393">
        <x:v>57</x:v>
      </x:c>
      <x:c r="P393">
        <x:v>63</x:v>
      </x:c>
      <x:c r="Q393">
        <x:v>65</x:v>
      </x:c>
      <x:c r="R393">
        <x:v>72</x:v>
      </x:c>
      <x:c r="S393">
        <x:v>73</x:v>
      </x:c>
      <x:c r="T393">
        <x:v>51</x:v>
      </x:c>
      <x:c r="U393">
        <x:v>58</x:v>
      </x:c>
    </x:row>
    <x:row r="394">
      <x:c r="A394" t="s">
        <x:v>752</x:v>
      </x:c>
      <x:c r="B394" t="s">
        <x:v>439</x:v>
      </x:c>
      <x:c r="C394" t="s">
        <x:v>333</x:v>
      </x:c>
      <x:c r="D394">
        <x:v>8482476</x:v>
      </x:c>
      <x:c r="E394">
        <x:v>84</x:v>
      </x:c>
      <x:c r="F394">
        <x:v>40</x:v>
      </x:c>
      <x:c r="G394">
        <x:v>92</x:v>
      </x:c>
      <x:c r="H394">
        <x:v>55</x:v>
      </x:c>
      <x:c r="I394">
        <x:v>82</x:v>
      </x:c>
      <x:c r="J394">
        <x:v>86</x:v>
      </x:c>
      <x:c r="K394">
        <x:v>96</x:v>
      </x:c>
      <x:c r="L394">
        <x:v>53</x:v>
      </x:c>
      <x:c r="M394">
        <x:v>67</x:v>
      </x:c>
      <x:c r="N394">
        <x:v>50</x:v>
      </x:c>
      <x:c r="O394">
        <x:v>58</x:v>
      </x:c>
      <x:c r="P394">
        <x:v>66</x:v>
      </x:c>
      <x:c r="Q394">
        <x:v>78</x:v>
      </x:c>
      <x:c r="R394">
        <x:v>70</x:v>
      </x:c>
      <x:c r="S394">
        <x:v>68</x:v>
      </x:c>
      <x:c r="T394">
        <x:v>51</x:v>
      </x:c>
      <x:c r="U394">
        <x:v>58</x:v>
      </x:c>
    </x:row>
    <x:row r="395">
      <x:c r="A395" t="s">
        <x:v>753</x:v>
      </x:c>
      <x:c r="B395" t="s">
        <x:v>366</x:v>
      </x:c>
      <x:c r="C395" t="s">
        <x:v>329</x:v>
      </x:c>
      <x:c r="D395">
        <x:v>8478542</x:v>
      </x:c>
      <x:c r="E395">
        <x:v>66</x:v>
      </x:c>
      <x:c r="F395">
        <x:v>34</x:v>
      </x:c>
      <x:c r="G395">
        <x:v>82</x:v>
      </x:c>
      <x:c r="H395">
        <x:v>55</x:v>
      </x:c>
      <x:c r="I395">
        <x:v>77</x:v>
      </x:c>
      <x:c r="J395">
        <x:v>87</x:v>
      </x:c>
      <x:c r="K395">
        <x:v>89</x:v>
      </x:c>
      <x:c r="L395">
        <x:v>54</x:v>
      </x:c>
      <x:c r="M395">
        <x:v>85</x:v>
      </x:c>
      <x:c r="N395">
        <x:v>55</x:v>
      </x:c>
      <x:c r="O395">
        <x:v>55</x:v>
      </x:c>
      <x:c r="P395">
        <x:v>66</x:v>
      </x:c>
      <x:c r="Q395">
        <x:v>73</x:v>
      </x:c>
      <x:c r="R395">
        <x:v>84</x:v>
      </x:c>
      <x:c r="S395">
        <x:v>73</x:v>
      </x:c>
      <x:c r="T395">
        <x:v>51</x:v>
      </x:c>
      <x:c r="U395">
        <x:v>58</x:v>
      </x:c>
    </x:row>
    <x:row r="396">
      <x:c r="A396" t="s">
        <x:v>754</x:v>
      </x:c>
      <x:c r="B396" t="s">
        <x:v>343</x:v>
      </x:c>
      <x:c r="C396" t="s">
        <x:v>331</x:v>
      </x:c>
      <x:c r="D396">
        <x:v>8481167</x:v>
      </x:c>
      <x:c r="E396">
        <x:v>81</x:v>
      </x:c>
      <x:c r="F396">
        <x:v>67</x:v>
      </x:c>
      <x:c r="G396">
        <x:v>73</x:v>
      </x:c>
      <x:c r="H396">
        <x:v>38</x:v>
      </x:c>
      <x:c r="I396">
        <x:v>83</x:v>
      </x:c>
      <x:c r="J396">
        <x:v>83</x:v>
      </x:c>
      <x:c r="K396">
        <x:v>76</x:v>
      </x:c>
      <x:c r="L396">
        <x:v>37</x:v>
      </x:c>
      <x:c r="M396">
        <x:v>30</x:v>
      </x:c>
      <x:c r="N396">
        <x:v>51</x:v>
      </x:c>
      <x:c r="O396">
        <x:v>46</x:v>
      </x:c>
      <x:c r="P396">
        <x:v>75</x:v>
      </x:c>
      <x:c r="Q396">
        <x:v>52</x:v>
      </x:c>
      <x:c r="R396">
        <x:v>71</x:v>
      </x:c>
      <x:c r="S396">
        <x:v>69</x:v>
      </x:c>
      <x:c r="T396">
        <x:v>51</x:v>
      </x:c>
      <x:c r="U396">
        <x:v>58</x:v>
      </x:c>
    </x:row>
    <x:row r="397">
      <x:c r="A397" t="s">
        <x:v>755</x:v>
      </x:c>
      <x:c r="B397" t="s">
        <x:v>420</x:v>
      </x:c>
      <x:c r="C397" t="s">
        <x:v>331</x:v>
      </x:c>
      <x:c r="D397">
        <x:v>8484240</x:v>
      </x:c>
      <x:c r="E397">
        <x:v>68</x:v>
      </x:c>
      <x:c r="F397">
        <x:v>35</x:v>
      </x:c>
      <x:c r="G397">
        <x:v>85</x:v>
      </x:c>
      <x:c r="H397">
        <x:v>41</x:v>
      </x:c>
      <x:c r="I397">
        <x:v>78</x:v>
      </x:c>
      <x:c r="J397">
        <x:v>86</x:v>
      </x:c>
      <x:c r="K397">
        <x:v>91</x:v>
      </x:c>
      <x:c r="L397">
        <x:v>42</x:v>
      </x:c>
      <x:c r="M397">
        <x:v>30</x:v>
      </x:c>
      <x:c r="N397">
        <x:v>53</x:v>
      </x:c>
      <x:c r="O397">
        <x:v>50</x:v>
      </x:c>
      <x:c r="P397">
        <x:v>73</x:v>
      </x:c>
      <x:c r="Q397">
        <x:v>51</x:v>
      </x:c>
      <x:c r="R397">
        <x:v>65</x:v>
      </x:c>
      <x:c r="S397">
        <x:v>69</x:v>
      </x:c>
      <x:c r="T397">
        <x:v>54</x:v>
      </x:c>
      <x:c r="U397">
        <x:v>58</x:v>
      </x:c>
    </x:row>
    <x:row r="398">
      <x:c r="A398" t="s">
        <x:v>756</x:v>
      </x:c>
      <x:c r="B398" t="s">
        <x:v>370</x:v>
      </x:c>
      <x:c r="C398" t="s">
        <x:v>329</x:v>
      </x:c>
      <x:c r="D398">
        <x:v>8478020</x:v>
      </x:c>
      <x:c r="E398">
        <x:v>68</x:v>
      </x:c>
      <x:c r="F398">
        <x:v>38</x:v>
      </x:c>
      <x:c r="G398">
        <x:v>93</x:v>
      </x:c>
      <x:c r="H398">
        <x:v>54</x:v>
      </x:c>
      <x:c r="I398">
        <x:v>81</x:v>
      </x:c>
      <x:c r="J398">
        <x:v>86</x:v>
      </x:c>
      <x:c r="K398">
        <x:v>96</x:v>
      </x:c>
      <x:c r="L398">
        <x:v>53</x:v>
      </x:c>
      <x:c r="M398">
        <x:v>69</x:v>
      </x:c>
      <x:c r="N398">
        <x:v>54</x:v>
      </x:c>
      <x:c r="O398">
        <x:v>55</x:v>
      </x:c>
      <x:c r="P398">
        <x:v>68</x:v>
      </x:c>
      <x:c r="Q398">
        <x:v>53</x:v>
      </x:c>
      <x:c r="R398">
        <x:v>78</x:v>
      </x:c>
      <x:c r="S398">
        <x:v>73</x:v>
      </x:c>
      <x:c r="T398">
        <x:v>51</x:v>
      </x:c>
      <x:c r="U398">
        <x:v>58</x:v>
      </x:c>
    </x:row>
    <x:row r="399">
      <x:c r="A399" t="s">
        <x:v>757</x:v>
      </x:c>
      <x:c r="B399" t="s">
        <x:v>420</x:v>
      </x:c>
      <x:c r="C399" t="s">
        <x:v>331</x:v>
      </x:c>
      <x:c r="D399">
        <x:v>8484798</x:v>
      </x:c>
      <x:c r="E399">
        <x:v>66</x:v>
      </x:c>
      <x:c r="F399">
        <x:v>45</x:v>
      </x:c>
      <x:c r="G399">
        <x:v>83</x:v>
      </x:c>
      <x:c r="H399">
        <x:v>44</x:v>
      </x:c>
      <x:c r="I399">
        <x:v>74</x:v>
      </x:c>
      <x:c r="J399">
        <x:v>90</x:v>
      </x:c>
      <x:c r="K399">
        <x:v>92</x:v>
      </x:c>
      <x:c r="L399">
        <x:v>41</x:v>
      </x:c>
      <x:c r="M399">
        <x:v>30</x:v>
      </x:c>
      <x:c r="N399">
        <x:v>54</x:v>
      </x:c>
      <x:c r="O399">
        <x:v>50</x:v>
      </x:c>
      <x:c r="P399">
        <x:v>71</x:v>
      </x:c>
      <x:c r="Q399">
        <x:v>51</x:v>
      </x:c>
      <x:c r="R399">
        <x:v>65</x:v>
      </x:c>
      <x:c r="S399">
        <x:v>66</x:v>
      </x:c>
      <x:c r="T399">
        <x:v>54</x:v>
      </x:c>
      <x:c r="U399">
        <x:v>58</x:v>
      </x:c>
    </x:row>
    <x:row r="400">
      <x:c r="A400" t="s">
        <x:v>758</x:v>
      </x:c>
      <x:c r="B400" t="s">
        <x:v>356</x:v>
      </x:c>
      <x:c r="C400" t="s">
        <x:v>329</x:v>
      </x:c>
      <x:c r="D400">
        <x:v>8481618</x:v>
      </x:c>
      <x:c r="E400">
        <x:v>67</x:v>
      </x:c>
      <x:c r="F400">
        <x:v>33</x:v>
      </x:c>
      <x:c r="G400">
        <x:v>91</x:v>
      </x:c>
      <x:c r="H400">
        <x:v>57</x:v>
      </x:c>
      <x:c r="I400">
        <x:v>76</x:v>
      </x:c>
      <x:c r="J400">
        <x:v>84</x:v>
      </x:c>
      <x:c r="K400">
        <x:v>76</x:v>
      </x:c>
      <x:c r="L400">
        <x:v>55</x:v>
      </x:c>
      <x:c r="M400">
        <x:v>82</x:v>
      </x:c>
      <x:c r="N400">
        <x:v>55</x:v>
      </x:c>
      <x:c r="O400">
        <x:v>59</x:v>
      </x:c>
      <x:c r="P400">
        <x:v>65</x:v>
      </x:c>
      <x:c r="Q400">
        <x:v>54</x:v>
      </x:c>
      <x:c r="R400">
        <x:v>70</x:v>
      </x:c>
      <x:c r="S400">
        <x:v>69</x:v>
      </x:c>
      <x:c r="T400">
        <x:v>51</x:v>
      </x:c>
      <x:c r="U400">
        <x:v>58</x:v>
      </x:c>
    </x:row>
    <x:row r="401">
      <x:c r="A401" t="s">
        <x:v>759</x:v>
      </x:c>
      <x:c r="B401" t="s">
        <x:v>576</x:v>
      </x:c>
      <x:c r="C401" t="s">
        <x:v>329</x:v>
      </x:c>
      <x:c r="D401">
        <x:v>8481068</x:v>
      </x:c>
      <x:c r="E401">
        <x:v>58</x:v>
      </x:c>
      <x:c r="F401">
        <x:v>37</x:v>
      </x:c>
      <x:c r="G401">
        <x:v>95</x:v>
      </x:c>
      <x:c r="H401">
        <x:v>54</x:v>
      </x:c>
      <x:c r="I401">
        <x:v>81</x:v>
      </x:c>
      <x:c r="J401">
        <x:v>86</x:v>
      </x:c>
      <x:c r="K401">
        <x:v>94</x:v>
      </x:c>
      <x:c r="L401">
        <x:v>56</x:v>
      </x:c>
      <x:c r="M401">
        <x:v>74</x:v>
      </x:c>
      <x:c r="N401">
        <x:v>52</x:v>
      </x:c>
      <x:c r="O401">
        <x:v>57</x:v>
      </x:c>
      <x:c r="P401">
        <x:v>67</x:v>
      </x:c>
      <x:c r="Q401">
        <x:v>81</x:v>
      </x:c>
      <x:c r="R401">
        <x:v>76</x:v>
      </x:c>
      <x:c r="S401">
        <x:v>77</x:v>
      </x:c>
      <x:c r="T401">
        <x:v>51</x:v>
      </x:c>
      <x:c r="U401">
        <x:v>58</x:v>
      </x:c>
    </x:row>
    <x:row r="402">
      <x:c r="A402" t="s">
        <x:v>760</x:v>
      </x:c>
      <x:c r="B402" t="s">
        <x:v>481</x:v>
      </x:c>
      <x:c r="C402" t="s">
        <x:v>323</x:v>
      </x:c>
      <x:c r="D402">
        <x:v>8477919</x:v>
      </x:c>
      <x:c r="E402">
        <x:v>60</x:v>
      </x:c>
      <x:c r="F402">
        <x:v>47</x:v>
      </x:c>
      <x:c r="G402">
        <x:v>98</x:v>
      </x:c>
      <x:c r="H402">
        <x:v>53</x:v>
      </x:c>
      <x:c r="I402">
        <x:v>78</x:v>
      </x:c>
      <x:c r="J402">
        <x:v>86</x:v>
      </x:c>
      <x:c r="K402">
        <x:v>89</x:v>
      </x:c>
      <x:c r="L402">
        <x:v>54</x:v>
      </x:c>
      <x:c r="M402">
        <x:v>85</x:v>
      </x:c>
      <x:c r="N402">
        <x:v>54</x:v>
      </x:c>
      <x:c r="O402">
        <x:v>53</x:v>
      </x:c>
      <x:c r="P402">
        <x:v>72</x:v>
      </x:c>
      <x:c r="Q402">
        <x:v>82</x:v>
      </x:c>
      <x:c r="R402">
        <x:v>83</x:v>
      </x:c>
      <x:c r="S402">
        <x:v>73</x:v>
      </x:c>
      <x:c r="T402">
        <x:v>51</x:v>
      </x:c>
      <x:c r="U402">
        <x:v>58</x:v>
      </x:c>
    </x:row>
    <x:row r="403">
      <x:c r="A403" t="s">
        <x:v>761</x:v>
      </x:c>
      <x:c r="B403" t="s">
        <x:v>481</x:v>
      </x:c>
      <x:c r="C403" t="s">
        <x:v>331</x:v>
      </x:c>
      <x:c r="D403">
        <x:v>8474612</x:v>
      </x:c>
      <x:c r="E403">
        <x:v>75</x:v>
      </x:c>
      <x:c r="F403">
        <x:v>84</x:v>
      </x:c>
      <x:c r="G403">
        <x:v>82</x:v>
      </x:c>
      <x:c r="H403">
        <x:v>36</x:v>
      </x:c>
      <x:c r="I403">
        <x:v>83</x:v>
      </x:c>
      <x:c r="J403">
        <x:v>84</x:v>
      </x:c>
      <x:c r="K403">
        <x:v>59</x:v>
      </x:c>
      <x:c r="L403">
        <x:v>37</x:v>
      </x:c>
      <x:c r="M403">
        <x:v>30</x:v>
      </x:c>
      <x:c r="N403">
        <x:v>49</x:v>
      </x:c>
      <x:c r="O403">
        <x:v>45</x:v>
      </x:c>
      <x:c r="P403">
        <x:v>75</x:v>
      </x:c>
      <x:c r="Q403">
        <x:v>52</x:v>
      </x:c>
      <x:c r="R403">
        <x:v>88</x:v>
      </x:c>
      <x:c r="S403">
        <x:v>78</x:v>
      </x:c>
      <x:c r="T403">
        <x:v>51</x:v>
      </x:c>
      <x:c r="U403">
        <x:v>58</x:v>
      </x:c>
    </x:row>
    <x:row r="404">
      <x:c r="A404" t="s">
        <x:v>762</x:v>
      </x:c>
      <x:c r="B404" t="s">
        <x:v>372</x:v>
      </x:c>
      <x:c r="C404" t="s">
        <x:v>331</x:v>
      </x:c>
      <x:c r="D404">
        <x:v>8480246</x:v>
      </x:c>
      <x:c r="E404">
        <x:v>68</x:v>
      </x:c>
      <x:c r="F404">
        <x:v>40</x:v>
      </x:c>
      <x:c r="G404">
        <x:v>92</x:v>
      </x:c>
      <x:c r="H404">
        <x:v>39</x:v>
      </x:c>
      <x:c r="I404">
        <x:v>83</x:v>
      </x:c>
      <x:c r="J404">
        <x:v>90</x:v>
      </x:c>
      <x:c r="K404">
        <x:v>98</x:v>
      </x:c>
      <x:c r="L404">
        <x:v>38</x:v>
      </x:c>
      <x:c r="M404">
        <x:v>30</x:v>
      </x:c>
      <x:c r="N404">
        <x:v>51</x:v>
      </x:c>
      <x:c r="O404">
        <x:v>46</x:v>
      </x:c>
      <x:c r="P404">
        <x:v>78</x:v>
      </x:c>
      <x:c r="Q404">
        <x:v>52</x:v>
      </x:c>
      <x:c r="R404">
        <x:v>74</x:v>
      </x:c>
      <x:c r="S404">
        <x:v>70</x:v>
      </x:c>
      <x:c r="T404">
        <x:v>51</x:v>
      </x:c>
      <x:c r="U404">
        <x:v>58</x:v>
      </x:c>
    </x:row>
    <x:row r="405">
      <x:c r="A405" t="s">
        <x:v>763</x:v>
      </x:c>
      <x:c r="B405" t="s">
        <x:v>393</x:v>
      </x:c>
      <x:c r="C405" t="s">
        <x:v>331</x:v>
      </x:c>
      <x:c r="D405">
        <x:v>8481563</x:v>
      </x:c>
      <x:c r="E405">
        <x:v>74</x:v>
      </x:c>
      <x:c r="F405">
        <x:v>42</x:v>
      </x:c>
      <x:c r="G405">
        <x:v>85</x:v>
      </x:c>
      <x:c r="H405">
        <x:v>38</x:v>
      </x:c>
      <x:c r="I405">
        <x:v>84</x:v>
      </x:c>
      <x:c r="J405">
        <x:v>87</x:v>
      </x:c>
      <x:c r="K405">
        <x:v>84</x:v>
      </x:c>
      <x:c r="L405">
        <x:v>40</x:v>
      </x:c>
      <x:c r="M405">
        <x:v>30</x:v>
      </x:c>
      <x:c r="N405">
        <x:v>53</x:v>
      </x:c>
      <x:c r="O405">
        <x:v>46</x:v>
      </x:c>
      <x:c r="P405">
        <x:v>76</x:v>
      </x:c>
      <x:c r="Q405">
        <x:v>52</x:v>
      </x:c>
      <x:c r="R405">
        <x:v>69</x:v>
      </x:c>
      <x:c r="S405">
        <x:v>67</x:v>
      </x:c>
      <x:c r="T405">
        <x:v>51</x:v>
      </x:c>
      <x:c r="U405">
        <x:v>58</x:v>
      </x:c>
    </x:row>
    <x:row r="406">
      <x:c r="A406" t="s">
        <x:v>764</x:v>
      </x:c>
      <x:c r="B406" t="s">
        <x:v>436</x:v>
      </x:c>
      <x:c r="C406" t="s">
        <x:v>333</x:v>
      </x:c>
      <x:c r="D406">
        <x:v>8475799</x:v>
      </x:c>
      <x:c r="E406">
        <x:v>68</x:v>
      </x:c>
      <x:c r="F406">
        <x:v>40</x:v>
      </x:c>
      <x:c r="G406">
        <x:v>90</x:v>
      </x:c>
      <x:c r="H406">
        <x:v>53</x:v>
      </x:c>
      <x:c r="I406">
        <x:v>83</x:v>
      </x:c>
      <x:c r="J406">
        <x:v>84</x:v>
      </x:c>
      <x:c r="K406">
        <x:v>84</x:v>
      </x:c>
      <x:c r="L406">
        <x:v>55</x:v>
      </x:c>
      <x:c r="M406">
        <x:v>68</x:v>
      </x:c>
      <x:c r="N406">
        <x:v>53</x:v>
      </x:c>
      <x:c r="O406">
        <x:v>54</x:v>
      </x:c>
      <x:c r="P406">
        <x:v>61</x:v>
      </x:c>
      <x:c r="Q406">
        <x:v>56</x:v>
      </x:c>
      <x:c r="R406">
        <x:v>87</x:v>
      </x:c>
      <x:c r="S406">
        <x:v>79</x:v>
      </x:c>
      <x:c r="T406">
        <x:v>51</x:v>
      </x:c>
      <x:c r="U406">
        <x:v>58</x:v>
      </x:c>
    </x:row>
    <x:row r="407">
      <x:c r="A407" t="s">
        <x:v>765</x:v>
      </x:c>
      <x:c r="B407" t="s">
        <x:v>372</x:v>
      </x:c>
      <x:c r="C407" t="s">
        <x:v>323</x:v>
      </x:c>
      <x:c r="D407">
        <x:v>8482145</x:v>
      </x:c>
      <x:c r="E407">
        <x:v>65</x:v>
      </x:c>
      <x:c r="F407">
        <x:v>32</x:v>
      </x:c>
      <x:c r="G407">
        <x:v>92</x:v>
      </x:c>
      <x:c r="H407">
        <x:v>56</x:v>
      </x:c>
      <x:c r="I407">
        <x:v>76</x:v>
      </x:c>
      <x:c r="J407">
        <x:v>86</x:v>
      </x:c>
      <x:c r="K407">
        <x:v>97</x:v>
      </x:c>
      <x:c r="L407">
        <x:v>56</x:v>
      </x:c>
      <x:c r="M407">
        <x:v>79</x:v>
      </x:c>
      <x:c r="N407">
        <x:v>54</x:v>
      </x:c>
      <x:c r="O407">
        <x:v>57</x:v>
      </x:c>
      <x:c r="P407">
        <x:v>64</x:v>
      </x:c>
      <x:c r="Q407">
        <x:v>52</x:v>
      </x:c>
      <x:c r="R407">
        <x:v>69</x:v>
      </x:c>
      <x:c r="S407">
        <x:v>71</x:v>
      </x:c>
      <x:c r="T407">
        <x:v>51</x:v>
      </x:c>
      <x:c r="U407">
        <x:v>58</x:v>
      </x:c>
    </x:row>
    <x:row r="408">
      <x:c r="A408" t="s">
        <x:v>766</x:v>
      </x:c>
      <x:c r="B408" t="s">
        <x:v>372</x:v>
      </x:c>
      <x:c r="C408" t="s">
        <x:v>331</x:v>
      </x:c>
      <x:c r="D408">
        <x:v>8482715</x:v>
      </x:c>
      <x:c r="E408">
        <x:v>65</x:v>
      </x:c>
      <x:c r="F408">
        <x:v>33</x:v>
      </x:c>
      <x:c r="G408">
        <x:v>86</x:v>
      </x:c>
      <x:c r="H408">
        <x:v>43</x:v>
      </x:c>
      <x:c r="I408">
        <x:v>74</x:v>
      </x:c>
      <x:c r="J408">
        <x:v>83</x:v>
      </x:c>
      <x:c r="K408">
        <x:v>91</x:v>
      </x:c>
      <x:c r="L408">
        <x:v>42</x:v>
      </x:c>
      <x:c r="M408">
        <x:v>30</x:v>
      </x:c>
      <x:c r="N408">
        <x:v>56</x:v>
      </x:c>
      <x:c r="O408">
        <x:v>50</x:v>
      </x:c>
      <x:c r="P408">
        <x:v>71</x:v>
      </x:c>
      <x:c r="Q408">
        <x:v>55</x:v>
      </x:c>
      <x:c r="R408">
        <x:v>66</x:v>
      </x:c>
      <x:c r="S408">
        <x:v>67</x:v>
      </x:c>
      <x:c r="T408">
        <x:v>54</x:v>
      </x:c>
      <x:c r="U408">
        <x:v>58</x:v>
      </x:c>
    </x:row>
    <x:row r="409">
      <x:c r="A409" t="s">
        <x:v>767</x:v>
      </x:c>
      <x:c r="B409" t="s">
        <x:v>370</x:v>
      </x:c>
      <x:c r="C409" t="s">
        <x:v>339</x:v>
      </x:c>
      <x:c r="D409">
        <x:v>8482092</x:v>
      </x:c>
      <x:c r="E409">
        <x:v>69</x:v>
      </x:c>
      <x:c r="F409">
        <x:v>81</x:v>
      </x:c>
      <x:c r="G409">
        <x:v>76</x:v>
      </x:c>
      <x:c r="H409">
        <x:v>55</x:v>
      </x:c>
      <x:c r="I409">
        <x:v>79</x:v>
      </x:c>
      <x:c r="J409">
        <x:v>87</x:v>
      </x:c>
      <x:c r="K409">
        <x:v>94</x:v>
      </x:c>
      <x:c r="L409">
        <x:v>54</x:v>
      </x:c>
      <x:c r="M409">
        <x:v>84</x:v>
      </x:c>
      <x:c r="N409">
        <x:v>55</x:v>
      </x:c>
      <x:c r="O409">
        <x:v>55</x:v>
      </x:c>
      <x:c r="P409">
        <x:v>71</x:v>
      </x:c>
      <x:c r="Q409">
        <x:v>52</x:v>
      </x:c>
      <x:c r="R409">
        <x:v>69</x:v>
      </x:c>
      <x:c r="S409">
        <x:v>67</x:v>
      </x:c>
      <x:c r="T409">
        <x:v>51</x:v>
      </x:c>
      <x:c r="U409">
        <x:v>58</x:v>
      </x:c>
    </x:row>
    <x:row r="410">
      <x:c r="A410" t="s">
        <x:v>768</x:v>
      </x:c>
      <x:c r="B410" t="s">
        <x:v>436</x:v>
      </x:c>
      <x:c r="C410" t="s">
        <x:v>331</x:v>
      </x:c>
      <x:c r="D410">
        <x:v>8482176</x:v>
      </x:c>
      <x:c r="E410">
        <x:v>70</x:v>
      </x:c>
      <x:c r="F410">
        <x:v>33</x:v>
      </x:c>
      <x:c r="G410">
        <x:v>85</x:v>
      </x:c>
      <x:c r="H410">
        <x:v>38</x:v>
      </x:c>
      <x:c r="I410">
        <x:v>76</x:v>
      </x:c>
      <x:c r="J410">
        <x:v>90</x:v>
      </x:c>
      <x:c r="K410">
        <x:v>96</x:v>
      </x:c>
      <x:c r="L410">
        <x:v>40</x:v>
      </x:c>
      <x:c r="M410">
        <x:v>30</x:v>
      </x:c>
      <x:c r="N410">
        <x:v>51</x:v>
      </x:c>
      <x:c r="O410">
        <x:v>47</x:v>
      </x:c>
      <x:c r="P410">
        <x:v>77</x:v>
      </x:c>
      <x:c r="Q410">
        <x:v>52</x:v>
      </x:c>
      <x:c r="R410">
        <x:v>68</x:v>
      </x:c>
      <x:c r="S410">
        <x:v>72</x:v>
      </x:c>
      <x:c r="T410">
        <x:v>51</x:v>
      </x:c>
      <x:c r="U410">
        <x:v>58</x:v>
      </x:c>
    </x:row>
    <x:row r="411">
      <x:c r="A411" t="s">
        <x:v>769</x:v>
      </x:c>
      <x:c r="B411" t="s">
        <x:v>372</x:v>
      </x:c>
      <x:c r="C411" t="s">
        <x:v>329</x:v>
      </x:c>
      <x:c r="D411">
        <x:v>8479525</x:v>
      </x:c>
      <x:c r="E411">
        <x:v>77</x:v>
      </x:c>
      <x:c r="F411">
        <x:v>51</x:v>
      </x:c>
      <x:c r="G411">
        <x:v>95</x:v>
      </x:c>
      <x:c r="H411">
        <x:v>54</x:v>
      </x:c>
      <x:c r="I411">
        <x:v>78</x:v>
      </x:c>
      <x:c r="J411">
        <x:v>83</x:v>
      </x:c>
      <x:c r="K411">
        <x:v>89</x:v>
      </x:c>
      <x:c r="L411">
        <x:v>54</x:v>
      </x:c>
      <x:c r="M411">
        <x:v>74</x:v>
      </x:c>
      <x:c r="N411">
        <x:v>53</x:v>
      </x:c>
      <x:c r="O411">
        <x:v>54</x:v>
      </x:c>
      <x:c r="P411">
        <x:v>63</x:v>
      </x:c>
      <x:c r="Q411">
        <x:v>67</x:v>
      </x:c>
      <x:c r="R411">
        <x:v>78</x:v>
      </x:c>
      <x:c r="S411">
        <x:v>74</x:v>
      </x:c>
      <x:c r="T411">
        <x:v>51</x:v>
      </x:c>
      <x:c r="U411">
        <x:v>58</x:v>
      </x:c>
    </x:row>
    <x:row r="412">
      <x:c r="A412" t="s">
        <x:v>770</x:v>
      </x:c>
      <x:c r="B412" t="s">
        <x:v>356</x:v>
      </x:c>
      <x:c r="C412" t="s">
        <x:v>331</x:v>
      </x:c>
      <x:c r="D412">
        <x:v>8482964</x:v>
      </x:c>
      <x:c r="E412">
        <x:v>85</x:v>
      </x:c>
      <x:c r="F412">
        <x:v>91</x:v>
      </x:c>
      <x:c r="G412">
        <x:v>71</x:v>
      </x:c>
      <x:c r="H412">
        <x:v>36</x:v>
      </x:c>
      <x:c r="I412">
        <x:v>92</x:v>
      </x:c>
      <x:c r="J412">
        <x:v>83</x:v>
      </x:c>
      <x:c r="K412">
        <x:v>87</x:v>
      </x:c>
      <x:c r="L412">
        <x:v>37</x:v>
      </x:c>
      <x:c r="M412">
        <x:v>30</x:v>
      </x:c>
      <x:c r="N412">
        <x:v>48</x:v>
      </x:c>
      <x:c r="O412">
        <x:v>45</x:v>
      </x:c>
      <x:c r="P412">
        <x:v>74</x:v>
      </x:c>
      <x:c r="Q412">
        <x:v>52</x:v>
      </x:c>
      <x:c r="R412">
        <x:v>69</x:v>
      </x:c>
      <x:c r="S412">
        <x:v>68</x:v>
      </x:c>
      <x:c r="T412">
        <x:v>54</x:v>
      </x:c>
      <x:c r="U412">
        <x:v>58</x:v>
      </x:c>
    </x:row>
    <x:row r="413">
      <x:c r="A413" t="s">
        <x:v>771</x:v>
      </x:c>
      <x:c r="B413" t="s">
        <x:v>337</x:v>
      </x:c>
      <x:c r="C413" t="s">
        <x:v>333</x:v>
      </x:c>
      <x:c r="D413">
        <x:v>8478856</x:v>
      </x:c>
      <x:c r="E413">
        <x:v>62</x:v>
      </x:c>
      <x:c r="F413">
        <x:v>77</x:v>
      </x:c>
      <x:c r="G413">
        <x:v>87</x:v>
      </x:c>
      <x:c r="H413">
        <x:v>55</x:v>
      </x:c>
      <x:c r="I413">
        <x:v>76</x:v>
      </x:c>
      <x:c r="J413">
        <x:v>88</x:v>
      </x:c>
      <x:c r="K413">
        <x:v>90</x:v>
      </x:c>
      <x:c r="L413">
        <x:v>56</x:v>
      </x:c>
      <x:c r="M413">
        <x:v>69</x:v>
      </x:c>
      <x:c r="N413">
        <x:v>56</x:v>
      </x:c>
      <x:c r="O413">
        <x:v>56</x:v>
      </x:c>
      <x:c r="P413">
        <x:v>68</x:v>
      </x:c>
      <x:c r="Q413">
        <x:v>75</x:v>
      </x:c>
      <x:c r="R413">
        <x:v>79</x:v>
      </x:c>
      <x:c r="S413">
        <x:v>72</x:v>
      </x:c>
      <x:c r="T413">
        <x:v>51</x:v>
      </x:c>
      <x:c r="U413">
        <x:v>58</x:v>
      </x:c>
    </x:row>
    <x:row r="414">
      <x:c r="A414" t="s">
        <x:v>772</x:v>
      </x:c>
      <x:c r="B414" t="s">
        <x:v>337</x:v>
      </x:c>
      <x:c r="C414" t="s">
        <x:v>339</x:v>
      </x:c>
      <x:c r="D414">
        <x:v>8482705</x:v>
      </x:c>
      <x:c r="E414">
        <x:v>69</x:v>
      </x:c>
      <x:c r="F414">
        <x:v>60</x:v>
      </x:c>
      <x:c r="G414">
        <x:v>86</x:v>
      </x:c>
      <x:c r="H414">
        <x:v>53</x:v>
      </x:c>
      <x:c r="I414">
        <x:v>83</x:v>
      </x:c>
      <x:c r="J414">
        <x:v>85</x:v>
      </x:c>
      <x:c r="K414">
        <x:v>96</x:v>
      </x:c>
      <x:c r="L414">
        <x:v>55</x:v>
      </x:c>
      <x:c r="M414">
        <x:v>75</x:v>
      </x:c>
      <x:c r="N414">
        <x:v>56</x:v>
      </x:c>
      <x:c r="O414">
        <x:v>52</x:v>
      </x:c>
      <x:c r="P414">
        <x:v>68</x:v>
      </x:c>
      <x:c r="Q414">
        <x:v>52</x:v>
      </x:c>
      <x:c r="R414">
        <x:v>69</x:v>
      </x:c>
      <x:c r="S414">
        <x:v>78</x:v>
      </x:c>
      <x:c r="T414">
        <x:v>51</x:v>
      </x:c>
      <x:c r="U414">
        <x:v>58</x:v>
      </x:c>
    </x:row>
    <x:row r="415">
      <x:c r="A415" t="s">
        <x:v>773</x:v>
      </x:c>
      <x:c r="B415" t="s">
        <x:v>354</x:v>
      </x:c>
      <x:c r="C415" t="s">
        <x:v>329</x:v>
      </x:c>
      <x:c r="D415">
        <x:v>8479353</x:v>
      </x:c>
      <x:c r="E415">
        <x:v>71</x:v>
      </x:c>
      <x:c r="F415">
        <x:v>60</x:v>
      </x:c>
      <x:c r="G415">
        <x:v>79</x:v>
      </x:c>
      <x:c r="H415">
        <x:v>54</x:v>
      </x:c>
      <x:c r="I415">
        <x:v>80</x:v>
      </x:c>
      <x:c r="J415">
        <x:v>85</x:v>
      </x:c>
      <x:c r="K415">
        <x:v>82</x:v>
      </x:c>
      <x:c r="L415">
        <x:v>55</x:v>
      </x:c>
      <x:c r="M415">
        <x:v>86</x:v>
      </x:c>
      <x:c r="N415">
        <x:v>52</x:v>
      </x:c>
      <x:c r="O415">
        <x:v>57</x:v>
      </x:c>
      <x:c r="P415">
        <x:v>67</x:v>
      </x:c>
      <x:c r="Q415">
        <x:v>52</x:v>
      </x:c>
      <x:c r="R415">
        <x:v>75</x:v>
      </x:c>
      <x:c r="S415">
        <x:v>72</x:v>
      </x:c>
      <x:c r="T415">
        <x:v>51</x:v>
      </x:c>
      <x:c r="U415">
        <x:v>58</x:v>
      </x:c>
    </x:row>
    <x:row r="416">
      <x:c r="A416" t="s">
        <x:v>774</x:v>
      </x:c>
      <x:c r="B416" t="s">
        <x:v>393</x:v>
      </x:c>
      <x:c r="C416" t="s">
        <x:v>358</x:v>
      </x:c>
      <x:c r="D416">
        <x:v>8478421</x:v>
      </x:c>
      <x:c r="E416">
        <x:v>81</x:v>
      </x:c>
      <x:c r="F416">
        <x:v>89</x:v>
      </x:c>
      <x:c r="G416">
        <x:v>73</x:v>
      </x:c>
      <x:c r="H416">
        <x:v>52</x:v>
      </x:c>
      <x:c r="I416">
        <x:v>86</x:v>
      </x:c>
      <x:c r="J416">
        <x:v>83</x:v>
      </x:c>
      <x:c r="K416">
        <x:v>95</x:v>
      </x:c>
      <x:c r="L416">
        <x:v>53</x:v>
      </x:c>
      <x:c r="M416">
        <x:v>66</x:v>
      </x:c>
      <x:c r="N416">
        <x:v>52</x:v>
      </x:c>
      <x:c r="O416">
        <x:v>56</x:v>
      </x:c>
      <x:c r="P416">
        <x:v>65</x:v>
      </x:c>
      <x:c r="Q416">
        <x:v>52</x:v>
      </x:c>
      <x:c r="R416">
        <x:v>77</x:v>
      </x:c>
      <x:c r="S416">
        <x:v>72</x:v>
      </x:c>
      <x:c r="T416">
        <x:v>51</x:v>
      </x:c>
      <x:c r="U416">
        <x:v>58</x:v>
      </x:c>
    </x:row>
    <x:row r="417">
      <x:c r="A417" t="s">
        <x:v>775</x:v>
      </x:c>
      <x:c r="B417" t="s">
        <x:v>427</x:v>
      </x:c>
      <x:c r="C417" t="s">
        <x:v>329</x:v>
      </x:c>
      <x:c r="D417">
        <x:v>8478569</x:v>
      </x:c>
      <x:c r="E417">
        <x:v>68</x:v>
      </x:c>
      <x:c r="F417">
        <x:v>54</x:v>
      </x:c>
      <x:c r="G417">
        <x:v>91</x:v>
      </x:c>
      <x:c r="H417">
        <x:v>52</x:v>
      </x:c>
      <x:c r="I417">
        <x:v>82</x:v>
      </x:c>
      <x:c r="J417">
        <x:v>84</x:v>
      </x:c>
      <x:c r="K417">
        <x:v>87</x:v>
      </x:c>
      <x:c r="L417">
        <x:v>52</x:v>
      </x:c>
      <x:c r="M417">
        <x:v>86</x:v>
      </x:c>
      <x:c r="N417">
        <x:v>51</x:v>
      </x:c>
      <x:c r="O417">
        <x:v>55</x:v>
      </x:c>
      <x:c r="P417">
        <x:v>74</x:v>
      </x:c>
      <x:c r="Q417">
        <x:v>52</x:v>
      </x:c>
      <x:c r="R417">
        <x:v>85</x:v>
      </x:c>
      <x:c r="S417">
        <x:v>76</x:v>
      </x:c>
      <x:c r="T417">
        <x:v>51</x:v>
      </x:c>
      <x:c r="U417">
        <x:v>58</x:v>
      </x:c>
    </x:row>
    <x:row r="418">
      <x:c r="A418" t="s">
        <x:v>776</x:v>
      </x:c>
      <x:c r="B418" t="s">
        <x:v>481</x:v>
      </x:c>
      <x:c r="C418" t="s">
        <x:v>326</x:v>
      </x:c>
      <x:c r="D418">
        <x:v>8482713</x:v>
      </x:c>
      <x:c r="E418">
        <x:v>72</x:v>
      </x:c>
      <x:c r="F418">
        <x:v>33</x:v>
      </x:c>
      <x:c r="G418">
        <x:v>87</x:v>
      </x:c>
      <x:c r="H418">
        <x:v>55</x:v>
      </x:c>
      <x:c r="I418">
        <x:v>77</x:v>
      </x:c>
      <x:c r="J418">
        <x:v>84</x:v>
      </x:c>
      <x:c r="K418">
        <x:v>93</x:v>
      </x:c>
      <x:c r="L418">
        <x:v>54</x:v>
      </x:c>
      <x:c r="M418">
        <x:v>67</x:v>
      </x:c>
      <x:c r="N418">
        <x:v>54</x:v>
      </x:c>
      <x:c r="O418">
        <x:v>55</x:v>
      </x:c>
      <x:c r="P418">
        <x:v>63</x:v>
      </x:c>
      <x:c r="Q418">
        <x:v>54</x:v>
      </x:c>
      <x:c r="R418">
        <x:v>69</x:v>
      </x:c>
      <x:c r="S418">
        <x:v>73</x:v>
      </x:c>
      <x:c r="T418">
        <x:v>51</x:v>
      </x:c>
      <x:c r="U418">
        <x:v>58</x:v>
      </x:c>
    </x:row>
    <x:row r="419">
      <x:c r="A419" t="s">
        <x:v>777</x:v>
      </x:c>
      <x:c r="B419" t="s">
        <x:v>400</x:v>
      </x:c>
      <x:c r="C419" t="s">
        <x:v>339</x:v>
      </x:c>
      <x:c r="D419">
        <x:v>8480185</x:v>
      </x:c>
      <x:c r="E419">
        <x:v>72</x:v>
      </x:c>
      <x:c r="F419">
        <x:v>40</x:v>
      </x:c>
      <x:c r="G419">
        <x:v>85</x:v>
      </x:c>
      <x:c r="H419">
        <x:v>54</x:v>
      </x:c>
      <x:c r="I419">
        <x:v>82</x:v>
      </x:c>
      <x:c r="J419">
        <x:v>87</x:v>
      </x:c>
      <x:c r="K419">
        <x:v>91</x:v>
      </x:c>
      <x:c r="L419">
        <x:v>54</x:v>
      </x:c>
      <x:c r="M419">
        <x:v>78</x:v>
      </x:c>
      <x:c r="N419">
        <x:v>55</x:v>
      </x:c>
      <x:c r="O419">
        <x:v>54</x:v>
      </x:c>
      <x:c r="P419">
        <x:v>70</x:v>
      </x:c>
      <x:c r="Q419">
        <x:v>55</x:v>
      </x:c>
      <x:c r="R419">
        <x:v>75</x:v>
      </x:c>
      <x:c r="S419">
        <x:v>71</x:v>
      </x:c>
      <x:c r="T419">
        <x:v>51</x:v>
      </x:c>
      <x:c r="U419">
        <x:v>58</x:v>
      </x:c>
    </x:row>
    <x:row r="420">
      <x:c r="A420" t="s">
        <x:v>778</x:v>
      </x:c>
      <x:c r="B420" t="s">
        <x:v>327</x:v>
      </x:c>
      <x:c r="C420" t="s">
        <x:v>331</x:v>
      </x:c>
      <x:c r="D420">
        <x:v>8482929</x:v>
      </x:c>
      <x:c r="E420">
        <x:v>79</x:v>
      </x:c>
      <x:c r="F420">
        <x:v>83</x:v>
      </x:c>
      <x:c r="G420">
        <x:v>74</x:v>
      </x:c>
      <x:c r="H420">
        <x:v>38</x:v>
      </x:c>
      <x:c r="I420">
        <x:v>88</x:v>
      </x:c>
      <x:c r="J420">
        <x:v>87</x:v>
      </x:c>
      <x:c r="K420">
        <x:v>81</x:v>
      </x:c>
      <x:c r="L420">
        <x:v>37</x:v>
      </x:c>
      <x:c r="M420">
        <x:v>30</x:v>
      </x:c>
      <x:c r="N420">
        <x:v>52</x:v>
      </x:c>
      <x:c r="O420">
        <x:v>47</x:v>
      </x:c>
      <x:c r="P420">
        <x:v>75</x:v>
      </x:c>
      <x:c r="Q420">
        <x:v>52</x:v>
      </x:c>
      <x:c r="R420">
        <x:v>69</x:v>
      </x:c>
      <x:c r="S420">
        <x:v>66</x:v>
      </x:c>
      <x:c r="T420">
        <x:v>54</x:v>
      </x:c>
      <x:c r="U420">
        <x:v>58</x:v>
      </x:c>
    </x:row>
    <x:row r="421">
      <x:c r="A421" t="s">
        <x:v>779</x:v>
      </x:c>
      <x:c r="B421" t="s">
        <x:v>324</x:v>
      </x:c>
      <x:c r="C421" t="s">
        <x:v>331</x:v>
      </x:c>
      <x:c r="D421">
        <x:v>8478454</x:v>
      </x:c>
      <x:c r="E421">
        <x:v>81</x:v>
      </x:c>
      <x:c r="F421">
        <x:v>70</x:v>
      </x:c>
      <x:c r="G421">
        <x:v>91</x:v>
      </x:c>
      <x:c r="H421">
        <x:v>37</x:v>
      </x:c>
      <x:c r="I421">
        <x:v>86</x:v>
      </x:c>
      <x:c r="J421">
        <x:v>84</x:v>
      </x:c>
      <x:c r="K421">
        <x:v>77</x:v>
      </x:c>
      <x:c r="L421">
        <x:v>36</x:v>
      </x:c>
      <x:c r="M421">
        <x:v>30</x:v>
      </x:c>
      <x:c r="N421">
        <x:v>51</x:v>
      </x:c>
      <x:c r="O421">
        <x:v>45</x:v>
      </x:c>
      <x:c r="P421">
        <x:v>75</x:v>
      </x:c>
      <x:c r="Q421">
        <x:v>52</x:v>
      </x:c>
      <x:c r="R421">
        <x:v>75</x:v>
      </x:c>
      <x:c r="S421">
        <x:v>71</x:v>
      </x:c>
      <x:c r="T421">
        <x:v>51</x:v>
      </x:c>
      <x:c r="U421">
        <x:v>58</x:v>
      </x:c>
    </x:row>
    <x:row r="422">
      <x:c r="A422" t="s">
        <x:v>780</x:v>
      </x:c>
      <x:c r="B422" t="s">
        <x:v>348</x:v>
      </x:c>
      <x:c r="C422" t="s">
        <x:v>333</x:v>
      </x:c>
      <x:c r="D422">
        <x:v>8482149</x:v>
      </x:c>
      <x:c r="E422">
        <x:v>64</x:v>
      </x:c>
      <x:c r="F422">
        <x:v>32</x:v>
      </x:c>
      <x:c r="G422">
        <x:v>90</x:v>
      </x:c>
      <x:c r="H422">
        <x:v>56</x:v>
      </x:c>
      <x:c r="I422">
        <x:v>75</x:v>
      </x:c>
      <x:c r="J422">
        <x:v>86</x:v>
      </x:c>
      <x:c r="K422">
        <x:v>89</x:v>
      </x:c>
      <x:c r="L422">
        <x:v>57</x:v>
      </x:c>
      <x:c r="M422">
        <x:v>68</x:v>
      </x:c>
      <x:c r="N422">
        <x:v>56</x:v>
      </x:c>
      <x:c r="O422">
        <x:v>56</x:v>
      </x:c>
      <x:c r="P422">
        <x:v>62</x:v>
      </x:c>
      <x:c r="Q422">
        <x:v>65</x:v>
      </x:c>
      <x:c r="R422">
        <x:v>70</x:v>
      </x:c>
      <x:c r="S422">
        <x:v>77</x:v>
      </x:c>
      <x:c r="T422">
        <x:v>51</x:v>
      </x:c>
      <x:c r="U422">
        <x:v>58</x:v>
      </x:c>
    </x:row>
    <x:row r="423">
      <x:c r="A423" t="s">
        <x:v>781</x:v>
      </x:c>
      <x:c r="B423" t="s">
        <x:v>343</x:v>
      </x:c>
      <x:c r="C423" t="s">
        <x:v>339</x:v>
      </x:c>
      <x:c r="D423">
        <x:v>8479351</x:v>
      </x:c>
      <x:c r="E423">
        <x:v>66</x:v>
      </x:c>
      <x:c r="F423">
        <x:v>39</x:v>
      </x:c>
      <x:c r="G423">
        <x:v>88</x:v>
      </x:c>
      <x:c r="H423">
        <x:v>55</x:v>
      </x:c>
      <x:c r="I423">
        <x:v>77</x:v>
      </x:c>
      <x:c r="J423">
        <x:v>86</x:v>
      </x:c>
      <x:c r="K423">
        <x:v>91</x:v>
      </x:c>
      <x:c r="L423">
        <x:v>53</x:v>
      </x:c>
      <x:c r="M423">
        <x:v>83</x:v>
      </x:c>
      <x:c r="N423">
        <x:v>55</x:v>
      </x:c>
      <x:c r="O423">
        <x:v>54</x:v>
      </x:c>
      <x:c r="P423">
        <x:v>70</x:v>
      </x:c>
      <x:c r="Q423">
        <x:v>53</x:v>
      </x:c>
      <x:c r="R423">
        <x:v>75</x:v>
      </x:c>
      <x:c r="S423">
        <x:v>69</x:v>
      </x:c>
      <x:c r="T423">
        <x:v>51</x:v>
      </x:c>
      <x:c r="U423">
        <x:v>58</x:v>
      </x:c>
    </x:row>
    <x:row r="424">
      <x:c r="A424" t="s">
        <x:v>782</x:v>
      </x:c>
      <x:c r="B424" t="s">
        <x:v>370</x:v>
      </x:c>
      <x:c r="C424" t="s">
        <x:v>333</x:v>
      </x:c>
      <x:c r="D424">
        <x:v>8477444</x:v>
      </x:c>
      <x:c r="E424">
        <x:v>58</x:v>
      </x:c>
      <x:c r="F424">
        <x:v>39</x:v>
      </x:c>
      <x:c r="G424">
        <x:v>93</x:v>
      </x:c>
      <x:c r="H424">
        <x:v>55</x:v>
      </x:c>
      <x:c r="I424">
        <x:v>82</x:v>
      </x:c>
      <x:c r="J424">
        <x:v>86</x:v>
      </x:c>
      <x:c r="K424">
        <x:v>92</x:v>
      </x:c>
      <x:c r="L424">
        <x:v>56</x:v>
      </x:c>
      <x:c r="M424">
        <x:v>67</x:v>
      </x:c>
      <x:c r="N424">
        <x:v>56</x:v>
      </x:c>
      <x:c r="O424">
        <x:v>54</x:v>
      </x:c>
      <x:c r="P424">
        <x:v>61</x:v>
      </x:c>
      <x:c r="Q424">
        <x:v>65</x:v>
      </x:c>
      <x:c r="R424">
        <x:v>81</x:v>
      </x:c>
      <x:c r="S424">
        <x:v>74</x:v>
      </x:c>
      <x:c r="T424">
        <x:v>51</x:v>
      </x:c>
      <x:c r="U424">
        <x:v>58</x:v>
      </x:c>
    </x:row>
    <x:row r="425">
      <x:c r="A425" t="s">
        <x:v>783</x:v>
      </x:c>
      <x:c r="B425" t="s">
        <x:v>576</x:v>
      </x:c>
      <x:c r="C425" t="s">
        <x:v>358</x:v>
      </x:c>
      <x:c r="D425">
        <x:v>8480797</x:v>
      </x:c>
      <x:c r="E425">
        <x:v>62</x:v>
      </x:c>
      <x:c r="F425">
        <x:v>57</x:v>
      </x:c>
      <x:c r="G425">
        <x:v>91</x:v>
      </x:c>
      <x:c r="H425">
        <x:v>56</x:v>
      </x:c>
      <x:c r="I425">
        <x:v>79</x:v>
      </x:c>
      <x:c r="J425">
        <x:v>87</x:v>
      </x:c>
      <x:c r="K425">
        <x:v>99</x:v>
      </x:c>
      <x:c r="L425">
        <x:v>54</x:v>
      </x:c>
      <x:c r="M425">
        <x:v>71</x:v>
      </x:c>
      <x:c r="N425">
        <x:v>53</x:v>
      </x:c>
      <x:c r="O425">
        <x:v>57</x:v>
      </x:c>
      <x:c r="P425">
        <x:v>69</x:v>
      </x:c>
      <x:c r="Q425">
        <x:v>67</x:v>
      </x:c>
      <x:c r="R425">
        <x:v>72</x:v>
      </x:c>
      <x:c r="S425">
        <x:v>75</x:v>
      </x:c>
      <x:c r="T425">
        <x:v>51</x:v>
      </x:c>
      <x:c r="U425">
        <x:v>58</x:v>
      </x:c>
    </x:row>
    <x:row r="426">
      <x:c r="A426" t="s">
        <x:v>784</x:v>
      </x:c>
      <x:c r="B426" t="s">
        <x:v>393</x:v>
      </x:c>
      <x:c r="C426" t="s">
        <x:v>331</x:v>
      </x:c>
      <x:c r="D426">
        <x:v>8482166</x:v>
      </x:c>
      <x:c r="E426">
        <x:v>71</x:v>
      </x:c>
      <x:c r="F426">
        <x:v>40</x:v>
      </x:c>
      <x:c r="G426">
        <x:v>85</x:v>
      </x:c>
      <x:c r="H426">
        <x:v>39</x:v>
      </x:c>
      <x:c r="I426">
        <x:v>83</x:v>
      </x:c>
      <x:c r="J426">
        <x:v>88</x:v>
      </x:c>
      <x:c r="K426">
        <x:v>78</x:v>
      </x:c>
      <x:c r="L426">
        <x:v>40</x:v>
      </x:c>
      <x:c r="M426">
        <x:v>30</x:v>
      </x:c>
      <x:c r="N426">
        <x:v>52</x:v>
      </x:c>
      <x:c r="O426">
        <x:v>48</x:v>
      </x:c>
      <x:c r="P426">
        <x:v>76</x:v>
      </x:c>
      <x:c r="Q426">
        <x:v>52</x:v>
      </x:c>
      <x:c r="R426">
        <x:v>68</x:v>
      </x:c>
      <x:c r="S426">
        <x:v>66</x:v>
      </x:c>
      <x:c r="T426">
        <x:v>51</x:v>
      </x:c>
      <x:c r="U426">
        <x:v>58</x:v>
      </x:c>
    </x:row>
    <x:row r="427">
      <x:c r="A427" t="s">
        <x:v>785</x:v>
      </x:c>
      <x:c r="B427" t="s">
        <x:v>402</x:v>
      </x:c>
      <x:c r="C427" t="s">
        <x:v>331</x:v>
      </x:c>
      <x:c r="D427">
        <x:v>8484873</x:v>
      </x:c>
      <x:c r="E427">
        <x:v>71</x:v>
      </x:c>
      <x:c r="F427">
        <x:v>31</x:v>
      </x:c>
      <x:c r="G427">
        <x:v>80</x:v>
      </x:c>
      <x:c r="H427">
        <x:v>43</x:v>
      </x:c>
      <x:c r="I427">
        <x:v>73</x:v>
      </x:c>
      <x:c r="J427">
        <x:v>85</x:v>
      </x:c>
      <x:c r="K427">
        <x:v>35</x:v>
      </x:c>
      <x:c r="L427">
        <x:v>42</x:v>
      </x:c>
      <x:c r="M427">
        <x:v>30</x:v>
      </x:c>
      <x:c r="N427">
        <x:v>56</x:v>
      </x:c>
      <x:c r="O427">
        <x:v>51</x:v>
      </x:c>
      <x:c r="P427">
        <x:v>69</x:v>
      </x:c>
      <x:c r="Q427">
        <x:v>51</x:v>
      </x:c>
      <x:c r="R427">
        <x:v>64</x:v>
      </x:c>
      <x:c r="S427">
        <x:v>65</x:v>
      </x:c>
      <x:c r="T427">
        <x:v>54</x:v>
      </x:c>
      <x:c r="U427">
        <x:v>58</x:v>
      </x:c>
    </x:row>
    <x:row r="428">
      <x:c r="A428" t="s">
        <x:v>786</x:v>
      </x:c>
      <x:c r="B428" t="s">
        <x:v>354</x:v>
      </x:c>
      <x:c r="C428" t="s">
        <x:v>319</x:v>
      </x:c>
      <x:c r="D428">
        <x:v>8476448</x:v>
      </x:c>
      <x:c r="E428">
        <x:v>59</x:v>
      </x:c>
      <x:c r="F428">
        <x:v>34</x:v>
      </x:c>
      <x:c r="G428">
        <x:v>89</x:v>
      </x:c>
      <x:c r="H428">
        <x:v>55</x:v>
      </x:c>
      <x:c r="I428">
        <x:v>77</x:v>
      </x:c>
      <x:c r="J428">
        <x:v>83</x:v>
      </x:c>
      <x:c r="K428">
        <x:v>43</x:v>
      </x:c>
      <x:c r="L428">
        <x:v>55</x:v>
      </x:c>
      <x:c r="M428">
        <x:v>90</x:v>
      </x:c>
      <x:c r="N428">
        <x:v>55</x:v>
      </x:c>
      <x:c r="O428">
        <x:v>58</x:v>
      </x:c>
      <x:c r="P428">
        <x:v>67</x:v>
      </x:c>
      <x:c r="Q428">
        <x:v>58</x:v>
      </x:c>
      <x:c r="R428">
        <x:v>85</x:v>
      </x:c>
      <x:c r="S428">
        <x:v>82</x:v>
      </x:c>
      <x:c r="T428">
        <x:v>51</x:v>
      </x:c>
      <x:c r="U428">
        <x:v>58</x:v>
      </x:c>
    </x:row>
    <x:row r="429">
      <x:c r="A429" t="s">
        <x:v>787</x:v>
      </x:c>
      <x:c r="B429" t="s">
        <x:v>343</x:v>
      </x:c>
      <x:c r="C429" t="s">
        <x:v>331</x:v>
      </x:c>
      <x:c r="D429">
        <x:v>8476856</x:v>
      </x:c>
      <x:c r="E429">
        <x:v>82</x:v>
      </x:c>
      <x:c r="F429">
        <x:v>85</x:v>
      </x:c>
      <x:c r="G429">
        <x:v>80</x:v>
      </x:c>
      <x:c r="H429">
        <x:v>39</x:v>
      </x:c>
      <x:c r="I429">
        <x:v>79</x:v>
      </x:c>
      <x:c r="J429">
        <x:v>83</x:v>
      </x:c>
      <x:c r="K429">
        <x:v>74</x:v>
      </x:c>
      <x:c r="L429">
        <x:v>39</x:v>
      </x:c>
      <x:c r="M429">
        <x:v>30</x:v>
      </x:c>
      <x:c r="N429">
        <x:v>49</x:v>
      </x:c>
      <x:c r="O429">
        <x:v>46</x:v>
      </x:c>
      <x:c r="P429">
        <x:v>77</x:v>
      </x:c>
      <x:c r="Q429">
        <x:v>52</x:v>
      </x:c>
      <x:c r="R429">
        <x:v>83</x:v>
      </x:c>
      <x:c r="S429">
        <x:v>78</x:v>
      </x:c>
      <x:c r="T429">
        <x:v>51</x:v>
      </x:c>
      <x:c r="U429">
        <x:v>58</x:v>
      </x:c>
    </x:row>
    <x:row r="430">
      <x:c r="A430" t="s">
        <x:v>788</x:v>
      </x:c>
      <x:c r="B430" t="s">
        <x:v>427</x:v>
      </x:c>
      <x:c r="C430" t="s">
        <x:v>326</x:v>
      </x:c>
      <x:c r="D430">
        <x:v>8482159</x:v>
      </x:c>
      <x:c r="E430">
        <x:v>66</x:v>
      </x:c>
      <x:c r="F430">
        <x:v>41</x:v>
      </x:c>
      <x:c r="G430">
        <x:v>79</x:v>
      </x:c>
      <x:c r="H430">
        <x:v>54</x:v>
      </x:c>
      <x:c r="I430">
        <x:v>81</x:v>
      </x:c>
      <x:c r="J430">
        <x:v>87</x:v>
      </x:c>
      <x:c r="K430">
        <x:v>65</x:v>
      </x:c>
      <x:c r="L430">
        <x:v>55</x:v>
      </x:c>
      <x:c r="M430">
        <x:v>68</x:v>
      </x:c>
      <x:c r="N430">
        <x:v>52</x:v>
      </x:c>
      <x:c r="O430">
        <x:v>63</x:v>
      </x:c>
      <x:c r="P430">
        <x:v>67</x:v>
      </x:c>
      <x:c r="Q430">
        <x:v>74</x:v>
      </x:c>
      <x:c r="R430">
        <x:v>70</x:v>
      </x:c>
      <x:c r="S430">
        <x:v>77</x:v>
      </x:c>
      <x:c r="T430">
        <x:v>51</x:v>
      </x:c>
      <x:c r="U430">
        <x:v>58</x:v>
      </x:c>
    </x:row>
    <x:row r="431">
      <x:c r="A431" t="s">
        <x:v>789</x:v>
      </x:c>
      <x:c r="B431" t="s">
        <x:v>356</x:v>
      </x:c>
      <x:c r="C431" t="s">
        <x:v>319</x:v>
      </x:c>
      <x:c r="D431">
        <x:v>8478133</x:v>
      </x:c>
      <x:c r="E431">
        <x:v>69</x:v>
      </x:c>
      <x:c r="F431">
        <x:v>35</x:v>
      </x:c>
      <x:c r="G431">
        <x:v>87</x:v>
      </x:c>
      <x:c r="H431">
        <x:v>54</x:v>
      </x:c>
      <x:c r="I431">
        <x:v>78</x:v>
      </x:c>
      <x:c r="J431">
        <x:v>85</x:v>
      </x:c>
      <x:c r="K431">
        <x:v>89</x:v>
      </x:c>
      <x:c r="L431">
        <x:v>54</x:v>
      </x:c>
      <x:c r="M431">
        <x:v>90</x:v>
      </x:c>
      <x:c r="N431">
        <x:v>53</x:v>
      </x:c>
      <x:c r="O431">
        <x:v>55</x:v>
      </x:c>
      <x:c r="P431">
        <x:v>73</x:v>
      </x:c>
      <x:c r="Q431">
        <x:v>52</x:v>
      </x:c>
      <x:c r="R431">
        <x:v>78</x:v>
      </x:c>
      <x:c r="S431">
        <x:v>73</x:v>
      </x:c>
      <x:c r="T431">
        <x:v>51</x:v>
      </x:c>
      <x:c r="U431">
        <x:v>58</x:v>
      </x:c>
    </x:row>
    <x:row r="432">
      <x:c r="A432" t="s">
        <x:v>790</x:v>
      </x:c>
      <x:c r="B432" t="s">
        <x:v>345</x:v>
      </x:c>
      <x:c r="C432" t="s">
        <x:v>333</x:v>
      </x:c>
      <x:c r="D432">
        <x:v>8473422</x:v>
      </x:c>
      <x:c r="E432">
        <x:v>79</x:v>
      </x:c>
      <x:c r="F432">
        <x:v>85</x:v>
      </x:c>
      <x:c r="G432">
        <x:v>83</x:v>
      </x:c>
      <x:c r="H432">
        <x:v>51</x:v>
      </x:c>
      <x:c r="I432">
        <x:v>84</x:v>
      </x:c>
      <x:c r="J432">
        <x:v>84</x:v>
      </x:c>
      <x:c r="K432">
        <x:v>80</x:v>
      </x:c>
      <x:c r="L432">
        <x:v>52</x:v>
      </x:c>
      <x:c r="M432">
        <x:v>85</x:v>
      </x:c>
      <x:c r="N432">
        <x:v>53</x:v>
      </x:c>
      <x:c r="O432">
        <x:v>52</x:v>
      </x:c>
      <x:c r="P432">
        <x:v>68</x:v>
      </x:c>
      <x:c r="Q432">
        <x:v>64</x:v>
      </x:c>
      <x:c r="R432">
        <x:v>93</x:v>
      </x:c>
      <x:c r="S432">
        <x:v>87</x:v>
      </x:c>
      <x:c r="T432">
        <x:v>51</x:v>
      </x:c>
      <x:c r="U432">
        <x:v>58</x:v>
      </x:c>
    </x:row>
    <x:row r="433">
      <x:c r="A433" t="s">
        <x:v>791</x:v>
      </x:c>
      <x:c r="B433" t="s">
        <x:v>356</x:v>
      </x:c>
      <x:c r="C433" t="s">
        <x:v>333</x:v>
      </x:c>
      <x:c r="D433">
        <x:v>8476981</x:v>
      </x:c>
      <x:c r="E433">
        <x:v>73</x:v>
      </x:c>
      <x:c r="F433">
        <x:v>83</x:v>
      </x:c>
      <x:c r="G433">
        <x:v>74</x:v>
      </x:c>
      <x:c r="H433">
        <x:v>54</x:v>
      </x:c>
      <x:c r="I433">
        <x:v>87</x:v>
      </x:c>
      <x:c r="J433">
        <x:v>84</x:v>
      </x:c>
      <x:c r="K433">
        <x:v>91</x:v>
      </x:c>
      <x:c r="L433">
        <x:v>53</x:v>
      </x:c>
      <x:c r="M433">
        <x:v>71</x:v>
      </x:c>
      <x:c r="N433">
        <x:v>51</x:v>
      </x:c>
      <x:c r="O433">
        <x:v>56</x:v>
      </x:c>
      <x:c r="P433">
        <x:v>70</x:v>
      </x:c>
      <x:c r="Q433">
        <x:v>57</x:v>
      </x:c>
      <x:c r="R433">
        <x:v>83</x:v>
      </x:c>
      <x:c r="S433">
        <x:v>76</x:v>
      </x:c>
      <x:c r="T433">
        <x:v>51</x:v>
      </x:c>
      <x:c r="U433">
        <x:v>58</x:v>
      </x:c>
    </x:row>
    <x:row r="434">
      <x:c r="A434" t="s">
        <x:v>792</x:v>
      </x:c>
      <x:c r="B434" t="s">
        <x:v>386</x:v>
      </x:c>
      <x:c r="C434" t="s">
        <x:v>323</x:v>
      </x:c>
      <x:c r="D434">
        <x:v>8482702</x:v>
      </x:c>
      <x:c r="E434">
        <x:v>62</x:v>
      </x:c>
      <x:c r="F434">
        <x:v>43</x:v>
      </x:c>
      <x:c r="G434">
        <x:v>92</x:v>
      </x:c>
      <x:c r="H434">
        <x:v>57</x:v>
      </x:c>
      <x:c r="I434">
        <x:v>75</x:v>
      </x:c>
      <x:c r="J434">
        <x:v>86</x:v>
      </x:c>
      <x:c r="K434">
        <x:v>97</x:v>
      </x:c>
      <x:c r="L434">
        <x:v>56</x:v>
      </x:c>
      <x:c r="M434">
        <x:v>83</x:v>
      </x:c>
      <x:c r="N434">
        <x:v>55</x:v>
      </x:c>
      <x:c r="O434">
        <x:v>58</x:v>
      </x:c>
      <x:c r="P434">
        <x:v>62</x:v>
      </x:c>
      <x:c r="Q434">
        <x:v>56</x:v>
      </x:c>
      <x:c r="R434">
        <x:v>69</x:v>
      </x:c>
      <x:c r="S434">
        <x:v>74</x:v>
      </x:c>
      <x:c r="T434">
        <x:v>51</x:v>
      </x:c>
      <x:c r="U434">
        <x:v>58</x:v>
      </x:c>
    </x:row>
    <x:row r="435">
      <x:c r="A435" t="s">
        <x:v>793</x:v>
      </x:c>
      <x:c r="B435" t="s">
        <x:v>320</x:v>
      </x:c>
      <x:c r="C435" t="s">
        <x:v>331</x:v>
      </x:c>
      <x:c r="D435">
        <x:v>8480834</x:v>
      </x:c>
      <x:c r="E435">
        <x:v>77</x:v>
      </x:c>
      <x:c r="F435">
        <x:v>59</x:v>
      </x:c>
      <x:c r="G435">
        <x:v>92</x:v>
      </x:c>
      <x:c r="H435">
        <x:v>37</x:v>
      </x:c>
      <x:c r="I435">
        <x:v>80</x:v>
      </x:c>
      <x:c r="J435">
        <x:v>86</x:v>
      </x:c>
      <x:c r="K435">
        <x:v>91</x:v>
      </x:c>
      <x:c r="L435">
        <x:v>36</x:v>
      </x:c>
      <x:c r="M435">
        <x:v>30</x:v>
      </x:c>
      <x:c r="N435">
        <x:v>51</x:v>
      </x:c>
      <x:c r="O435">
        <x:v>46</x:v>
      </x:c>
      <x:c r="P435">
        <x:v>77</x:v>
      </x:c>
      <x:c r="Q435">
        <x:v>51</x:v>
      </x:c>
      <x:c r="R435">
        <x:v>70</x:v>
      </x:c>
      <x:c r="S435">
        <x:v>72</x:v>
      </x:c>
      <x:c r="T435">
        <x:v>51</x:v>
      </x:c>
      <x:c r="U435">
        <x:v>58</x:v>
      </x:c>
    </x:row>
    <x:row r="436">
      <x:c r="A436" t="s">
        <x:v>794</x:v>
      </x:c>
      <x:c r="B436" t="s">
        <x:v>436</x:v>
      </x:c>
      <x:c r="C436" t="s">
        <x:v>329</x:v>
      </x:c>
      <x:c r="D436">
        <x:v>8477987</x:v>
      </x:c>
      <x:c r="E436">
        <x:v>66</x:v>
      </x:c>
      <x:c r="F436">
        <x:v>35</x:v>
      </x:c>
      <x:c r="G436">
        <x:v>81</x:v>
      </x:c>
      <x:c r="H436">
        <x:v>55</x:v>
      </x:c>
      <x:c r="I436">
        <x:v>75</x:v>
      </x:c>
      <x:c r="J436">
        <x:v>85</x:v>
      </x:c>
      <x:c r="K436">
        <x:v>98</x:v>
      </x:c>
      <x:c r="L436">
        <x:v>53</x:v>
      </x:c>
      <x:c r="M436">
        <x:v>81</x:v>
      </x:c>
      <x:c r="N436">
        <x:v>53</x:v>
      </x:c>
      <x:c r="O436">
        <x:v>57</x:v>
      </x:c>
      <x:c r="P436">
        <x:v>61</x:v>
      </x:c>
      <x:c r="Q436">
        <x:v>83</x:v>
      </x:c>
      <x:c r="R436">
        <x:v>78</x:v>
      </x:c>
      <x:c r="S436">
        <x:v>72</x:v>
      </x:c>
      <x:c r="T436">
        <x:v>51</x:v>
      </x:c>
      <x:c r="U436">
        <x:v>58</x:v>
      </x:c>
    </x:row>
    <x:row r="437">
      <x:c r="A437" t="s">
        <x:v>795</x:v>
      </x:c>
      <x:c r="B437" t="s">
        <x:v>366</x:v>
      </x:c>
      <x:c r="C437" t="s">
        <x:v>326</x:v>
      </x:c>
      <x:c r="D437">
        <x:v>8482737</x:v>
      </x:c>
      <x:c r="E437">
        <x:v>74</x:v>
      </x:c>
      <x:c r="F437">
        <x:v>40</x:v>
      </x:c>
      <x:c r="G437">
        <x:v>86</x:v>
      </x:c>
      <x:c r="H437">
        <x:v>54</x:v>
      </x:c>
      <x:c r="I437">
        <x:v>77</x:v>
      </x:c>
      <x:c r="J437">
        <x:v>84</x:v>
      </x:c>
      <x:c r="K437">
        <x:v>94</x:v>
      </x:c>
      <x:c r="L437">
        <x:v>55</x:v>
      </x:c>
      <x:c r="M437">
        <x:v>70</x:v>
      </x:c>
      <x:c r="N437">
        <x:v>54</x:v>
      </x:c>
      <x:c r="O437">
        <x:v>55</x:v>
      </x:c>
      <x:c r="P437">
        <x:v>62</x:v>
      </x:c>
      <x:c r="Q437">
        <x:v>55</x:v>
      </x:c>
      <x:c r="R437">
        <x:v>69</x:v>
      </x:c>
      <x:c r="S437">
        <x:v>74</x:v>
      </x:c>
      <x:c r="T437">
        <x:v>54</x:v>
      </x:c>
      <x:c r="U437">
        <x:v>58</x:v>
      </x:c>
    </x:row>
    <x:row r="438">
      <x:c r="A438" t="s">
        <x:v>796</x:v>
      </x:c>
      <x:c r="B438" t="s">
        <x:v>364</x:v>
      </x:c>
      <x:c r="C438" t="s">
        <x:v>331</x:v>
      </x:c>
      <x:c r="D438">
        <x:v>8481607</x:v>
      </x:c>
      <x:c r="E438">
        <x:v>71</x:v>
      </x:c>
      <x:c r="F438">
        <x:v>33</x:v>
      </x:c>
      <x:c r="G438">
        <x:v>92</x:v>
      </x:c>
      <x:c r="H438">
        <x:v>39</x:v>
      </x:c>
      <x:c r="I438">
        <x:v>76</x:v>
      </x:c>
      <x:c r="J438">
        <x:v>86</x:v>
      </x:c>
      <x:c r="K438">
        <x:v>98</x:v>
      </x:c>
      <x:c r="L438">
        <x:v>38</x:v>
      </x:c>
      <x:c r="M438">
        <x:v>30</x:v>
      </x:c>
      <x:c r="N438">
        <x:v>49</x:v>
      </x:c>
      <x:c r="O438">
        <x:v>46</x:v>
      </x:c>
      <x:c r="P438">
        <x:v>76</x:v>
      </x:c>
      <x:c r="Q438">
        <x:v>52</x:v>
      </x:c>
      <x:c r="R438">
        <x:v>69</x:v>
      </x:c>
      <x:c r="S438">
        <x:v>68</x:v>
      </x:c>
      <x:c r="T438">
        <x:v>51</x:v>
      </x:c>
      <x:c r="U438">
        <x:v>58</x:v>
      </x:c>
    </x:row>
    <x:row r="439">
      <x:c r="A439" t="s">
        <x:v>797</x:v>
      </x:c>
      <x:c r="B439" t="s">
        <x:v>584</x:v>
      </x:c>
      <x:c r="C439" t="s">
        <x:v>333</x:v>
      </x:c>
      <x:c r="D439">
        <x:v>8475191</x:v>
      </x:c>
      <x:c r="E439">
        <x:v>60</x:v>
      </x:c>
      <x:c r="F439">
        <x:v>33</x:v>
      </x:c>
      <x:c r="G439">
        <x:v>96</x:v>
      </x:c>
      <x:c r="H439">
        <x:v>54</x:v>
      </x:c>
      <x:c r="I439">
        <x:v>76</x:v>
      </x:c>
      <x:c r="J439">
        <x:v>84</x:v>
      </x:c>
      <x:c r="K439">
        <x:v>89</x:v>
      </x:c>
      <x:c r="L439">
        <x:v>54</x:v>
      </x:c>
      <x:c r="M439">
        <x:v>69</x:v>
      </x:c>
      <x:c r="N439">
        <x:v>52</x:v>
      </x:c>
      <x:c r="O439">
        <x:v>57</x:v>
      </x:c>
      <x:c r="P439">
        <x:v>67</x:v>
      </x:c>
      <x:c r="Q439">
        <x:v>64</x:v>
      </x:c>
      <x:c r="R439">
        <x:v>87</x:v>
      </x:c>
      <x:c r="S439">
        <x:v>78</x:v>
      </x:c>
      <x:c r="T439">
        <x:v>51</x:v>
      </x:c>
      <x:c r="U439">
        <x:v>58</x:v>
      </x:c>
    </x:row>
    <x:row r="440">
      <x:c r="A440" t="s">
        <x:v>798</x:v>
      </x:c>
      <x:c r="B440" t="s">
        <x:v>361</x:v>
      </x:c>
      <x:c r="C440" t="s">
        <x:v>329</x:v>
      </x:c>
      <x:c r="D440">
        <x:v>8481522</x:v>
      </x:c>
      <x:c r="E440">
        <x:v>78</x:v>
      </x:c>
      <x:c r="F440">
        <x:v>82</x:v>
      </x:c>
      <x:c r="G440">
        <x:v>78</x:v>
      </x:c>
      <x:c r="H440">
        <x:v>55</x:v>
      </x:c>
      <x:c r="I440">
        <x:v>77</x:v>
      </x:c>
      <x:c r="J440">
        <x:v>84</x:v>
      </x:c>
      <x:c r="K440">
        <x:v>99</x:v>
      </x:c>
      <x:c r="L440">
        <x:v>55</x:v>
      </x:c>
      <x:c r="M440">
        <x:v>81</x:v>
      </x:c>
      <x:c r="N440">
        <x:v>56</x:v>
      </x:c>
      <x:c r="O440">
        <x:v>54</x:v>
      </x:c>
      <x:c r="P440">
        <x:v>64</x:v>
      </x:c>
      <x:c r="Q440">
        <x:v>52</x:v>
      </x:c>
      <x:c r="R440">
        <x:v>70</x:v>
      </x:c>
      <x:c r="S440">
        <x:v>67</x:v>
      </x:c>
      <x:c r="T440">
        <x:v>51</x:v>
      </x:c>
      <x:c r="U440">
        <x:v>58</x:v>
      </x:c>
    </x:row>
    <x:row r="441">
      <x:c r="A441" t="s">
        <x:v>799</x:v>
      </x:c>
      <x:c r="B441" t="s">
        <x:v>576</x:v>
      </x:c>
      <x:c r="C441" t="s">
        <x:v>331</x:v>
      </x:c>
      <x:c r="D441">
        <x:v>8477810</x:v>
      </x:c>
      <x:c r="E441">
        <x:v>70</x:v>
      </x:c>
      <x:c r="F441">
        <x:v>74</x:v>
      </x:c>
      <x:c r="G441">
        <x:v>83</x:v>
      </x:c>
      <x:c r="H441">
        <x:v>36</x:v>
      </x:c>
      <x:c r="I441">
        <x:v>77</x:v>
      </x:c>
      <x:c r="J441">
        <x:v>86</x:v>
      </x:c>
      <x:c r="K441">
        <x:v>87</x:v>
      </x:c>
      <x:c r="L441">
        <x:v>35</x:v>
      </x:c>
      <x:c r="M441">
        <x:v>30</x:v>
      </x:c>
      <x:c r="N441">
        <x:v>50</x:v>
      </x:c>
      <x:c r="O441">
        <x:v>45</x:v>
      </x:c>
      <x:c r="P441">
        <x:v>76</x:v>
      </x:c>
      <x:c r="Q441">
        <x:v>52</x:v>
      </x:c>
      <x:c r="R441">
        <x:v>84</x:v>
      </x:c>
      <x:c r="S441">
        <x:v>76</x:v>
      </x:c>
      <x:c r="T441">
        <x:v>51</x:v>
      </x:c>
      <x:c r="U441">
        <x:v>58</x:v>
      </x:c>
    </x:row>
    <x:row r="442">
      <x:c r="A442" t="s">
        <x:v>800</x:v>
      </x:c>
      <x:c r="B442" t="s">
        <x:v>324</x:v>
      </x:c>
      <x:c r="C442" t="s">
        <x:v>331</x:v>
      </x:c>
      <x:c r="D442">
        <x:v>8476967</x:v>
      </x:c>
      <x:c r="E442">
        <x:v>66</x:v>
      </x:c>
      <x:c r="F442">
        <x:v>36</x:v>
      </x:c>
      <x:c r="G442">
        <x:v>86</x:v>
      </x:c>
      <x:c r="H442">
        <x:v>40</x:v>
      </x:c>
      <x:c r="I442">
        <x:v>79</x:v>
      </x:c>
      <x:c r="J442">
        <x:v>90</x:v>
      </x:c>
      <x:c r="K442">
        <x:v>99</x:v>
      </x:c>
      <x:c r="L442">
        <x:v>38</x:v>
      </x:c>
      <x:c r="M442">
        <x:v>30</x:v>
      </x:c>
      <x:c r="N442">
        <x:v>51</x:v>
      </x:c>
      <x:c r="O442">
        <x:v>46</x:v>
      </x:c>
      <x:c r="P442">
        <x:v>77</x:v>
      </x:c>
      <x:c r="Q442">
        <x:v>52</x:v>
      </x:c>
      <x:c r="R442">
        <x:v>82</x:v>
      </x:c>
      <x:c r="S442">
        <x:v>72</x:v>
      </x:c>
      <x:c r="T442">
        <x:v>51</x:v>
      </x:c>
      <x:c r="U442">
        <x:v>58</x:v>
      </x:c>
    </x:row>
    <x:row r="443">
      <x:c r="A443" t="s">
        <x:v>801</x:v>
      </x:c>
      <x:c r="B443" t="s">
        <x:v>379</x:v>
      </x:c>
      <x:c r="C443" t="s">
        <x:v>326</x:v>
      </x:c>
      <x:c r="D443">
        <x:v>8476469</x:v>
      </x:c>
      <x:c r="E443">
        <x:v>67</x:v>
      </x:c>
      <x:c r="F443">
        <x:v>42</x:v>
      </x:c>
      <x:c r="G443">
        <x:v>86</x:v>
      </x:c>
      <x:c r="H443">
        <x:v>53</x:v>
      </x:c>
      <x:c r="I443">
        <x:v>86</x:v>
      </x:c>
      <x:c r="J443">
        <x:v>84</x:v>
      </x:c>
      <x:c r="K443">
        <x:v>88</x:v>
      </x:c>
      <x:c r="L443">
        <x:v>53</x:v>
      </x:c>
      <x:c r="M443">
        <x:v>71</x:v>
      </x:c>
      <x:c r="N443">
        <x:v>52</x:v>
      </x:c>
      <x:c r="O443">
        <x:v>56</x:v>
      </x:c>
      <x:c r="P443">
        <x:v>69</x:v>
      </x:c>
      <x:c r="Q443">
        <x:v>58</x:v>
      </x:c>
      <x:c r="R443">
        <x:v>83</x:v>
      </x:c>
      <x:c r="S443">
        <x:v>73</x:v>
      </x:c>
      <x:c r="T443">
        <x:v>51</x:v>
      </x:c>
      <x:c r="U443">
        <x:v>58</x:v>
      </x:c>
    </x:row>
    <x:row r="444">
      <x:c r="A444" t="s">
        <x:v>802</x:v>
      </x:c>
      <x:c r="B444" t="s">
        <x:v>340</x:v>
      </x:c>
      <x:c r="C444" t="s">
        <x:v>329</x:v>
      </x:c>
      <x:c r="D444">
        <x:v>8477494</x:v>
      </x:c>
      <x:c r="E444">
        <x:v>59</x:v>
      </x:c>
      <x:c r="F444">
        <x:v>45</x:v>
      </x:c>
      <x:c r="G444">
        <x:v>93</x:v>
      </x:c>
      <x:c r="H444">
        <x:v>54</x:v>
      </x:c>
      <x:c r="I444">
        <x:v>76</x:v>
      </x:c>
      <x:c r="J444">
        <x:v>87</x:v>
      </x:c>
      <x:c r="K444">
        <x:v>82</x:v>
      </x:c>
      <x:c r="L444">
        <x:v>55</x:v>
      </x:c>
      <x:c r="M444">
        <x:v>79</x:v>
      </x:c>
      <x:c r="N444">
        <x:v>58</x:v>
      </x:c>
      <x:c r="O444">
        <x:v>52</x:v>
      </x:c>
      <x:c r="P444">
        <x:v>63</x:v>
      </x:c>
      <x:c r="Q444">
        <x:v>69</x:v>
      </x:c>
      <x:c r="R444">
        <x:v>80</x:v>
      </x:c>
      <x:c r="S444">
        <x:v>76</x:v>
      </x:c>
      <x:c r="T444">
        <x:v>51</x:v>
      </x:c>
      <x:c r="U444">
        <x:v>58</x:v>
      </x:c>
    </x:row>
    <x:row r="445">
      <x:c r="A445" t="s">
        <x:v>803</x:v>
      </x:c>
      <x:c r="B445" t="s">
        <x:v>366</x:v>
      </x:c>
      <x:c r="C445" t="s">
        <x:v>331</x:v>
      </x:c>
      <x:c r="D445">
        <x:v>8480192</x:v>
      </x:c>
      <x:c r="E445">
        <x:v>77</x:v>
      </x:c>
      <x:c r="F445">
        <x:v>81</x:v>
      </x:c>
      <x:c r="G445">
        <x:v>77</x:v>
      </x:c>
      <x:c r="H445">
        <x:v>38</x:v>
      </x:c>
      <x:c r="I445">
        <x:v>88</x:v>
      </x:c>
      <x:c r="J445">
        <x:v>87</x:v>
      </x:c>
      <x:c r="K445">
        <x:v>73</x:v>
      </x:c>
      <x:c r="L445">
        <x:v>37</x:v>
      </x:c>
      <x:c r="M445">
        <x:v>30</x:v>
      </x:c>
      <x:c r="N445">
        <x:v>53</x:v>
      </x:c>
      <x:c r="O445">
        <x:v>45</x:v>
      </x:c>
      <x:c r="P445">
        <x:v>76</x:v>
      </x:c>
      <x:c r="Q445">
        <x:v>53</x:v>
      </x:c>
      <x:c r="R445">
        <x:v>76</x:v>
      </x:c>
      <x:c r="S445">
        <x:v>71</x:v>
      </x:c>
      <x:c r="T445">
        <x:v>51</x:v>
      </x:c>
      <x:c r="U445">
        <x:v>58</x:v>
      </x:c>
    </x:row>
    <x:row r="446">
      <x:c r="A446" t="s">
        <x:v>804</x:v>
      </x:c>
      <x:c r="B446" t="s">
        <x:v>402</x:v>
      </x:c>
      <x:c r="C446" t="s">
        <x:v>331</x:v>
      </x:c>
      <x:c r="D446">
        <x:v>8480043</x:v>
      </x:c>
      <x:c r="E446">
        <x:v>72</x:v>
      </x:c>
      <x:c r="F446">
        <x:v>52</x:v>
      </x:c>
      <x:c r="G446">
        <x:v>82</x:v>
      </x:c>
      <x:c r="H446">
        <x:v>39</x:v>
      </x:c>
      <x:c r="I446">
        <x:v>79</x:v>
      </x:c>
      <x:c r="J446">
        <x:v>91</x:v>
      </x:c>
      <x:c r="K446">
        <x:v>79</x:v>
      </x:c>
      <x:c r="L446">
        <x:v>39</x:v>
      </x:c>
      <x:c r="M446">
        <x:v>30</x:v>
      </x:c>
      <x:c r="N446">
        <x:v>53</x:v>
      </x:c>
      <x:c r="O446">
        <x:v>46</x:v>
      </x:c>
      <x:c r="P446">
        <x:v>76</x:v>
      </x:c>
      <x:c r="Q446">
        <x:v>52</x:v>
      </x:c>
      <x:c r="R446">
        <x:v>73</x:v>
      </x:c>
      <x:c r="S446">
        <x:v>71</x:v>
      </x:c>
      <x:c r="T446">
        <x:v>51</x:v>
      </x:c>
      <x:c r="U446">
        <x:v>58</x:v>
      </x:c>
    </x:row>
    <x:row r="447">
      <x:c r="A447" t="s">
        <x:v>805</x:v>
      </x:c>
      <x:c r="B447" t="s">
        <x:v>439</x:v>
      </x:c>
      <x:c r="C447" t="s">
        <x:v>331</x:v>
      </x:c>
      <x:c r="D447">
        <x:v>8481014</x:v>
      </x:c>
      <x:c r="E447">
        <x:v>79</x:v>
      </x:c>
      <x:c r="F447">
        <x:v>40</x:v>
      </x:c>
      <x:c r="G447">
        <x:v>87</x:v>
      </x:c>
      <x:c r="H447">
        <x:v>38</x:v>
      </x:c>
      <x:c r="I447">
        <x:v>83</x:v>
      </x:c>
      <x:c r="J447">
        <x:v>90</x:v>
      </x:c>
      <x:c r="K447">
        <x:v>47</x:v>
      </x:c>
      <x:c r="L447">
        <x:v>38</x:v>
      </x:c>
      <x:c r="M447">
        <x:v>30</x:v>
      </x:c>
      <x:c r="N447">
        <x:v>51</x:v>
      </x:c>
      <x:c r="O447">
        <x:v>46</x:v>
      </x:c>
      <x:c r="P447">
        <x:v>77</x:v>
      </x:c>
      <x:c r="Q447">
        <x:v>53</x:v>
      </x:c>
      <x:c r="R447">
        <x:v>72</x:v>
      </x:c>
      <x:c r="S447">
        <x:v>74</x:v>
      </x:c>
      <x:c r="T447">
        <x:v>51</x:v>
      </x:c>
      <x:c r="U447">
        <x:v>58</x:v>
      </x:c>
    </x:row>
    <x:row r="448">
      <x:c r="A448" t="s">
        <x:v>806</x:v>
      </x:c>
      <x:c r="B448" t="s">
        <x:v>576</x:v>
      </x:c>
      <x:c r="C448" t="s">
        <x:v>331</x:v>
      </x:c>
      <x:c r="D448">
        <x:v>8480035</x:v>
      </x:c>
      <x:c r="E448">
        <x:v>70</x:v>
      </x:c>
      <x:c r="F448">
        <x:v>37</x:v>
      </x:c>
      <x:c r="G448">
        <x:v>87</x:v>
      </x:c>
      <x:c r="H448">
        <x:v>40</x:v>
      </x:c>
      <x:c r="I448">
        <x:v>80</x:v>
      </x:c>
      <x:c r="J448">
        <x:v>88</x:v>
      </x:c>
      <x:c r="K448">
        <x:v>76</x:v>
      </x:c>
      <x:c r="L448">
        <x:v>39</x:v>
      </x:c>
      <x:c r="M448">
        <x:v>30</x:v>
      </x:c>
      <x:c r="N448">
        <x:v>55</x:v>
      </x:c>
      <x:c r="O448">
        <x:v>46</x:v>
      </x:c>
      <x:c r="P448">
        <x:v>75</x:v>
      </x:c>
      <x:c r="Q448">
        <x:v>52</x:v>
      </x:c>
      <x:c r="R448">
        <x:v>72</x:v>
      </x:c>
      <x:c r="S448">
        <x:v>67</x:v>
      </x:c>
      <x:c r="T448">
        <x:v>51</x:v>
      </x:c>
      <x:c r="U448">
        <x:v>58</x:v>
      </x:c>
    </x:row>
    <x:row r="449">
      <x:c r="A449" t="s">
        <x:v>807</x:v>
      </x:c>
      <x:c r="B449" t="s">
        <x:v>576</x:v>
      </x:c>
      <x:c r="C449" t="s">
        <x:v>323</x:v>
      </x:c>
      <x:c r="D449">
        <x:v>8476458</x:v>
      </x:c>
      <x:c r="E449">
        <x:v>60</x:v>
      </x:c>
      <x:c r="F449">
        <x:v>58</x:v>
      </x:c>
      <x:c r="G449">
        <x:v>80</x:v>
      </x:c>
      <x:c r="H449">
        <x:v>52</x:v>
      </x:c>
      <x:c r="I449">
        <x:v>80</x:v>
      </x:c>
      <x:c r="J449">
        <x:v>85</x:v>
      </x:c>
      <x:c r="K449">
        <x:v>80</x:v>
      </x:c>
      <x:c r="L449">
        <x:v>54</x:v>
      </x:c>
      <x:c r="M449">
        <x:v>83</x:v>
      </x:c>
      <x:c r="N449">
        <x:v>55</x:v>
      </x:c>
      <x:c r="O449">
        <x:v>54</x:v>
      </x:c>
      <x:c r="P449">
        <x:v>61</x:v>
      </x:c>
      <x:c r="Q449">
        <x:v>57</x:v>
      </x:c>
      <x:c r="R449">
        <x:v>86</x:v>
      </x:c>
      <x:c r="S449">
        <x:v>81</x:v>
      </x:c>
      <x:c r="T449">
        <x:v>51</x:v>
      </x:c>
      <x:c r="U449">
        <x:v>57</x:v>
      </x:c>
    </x:row>
    <x:row r="450">
      <x:c r="A450" t="s">
        <x:v>808</x:v>
      </x:c>
      <x:c r="B450" t="s">
        <x:v>386</x:v>
      </x:c>
      <x:c r="C450" t="s">
        <x:v>339</x:v>
      </x:c>
      <x:c r="D450">
        <x:v>8476873</x:v>
      </x:c>
      <x:c r="E450">
        <x:v>62</x:v>
      </x:c>
      <x:c r="F450">
        <x:v>47</x:v>
      </x:c>
      <x:c r="G450">
        <x:v>91</x:v>
      </x:c>
      <x:c r="H450">
        <x:v>52</x:v>
      </x:c>
      <x:c r="I450">
        <x:v>84</x:v>
      </x:c>
      <x:c r="J450">
        <x:v>82</x:v>
      </x:c>
      <x:c r="K450">
        <x:v>86</x:v>
      </x:c>
      <x:c r="L450">
        <x:v>51</x:v>
      </x:c>
      <x:c r="M450">
        <x:v>87</x:v>
      </x:c>
      <x:c r="N450">
        <x:v>51</x:v>
      </x:c>
      <x:c r="O450">
        <x:v>55</x:v>
      </x:c>
      <x:c r="P450">
        <x:v>68</x:v>
      </x:c>
      <x:c r="Q450">
        <x:v>55</x:v>
      </x:c>
      <x:c r="R450">
        <x:v>82</x:v>
      </x:c>
      <x:c r="S450">
        <x:v>75</x:v>
      </x:c>
      <x:c r="T450">
        <x:v>51</x:v>
      </x:c>
      <x:c r="U450">
        <x:v>57</x:v>
      </x:c>
    </x:row>
    <x:row r="451">
      <x:c r="A451" t="s">
        <x:v>809</x:v>
      </x:c>
      <x:c r="B451" t="s">
        <x:v>327</x:v>
      </x:c>
      <x:c r="C451" t="s">
        <x:v>319</x:v>
      </x:c>
      <x:c r="D451">
        <x:v>8476878</x:v>
      </x:c>
      <x:c r="E451">
        <x:v>81</x:v>
      </x:c>
      <x:c r="F451">
        <x:v>68</x:v>
      </x:c>
      <x:c r="G451">
        <x:v>86</x:v>
      </x:c>
      <x:c r="H451">
        <x:v>47</x:v>
      </x:c>
      <x:c r="I451">
        <x:v>85</x:v>
      </x:c>
      <x:c r="J451">
        <x:v>85</x:v>
      </x:c>
      <x:c r="K451">
        <x:v>92</x:v>
      </x:c>
      <x:c r="L451">
        <x:v>49</x:v>
      </x:c>
      <x:c r="M451">
        <x:v>79</x:v>
      </x:c>
      <x:c r="N451">
        <x:v>51</x:v>
      </x:c>
      <x:c r="O451">
        <x:v>52</x:v>
      </x:c>
      <x:c r="P451">
        <x:v>70</x:v>
      </x:c>
      <x:c r="Q451">
        <x:v>59</x:v>
      </x:c>
      <x:c r="R451">
        <x:v>83</x:v>
      </x:c>
      <x:c r="S451">
        <x:v>78</x:v>
      </x:c>
      <x:c r="T451">
        <x:v>51</x:v>
      </x:c>
      <x:c r="U451">
        <x:v>57</x:v>
      </x:c>
    </x:row>
    <x:row r="452">
      <x:c r="A452" t="s">
        <x:v>810</x:v>
      </x:c>
      <x:c r="B452" t="s">
        <x:v>366</x:v>
      </x:c>
      <x:c r="C452" t="s">
        <x:v>331</x:v>
      </x:c>
      <x:c r="D452">
        <x:v>8480990</x:v>
      </x:c>
      <x:c r="E452">
        <x:v>67</x:v>
      </x:c>
      <x:c r="F452">
        <x:v>36</x:v>
      </x:c>
      <x:c r="G452">
        <x:v>93</x:v>
      </x:c>
      <x:c r="H452">
        <x:v>37</x:v>
      </x:c>
      <x:c r="I452">
        <x:v>78</x:v>
      </x:c>
      <x:c r="J452">
        <x:v>84</x:v>
      </x:c>
      <x:c r="K452">
        <x:v>60</x:v>
      </x:c>
      <x:c r="L452">
        <x:v>38</x:v>
      </x:c>
      <x:c r="M452">
        <x:v>30</x:v>
      </x:c>
      <x:c r="N452">
        <x:v>53</x:v>
      </x:c>
      <x:c r="O452">
        <x:v>46</x:v>
      </x:c>
      <x:c r="P452">
        <x:v>74</x:v>
      </x:c>
      <x:c r="Q452">
        <x:v>52</x:v>
      </x:c>
      <x:c r="R452">
        <x:v>70</x:v>
      </x:c>
      <x:c r="S452">
        <x:v>68</x:v>
      </x:c>
      <x:c r="T452">
        <x:v>54</x:v>
      </x:c>
      <x:c r="U452">
        <x:v>57</x:v>
      </x:c>
    </x:row>
    <x:row r="453">
      <x:c r="A453" t="s">
        <x:v>811</x:v>
      </x:c>
      <x:c r="B453" t="s">
        <x:v>386</x:v>
      </x:c>
      <x:c r="C453" t="s">
        <x:v>358</x:v>
      </x:c>
      <x:c r="D453">
        <x:v>8477478</x:v>
      </x:c>
      <x:c r="E453">
        <x:v>81</x:v>
      </x:c>
      <x:c r="F453">
        <x:v>42</x:v>
      </x:c>
      <x:c r="G453">
        <x:v>91</x:v>
      </x:c>
      <x:c r="H453">
        <x:v>51</x:v>
      </x:c>
      <x:c r="I453">
        <x:v>85</x:v>
      </x:c>
      <x:c r="J453">
        <x:v>82</x:v>
      </x:c>
      <x:c r="K453">
        <x:v>85</x:v>
      </x:c>
      <x:c r="L453">
        <x:v>49</x:v>
      </x:c>
      <x:c r="M453">
        <x:v>68</x:v>
      </x:c>
      <x:c r="N453">
        <x:v>51</x:v>
      </x:c>
      <x:c r="O453">
        <x:v>52</x:v>
      </x:c>
      <x:c r="P453">
        <x:v>61</x:v>
      </x:c>
      <x:c r="Q453">
        <x:v>52</x:v>
      </x:c>
      <x:c r="R453">
        <x:v>82</x:v>
      </x:c>
      <x:c r="S453">
        <x:v>72</x:v>
      </x:c>
      <x:c r="T453">
        <x:v>51</x:v>
      </x:c>
      <x:c r="U453">
        <x:v>57</x:v>
      </x:c>
    </x:row>
    <x:row r="454">
      <x:c r="A454" t="s">
        <x:v>812</x:v>
      </x:c>
      <x:c r="B454" t="s">
        <x:v>368</x:v>
      </x:c>
      <x:c r="C454" t="s">
        <x:v>326</x:v>
      </x:c>
      <x:c r="D454">
        <x:v>8478434</x:v>
      </x:c>
      <x:c r="E454">
        <x:v>86</x:v>
      </x:c>
      <x:c r="F454">
        <x:v>85</x:v>
      </x:c>
      <x:c r="G454">
        <x:v>86</x:v>
      </x:c>
      <x:c r="H454">
        <x:v>48</x:v>
      </x:c>
      <x:c r="I454">
        <x:v>88</x:v>
      </x:c>
      <x:c r="J454">
        <x:v>83</x:v>
      </x:c>
      <x:c r="K454">
        <x:v>99</x:v>
      </x:c>
      <x:c r="L454">
        <x:v>51</x:v>
      </x:c>
      <x:c r="M454">
        <x:v>68</x:v>
      </x:c>
      <x:c r="N454">
        <x:v>51</x:v>
      </x:c>
      <x:c r="O454">
        <x:v>51</x:v>
      </x:c>
      <x:c r="P454">
        <x:v>66</x:v>
      </x:c>
      <x:c r="Q454">
        <x:v>52</x:v>
      </x:c>
      <x:c r="R454">
        <x:v>77</x:v>
      </x:c>
      <x:c r="S454">
        <x:v>71</x:v>
      </x:c>
      <x:c r="T454">
        <x:v>51</x:v>
      </x:c>
      <x:c r="U454">
        <x:v>57</x:v>
      </x:c>
    </x:row>
    <x:row r="455">
      <x:c r="A455" t="s">
        <x:v>813</x:v>
      </x:c>
      <x:c r="B455" t="s">
        <x:v>396</x:v>
      </x:c>
      <x:c r="C455" t="s">
        <x:v>331</x:v>
      </x:c>
      <x:c r="D455">
        <x:v>8482482</x:v>
      </x:c>
      <x:c r="E455">
        <x:v>69</x:v>
      </x:c>
      <x:c r="F455">
        <x:v>46</x:v>
      </x:c>
      <x:c r="G455">
        <x:v>86</x:v>
      </x:c>
      <x:c r="H455">
        <x:v>38</x:v>
      </x:c>
      <x:c r="I455">
        <x:v>76</x:v>
      </x:c>
      <x:c r="J455">
        <x:v>88</x:v>
      </x:c>
      <x:c r="K455">
        <x:v>80</x:v>
      </x:c>
      <x:c r="L455">
        <x:v>38</x:v>
      </x:c>
      <x:c r="M455">
        <x:v>30</x:v>
      </x:c>
      <x:c r="N455">
        <x:v>54</x:v>
      </x:c>
      <x:c r="O455">
        <x:v>46</x:v>
      </x:c>
      <x:c r="P455">
        <x:v>75</x:v>
      </x:c>
      <x:c r="Q455">
        <x:v>52</x:v>
      </x:c>
      <x:c r="R455">
        <x:v>70</x:v>
      </x:c>
      <x:c r="S455">
        <x:v>68</x:v>
      </x:c>
      <x:c r="T455">
        <x:v>51</x:v>
      </x:c>
      <x:c r="U455">
        <x:v>57</x:v>
      </x:c>
    </x:row>
    <x:row r="456">
      <x:c r="A456" t="s">
        <x:v>814</x:v>
      </x:c>
      <x:c r="C456" t="s">
        <x:v>329</x:v>
      </x:c>
      <x:c r="D456">
        <x:v>8480798</x:v>
      </x:c>
      <x:c r="E456">
        <x:v>65</x:v>
      </x:c>
      <x:c r="F456">
        <x:v>32</x:v>
      </x:c>
      <x:c r="G456">
        <x:v>87</x:v>
      </x:c>
      <x:c r="H456">
        <x:v>53</x:v>
      </x:c>
      <x:c r="I456">
        <x:v>75</x:v>
      </x:c>
      <x:c r="J456">
        <x:v>86</x:v>
      </x:c>
      <x:c r="K456">
        <x:v>73</x:v>
      </x:c>
      <x:c r="L456">
        <x:v>54</x:v>
      </x:c>
      <x:c r="M456">
        <x:v>74</x:v>
      </x:c>
      <x:c r="N456">
        <x:v>55</x:v>
      </x:c>
      <x:c r="O456">
        <x:v>55</x:v>
      </x:c>
      <x:c r="P456">
        <x:v>64</x:v>
      </x:c>
      <x:c r="Q456">
        <x:v>78</x:v>
      </x:c>
      <x:c r="R456">
        <x:v>72</x:v>
      </x:c>
      <x:c r="S456">
        <x:v>68</x:v>
      </x:c>
      <x:c r="T456">
        <x:v>51</x:v>
      </x:c>
      <x:c r="U456">
        <x:v>57</x:v>
      </x:c>
    </x:row>
    <x:row r="457">
      <x:c r="A457" t="s">
        <x:v>815</x:v>
      </x:c>
      <x:c r="B457" t="s">
        <x:v>350</x:v>
      </x:c>
      <x:c r="C457" t="s">
        <x:v>339</x:v>
      </x:c>
      <x:c r="D457">
        <x:v>8478508</x:v>
      </x:c>
      <x:c r="E457">
        <x:v>97</x:v>
      </x:c>
      <x:c r="F457">
        <x:v>74</x:v>
      </x:c>
      <x:c r="G457">
        <x:v>86</x:v>
      </x:c>
      <x:c r="H457">
        <x:v>49</x:v>
      </x:c>
      <x:c r="I457">
        <x:v>87</x:v>
      </x:c>
      <x:c r="J457">
        <x:v>84</x:v>
      </x:c>
      <x:c r="K457">
        <x:v>98</x:v>
      </x:c>
      <x:c r="L457">
        <x:v>49</x:v>
      </x:c>
      <x:c r="M457">
        <x:v>72</x:v>
      </x:c>
      <x:c r="N457">
        <x:v>52</x:v>
      </x:c>
      <x:c r="O457">
        <x:v>51</x:v>
      </x:c>
      <x:c r="P457">
        <x:v>69</x:v>
      </x:c>
      <x:c r="Q457">
        <x:v>52</x:v>
      </x:c>
      <x:c r="R457">
        <x:v>76</x:v>
      </x:c>
      <x:c r="S457">
        <x:v>71</x:v>
      </x:c>
      <x:c r="T457">
        <x:v>51</x:v>
      </x:c>
      <x:c r="U457">
        <x:v>57</x:v>
      </x:c>
    </x:row>
    <x:row r="458">
      <x:c r="A458" t="s">
        <x:v>816</x:v>
      </x:c>
      <x:c r="B458" t="s">
        <x:v>350</x:v>
      </x:c>
      <x:c r="C458" t="s">
        <x:v>319</x:v>
      </x:c>
      <x:c r="D458">
        <x:v>8485414</x:v>
      </x:c>
      <x:c r="E458">
        <x:v>58</x:v>
      </x:c>
      <x:c r="F458">
        <x:v>31</x:v>
      </x:c>
      <x:c r="G458">
        <x:v>92</x:v>
      </x:c>
      <x:c r="H458">
        <x:v>54</x:v>
      </x:c>
      <x:c r="I458">
        <x:v>74</x:v>
      </x:c>
      <x:c r="J458">
        <x:v>84</x:v>
      </x:c>
      <x:c r="K458">
        <x:v>91</x:v>
      </x:c>
      <x:c r="L458">
        <x:v>56</x:v>
      </x:c>
      <x:c r="M458">
        <x:v>82</x:v>
      </x:c>
      <x:c r="N458">
        <x:v>53</x:v>
      </x:c>
      <x:c r="O458">
        <x:v>57</x:v>
      </x:c>
      <x:c r="P458">
        <x:v>67</x:v>
      </x:c>
      <x:c r="Q458">
        <x:v>75</x:v>
      </x:c>
      <x:c r="R458">
        <x:v>65</x:v>
      </x:c>
      <x:c r="S458">
        <x:v>66</x:v>
      </x:c>
      <x:c r="T458">
        <x:v>54</x:v>
      </x:c>
      <x:c r="U458">
        <x:v>57</x:v>
      </x:c>
    </x:row>
    <x:row r="459">
      <x:c r="A459" t="s">
        <x:v>817</x:v>
      </x:c>
      <x:c r="B459" t="s">
        <x:v>350</x:v>
      </x:c>
      <x:c r="C459" t="s">
        <x:v>339</x:v>
      </x:c>
      <x:c r="D459">
        <x:v>8474641</x:v>
      </x:c>
      <x:c r="E459">
        <x:v>61</x:v>
      </x:c>
      <x:c r="F459">
        <x:v>36</x:v>
      </x:c>
      <x:c r="G459">
        <x:v>91</x:v>
      </x:c>
      <x:c r="H459">
        <x:v>51</x:v>
      </x:c>
      <x:c r="I459">
        <x:v>78</x:v>
      </x:c>
      <x:c r="J459">
        <x:v>84</x:v>
      </x:c>
      <x:c r="K459">
        <x:v>87</x:v>
      </x:c>
      <x:c r="L459">
        <x:v>52</x:v>
      </x:c>
      <x:c r="M459">
        <x:v>88</x:v>
      </x:c>
      <x:c r="N459">
        <x:v>52</x:v>
      </x:c>
      <x:c r="O459">
        <x:v>51</x:v>
      </x:c>
      <x:c r="P459">
        <x:v>71</x:v>
      </x:c>
      <x:c r="Q459">
        <x:v>58</x:v>
      </x:c>
      <x:c r="R459">
        <x:v>88</x:v>
      </x:c>
      <x:c r="S459">
        <x:v>80</x:v>
      </x:c>
      <x:c r="T459">
        <x:v>51</x:v>
      </x:c>
      <x:c r="U459">
        <x:v>57</x:v>
      </x:c>
    </x:row>
    <x:row r="460">
      <x:c r="A460" t="s">
        <x:v>818</x:v>
      </x:c>
      <x:c r="B460" t="s">
        <x:v>337</x:v>
      </x:c>
      <x:c r="C460" t="s">
        <x:v>329</x:v>
      </x:c>
      <x:c r="D460">
        <x:v>8483512</x:v>
      </x:c>
      <x:c r="E460">
        <x:v>56</x:v>
      </x:c>
      <x:c r="F460">
        <x:v>31</x:v>
      </x:c>
      <x:c r="G460">
        <x:v>89</x:v>
      </x:c>
      <x:c r="H460">
        <x:v>55</x:v>
      </x:c>
      <x:c r="I460">
        <x:v>73</x:v>
      </x:c>
      <x:c r="J460">
        <x:v>84</x:v>
      </x:c>
      <x:c r="K460">
        <x:v>97</x:v>
      </x:c>
      <x:c r="L460">
        <x:v>55</x:v>
      </x:c>
      <x:c r="M460">
        <x:v>72</x:v>
      </x:c>
      <x:c r="N460">
        <x:v>53</x:v>
      </x:c>
      <x:c r="O460">
        <x:v>57</x:v>
      </x:c>
      <x:c r="P460">
        <x:v>68</x:v>
      </x:c>
      <x:c r="Q460">
        <x:v>60</x:v>
      </x:c>
      <x:c r="R460">
        <x:v>66</x:v>
      </x:c>
      <x:c r="S460">
        <x:v>68</x:v>
      </x:c>
      <x:c r="T460">
        <x:v>54</x:v>
      </x:c>
      <x:c r="U460">
        <x:v>57</x:v>
      </x:c>
    </x:row>
    <x:row r="461">
      <x:c r="A461" t="s">
        <x:v>819</x:v>
      </x:c>
      <x:c r="B461" t="s">
        <x:v>320</x:v>
      </x:c>
      <x:c r="C461" t="s">
        <x:v>323</x:v>
      </x:c>
      <x:c r="D461">
        <x:v>8480355</x:v>
      </x:c>
      <x:c r="E461">
        <x:v>82</x:v>
      </x:c>
      <x:c r="F461">
        <x:v>92</x:v>
      </x:c>
      <x:c r="G461">
        <x:v>72</x:v>
      </x:c>
      <x:c r="H461">
        <x:v>49</x:v>
      </x:c>
      <x:c r="I461">
        <x:v>88</x:v>
      </x:c>
      <x:c r="J461">
        <x:v>83</x:v>
      </x:c>
      <x:c r="K461">
        <x:v>95</x:v>
      </x:c>
      <x:c r="L461">
        <x:v>51</x:v>
      </x:c>
      <x:c r="M461">
        <x:v>87</x:v>
      </x:c>
      <x:c r="N461">
        <x:v>51</x:v>
      </x:c>
      <x:c r="O461">
        <x:v>53</x:v>
      </x:c>
      <x:c r="P461">
        <x:v>69</x:v>
      </x:c>
      <x:c r="Q461">
        <x:v>52</x:v>
      </x:c>
      <x:c r="R461">
        <x:v>71</x:v>
      </x:c>
      <x:c r="S461">
        <x:v>68</x:v>
      </x:c>
      <x:c r="T461">
        <x:v>51</x:v>
      </x:c>
      <x:c r="U461">
        <x:v>57</x:v>
      </x:c>
    </x:row>
    <x:row r="462">
      <x:c r="A462" t="s">
        <x:v>820</x:v>
      </x:c>
      <x:c r="B462" t="s">
        <x:v>320</x:v>
      </x:c>
      <x:c r="C462" t="s">
        <x:v>339</x:v>
      </x:c>
      <x:c r="D462">
        <x:v>8481481</x:v>
      </x:c>
      <x:c r="E462">
        <x:v>65</x:v>
      </x:c>
      <x:c r="F462">
        <x:v>54</x:v>
      </x:c>
      <x:c r="G462">
        <x:v>85</x:v>
      </x:c>
      <x:c r="H462">
        <x:v>53</x:v>
      </x:c>
      <x:c r="I462">
        <x:v>79</x:v>
      </x:c>
      <x:c r="J462">
        <x:v>84</x:v>
      </x:c>
      <x:c r="K462">
        <x:v>79</x:v>
      </x:c>
      <x:c r="L462">
        <x:v>52</x:v>
      </x:c>
      <x:c r="M462">
        <x:v>85</x:v>
      </x:c>
      <x:c r="N462">
        <x:v>53</x:v>
      </x:c>
      <x:c r="O462">
        <x:v>54</x:v>
      </x:c>
      <x:c r="P462">
        <x:v>70</x:v>
      </x:c>
      <x:c r="Q462">
        <x:v>52</x:v>
      </x:c>
      <x:c r="R462">
        <x:v>76</x:v>
      </x:c>
      <x:c r="S462">
        <x:v>70</x:v>
      </x:c>
      <x:c r="T462">
        <x:v>51</x:v>
      </x:c>
      <x:c r="U462">
        <x:v>57</x:v>
      </x:c>
    </x:row>
    <x:row r="463">
      <x:c r="A463" t="s">
        <x:v>821</x:v>
      </x:c>
      <x:c r="B463" t="s">
        <x:v>320</x:v>
      </x:c>
      <x:c r="C463" t="s">
        <x:v>339</x:v>
      </x:c>
      <x:c r="D463">
        <x:v>8476374</x:v>
      </x:c>
      <x:c r="E463">
        <x:v>68</x:v>
      </x:c>
      <x:c r="F463">
        <x:v>65</x:v>
      </x:c>
      <x:c r="G463">
        <x:v>84</x:v>
      </x:c>
      <x:c r="H463">
        <x:v>51</x:v>
      </x:c>
      <x:c r="I463">
        <x:v>85</x:v>
      </x:c>
      <x:c r="J463">
        <x:v>84</x:v>
      </x:c>
      <x:c r="K463">
        <x:v>98</x:v>
      </x:c>
      <x:c r="L463">
        <x:v>51</x:v>
      </x:c>
      <x:c r="M463">
        <x:v>86</x:v>
      </x:c>
      <x:c r="N463">
        <x:v>52</x:v>
      </x:c>
      <x:c r="O463">
        <x:v>51</x:v>
      </x:c>
      <x:c r="P463">
        <x:v>71</x:v>
      </x:c>
      <x:c r="Q463">
        <x:v>52</x:v>
      </x:c>
      <x:c r="R463">
        <x:v>83</x:v>
      </x:c>
      <x:c r="S463">
        <x:v>78</x:v>
      </x:c>
      <x:c r="T463">
        <x:v>51</x:v>
      </x:c>
      <x:c r="U463">
        <x:v>57</x:v>
      </x:c>
    </x:row>
    <x:row r="464">
      <x:c r="A464" t="s">
        <x:v>822</x:v>
      </x:c>
      <x:c r="B464" t="s">
        <x:v>436</x:v>
      </x:c>
      <x:c r="C464" t="s">
        <x:v>329</x:v>
      </x:c>
      <x:c r="D464">
        <x:v>8478233</x:v>
      </x:c>
      <x:c r="E464">
        <x:v>66</x:v>
      </x:c>
      <x:c r="F464">
        <x:v>33</x:v>
      </x:c>
      <x:c r="G464">
        <x:v>81</x:v>
      </x:c>
      <x:c r="H464">
        <x:v>54</x:v>
      </x:c>
      <x:c r="I464">
        <x:v>76</x:v>
      </x:c>
      <x:c r="J464">
        <x:v>83</x:v>
      </x:c>
      <x:c r="K464">
        <x:v>85</x:v>
      </x:c>
      <x:c r="L464">
        <x:v>52</x:v>
      </x:c>
      <x:c r="M464">
        <x:v>67</x:v>
      </x:c>
      <x:c r="N464">
        <x:v>51</x:v>
      </x:c>
      <x:c r="O464">
        <x:v>54</x:v>
      </x:c>
      <x:c r="P464">
        <x:v>63</x:v>
      </x:c>
      <x:c r="Q464">
        <x:v>54</x:v>
      </x:c>
      <x:c r="R464">
        <x:v>79</x:v>
      </x:c>
      <x:c r="S464">
        <x:v>76</x:v>
      </x:c>
      <x:c r="T464">
        <x:v>51</x:v>
      </x:c>
      <x:c r="U464">
        <x:v>57</x:v>
      </x:c>
    </x:row>
    <x:row r="465">
      <x:c r="A465" t="s">
        <x:v>823</x:v>
      </x:c>
      <x:c r="B465" t="s">
        <x:v>402</x:v>
      </x:c>
      <x:c r="C465" t="s">
        <x:v>319</x:v>
      </x:c>
      <x:c r="D465">
        <x:v>8483573</x:v>
      </x:c>
      <x:c r="E465">
        <x:v>64</x:v>
      </x:c>
      <x:c r="F465">
        <x:v>33</x:v>
      </x:c>
      <x:c r="G465">
        <x:v>90</x:v>
      </x:c>
      <x:c r="H465">
        <x:v>53</x:v>
      </x:c>
      <x:c r="I465">
        <x:v>76</x:v>
      </x:c>
      <x:c r="J465">
        <x:v>83</x:v>
      </x:c>
      <x:c r="K465">
        <x:v>84</x:v>
      </x:c>
      <x:c r="L465">
        <x:v>53</x:v>
      </x:c>
      <x:c r="M465">
        <x:v>63</x:v>
      </x:c>
      <x:c r="N465">
        <x:v>52</x:v>
      </x:c>
      <x:c r="O465">
        <x:v>56</x:v>
      </x:c>
      <x:c r="P465">
        <x:v>64</x:v>
      </x:c>
      <x:c r="Q465">
        <x:v>61</x:v>
      </x:c>
      <x:c r="R465">
        <x:v>73</x:v>
      </x:c>
      <x:c r="S465">
        <x:v>73</x:v>
      </x:c>
      <x:c r="T465">
        <x:v>54</x:v>
      </x:c>
      <x:c r="U465">
        <x:v>57</x:v>
      </x:c>
    </x:row>
    <x:row r="466">
      <x:c r="A466" t="s">
        <x:v>824</x:v>
      </x:c>
      <x:c r="C466" t="s">
        <x:v>331</x:v>
      </x:c>
      <x:c r="D466">
        <x:v>8483425</x:v>
      </x:c>
      <x:c r="E466">
        <x:v>87</x:v>
      </x:c>
      <x:c r="F466">
        <x:v>74</x:v>
      </x:c>
      <x:c r="G466">
        <x:v>78</x:v>
      </x:c>
      <x:c r="H466">
        <x:v>36</x:v>
      </x:c>
      <x:c r="I466">
        <x:v>93</x:v>
      </x:c>
      <x:c r="J466">
        <x:v>85</x:v>
      </x:c>
      <x:c r="K466">
        <x:v>79</x:v>
      </x:c>
      <x:c r="L466">
        <x:v>37</x:v>
      </x:c>
      <x:c r="M466">
        <x:v>30</x:v>
      </x:c>
      <x:c r="N466">
        <x:v>49</x:v>
      </x:c>
      <x:c r="O466">
        <x:v>48</x:v>
      </x:c>
      <x:c r="P466">
        <x:v>75</x:v>
      </x:c>
      <x:c r="Q466">
        <x:v>52</x:v>
      </x:c>
      <x:c r="R466">
        <x:v>66</x:v>
      </x:c>
      <x:c r="S466">
        <x:v>65</x:v>
      </x:c>
      <x:c r="T466">
        <x:v>51</x:v>
      </x:c>
      <x:c r="U466">
        <x:v>57</x:v>
      </x:c>
    </x:row>
    <x:row r="467">
      <x:c r="A467" t="s">
        <x:v>825</x:v>
      </x:c>
      <x:c r="B467" t="s">
        <x:v>343</x:v>
      </x:c>
      <x:c r="C467" t="s">
        <x:v>331</x:v>
      </x:c>
      <x:c r="D467">
        <x:v>8480878</x:v>
      </x:c>
      <x:c r="E467">
        <x:v>69</x:v>
      </x:c>
      <x:c r="F467">
        <x:v>33</x:v>
      </x:c>
      <x:c r="G467">
        <x:v>87</x:v>
      </x:c>
      <x:c r="H467">
        <x:v>39</x:v>
      </x:c>
      <x:c r="I467">
        <x:v>76</x:v>
      </x:c>
      <x:c r="J467">
        <x:v>85</x:v>
      </x:c>
      <x:c r="K467">
        <x:v>77</x:v>
      </x:c>
      <x:c r="L467">
        <x:v>39</x:v>
      </x:c>
      <x:c r="M467">
        <x:v>30</x:v>
      </x:c>
      <x:c r="N467">
        <x:v>51</x:v>
      </x:c>
      <x:c r="O467">
        <x:v>46</x:v>
      </x:c>
      <x:c r="P467">
        <x:v>74</x:v>
      </x:c>
      <x:c r="Q467">
        <x:v>52</x:v>
      </x:c>
      <x:c r="R467">
        <x:v>71</x:v>
      </x:c>
      <x:c r="S467">
        <x:v>68</x:v>
      </x:c>
      <x:c r="T467">
        <x:v>51</x:v>
      </x:c>
      <x:c r="U467">
        <x:v>57</x:v>
      </x:c>
    </x:row>
    <x:row r="468">
      <x:c r="A468" t="s">
        <x:v>826</x:v>
      </x:c>
      <x:c r="B468" t="s">
        <x:v>396</x:v>
      </x:c>
      <x:c r="C468" t="s">
        <x:v>358</x:v>
      </x:c>
      <x:c r="D468">
        <x:v>8477573</x:v>
      </x:c>
      <x:c r="E468">
        <x:v>91</x:v>
      </x:c>
      <x:c r="F468">
        <x:v>43</x:v>
      </x:c>
      <x:c r="G468">
        <x:v>79</x:v>
      </x:c>
      <x:c r="H468">
        <x:v>47</x:v>
      </x:c>
      <x:c r="I468">
        <x:v>77</x:v>
      </x:c>
      <x:c r="J468">
        <x:v>83</x:v>
      </x:c>
      <x:c r="K468">
        <x:v>76</x:v>
      </x:c>
      <x:c r="L468">
        <x:v>49</x:v>
      </x:c>
      <x:c r="M468">
        <x:v>81</x:v>
      </x:c>
      <x:c r="N468">
        <x:v>51</x:v>
      </x:c>
      <x:c r="O468">
        <x:v>52</x:v>
      </x:c>
      <x:c r="P468">
        <x:v>66</x:v>
      </x:c>
      <x:c r="Q468">
        <x:v>53</x:v>
      </x:c>
      <x:c r="R468">
        <x:v>80</x:v>
      </x:c>
      <x:c r="S468">
        <x:v>74</x:v>
      </x:c>
      <x:c r="T468">
        <x:v>51</x:v>
      </x:c>
      <x:c r="U468">
        <x:v>57</x:v>
      </x:c>
    </x:row>
    <x:row r="469">
      <x:c r="A469" t="s">
        <x:v>827</x:v>
      </x:c>
      <x:c r="C469" t="s">
        <x:v>331</x:v>
      </x:c>
      <x:c r="D469">
        <x:v>8477541</x:v>
      </x:c>
      <x:c r="E469">
        <x:v>71</x:v>
      </x:c>
      <x:c r="F469">
        <x:v>83</x:v>
      </x:c>
      <x:c r="G469">
        <x:v>81</x:v>
      </x:c>
      <x:c r="H469">
        <x:v>36</x:v>
      </x:c>
      <x:c r="I469">
        <x:v>78</x:v>
      </x:c>
      <x:c r="J469">
        <x:v>81</x:v>
      </x:c>
      <x:c r="K469">
        <x:v>72</x:v>
      </x:c>
      <x:c r="L469">
        <x:v>37</x:v>
      </x:c>
      <x:c r="M469">
        <x:v>30</x:v>
      </x:c>
      <x:c r="N469">
        <x:v>49</x:v>
      </x:c>
      <x:c r="O469">
        <x:v>47</x:v>
      </x:c>
      <x:c r="P469">
        <x:v>74</x:v>
      </x:c>
      <x:c r="Q469">
        <x:v>54</x:v>
      </x:c>
      <x:c r="R469">
        <x:v>76</x:v>
      </x:c>
      <x:c r="S469">
        <x:v>77</x:v>
      </x:c>
      <x:c r="T469">
        <x:v>51</x:v>
      </x:c>
      <x:c r="U469">
        <x:v>57</x:v>
      </x:c>
    </x:row>
    <x:row r="470">
      <x:c r="A470" t="s">
        <x:v>828</x:v>
      </x:c>
      <x:c r="B470" t="s">
        <x:v>348</x:v>
      </x:c>
      <x:c r="C470" t="s">
        <x:v>333</x:v>
      </x:c>
      <x:c r="D470">
        <x:v>8481043</x:v>
      </x:c>
      <x:c r="E470">
        <x:v>82</x:v>
      </x:c>
      <x:c r="F470">
        <x:v>41</x:v>
      </x:c>
      <x:c r="G470">
        <x:v>92</x:v>
      </x:c>
      <x:c r="H470">
        <x:v>52</x:v>
      </x:c>
      <x:c r="I470">
        <x:v>82</x:v>
      </x:c>
      <x:c r="J470">
        <x:v>82</x:v>
      </x:c>
      <x:c r="K470">
        <x:v>86</x:v>
      </x:c>
      <x:c r="L470">
        <x:v>52</x:v>
      </x:c>
      <x:c r="M470">
        <x:v>62</x:v>
      </x:c>
      <x:c r="N470">
        <x:v>51</x:v>
      </x:c>
      <x:c r="O470">
        <x:v>53</x:v>
      </x:c>
      <x:c r="P470">
        <x:v>68</x:v>
      </x:c>
      <x:c r="Q470">
        <x:v>52</x:v>
      </x:c>
      <x:c r="R470">
        <x:v>73</x:v>
      </x:c>
      <x:c r="S470">
        <x:v>70</x:v>
      </x:c>
      <x:c r="T470">
        <x:v>51</x:v>
      </x:c>
      <x:c r="U470">
        <x:v>57</x:v>
      </x:c>
    </x:row>
    <x:row r="471">
      <x:c r="A471" t="s">
        <x:v>829</x:v>
      </x:c>
      <x:c r="B471" t="s">
        <x:v>364</x:v>
      </x:c>
      <x:c r="C471" t="s">
        <x:v>333</x:v>
      </x:c>
      <x:c r="D471">
        <x:v>8479619</x:v>
      </x:c>
      <x:c r="E471">
        <x:v>71</x:v>
      </x:c>
      <x:c r="F471">
        <x:v>39</x:v>
      </x:c>
      <x:c r="G471">
        <x:v>89</x:v>
      </x:c>
      <x:c r="H471">
        <x:v>53</x:v>
      </x:c>
      <x:c r="I471">
        <x:v>75</x:v>
      </x:c>
      <x:c r="J471">
        <x:v>83</x:v>
      </x:c>
      <x:c r="K471">
        <x:v>93</x:v>
      </x:c>
      <x:c r="L471">
        <x:v>54</x:v>
      </x:c>
      <x:c r="M471">
        <x:v>69</x:v>
      </x:c>
      <x:c r="N471">
        <x:v>52</x:v>
      </x:c>
      <x:c r="O471">
        <x:v>56</x:v>
      </x:c>
      <x:c r="P471">
        <x:v>60</x:v>
      </x:c>
      <x:c r="Q471">
        <x:v>52</x:v>
      </x:c>
      <x:c r="R471">
        <x:v>77</x:v>
      </x:c>
      <x:c r="S471">
        <x:v>71</x:v>
      </x:c>
      <x:c r="T471">
        <x:v>41</x:v>
      </x:c>
      <x:c r="U471">
        <x:v>57</x:v>
      </x:c>
    </x:row>
    <x:row r="472">
      <x:c r="A472" t="s">
        <x:v>830</x:v>
      </x:c>
      <x:c r="C472" t="s">
        <x:v>331</x:v>
      </x:c>
      <x:c r="D472">
        <x:v>8475755</x:v>
      </x:c>
      <x:c r="E472">
        <x:v>77</x:v>
      </x:c>
      <x:c r="F472">
        <x:v>68</x:v>
      </x:c>
      <x:c r="G472">
        <x:v>79</x:v>
      </x:c>
      <x:c r="H472">
        <x:v>37</x:v>
      </x:c>
      <x:c r="I472">
        <x:v>87</x:v>
      </x:c>
      <x:c r="J472">
        <x:v>85</x:v>
      </x:c>
      <x:c r="K472">
        <x:v>81</x:v>
      </x:c>
      <x:c r="L472">
        <x:v>36</x:v>
      </x:c>
      <x:c r="M472">
        <x:v>30</x:v>
      </x:c>
      <x:c r="N472">
        <x:v>50</x:v>
      </x:c>
      <x:c r="O472">
        <x:v>47</x:v>
      </x:c>
      <x:c r="P472">
        <x:v>75</x:v>
      </x:c>
      <x:c r="Q472">
        <x:v>55</x:v>
      </x:c>
      <x:c r="R472">
        <x:v>80</x:v>
      </x:c>
      <x:c r="S472">
        <x:v>76</x:v>
      </x:c>
      <x:c r="T472">
        <x:v>51</x:v>
      </x:c>
      <x:c r="U472">
        <x:v>57</x:v>
      </x:c>
    </x:row>
    <x:row r="473">
      <x:c r="A473" t="s">
        <x:v>831</x:v>
      </x:c>
      <x:c r="B473" t="s">
        <x:v>584</x:v>
      </x:c>
      <x:c r="C473" t="s">
        <x:v>358</x:v>
      </x:c>
      <x:c r="D473">
        <x:v>8475784</x:v>
      </x:c>
      <x:c r="E473">
        <x:v>61</x:v>
      </x:c>
      <x:c r="F473">
        <x:v>32</x:v>
      </x:c>
      <x:c r="G473">
        <x:v>85</x:v>
      </x:c>
      <x:c r="H473">
        <x:v>54</x:v>
      </x:c>
      <x:c r="I473">
        <x:v>75</x:v>
      </x:c>
      <x:c r="J473">
        <x:v>82</x:v>
      </x:c>
      <x:c r="K473">
        <x:v>68</x:v>
      </x:c>
      <x:c r="L473">
        <x:v>53</x:v>
      </x:c>
      <x:c r="M473">
        <x:v>67</x:v>
      </x:c>
      <x:c r="N473">
        <x:v>53</x:v>
      </x:c>
      <x:c r="O473">
        <x:v>57</x:v>
      </x:c>
      <x:c r="P473">
        <x:v>61</x:v>
      </x:c>
      <x:c r="Q473">
        <x:v>61</x:v>
      </x:c>
      <x:c r="R473">
        <x:v>87</x:v>
      </x:c>
      <x:c r="S473">
        <x:v>76</x:v>
      </x:c>
      <x:c r="T473">
        <x:v>51</x:v>
      </x:c>
      <x:c r="U473">
        <x:v>57</x:v>
      </x:c>
    </x:row>
    <x:row r="474">
      <x:c r="A474" t="s">
        <x:v>832</x:v>
      </x:c>
      <x:c r="B474" t="s">
        <x:v>368</x:v>
      </x:c>
      <x:c r="C474" t="s">
        <x:v>329</x:v>
      </x:c>
      <x:c r="D474">
        <x:v>8477456</x:v>
      </x:c>
      <x:c r="E474">
        <x:v>58</x:v>
      </x:c>
      <x:c r="F474">
        <x:v>49</x:v>
      </x:c>
      <x:c r="G474">
        <x:v>91</x:v>
      </x:c>
      <x:c r="H474">
        <x:v>54</x:v>
      </x:c>
      <x:c r="I474">
        <x:v>79</x:v>
      </x:c>
      <x:c r="J474">
        <x:v>86</x:v>
      </x:c>
      <x:c r="K474">
        <x:v>98</x:v>
      </x:c>
      <x:c r="L474">
        <x:v>54</x:v>
      </x:c>
      <x:c r="M474">
        <x:v>88</x:v>
      </x:c>
      <x:c r="N474">
        <x:v>53</x:v>
      </x:c>
      <x:c r="O474">
        <x:v>54</x:v>
      </x:c>
      <x:c r="P474">
        <x:v>70</x:v>
      </x:c>
      <x:c r="Q474">
        <x:v>53</x:v>
      </x:c>
      <x:c r="R474">
        <x:v>80</x:v>
      </x:c>
      <x:c r="S474">
        <x:v>75</x:v>
      </x:c>
      <x:c r="T474">
        <x:v>51</x:v>
      </x:c>
      <x:c r="U474">
        <x:v>57</x:v>
      </x:c>
    </x:row>
    <x:row r="475">
      <x:c r="A475" t="s">
        <x:v>833</x:v>
      </x:c>
      <x:c r="B475" t="s">
        <x:v>439</x:v>
      </x:c>
      <x:c r="C475" t="s">
        <x:v>333</x:v>
      </x:c>
      <x:c r="D475">
        <x:v>8476292</x:v>
      </x:c>
      <x:c r="E475">
        <x:v>71</x:v>
      </x:c>
      <x:c r="F475">
        <x:v>38</x:v>
      </x:c>
      <x:c r="G475">
        <x:v>94</x:v>
      </x:c>
      <x:c r="H475">
        <x:v>51</x:v>
      </x:c>
      <x:c r="I475">
        <x:v>80</x:v>
      </x:c>
      <x:c r="J475">
        <x:v>83</x:v>
      </x:c>
      <x:c r="K475">
        <x:v>96</x:v>
      </x:c>
      <x:c r="L475">
        <x:v>52</x:v>
      </x:c>
      <x:c r="M475">
        <x:v>68</x:v>
      </x:c>
      <x:c r="N475">
        <x:v>51</x:v>
      </x:c>
      <x:c r="O475">
        <x:v>51</x:v>
      </x:c>
      <x:c r="P475">
        <x:v>65</x:v>
      </x:c>
      <x:c r="Q475">
        <x:v>55</x:v>
      </x:c>
      <x:c r="R475">
        <x:v>88</x:v>
      </x:c>
      <x:c r="S475">
        <x:v>82</x:v>
      </x:c>
      <x:c r="T475">
        <x:v>51</x:v>
      </x:c>
      <x:c r="U475">
        <x:v>57</x:v>
      </x:c>
    </x:row>
    <x:row r="476">
      <x:c r="A476" t="s">
        <x:v>834</x:v>
      </x:c>
      <x:c r="B476" t="s">
        <x:v>343</x:v>
      </x:c>
      <x:c r="C476" t="s">
        <x:v>319</x:v>
      </x:c>
      <x:c r="D476">
        <x:v>8484829</x:v>
      </x:c>
      <x:c r="E476">
        <x:v>70</x:v>
      </x:c>
      <x:c r="F476">
        <x:v>72</x:v>
      </x:c>
      <x:c r="G476">
        <x:v>87</x:v>
      </x:c>
      <x:c r="H476">
        <x:v>53</x:v>
      </x:c>
      <x:c r="I476">
        <x:v>77</x:v>
      </x:c>
      <x:c r="J476">
        <x:v>84</x:v>
      </x:c>
      <x:c r="K476">
        <x:v>97</x:v>
      </x:c>
      <x:c r="L476">
        <x:v>52</x:v>
      </x:c>
      <x:c r="M476">
        <x:v>83</x:v>
      </x:c>
      <x:c r="N476">
        <x:v>53</x:v>
      </x:c>
      <x:c r="O476">
        <x:v>55</x:v>
      </x:c>
      <x:c r="P476">
        <x:v>68</x:v>
      </x:c>
      <x:c r="Q476">
        <x:v>56</x:v>
      </x:c>
      <x:c r="R476">
        <x:v>68</x:v>
      </x:c>
      <x:c r="S476">
        <x:v>68</x:v>
      </x:c>
      <x:c r="T476">
        <x:v>54</x:v>
      </x:c>
      <x:c r="U476">
        <x:v>57</x:v>
      </x:c>
    </x:row>
    <x:row r="477">
      <x:c r="A477" t="s">
        <x:v>835</x:v>
      </x:c>
      <x:c r="B477" t="s">
        <x:v>340</x:v>
      </x:c>
      <x:c r="C477" t="s">
        <x:v>326</x:v>
      </x:c>
      <x:c r="D477">
        <x:v>8478874</x:v>
      </x:c>
      <x:c r="E477">
        <x:v>64</x:v>
      </x:c>
      <x:c r="F477">
        <x:v>33</x:v>
      </x:c>
      <x:c r="G477">
        <x:v>90</x:v>
      </x:c>
      <x:c r="H477">
        <x:v>52</x:v>
      </x:c>
      <x:c r="I477">
        <x:v>76</x:v>
      </x:c>
      <x:c r="J477">
        <x:v>83</x:v>
      </x:c>
      <x:c r="K477">
        <x:v>87</x:v>
      </x:c>
      <x:c r="L477">
        <x:v>54</x:v>
      </x:c>
      <x:c r="M477">
        <x:v>81</x:v>
      </x:c>
      <x:c r="N477">
        <x:v>51</x:v>
      </x:c>
      <x:c r="O477">
        <x:v>58</x:v>
      </x:c>
      <x:c r="P477">
        <x:v>62</x:v>
      </x:c>
      <x:c r="Q477">
        <x:v>67</x:v>
      </x:c>
      <x:c r="R477">
        <x:v>73</x:v>
      </x:c>
      <x:c r="S477">
        <x:v>73</x:v>
      </x:c>
      <x:c r="T477">
        <x:v>51</x:v>
      </x:c>
      <x:c r="U477">
        <x:v>57</x:v>
      </x:c>
    </x:row>
    <x:row r="478">
      <x:c r="A478" t="s">
        <x:v>836</x:v>
      </x:c>
      <x:c r="B478" t="s">
        <x:v>343</x:v>
      </x:c>
      <x:c r="C478" t="s">
        <x:v>319</x:v>
      </x:c>
      <x:c r="D478">
        <x:v>8476889</x:v>
      </x:c>
      <x:c r="E478">
        <x:v>69</x:v>
      </x:c>
      <x:c r="F478">
        <x:v>43</x:v>
      </x:c>
      <x:c r="G478">
        <x:v>87</x:v>
      </x:c>
      <x:c r="H478">
        <x:v>49</x:v>
      </x:c>
      <x:c r="I478">
        <x:v>88</x:v>
      </x:c>
      <x:c r="J478">
        <x:v>83</x:v>
      </x:c>
      <x:c r="K478">
        <x:v>81</x:v>
      </x:c>
      <x:c r="L478">
        <x:v>51</x:v>
      </x:c>
      <x:c r="M478">
        <x:v>87</x:v>
      </x:c>
      <x:c r="N478">
        <x:v>54</x:v>
      </x:c>
      <x:c r="O478">
        <x:v>50</x:v>
      </x:c>
      <x:c r="P478">
        <x:v>70</x:v>
      </x:c>
      <x:c r="Q478">
        <x:v>59</x:v>
      </x:c>
      <x:c r="R478">
        <x:v>83</x:v>
      </x:c>
      <x:c r="S478">
        <x:v>77</x:v>
      </x:c>
      <x:c r="T478">
        <x:v>51</x:v>
      </x:c>
      <x:c r="U478">
        <x:v>57</x:v>
      </x:c>
    </x:row>
    <x:row r="479">
      <x:c r="A479" t="s">
        <x:v>837</x:v>
      </x:c>
      <x:c r="C479" t="s">
        <x:v>319</x:v>
      </x:c>
      <x:c r="D479">
        <x:v>8484221</x:v>
      </x:c>
      <x:c r="E479">
        <x:v>57</x:v>
      </x:c>
      <x:c r="F479">
        <x:v>35</x:v>
      </x:c>
      <x:c r="G479">
        <x:v>87</x:v>
      </x:c>
      <x:c r="H479">
        <x:v>54</x:v>
      </x:c>
      <x:c r="I479">
        <x:v>78</x:v>
      </x:c>
      <x:c r="J479">
        <x:v>83</x:v>
      </x:c>
      <x:c r="K479">
        <x:v>84</x:v>
      </x:c>
      <x:c r="L479">
        <x:v>56</x:v>
      </x:c>
      <x:c r="M479">
        <x:v>77</x:v>
      </x:c>
      <x:c r="N479">
        <x:v>54</x:v>
      </x:c>
      <x:c r="O479">
        <x:v>56</x:v>
      </x:c>
      <x:c r="P479">
        <x:v>60</x:v>
      </x:c>
      <x:c r="Q479">
        <x:v>55</x:v>
      </x:c>
      <x:c r="R479">
        <x:v>66</x:v>
      </x:c>
      <x:c r="S479">
        <x:v>69</x:v>
      </x:c>
      <x:c r="T479">
        <x:v>54</x:v>
      </x:c>
      <x:c r="U479">
        <x:v>57</x:v>
      </x:c>
    </x:row>
    <x:row r="480">
      <x:c r="A480" t="s">
        <x:v>838</x:v>
      </x:c>
      <x:c r="B480" t="s">
        <x:v>348</x:v>
      </x:c>
      <x:c r="C480" t="s">
        <x:v>339</x:v>
      </x:c>
      <x:c r="D480">
        <x:v>8476480</x:v>
      </x:c>
      <x:c r="E480">
        <x:v>68</x:v>
      </x:c>
      <x:c r="F480">
        <x:v>35</x:v>
      </x:c>
      <x:c r="G480">
        <x:v>83</x:v>
      </x:c>
      <x:c r="H480">
        <x:v>52</x:v>
      </x:c>
      <x:c r="I480">
        <x:v>77</x:v>
      </x:c>
      <x:c r="J480">
        <x:v>84</x:v>
      </x:c>
      <x:c r="K480">
        <x:v>83</x:v>
      </x:c>
      <x:c r="L480">
        <x:v>53</x:v>
      </x:c>
      <x:c r="M480">
        <x:v>79</x:v>
      </x:c>
      <x:c r="N480">
        <x:v>51</x:v>
      </x:c>
      <x:c r="O480">
        <x:v>54</x:v>
      </x:c>
      <x:c r="P480">
        <x:v>66</x:v>
      </x:c>
      <x:c r="Q480">
        <x:v>56</x:v>
      </x:c>
      <x:c r="R480">
        <x:v>87</x:v>
      </x:c>
      <x:c r="S480">
        <x:v>73</x:v>
      </x:c>
      <x:c r="T480">
        <x:v>51</x:v>
      </x:c>
      <x:c r="U480">
        <x:v>57</x:v>
      </x:c>
    </x:row>
    <x:row r="481">
      <x:c r="A481" t="s">
        <x:v>839</x:v>
      </x:c>
      <x:c r="B481" t="s">
        <x:v>320</x:v>
      </x:c>
      <x:c r="C481" t="s">
        <x:v>339</x:v>
      </x:c>
      <x:c r="D481">
        <x:v>8477450</x:v>
      </x:c>
      <x:c r="E481">
        <x:v>70</x:v>
      </x:c>
      <x:c r="F481">
        <x:v>48</x:v>
      </x:c>
      <x:c r="G481">
        <x:v>87</x:v>
      </x:c>
      <x:c r="H481">
        <x:v>53</x:v>
      </x:c>
      <x:c r="I481">
        <x:v>82</x:v>
      </x:c>
      <x:c r="J481">
        <x:v>86</x:v>
      </x:c>
      <x:c r="K481">
        <x:v>83</x:v>
      </x:c>
      <x:c r="L481">
        <x:v>52</x:v>
      </x:c>
      <x:c r="M481">
        <x:v>88</x:v>
      </x:c>
      <x:c r="N481">
        <x:v>51</x:v>
      </x:c>
      <x:c r="O481">
        <x:v>53</x:v>
      </x:c>
      <x:c r="P481">
        <x:v>71</x:v>
      </x:c>
      <x:c r="Q481">
        <x:v>53</x:v>
      </x:c>
      <x:c r="R481">
        <x:v>79</x:v>
      </x:c>
      <x:c r="S481">
        <x:v>74</x:v>
      </x:c>
      <x:c r="T481">
        <x:v>51</x:v>
      </x:c>
      <x:c r="U481">
        <x:v>57</x:v>
      </x:c>
    </x:row>
    <x:row r="482">
      <x:c r="A482" t="s">
        <x:v>840</x:v>
      </x:c>
      <x:c r="B482" t="s">
        <x:v>364</x:v>
      </x:c>
      <x:c r="C482" t="s">
        <x:v>323</x:v>
      </x:c>
      <x:c r="D482">
        <x:v>8476479</x:v>
      </x:c>
      <x:c r="E482">
        <x:v>65</x:v>
      </x:c>
      <x:c r="F482">
        <x:v>37</x:v>
      </x:c>
      <x:c r="G482">
        <x:v>87</x:v>
      </x:c>
      <x:c r="H482">
        <x:v>53</x:v>
      </x:c>
      <x:c r="I482">
        <x:v>79</x:v>
      </x:c>
      <x:c r="J482">
        <x:v>86</x:v>
      </x:c>
      <x:c r="K482">
        <x:v>93</x:v>
      </x:c>
      <x:c r="L482">
        <x:v>53</x:v>
      </x:c>
      <x:c r="M482">
        <x:v>90</x:v>
      </x:c>
      <x:c r="N482">
        <x:v>53</x:v>
      </x:c>
      <x:c r="O482">
        <x:v>51</x:v>
      </x:c>
      <x:c r="P482">
        <x:v>70</x:v>
      </x:c>
      <x:c r="Q482">
        <x:v>54</x:v>
      </x:c>
      <x:c r="R482">
        <x:v>85</x:v>
      </x:c>
      <x:c r="S482">
        <x:v>80</x:v>
      </x:c>
      <x:c r="T482">
        <x:v>51</x:v>
      </x:c>
      <x:c r="U482">
        <x:v>57</x:v>
      </x:c>
    </x:row>
    <x:row r="483">
      <x:c r="A483" t="s">
        <x:v>841</x:v>
      </x:c>
      <x:c r="B483" t="s">
        <x:v>345</x:v>
      </x:c>
      <x:c r="C483" t="s">
        <x:v>323</x:v>
      </x:c>
      <x:c r="D483">
        <x:v>8477446</x:v>
      </x:c>
      <x:c r="E483">
        <x:v>80</x:v>
      </x:c>
      <x:c r="F483">
        <x:v>90</x:v>
      </x:c>
      <x:c r="G483">
        <x:v>76</x:v>
      </x:c>
      <x:c r="H483">
        <x:v>49</x:v>
      </x:c>
      <x:c r="I483">
        <x:v>92</x:v>
      </x:c>
      <x:c r="J483">
        <x:v>84</x:v>
      </x:c>
      <x:c r="K483">
        <x:v>95</x:v>
      </x:c>
      <x:c r="L483">
        <x:v>48</x:v>
      </x:c>
      <x:c r="M483">
        <x:v>89</x:v>
      </x:c>
      <x:c r="N483">
        <x:v>50</x:v>
      </x:c>
      <x:c r="O483">
        <x:v>52</x:v>
      </x:c>
      <x:c r="P483">
        <x:v>74</x:v>
      </x:c>
      <x:c r="Q483">
        <x:v>52</x:v>
      </x:c>
      <x:c r="R483">
        <x:v>80</x:v>
      </x:c>
      <x:c r="S483">
        <x:v>72</x:v>
      </x:c>
      <x:c r="T483">
        <x:v>51</x:v>
      </x:c>
      <x:c r="U483">
        <x:v>57</x:v>
      </x:c>
    </x:row>
    <x:row r="484">
      <x:c r="A484" t="s">
        <x:v>842</x:v>
      </x:c>
      <x:c r="B484" t="s">
        <x:v>402</x:v>
      </x:c>
      <x:c r="C484" t="s">
        <x:v>319</x:v>
      </x:c>
      <x:c r="D484">
        <x:v>8473604</x:v>
      </x:c>
      <x:c r="E484">
        <x:v>58</x:v>
      </x:c>
      <x:c r="F484">
        <x:v>42</x:v>
      </x:c>
      <x:c r="G484">
        <x:v>84</x:v>
      </x:c>
      <x:c r="H484">
        <x:v>53</x:v>
      </x:c>
      <x:c r="I484">
        <x:v>84</x:v>
      </x:c>
      <x:c r="J484">
        <x:v>83</x:v>
      </x:c>
      <x:c r="K484">
        <x:v>96</x:v>
      </x:c>
      <x:c r="L484">
        <x:v>54</x:v>
      </x:c>
      <x:c r="M484">
        <x:v>92</x:v>
      </x:c>
      <x:c r="N484">
        <x:v>53</x:v>
      </x:c>
      <x:c r="O484">
        <x:v>53</x:v>
      </x:c>
      <x:c r="P484">
        <x:v>62</x:v>
      </x:c>
      <x:c r="Q484">
        <x:v>77</x:v>
      </x:c>
      <x:c r="R484">
        <x:v>92</x:v>
      </x:c>
      <x:c r="S484">
        <x:v>96</x:v>
      </x:c>
      <x:c r="T484">
        <x:v>51</x:v>
      </x:c>
      <x:c r="U484">
        <x:v>57</x:v>
      </x:c>
    </x:row>
    <x:row r="485">
      <x:c r="A485" t="s">
        <x:v>843</x:v>
      </x:c>
      <x:c r="B485" t="s">
        <x:v>420</x:v>
      </x:c>
      <x:c r="C485" t="s">
        <x:v>333</x:v>
      </x:c>
      <x:c r="D485">
        <x:v>8482055</x:v>
      </x:c>
      <x:c r="E485">
        <x:v>65</x:v>
      </x:c>
      <x:c r="F485">
        <x:v>58</x:v>
      </x:c>
      <x:c r="G485">
        <x:v>83</x:v>
      </x:c>
      <x:c r="H485">
        <x:v>53</x:v>
      </x:c>
      <x:c r="I485">
        <x:v>84</x:v>
      </x:c>
      <x:c r="J485">
        <x:v>85</x:v>
      </x:c>
      <x:c r="K485">
        <x:v>99</x:v>
      </x:c>
      <x:c r="L485">
        <x:v>53</x:v>
      </x:c>
      <x:c r="M485">
        <x:v>73</x:v>
      </x:c>
      <x:c r="N485">
        <x:v>51</x:v>
      </x:c>
      <x:c r="O485">
        <x:v>56</x:v>
      </x:c>
      <x:c r="P485">
        <x:v>68</x:v>
      </x:c>
      <x:c r="Q485">
        <x:v>52</x:v>
      </x:c>
      <x:c r="R485">
        <x:v>74</x:v>
      </x:c>
      <x:c r="S485">
        <x:v>70</x:v>
      </x:c>
      <x:c r="T485">
        <x:v>51</x:v>
      </x:c>
      <x:c r="U485">
        <x:v>57</x:v>
      </x:c>
    </x:row>
    <x:row r="486">
      <x:c r="A486" t="s">
        <x:v>844</x:v>
      </x:c>
      <x:c r="B486" t="s">
        <x:v>584</x:v>
      </x:c>
      <x:c r="C486" t="s">
        <x:v>331</x:v>
      </x:c>
      <x:c r="D486">
        <x:v>8476525</x:v>
      </x:c>
      <x:c r="E486">
        <x:v>77</x:v>
      </x:c>
      <x:c r="F486">
        <x:v>40</x:v>
      </x:c>
      <x:c r="G486">
        <x:v>84</x:v>
      </x:c>
      <x:c r="H486">
        <x:v>36</x:v>
      </x:c>
      <x:c r="I486">
        <x:v>82</x:v>
      </x:c>
      <x:c r="J486">
        <x:v>82</x:v>
      </x:c>
      <x:c r="K486">
        <x:v>49</x:v>
      </x:c>
      <x:c r="L486">
        <x:v>37</x:v>
      </x:c>
      <x:c r="M486">
        <x:v>30</x:v>
      </x:c>
      <x:c r="N486">
        <x:v>50</x:v>
      </x:c>
      <x:c r="O486">
        <x:v>46</x:v>
      </x:c>
      <x:c r="P486">
        <x:v>73</x:v>
      </x:c>
      <x:c r="Q486">
        <x:v>52</x:v>
      </x:c>
      <x:c r="R486">
        <x:v>87</x:v>
      </x:c>
      <x:c r="S486">
        <x:v>74</x:v>
      </x:c>
      <x:c r="T486">
        <x:v>51</x:v>
      </x:c>
      <x:c r="U486">
        <x:v>57</x:v>
      </x:c>
    </x:row>
    <x:row r="487">
      <x:c r="A487" t="s">
        <x:v>845</x:v>
      </x:c>
      <x:c r="B487" t="s">
        <x:v>372</x:v>
      </x:c>
      <x:c r="C487" t="s">
        <x:v>319</x:v>
      </x:c>
      <x:c r="D487">
        <x:v>8477021</x:v>
      </x:c>
      <x:c r="E487">
        <x:v>65</x:v>
      </x:c>
      <x:c r="F487">
        <x:v>68</x:v>
      </x:c>
      <x:c r="G487">
        <x:v>83</x:v>
      </x:c>
      <x:c r="H487">
        <x:v>53</x:v>
      </x:c>
      <x:c r="I487">
        <x:v>76</x:v>
      </x:c>
      <x:c r="J487">
        <x:v>82</x:v>
      </x:c>
      <x:c r="K487">
        <x:v>71</x:v>
      </x:c>
      <x:c r="L487">
        <x:v>52</x:v>
      </x:c>
      <x:c r="M487">
        <x:v>84</x:v>
      </x:c>
      <x:c r="N487">
        <x:v>53</x:v>
      </x:c>
      <x:c r="O487">
        <x:v>56</x:v>
      </x:c>
      <x:c r="P487">
        <x:v>68</x:v>
      </x:c>
      <x:c r="Q487">
        <x:v>61</x:v>
      </x:c>
      <x:c r="R487">
        <x:v>82</x:v>
      </x:c>
      <x:c r="S487">
        <x:v>75</x:v>
      </x:c>
      <x:c r="T487">
        <x:v>51</x:v>
      </x:c>
      <x:c r="U487">
        <x:v>57</x:v>
      </x:c>
    </x:row>
    <x:row r="488">
      <x:c r="A488" t="s">
        <x:v>846</x:v>
      </x:c>
      <x:c r="B488" t="s">
        <x:v>372</x:v>
      </x:c>
      <x:c r="C488" t="s">
        <x:v>331</x:v>
      </x:c>
      <x:c r="D488">
        <x:v>8482111</x:v>
      </x:c>
      <x:c r="E488">
        <x:v>71</x:v>
      </x:c>
      <x:c r="F488">
        <x:v>56</x:v>
      </x:c>
      <x:c r="G488">
        <x:v>91</x:v>
      </x:c>
      <x:c r="H488">
        <x:v>39</x:v>
      </x:c>
      <x:c r="I488">
        <x:v>80</x:v>
      </x:c>
      <x:c r="J488">
        <x:v>85</x:v>
      </x:c>
      <x:c r="K488">
        <x:v>80</x:v>
      </x:c>
      <x:c r="L488">
        <x:v>37</x:v>
      </x:c>
      <x:c r="M488">
        <x:v>30</x:v>
      </x:c>
      <x:c r="N488">
        <x:v>51</x:v>
      </x:c>
      <x:c r="O488">
        <x:v>46</x:v>
      </x:c>
      <x:c r="P488">
        <x:v>74</x:v>
      </x:c>
      <x:c r="Q488">
        <x:v>52</x:v>
      </x:c>
      <x:c r="R488">
        <x:v>69</x:v>
      </x:c>
      <x:c r="S488">
        <x:v>67</x:v>
      </x:c>
      <x:c r="T488">
        <x:v>51</x:v>
      </x:c>
      <x:c r="U488">
        <x:v>57</x:v>
      </x:c>
    </x:row>
    <x:row r="489">
      <x:c r="A489" t="s">
        <x:v>847</x:v>
      </x:c>
      <x:c r="B489" t="s">
        <x:v>356</x:v>
      </x:c>
      <x:c r="C489" t="s">
        <x:v>319</x:v>
      </x:c>
      <x:c r="D489">
        <x:v>8482775</x:v>
      </x:c>
      <x:c r="E489">
        <x:v>58</x:v>
      </x:c>
      <x:c r="F489">
        <x:v>39</x:v>
      </x:c>
      <x:c r="G489">
        <x:v>91</x:v>
      </x:c>
      <x:c r="H489">
        <x:v>53</x:v>
      </x:c>
      <x:c r="I489">
        <x:v>82</x:v>
      </x:c>
      <x:c r="J489">
        <x:v>83</x:v>
      </x:c>
      <x:c r="K489">
        <x:v>87</x:v>
      </x:c>
      <x:c r="L489">
        <x:v>55</x:v>
      </x:c>
      <x:c r="M489">
        <x:v>81</x:v>
      </x:c>
      <x:c r="N489">
        <x:v>51</x:v>
      </x:c>
      <x:c r="O489">
        <x:v>57</x:v>
      </x:c>
      <x:c r="P489">
        <x:v>69</x:v>
      </x:c>
      <x:c r="Q489">
        <x:v>75</x:v>
      </x:c>
      <x:c r="R489">
        <x:v>67</x:v>
      </x:c>
      <x:c r="S489">
        <x:v>65</x:v>
      </x:c>
      <x:c r="T489">
        <x:v>54</x:v>
      </x:c>
      <x:c r="U489">
        <x:v>57</x:v>
      </x:c>
    </x:row>
    <x:row r="490">
      <x:c r="A490" t="s">
        <x:v>848</x:v>
      </x:c>
      <x:c r="B490" t="s">
        <x:v>348</x:v>
      </x:c>
      <x:c r="C490" t="s">
        <x:v>331</x:v>
      </x:c>
      <x:c r="D490">
        <x:v>8481030</x:v>
      </x:c>
      <x:c r="E490">
        <x:v>80</x:v>
      </x:c>
      <x:c r="F490">
        <x:v>48</x:v>
      </x:c>
      <x:c r="G490">
        <x:v>86</x:v>
      </x:c>
      <x:c r="H490">
        <x:v>37</x:v>
      </x:c>
      <x:c r="I490">
        <x:v>84</x:v>
      </x:c>
      <x:c r="J490">
        <x:v>84</x:v>
      </x:c>
      <x:c r="K490">
        <x:v>51</x:v>
      </x:c>
      <x:c r="L490">
        <x:v>37</x:v>
      </x:c>
      <x:c r="M490">
        <x:v>30</x:v>
      </x:c>
      <x:c r="N490">
        <x:v>54</x:v>
      </x:c>
      <x:c r="O490">
        <x:v>45</x:v>
      </x:c>
      <x:c r="P490">
        <x:v>75</x:v>
      </x:c>
      <x:c r="Q490">
        <x:v>52</x:v>
      </x:c>
      <x:c r="R490">
        <x:v>70</x:v>
      </x:c>
      <x:c r="S490">
        <x:v>70</x:v>
      </x:c>
      <x:c r="T490">
        <x:v>51</x:v>
      </x:c>
      <x:c r="U490">
        <x:v>57</x:v>
      </x:c>
    </x:row>
    <x:row r="491">
      <x:c r="A491" t="s">
        <x:v>849</x:v>
      </x:c>
      <x:c r="B491" t="s">
        <x:v>436</x:v>
      </x:c>
      <x:c r="C491" t="s">
        <x:v>358</x:v>
      </x:c>
      <x:c r="D491">
        <x:v>8482062</x:v>
      </x:c>
      <x:c r="E491">
        <x:v>82</x:v>
      </x:c>
      <x:c r="F491">
        <x:v>81</x:v>
      </x:c>
      <x:c r="G491">
        <x:v>82</x:v>
      </x:c>
      <x:c r="H491">
        <x:v>49</x:v>
      </x:c>
      <x:c r="I491">
        <x:v>82</x:v>
      </x:c>
      <x:c r="J491">
        <x:v>84</x:v>
      </x:c>
      <x:c r="K491">
        <x:v>83</x:v>
      </x:c>
      <x:c r="L491">
        <x:v>48</x:v>
      </x:c>
      <x:c r="M491">
        <x:v>66</x:v>
      </x:c>
      <x:c r="N491">
        <x:v>49</x:v>
      </x:c>
      <x:c r="O491">
        <x:v>53</x:v>
      </x:c>
      <x:c r="P491">
        <x:v>69</x:v>
      </x:c>
      <x:c r="Q491">
        <x:v>52</x:v>
      </x:c>
      <x:c r="R491">
        <x:v>79</x:v>
      </x:c>
      <x:c r="S491">
        <x:v>73</x:v>
      </x:c>
      <x:c r="T491">
        <x:v>48</x:v>
      </x:c>
      <x:c r="U491">
        <x:v>57</x:v>
      </x:c>
    </x:row>
    <x:row r="492">
      <x:c r="A492" t="s">
        <x:v>850</x:v>
      </x:c>
      <x:c r="B492" t="s">
        <x:v>584</x:v>
      </x:c>
      <x:c r="C492" t="s">
        <x:v>358</x:v>
      </x:c>
      <x:c r="D492">
        <x:v>8476871</x:v>
      </x:c>
      <x:c r="E492">
        <x:v>68</x:v>
      </x:c>
      <x:c r="F492">
        <x:v>54</x:v>
      </x:c>
      <x:c r="G492">
        <x:v>88</x:v>
      </x:c>
      <x:c r="H492">
        <x:v>48</x:v>
      </x:c>
      <x:c r="I492">
        <x:v>81</x:v>
      </x:c>
      <x:c r="J492">
        <x:v>82</x:v>
      </x:c>
      <x:c r="K492">
        <x:v>81</x:v>
      </x:c>
      <x:c r="L492">
        <x:v>51</x:v>
      </x:c>
      <x:c r="M492">
        <x:v>65</x:v>
      </x:c>
      <x:c r="N492">
        <x:v>51</x:v>
      </x:c>
      <x:c r="O492">
        <x:v>53</x:v>
      </x:c>
      <x:c r="P492">
        <x:v>66</x:v>
      </x:c>
      <x:c r="Q492">
        <x:v>59</x:v>
      </x:c>
      <x:c r="R492">
        <x:v>86</x:v>
      </x:c>
      <x:c r="S492">
        <x:v>77</x:v>
      </x:c>
      <x:c r="T492">
        <x:v>54</x:v>
      </x:c>
      <x:c r="U492">
        <x:v>57</x:v>
      </x:c>
    </x:row>
    <x:row r="493">
      <x:c r="A493" t="s">
        <x:v>851</x:v>
      </x:c>
      <x:c r="B493" t="s">
        <x:v>372</x:v>
      </x:c>
      <x:c r="C493" t="s">
        <x:v>326</x:v>
      </x:c>
      <x:c r="D493">
        <x:v>8484241</x:v>
      </x:c>
      <x:c r="E493">
        <x:v>62</x:v>
      </x:c>
      <x:c r="F493">
        <x:v>40</x:v>
      </x:c>
      <x:c r="G493">
        <x:v>93</x:v>
      </x:c>
      <x:c r="H493">
        <x:v>53</x:v>
      </x:c>
      <x:c r="I493">
        <x:v>82</x:v>
      </x:c>
      <x:c r="J493">
        <x:v>82</x:v>
      </x:c>
      <x:c r="K493">
        <x:v>90</x:v>
      </x:c>
      <x:c r="L493">
        <x:v>54</x:v>
      </x:c>
      <x:c r="M493">
        <x:v>77</x:v>
      </x:c>
      <x:c r="N493">
        <x:v>52</x:v>
      </x:c>
      <x:c r="O493">
        <x:v>57</x:v>
      </x:c>
      <x:c r="P493">
        <x:v>60</x:v>
      </x:c>
      <x:c r="Q493">
        <x:v>55</x:v>
      </x:c>
      <x:c r="R493">
        <x:v>66</x:v>
      </x:c>
      <x:c r="S493">
        <x:v>66</x:v>
      </x:c>
      <x:c r="T493">
        <x:v>54</x:v>
      </x:c>
      <x:c r="U493">
        <x:v>57</x:v>
      </x:c>
    </x:row>
    <x:row r="494">
      <x:c r="A494" t="s">
        <x:v>852</x:v>
      </x:c>
      <x:c r="B494" t="s">
        <x:v>584</x:v>
      </x:c>
      <x:c r="C494" t="s">
        <x:v>358</x:v>
      </x:c>
      <x:c r="D494">
        <x:v>8475169</x:v>
      </x:c>
      <x:c r="E494">
        <x:v>68</x:v>
      </x:c>
      <x:c r="F494">
        <x:v>55</x:v>
      </x:c>
      <x:c r="G494">
        <x:v>51</x:v>
      </x:c>
      <x:c r="H494">
        <x:v>57</x:v>
      </x:c>
      <x:c r="I494">
        <x:v>56</x:v>
      </x:c>
      <x:c r="J494">
        <x:v>56</x:v>
      </x:c>
      <x:c r="K494">
        <x:v>57</x:v>
      </x:c>
      <x:c r="L494">
        <x:v>57</x:v>
      </x:c>
      <x:c r="M494">
        <x:v>45</x:v>
      </x:c>
      <x:c r="N494">
        <x:v>54</x:v>
      </x:c>
      <x:c r="O494">
        <x:v>56</x:v>
      </x:c>
      <x:c r="P494">
        <x:v>58</x:v>
      </x:c>
      <x:c r="Q494">
        <x:v>57</x:v>
      </x:c>
      <x:c r="R494">
        <x:v>55</x:v>
      </x:c>
      <x:c r="S494">
        <x:v>53</x:v>
      </x:c>
      <x:c r="T494">
        <x:v>51</x:v>
      </x:c>
      <x:c r="U494">
        <x:v>57</x:v>
      </x:c>
    </x:row>
    <x:row r="495">
      <x:c r="A495" t="s">
        <x:v>853</x:v>
      </x:c>
      <x:c r="B495" t="s">
        <x:v>584</x:v>
      </x:c>
      <x:c r="C495" t="s">
        <x:v>333</x:v>
      </x:c>
      <x:c r="D495">
        <x:v>8478104</x:v>
      </x:c>
      <x:c r="E495">
        <x:v>87</x:v>
      </x:c>
      <x:c r="F495">
        <x:v>41</x:v>
      </x:c>
      <x:c r="G495">
        <x:v>83</x:v>
      </x:c>
      <x:c r="H495">
        <x:v>51</x:v>
      </x:c>
      <x:c r="I495">
        <x:v>83</x:v>
      </x:c>
      <x:c r="J495">
        <x:v>78</x:v>
      </x:c>
      <x:c r="K495">
        <x:v>76</x:v>
      </x:c>
      <x:c r="L495">
        <x:v>49</x:v>
      </x:c>
      <x:c r="M495">
        <x:v>66</x:v>
      </x:c>
      <x:c r="N495">
        <x:v>53</x:v>
      </x:c>
      <x:c r="O495">
        <x:v>53</x:v>
      </x:c>
      <x:c r="P495">
        <x:v>62</x:v>
      </x:c>
      <x:c r="Q495">
        <x:v>61</x:v>
      </x:c>
      <x:c r="R495">
        <x:v>72</x:v>
      </x:c>
      <x:c r="S495">
        <x:v>73</x:v>
      </x:c>
      <x:c r="T495">
        <x:v>51</x:v>
      </x:c>
      <x:c r="U495">
        <x:v>57</x:v>
      </x:c>
    </x:row>
    <x:row r="496">
      <x:c r="A496" t="s">
        <x:v>854</x:v>
      </x:c>
      <x:c r="B496" t="s">
        <x:v>327</x:v>
      </x:c>
      <x:c r="C496" t="s">
        <x:v>319</x:v>
      </x:c>
      <x:c r="D496">
        <x:v>8482201</x:v>
      </x:c>
      <x:c r="E496">
        <x:v>67</x:v>
      </x:c>
      <x:c r="F496">
        <x:v>46</x:v>
      </x:c>
      <x:c r="G496">
        <x:v>85</x:v>
      </x:c>
      <x:c r="H496">
        <x:v>55</x:v>
      </x:c>
      <x:c r="I496">
        <x:v>77</x:v>
      </x:c>
      <x:c r="J496">
        <x:v>84</x:v>
      </x:c>
      <x:c r="K496">
        <x:v>91</x:v>
      </x:c>
      <x:c r="L496">
        <x:v>53</x:v>
      </x:c>
      <x:c r="M496">
        <x:v>67</x:v>
      </x:c>
      <x:c r="N496">
        <x:v>55</x:v>
      </x:c>
      <x:c r="O496">
        <x:v>54</x:v>
      </x:c>
      <x:c r="P496">
        <x:v>63</x:v>
      </x:c>
      <x:c r="Q496">
        <x:v>75</x:v>
      </x:c>
      <x:c r="R496">
        <x:v>69</x:v>
      </x:c>
      <x:c r="S496">
        <x:v>67</x:v>
      </x:c>
      <x:c r="T496">
        <x:v>54</x:v>
      </x:c>
      <x:c r="U496">
        <x:v>57</x:v>
      </x:c>
    </x:row>
    <x:row r="497">
      <x:c r="A497" t="s">
        <x:v>855</x:v>
      </x:c>
      <x:c r="B497" t="s">
        <x:v>393</x:v>
      </x:c>
      <x:c r="C497" t="s">
        <x:v>339</x:v>
      </x:c>
      <x:c r="D497">
        <x:v>8480849</x:v>
      </x:c>
      <x:c r="E497">
        <x:v>60</x:v>
      </x:c>
      <x:c r="F497">
        <x:v>40</x:v>
      </x:c>
      <x:c r="G497">
        <x:v>78</x:v>
      </x:c>
      <x:c r="H497">
        <x:v>54</x:v>
      </x:c>
      <x:c r="I497">
        <x:v>81</x:v>
      </x:c>
      <x:c r="J497">
        <x:v>85</x:v>
      </x:c>
      <x:c r="K497">
        <x:v>87</x:v>
      </x:c>
      <x:c r="L497">
        <x:v>54</x:v>
      </x:c>
      <x:c r="M497">
        <x:v>89</x:v>
      </x:c>
      <x:c r="N497">
        <x:v>54</x:v>
      </x:c>
      <x:c r="O497">
        <x:v>55</x:v>
      </x:c>
      <x:c r="P497">
        <x:v>65</x:v>
      </x:c>
      <x:c r="Q497">
        <x:v>53</x:v>
      </x:c>
      <x:c r="R497">
        <x:v>72</x:v>
      </x:c>
      <x:c r="S497">
        <x:v>75</x:v>
      </x:c>
      <x:c r="T497">
        <x:v>51</x:v>
      </x:c>
      <x:c r="U497">
        <x:v>57</x:v>
      </x:c>
    </x:row>
    <x:row r="498">
      <x:c r="A498" t="s">
        <x:v>856</x:v>
      </x:c>
      <x:c r="B498" t="s">
        <x:v>402</x:v>
      </x:c>
      <x:c r="C498" t="s">
        <x:v>323</x:v>
      </x:c>
      <x:c r="D498">
        <x:v>8482088</x:v>
      </x:c>
      <x:c r="E498">
        <x:v>68</x:v>
      </x:c>
      <x:c r="F498">
        <x:v>46</x:v>
      </x:c>
      <x:c r="G498">
        <x:v>85</x:v>
      </x:c>
      <x:c r="H498">
        <x:v>55</x:v>
      </x:c>
      <x:c r="I498">
        <x:v>77</x:v>
      </x:c>
      <x:c r="J498">
        <x:v>84</x:v>
      </x:c>
      <x:c r="K498">
        <x:v>93</x:v>
      </x:c>
      <x:c r="L498">
        <x:v>54</x:v>
      </x:c>
      <x:c r="M498">
        <x:v>83</x:v>
      </x:c>
      <x:c r="N498">
        <x:v>54</x:v>
      </x:c>
      <x:c r="O498">
        <x:v>55</x:v>
      </x:c>
      <x:c r="P498">
        <x:v>64</x:v>
      </x:c>
      <x:c r="Q498">
        <x:v>56</x:v>
      </x:c>
      <x:c r="R498">
        <x:v>67</x:v>
      </x:c>
      <x:c r="S498">
        <x:v>66</x:v>
      </x:c>
      <x:c r="T498">
        <x:v>54</x:v>
      </x:c>
      <x:c r="U498">
        <x:v>57</x:v>
      </x:c>
    </x:row>
    <x:row r="499">
      <x:c r="A499" t="s">
        <x:v>857</x:v>
      </x:c>
      <x:c r="B499" t="s">
        <x:v>400</x:v>
      </x:c>
      <x:c r="C499" t="s">
        <x:v>339</x:v>
      </x:c>
      <x:c r="D499">
        <x:v>8474189</x:v>
      </x:c>
      <x:c r="E499">
        <x:v>63</x:v>
      </x:c>
      <x:c r="F499">
        <x:v>39</x:v>
      </x:c>
      <x:c r="G499">
        <x:v>92</x:v>
      </x:c>
      <x:c r="H499">
        <x:v>51</x:v>
      </x:c>
      <x:c r="I499">
        <x:v>81</x:v>
      </x:c>
      <x:c r="J499">
        <x:v>82</x:v>
      </x:c>
      <x:c r="K499">
        <x:v>89</x:v>
      </x:c>
      <x:c r="L499">
        <x:v>51</x:v>
      </x:c>
      <x:c r="M499">
        <x:v>87</x:v>
      </x:c>
      <x:c r="N499">
        <x:v>51</x:v>
      </x:c>
      <x:c r="O499">
        <x:v>51</x:v>
      </x:c>
      <x:c r="P499">
        <x:v>67</x:v>
      </x:c>
      <x:c r="Q499">
        <x:v>60</x:v>
      </x:c>
      <x:c r="R499">
        <x:v>91</x:v>
      </x:c>
      <x:c r="S499">
        <x:v>79</x:v>
      </x:c>
      <x:c r="T499">
        <x:v>51</x:v>
      </x:c>
      <x:c r="U499">
        <x:v>57</x:v>
      </x:c>
    </x:row>
    <x:row r="500">
      <x:c r="A500" t="s">
        <x:v>858</x:v>
      </x:c>
      <x:c r="B500" t="s">
        <x:v>366</x:v>
      </x:c>
      <x:c r="C500" t="s">
        <x:v>323</x:v>
      </x:c>
      <x:c r="D500">
        <x:v>8479996</x:v>
      </x:c>
      <x:c r="E500">
        <x:v>62</x:v>
      </x:c>
      <x:c r="F500">
        <x:v>54</x:v>
      </x:c>
      <x:c r="G500">
        <x:v>85</x:v>
      </x:c>
      <x:c r="H500">
        <x:v>53</x:v>
      </x:c>
      <x:c r="I500">
        <x:v>81</x:v>
      </x:c>
      <x:c r="J500">
        <x:v>84</x:v>
      </x:c>
      <x:c r="K500">
        <x:v>87</x:v>
      </x:c>
      <x:c r="L500">
        <x:v>53</x:v>
      </x:c>
      <x:c r="M500">
        <x:v>88</x:v>
      </x:c>
      <x:c r="N500">
        <x:v>51</x:v>
      </x:c>
      <x:c r="O500">
        <x:v>57</x:v>
      </x:c>
      <x:c r="P500">
        <x:v>67</x:v>
      </x:c>
      <x:c r="Q500">
        <x:v>65</x:v>
      </x:c>
      <x:c r="R500">
        <x:v>73</x:v>
      </x:c>
      <x:c r="S500">
        <x:v>72</x:v>
      </x:c>
      <x:c r="T500">
        <x:v>51</x:v>
      </x:c>
      <x:c r="U500">
        <x:v>57</x:v>
      </x:c>
    </x:row>
    <x:row r="501">
      <x:c r="A501" t="s">
        <x:v>859</x:v>
      </x:c>
      <x:c r="B501" t="s">
        <x:v>340</x:v>
      </x:c>
      <x:c r="C501" t="s">
        <x:v>331</x:v>
      </x:c>
      <x:c r="D501">
        <x:v>8484806</x:v>
      </x:c>
      <x:c r="E501">
        <x:v>73</x:v>
      </x:c>
      <x:c r="F501">
        <x:v>38</x:v>
      </x:c>
      <x:c r="G501">
        <x:v>88</x:v>
      </x:c>
      <x:c r="H501">
        <x:v>39</x:v>
      </x:c>
      <x:c r="I501">
        <x:v>80</x:v>
      </x:c>
      <x:c r="J501">
        <x:v>86</x:v>
      </x:c>
      <x:c r="K501">
        <x:v>88</x:v>
      </x:c>
      <x:c r="L501">
        <x:v>38</x:v>
      </x:c>
      <x:c r="M501">
        <x:v>30</x:v>
      </x:c>
      <x:c r="N501">
        <x:v>51</x:v>
      </x:c>
      <x:c r="O501">
        <x:v>47</x:v>
      </x:c>
      <x:c r="P501">
        <x:v>74</x:v>
      </x:c>
      <x:c r="Q501">
        <x:v>51</x:v>
      </x:c>
      <x:c r="R501">
        <x:v>64</x:v>
      </x:c>
      <x:c r="S501">
        <x:v>65</x:v>
      </x:c>
      <x:c r="T501">
        <x:v>54</x:v>
      </x:c>
      <x:c r="U501">
        <x:v>57</x:v>
      </x:c>
    </x:row>
    <x:row r="502">
      <x:c r="A502" t="s">
        <x:v>860</x:v>
      </x:c>
      <x:c r="B502" t="s">
        <x:v>366</x:v>
      </x:c>
      <x:c r="C502" t="s">
        <x:v>326</x:v>
      </x:c>
      <x:c r="D502">
        <x:v>8481721</x:v>
      </x:c>
      <x:c r="E502">
        <x:v>64</x:v>
      </x:c>
      <x:c r="F502">
        <x:v>32</x:v>
      </x:c>
      <x:c r="G502">
        <x:v>85</x:v>
      </x:c>
      <x:c r="H502">
        <x:v>55</x:v>
      </x:c>
      <x:c r="I502">
        <x:v>76</x:v>
      </x:c>
      <x:c r="J502">
        <x:v>84</x:v>
      </x:c>
      <x:c r="K502">
        <x:v>82</x:v>
      </x:c>
      <x:c r="L502">
        <x:v>55</x:v>
      </x:c>
      <x:c r="M502">
        <x:v>66</x:v>
      </x:c>
      <x:c r="N502">
        <x:v>54</x:v>
      </x:c>
      <x:c r="O502">
        <x:v>56</x:v>
      </x:c>
      <x:c r="P502">
        <x:v>60</x:v>
      </x:c>
      <x:c r="Q502">
        <x:v>64</x:v>
      </x:c>
      <x:c r="R502">
        <x:v>70</x:v>
      </x:c>
      <x:c r="S502">
        <x:v>70</x:v>
      </x:c>
      <x:c r="T502">
        <x:v>54</x:v>
      </x:c>
      <x:c r="U502">
        <x:v>57</x:v>
      </x:c>
    </x:row>
    <x:row r="503">
      <x:c r="A503" t="s">
        <x:v>861</x:v>
      </x:c>
      <x:c r="B503" t="s">
        <x:v>400</x:v>
      </x:c>
      <x:c r="C503" t="s">
        <x:v>333</x:v>
      </x:c>
      <x:c r="D503">
        <x:v>8477903</x:v>
      </x:c>
      <x:c r="E503">
        <x:v>91</x:v>
      </x:c>
      <x:c r="F503">
        <x:v>86</x:v>
      </x:c>
      <x:c r="G503">
        <x:v>81</x:v>
      </x:c>
      <x:c r="H503">
        <x:v>48</x:v>
      </x:c>
      <x:c r="I503">
        <x:v>87</x:v>
      </x:c>
      <x:c r="J503">
        <x:v>82</x:v>
      </x:c>
      <x:c r="K503">
        <x:v>86</x:v>
      </x:c>
      <x:c r="L503">
        <x:v>48</x:v>
      </x:c>
      <x:c r="M503">
        <x:v>70</x:v>
      </x:c>
      <x:c r="N503">
        <x:v>49</x:v>
      </x:c>
      <x:c r="O503">
        <x:v>49</x:v>
      </x:c>
      <x:c r="P503">
        <x:v>69</x:v>
      </x:c>
      <x:c r="Q503">
        <x:v>52</x:v>
      </x:c>
      <x:c r="R503">
        <x:v>85</x:v>
      </x:c>
      <x:c r="S503">
        <x:v>74</x:v>
      </x:c>
      <x:c r="T503">
        <x:v>51</x:v>
      </x:c>
      <x:c r="U503">
        <x:v>57</x:v>
      </x:c>
    </x:row>
    <x:row r="504">
      <x:c r="A504" t="s">
        <x:v>862</x:v>
      </x:c>
      <x:c r="B504" t="s">
        <x:v>340</x:v>
      </x:c>
      <x:c r="C504" t="s">
        <x:v>331</x:v>
      </x:c>
      <x:c r="D504">
        <x:v>8480891</x:v>
      </x:c>
      <x:c r="E504">
        <x:v>72</x:v>
      </x:c>
      <x:c r="F504">
        <x:v>82</x:v>
      </x:c>
      <x:c r="G504">
        <x:v>73</x:v>
      </x:c>
      <x:c r="H504">
        <x:v>38</x:v>
      </x:c>
      <x:c r="I504">
        <x:v>85</x:v>
      </x:c>
      <x:c r="J504">
        <x:v>84</x:v>
      </x:c>
      <x:c r="K504">
        <x:v>73</x:v>
      </x:c>
      <x:c r="L504">
        <x:v>39</x:v>
      </x:c>
      <x:c r="M504">
        <x:v>30</x:v>
      </x:c>
      <x:c r="N504">
        <x:v>50</x:v>
      </x:c>
      <x:c r="O504">
        <x:v>46</x:v>
      </x:c>
      <x:c r="P504">
        <x:v>75</x:v>
      </x:c>
      <x:c r="Q504">
        <x:v>52</x:v>
      </x:c>
      <x:c r="R504">
        <x:v>71</x:v>
      </x:c>
      <x:c r="S504">
        <x:v>68</x:v>
      </x:c>
      <x:c r="T504">
        <x:v>51</x:v>
      </x:c>
      <x:c r="U504">
        <x:v>57</x:v>
      </x:c>
    </x:row>
    <x:row r="505">
      <x:c r="A505" t="s">
        <x:v>863</x:v>
      </x:c>
      <x:c r="B505" t="s">
        <x:v>340</x:v>
      </x:c>
      <x:c r="C505" t="s">
        <x:v>358</x:v>
      </x:c>
      <x:c r="D505">
        <x:v>8484994</x:v>
      </x:c>
      <x:c r="E505">
        <x:v>59</x:v>
      </x:c>
      <x:c r="F505">
        <x:v>36</x:v>
      </x:c>
      <x:c r="G505">
        <x:v>90</x:v>
      </x:c>
      <x:c r="H505">
        <x:v>55</x:v>
      </x:c>
      <x:c r="I505">
        <x:v>78</x:v>
      </x:c>
      <x:c r="J505">
        <x:v>83</x:v>
      </x:c>
      <x:c r="K505">
        <x:v>84</x:v>
      </x:c>
      <x:c r="L505">
        <x:v>55</x:v>
      </x:c>
      <x:c r="M505">
        <x:v>61</x:v>
      </x:c>
      <x:c r="N505">
        <x:v>53</x:v>
      </x:c>
      <x:c r="O505">
        <x:v>57</x:v>
      </x:c>
      <x:c r="P505">
        <x:v>59</x:v>
      </x:c>
      <x:c r="Q505">
        <x:v>68</x:v>
      </x:c>
      <x:c r="R505">
        <x:v>65</x:v>
      </x:c>
      <x:c r="S505">
        <x:v>68</x:v>
      </x:c>
      <x:c r="T505">
        <x:v>54</x:v>
      </x:c>
      <x:c r="U505">
        <x:v>57</x:v>
      </x:c>
    </x:row>
    <x:row r="506">
      <x:c r="A506" t="s">
        <x:v>864</x:v>
      </x:c>
      <x:c r="B506" t="s">
        <x:v>356</x:v>
      </x:c>
      <x:c r="C506" t="s">
        <x:v>323</x:v>
      </x:c>
      <x:c r="D506">
        <x:v>8481523</x:v>
      </x:c>
      <x:c r="E506">
        <x:v>70</x:v>
      </x:c>
      <x:c r="F506">
        <x:v>69</x:v>
      </x:c>
      <x:c r="G506">
        <x:v>78</x:v>
      </x:c>
      <x:c r="H506">
        <x:v>53</x:v>
      </x:c>
      <x:c r="I506">
        <x:v>86</x:v>
      </x:c>
      <x:c r="J506">
        <x:v>83</x:v>
      </x:c>
      <x:c r="K506">
        <x:v>68</x:v>
      </x:c>
      <x:c r="L506">
        <x:v>54</x:v>
      </x:c>
      <x:c r="M506">
        <x:v>78</x:v>
      </x:c>
      <x:c r="N506">
        <x:v>52</x:v>
      </x:c>
      <x:c r="O506">
        <x:v>57</x:v>
      </x:c>
      <x:c r="P506">
        <x:v>63</x:v>
      </x:c>
      <x:c r="Q506">
        <x:v>71</x:v>
      </x:c>
      <x:c r="R506">
        <x:v>70</x:v>
      </x:c>
      <x:c r="S506">
        <x:v>74</x:v>
      </x:c>
      <x:c r="T506">
        <x:v>51</x:v>
      </x:c>
      <x:c r="U506">
        <x:v>57</x:v>
      </x:c>
    </x:row>
    <x:row r="507">
      <x:c r="A507" t="s">
        <x:v>865</x:v>
      </x:c>
      <x:c r="B507" t="s">
        <x:v>386</x:v>
      </x:c>
      <x:c r="C507" t="s">
        <x:v>333</x:v>
      </x:c>
      <x:c r="D507">
        <x:v>8480762</x:v>
      </x:c>
      <x:c r="E507">
        <x:v>69</x:v>
      </x:c>
      <x:c r="F507">
        <x:v>40</x:v>
      </x:c>
      <x:c r="G507">
        <x:v>96</x:v>
      </x:c>
      <x:c r="H507">
        <x:v>51</x:v>
      </x:c>
      <x:c r="I507">
        <x:v>82</x:v>
      </x:c>
      <x:c r="J507">
        <x:v>82</x:v>
      </x:c>
      <x:c r="K507">
        <x:v>88</x:v>
      </x:c>
      <x:c r="L507">
        <x:v>52</x:v>
      </x:c>
      <x:c r="M507">
        <x:v>64</x:v>
      </x:c>
      <x:c r="N507">
        <x:v>51</x:v>
      </x:c>
      <x:c r="O507">
        <x:v>55</x:v>
      </x:c>
      <x:c r="P507">
        <x:v>66</x:v>
      </x:c>
      <x:c r="Q507">
        <x:v>52</x:v>
      </x:c>
      <x:c r="R507">
        <x:v>80</x:v>
      </x:c>
      <x:c r="S507">
        <x:v>73</x:v>
      </x:c>
      <x:c r="T507">
        <x:v>51</x:v>
      </x:c>
      <x:c r="U507">
        <x:v>57</x:v>
      </x:c>
    </x:row>
    <x:row r="508">
      <x:c r="A508" t="s">
        <x:v>866</x:v>
      </x:c>
      <x:c r="B508" t="s">
        <x:v>383</x:v>
      </x:c>
      <x:c r="C508" t="s">
        <x:v>358</x:v>
      </x:c>
      <x:c r="D508">
        <x:v>8481789</x:v>
      </x:c>
      <x:c r="E508">
        <x:v>82</x:v>
      </x:c>
      <x:c r="F508">
        <x:v>74</x:v>
      </x:c>
      <x:c r="G508">
        <x:v>83</x:v>
      </x:c>
      <x:c r="H508">
        <x:v>52</x:v>
      </x:c>
      <x:c r="I508">
        <x:v>77</x:v>
      </x:c>
      <x:c r="J508">
        <x:v>83</x:v>
      </x:c>
      <x:c r="K508">
        <x:v>84</x:v>
      </x:c>
      <x:c r="L508">
        <x:v>51</x:v>
      </x:c>
      <x:c r="M508">
        <x:v>65</x:v>
      </x:c>
      <x:c r="N508">
        <x:v>53</x:v>
      </x:c>
      <x:c r="O508">
        <x:v>53</x:v>
      </x:c>
      <x:c r="P508">
        <x:v>67</x:v>
      </x:c>
      <x:c r="Q508">
        <x:v>52</x:v>
      </x:c>
      <x:c r="R508">
        <x:v>69</x:v>
      </x:c>
      <x:c r="S508">
        <x:v>68</x:v>
      </x:c>
      <x:c r="T508">
        <x:v>54</x:v>
      </x:c>
      <x:c r="U508">
        <x:v>57</x:v>
      </x:c>
    </x:row>
    <x:row r="509">
      <x:c r="A509" t="s">
        <x:v>867</x:v>
      </x:c>
      <x:c r="B509" t="s">
        <x:v>439</x:v>
      </x:c>
      <x:c r="C509" t="s">
        <x:v>319</x:v>
      </x:c>
      <x:c r="D509">
        <x:v>8475231</x:v>
      </x:c>
      <x:c r="E509">
        <x:v>74</x:v>
      </x:c>
      <x:c r="F509">
        <x:v>42</x:v>
      </x:c>
      <x:c r="G509">
        <x:v>90</x:v>
      </x:c>
      <x:c r="H509">
        <x:v>49</x:v>
      </x:c>
      <x:c r="I509">
        <x:v>79</x:v>
      </x:c>
      <x:c r="J509">
        <x:v>83</x:v>
      </x:c>
      <x:c r="K509">
        <x:v>98</x:v>
      </x:c>
      <x:c r="L509">
        <x:v>49</x:v>
      </x:c>
      <x:c r="M509">
        <x:v>87</x:v>
      </x:c>
      <x:c r="N509">
        <x:v>50</x:v>
      </x:c>
      <x:c r="O509">
        <x:v>53</x:v>
      </x:c>
      <x:c r="P509">
        <x:v>69</x:v>
      </x:c>
      <x:c r="Q509">
        <x:v>57</x:v>
      </x:c>
      <x:c r="R509">
        <x:v>86</x:v>
      </x:c>
      <x:c r="S509">
        <x:v>78</x:v>
      </x:c>
      <x:c r="T509">
        <x:v>51</x:v>
      </x:c>
      <x:c r="U509">
        <x:v>57</x:v>
      </x:c>
    </x:row>
    <x:row r="510">
      <x:c r="A510" t="s">
        <x:v>868</x:v>
      </x:c>
      <x:c r="C510" t="s">
        <x:v>339</x:v>
      </x:c>
      <x:c r="D510">
        <x:v>8482177</x:v>
      </x:c>
      <x:c r="E510">
        <x:v>61</x:v>
      </x:c>
      <x:c r="F510">
        <x:v>35</x:v>
      </x:c>
      <x:c r="G510">
        <x:v>92</x:v>
      </x:c>
      <x:c r="H510">
        <x:v>54</x:v>
      </x:c>
      <x:c r="I510">
        <x:v>77</x:v>
      </x:c>
      <x:c r="J510">
        <x:v>85</x:v>
      </x:c>
      <x:c r="K510">
        <x:v>91</x:v>
      </x:c>
      <x:c r="L510">
        <x:v>54</x:v>
      </x:c>
      <x:c r="M510">
        <x:v>75</x:v>
      </x:c>
      <x:c r="N510">
        <x:v>53</x:v>
      </x:c>
      <x:c r="O510">
        <x:v>55</x:v>
      </x:c>
      <x:c r="P510">
        <x:v>68</x:v>
      </x:c>
      <x:c r="Q510">
        <x:v>70</x:v>
      </x:c>
      <x:c r="R510">
        <x:v>67</x:v>
      </x:c>
      <x:c r="S510">
        <x:v>65</x:v>
      </x:c>
      <x:c r="T510">
        <x:v>54</x:v>
      </x:c>
      <x:c r="U510">
        <x:v>57</x:v>
      </x:c>
    </x:row>
    <x:row r="511">
      <x:c r="A511" t="s">
        <x:v>869</x:v>
      </x:c>
      <x:c r="B511" t="s">
        <x:v>436</x:v>
      </x:c>
      <x:c r="C511" t="s">
        <x:v>339</x:v>
      </x:c>
      <x:c r="D511">
        <x:v>8485391</x:v>
      </x:c>
      <x:c r="E511">
        <x:v>58</x:v>
      </x:c>
      <x:c r="F511">
        <x:v>35</x:v>
      </x:c>
      <x:c r="G511">
        <x:v>84</x:v>
      </x:c>
      <x:c r="H511">
        <x:v>55</x:v>
      </x:c>
      <x:c r="I511">
        <x:v>78</x:v>
      </x:c>
      <x:c r="J511">
        <x:v>85</x:v>
      </x:c>
      <x:c r="K511">
        <x:v>31</x:v>
      </x:c>
      <x:c r="L511">
        <x:v>55</x:v>
      </x:c>
      <x:c r="M511">
        <x:v>77</x:v>
      </x:c>
      <x:c r="N511">
        <x:v>57</x:v>
      </x:c>
      <x:c r="O511">
        <x:v>53</x:v>
      </x:c>
      <x:c r="P511">
        <x:v>62</x:v>
      </x:c>
      <x:c r="Q511">
        <x:v>51</x:v>
      </x:c>
      <x:c r="R511">
        <x:v>65</x:v>
      </x:c>
      <x:c r="S511">
        <x:v>69</x:v>
      </x:c>
      <x:c r="T511">
        <x:v>54</x:v>
      </x:c>
      <x:c r="U511">
        <x:v>57</x:v>
      </x:c>
    </x:row>
    <x:row r="512">
      <x:c r="A512" t="s">
        <x:v>870</x:v>
      </x:c>
      <x:c r="B512" t="s">
        <x:v>368</x:v>
      </x:c>
      <x:c r="C512" t="s">
        <x:v>339</x:v>
      </x:c>
      <x:c r="D512">
        <x:v>8483464</x:v>
      </x:c>
      <x:c r="E512">
        <x:v>78</x:v>
      </x:c>
      <x:c r="F512">
        <x:v>51</x:v>
      </x:c>
      <x:c r="G512">
        <x:v>87</x:v>
      </x:c>
      <x:c r="H512">
        <x:v>54</x:v>
      </x:c>
      <x:c r="I512">
        <x:v>79</x:v>
      </x:c>
      <x:c r="J512">
        <x:v>85</x:v>
      </x:c>
      <x:c r="K512">
        <x:v>97</x:v>
      </x:c>
      <x:c r="L512">
        <x:v>51</x:v>
      </x:c>
      <x:c r="M512">
        <x:v>83</x:v>
      </x:c>
      <x:c r="N512">
        <x:v>51</x:v>
      </x:c>
      <x:c r="O512">
        <x:v>53</x:v>
      </x:c>
      <x:c r="P512">
        <x:v>67</x:v>
      </x:c>
      <x:c r="Q512">
        <x:v>52</x:v>
      </x:c>
      <x:c r="R512">
        <x:v>66</x:v>
      </x:c>
      <x:c r="S512">
        <x:v>77</x:v>
      </x:c>
      <x:c r="T512">
        <x:v>51</x:v>
      </x:c>
      <x:c r="U512">
        <x:v>57</x:v>
      </x:c>
    </x:row>
    <x:row r="513">
      <x:c r="A513" t="s">
        <x:v>871</x:v>
      </x:c>
      <x:c r="B513" t="s">
        <x:v>396</x:v>
      </x:c>
      <x:c r="C513" t="s">
        <x:v>333</x:v>
      </x:c>
      <x:c r="D513">
        <x:v>8477953</x:v>
      </x:c>
      <x:c r="E513">
        <x:v>71</x:v>
      </x:c>
      <x:c r="F513">
        <x:v>33</x:v>
      </x:c>
      <x:c r="G513">
        <x:v>87</x:v>
      </x:c>
      <x:c r="H513">
        <x:v>54</x:v>
      </x:c>
      <x:c r="I513">
        <x:v>77</x:v>
      </x:c>
      <x:c r="J513">
        <x:v>85</x:v>
      </x:c>
      <x:c r="K513">
        <x:v>74</x:v>
      </x:c>
      <x:c r="L513">
        <x:v>51</x:v>
      </x:c>
      <x:c r="M513">
        <x:v>64</x:v>
      </x:c>
      <x:c r="N513">
        <x:v>53</x:v>
      </x:c>
      <x:c r="O513">
        <x:v>55</x:v>
      </x:c>
      <x:c r="P513">
        <x:v>66</x:v>
      </x:c>
      <x:c r="Q513">
        <x:v>60</x:v>
      </x:c>
      <x:c r="R513">
        <x:v>79</x:v>
      </x:c>
      <x:c r="S513">
        <x:v>76</x:v>
      </x:c>
      <x:c r="T513">
        <x:v>51</x:v>
      </x:c>
      <x:c r="U513">
        <x:v>57</x:v>
      </x:c>
    </x:row>
    <x:row r="514">
      <x:c r="A514" t="s">
        <x:v>872</x:v>
      </x:c>
      <x:c r="B514" t="s">
        <x:v>584</x:v>
      </x:c>
      <x:c r="C514" t="s">
        <x:v>331</x:v>
      </x:c>
      <x:c r="D514">
        <x:v>8476422</x:v>
      </x:c>
      <x:c r="E514">
        <x:v>67</x:v>
      </x:c>
      <x:c r="F514">
        <x:v>36</x:v>
      </x:c>
      <x:c r="G514">
        <x:v>82</x:v>
      </x:c>
      <x:c r="H514">
        <x:v>38</x:v>
      </x:c>
      <x:c r="I514">
        <x:v>79</x:v>
      </x:c>
      <x:c r="J514">
        <x:v>84</x:v>
      </x:c>
      <x:c r="K514">
        <x:v>69</x:v>
      </x:c>
      <x:c r="L514">
        <x:v>37</x:v>
      </x:c>
      <x:c r="M514">
        <x:v>30</x:v>
      </x:c>
      <x:c r="N514">
        <x:v>52</x:v>
      </x:c>
      <x:c r="O514">
        <x:v>46</x:v>
      </x:c>
      <x:c r="P514">
        <x:v>75</x:v>
      </x:c>
      <x:c r="Q514">
        <x:v>52</x:v>
      </x:c>
      <x:c r="R514">
        <x:v>83</x:v>
      </x:c>
      <x:c r="S514">
        <x:v>73</x:v>
      </x:c>
      <x:c r="T514">
        <x:v>54</x:v>
      </x:c>
      <x:c r="U514">
        <x:v>57</x:v>
      </x:c>
    </x:row>
    <x:row r="515">
      <x:c r="A515" t="s">
        <x:v>873</x:v>
      </x:c>
      <x:c r="B515" t="s">
        <x:v>352</x:v>
      </x:c>
      <x:c r="C515" t="s">
        <x:v>319</x:v>
      </x:c>
      <x:c r="D515">
        <x:v>8478904</x:v>
      </x:c>
      <x:c r="E515">
        <x:v>77</x:v>
      </x:c>
      <x:c r="F515">
        <x:v>45</x:v>
      </x:c>
      <x:c r="G515">
        <x:v>94</x:v>
      </x:c>
      <x:c r="H515">
        <x:v>49</x:v>
      </x:c>
      <x:c r="I515">
        <x:v>87</x:v>
      </x:c>
      <x:c r="J515">
        <x:v>83</x:v>
      </x:c>
      <x:c r="K515">
        <x:v>89</x:v>
      </x:c>
      <x:c r="L515">
        <x:v>48</x:v>
      </x:c>
      <x:c r="M515">
        <x:v>73</x:v>
      </x:c>
      <x:c r="N515">
        <x:v>51</x:v>
      </x:c>
      <x:c r="O515">
        <x:v>52</x:v>
      </x:c>
      <x:c r="P515">
        <x:v>71</x:v>
      </x:c>
      <x:c r="Q515">
        <x:v>52</x:v>
      </x:c>
      <x:c r="R515">
        <x:v>77</x:v>
      </x:c>
      <x:c r="S515">
        <x:v>71</x:v>
      </x:c>
      <x:c r="T515">
        <x:v>51</x:v>
      </x:c>
      <x:c r="U515">
        <x:v>57</x:v>
      </x:c>
    </x:row>
    <x:row r="516">
      <x:c r="A516" t="s">
        <x:v>874</x:v>
      </x:c>
      <x:c r="B516" t="s">
        <x:v>576</x:v>
      </x:c>
      <x:c r="C516" t="s">
        <x:v>329</x:v>
      </x:c>
      <x:c r="D516">
        <x:v>8482074</x:v>
      </x:c>
      <x:c r="E516">
        <x:v>61</x:v>
      </x:c>
      <x:c r="F516">
        <x:v>34</x:v>
      </x:c>
      <x:c r="G516">
        <x:v>90</x:v>
      </x:c>
      <x:c r="H516">
        <x:v>55</x:v>
      </x:c>
      <x:c r="I516">
        <x:v>77</x:v>
      </x:c>
      <x:c r="J516">
        <x:v>84</x:v>
      </x:c>
      <x:c r="K516">
        <x:v>89</x:v>
      </x:c>
      <x:c r="L516">
        <x:v>54</x:v>
      </x:c>
      <x:c r="M516">
        <x:v>78</x:v>
      </x:c>
      <x:c r="N516">
        <x:v>53</x:v>
      </x:c>
      <x:c r="O516">
        <x:v>55</x:v>
      </x:c>
      <x:c r="P516">
        <x:v>61</x:v>
      </x:c>
      <x:c r="Q516">
        <x:v>62</x:v>
      </x:c>
      <x:c r="R516">
        <x:v>71</x:v>
      </x:c>
      <x:c r="S516">
        <x:v>76</x:v>
      </x:c>
      <x:c r="T516">
        <x:v>51</x:v>
      </x:c>
      <x:c r="U516">
        <x:v>57</x:v>
      </x:c>
    </x:row>
    <x:row r="517">
      <x:c r="A517" t="s">
        <x:v>875</x:v>
      </x:c>
      <x:c r="B517" t="s">
        <x:v>354</x:v>
      </x:c>
      <x:c r="C517" t="s">
        <x:v>333</x:v>
      </x:c>
      <x:c r="D517">
        <x:v>8478109</x:v>
      </x:c>
      <x:c r="E517">
        <x:v>58</x:v>
      </x:c>
      <x:c r="F517">
        <x:v>32</x:v>
      </x:c>
      <x:c r="G517">
        <x:v>97</x:v>
      </x:c>
      <x:c r="H517">
        <x:v>54</x:v>
      </x:c>
      <x:c r="I517">
        <x:v>75</x:v>
      </x:c>
      <x:c r="J517">
        <x:v>84</x:v>
      </x:c>
      <x:c r="K517">
        <x:v>92</x:v>
      </x:c>
      <x:c r="L517">
        <x:v>55</x:v>
      </x:c>
      <x:c r="M517">
        <x:v>66</x:v>
      </x:c>
      <x:c r="N517">
        <x:v>54</x:v>
      </x:c>
      <x:c r="O517">
        <x:v>56</x:v>
      </x:c>
      <x:c r="P517">
        <x:v>61</x:v>
      </x:c>
      <x:c r="Q517">
        <x:v>69</x:v>
      </x:c>
      <x:c r="R517">
        <x:v>80</x:v>
      </x:c>
      <x:c r="S517">
        <x:v>75</x:v>
      </x:c>
      <x:c r="T517">
        <x:v>51</x:v>
      </x:c>
      <x:c r="U517">
        <x:v>57</x:v>
      </x:c>
    </x:row>
    <x:row r="518">
      <x:c r="A518" t="s">
        <x:v>876</x:v>
      </x:c>
      <x:c r="B518" t="s">
        <x:v>420</x:v>
      </x:c>
      <x:c r="C518" t="s">
        <x:v>319</x:v>
      </x:c>
      <x:c r="D518">
        <x:v>8481024</x:v>
      </x:c>
      <x:c r="E518">
        <x:v>66</x:v>
      </x:c>
      <x:c r="F518">
        <x:v>34</x:v>
      </x:c>
      <x:c r="G518">
        <x:v>83</x:v>
      </x:c>
      <x:c r="H518">
        <x:v>53</x:v>
      </x:c>
      <x:c r="I518">
        <x:v>77</x:v>
      </x:c>
      <x:c r="J518">
        <x:v>83</x:v>
      </x:c>
      <x:c r="K518">
        <x:v>93</x:v>
      </x:c>
      <x:c r="L518">
        <x:v>54</x:v>
      </x:c>
      <x:c r="M518">
        <x:v>67</x:v>
      </x:c>
      <x:c r="N518">
        <x:v>54</x:v>
      </x:c>
      <x:c r="O518">
        <x:v>55</x:v>
      </x:c>
      <x:c r="P518">
        <x:v>61</x:v>
      </x:c>
      <x:c r="Q518">
        <x:v>68</x:v>
      </x:c>
      <x:c r="R518">
        <x:v>71</x:v>
      </x:c>
      <x:c r="S518">
        <x:v>70</x:v>
      </x:c>
      <x:c r="T518">
        <x:v>54</x:v>
      </x:c>
      <x:c r="U518">
        <x:v>57</x:v>
      </x:c>
    </x:row>
    <x:row r="519">
      <x:c r="A519" t="s">
        <x:v>877</x:v>
      </x:c>
      <x:c r="B519" t="s">
        <x:v>481</x:v>
      </x:c>
      <x:c r="C519" t="s">
        <x:v>319</x:v>
      </x:c>
      <x:c r="D519">
        <x:v>8483524</x:v>
      </x:c>
      <x:c r="E519">
        <x:v>62</x:v>
      </x:c>
      <x:c r="F519">
        <x:v>36</x:v>
      </x:c>
      <x:c r="G519">
        <x:v>95</x:v>
      </x:c>
      <x:c r="H519">
        <x:v>54</x:v>
      </x:c>
      <x:c r="I519">
        <x:v>78</x:v>
      </x:c>
      <x:c r="J519">
        <x:v>84</x:v>
      </x:c>
      <x:c r="K519">
        <x:v>92</x:v>
      </x:c>
      <x:c r="L519">
        <x:v>54</x:v>
      </x:c>
      <x:c r="M519">
        <x:v>81</x:v>
      </x:c>
      <x:c r="N519">
        <x:v>53</x:v>
      </x:c>
      <x:c r="O519">
        <x:v>56</x:v>
      </x:c>
      <x:c r="P519">
        <x:v>64</x:v>
      </x:c>
      <x:c r="Q519">
        <x:v>57</x:v>
      </x:c>
      <x:c r="R519">
        <x:v>67</x:v>
      </x:c>
      <x:c r="S519">
        <x:v>74</x:v>
      </x:c>
      <x:c r="T519">
        <x:v>51</x:v>
      </x:c>
      <x:c r="U519">
        <x:v>57</x:v>
      </x:c>
    </x:row>
    <x:row r="520">
      <x:c r="A520" t="s">
        <x:v>878</x:v>
      </x:c>
      <x:c r="B520" t="s">
        <x:v>584</x:v>
      </x:c>
      <x:c r="C520" t="s">
        <x:v>333</x:v>
      </x:c>
      <x:c r="D520">
        <x:v>8478047</x:v>
      </x:c>
      <x:c r="E520">
        <x:v>62</x:v>
      </x:c>
      <x:c r="F520">
        <x:v>34</x:v>
      </x:c>
      <x:c r="G520">
        <x:v>88</x:v>
      </x:c>
      <x:c r="H520">
        <x:v>53</x:v>
      </x:c>
      <x:c r="I520">
        <x:v>75</x:v>
      </x:c>
      <x:c r="J520">
        <x:v>84</x:v>
      </x:c>
      <x:c r="K520">
        <x:v>92</x:v>
      </x:c>
      <x:c r="L520">
        <x:v>54</x:v>
      </x:c>
      <x:c r="M520">
        <x:v>68</x:v>
      </x:c>
      <x:c r="N520">
        <x:v>55</x:v>
      </x:c>
      <x:c r="O520">
        <x:v>56</x:v>
      </x:c>
      <x:c r="P520">
        <x:v>60</x:v>
      </x:c>
      <x:c r="Q520">
        <x:v>61</x:v>
      </x:c>
      <x:c r="R520">
        <x:v>80</x:v>
      </x:c>
      <x:c r="S520">
        <x:v>72</x:v>
      </x:c>
      <x:c r="T520">
        <x:v>51</x:v>
      </x:c>
      <x:c r="U520">
        <x:v>57</x:v>
      </x:c>
    </x:row>
    <x:row r="521">
      <x:c r="A521" t="s">
        <x:v>879</x:v>
      </x:c>
      <x:c r="B521" t="s">
        <x:v>350</x:v>
      </x:c>
      <x:c r="C521" t="s">
        <x:v>331</x:v>
      </x:c>
      <x:c r="D521">
        <x:v>8477435</x:v>
      </x:c>
      <x:c r="E521">
        <x:v>74</x:v>
      </x:c>
      <x:c r="F521">
        <x:v>49</x:v>
      </x:c>
      <x:c r="G521">
        <x:v>84</x:v>
      </x:c>
      <x:c r="H521">
        <x:v>37</x:v>
      </x:c>
      <x:c r="I521">
        <x:v>90</x:v>
      </x:c>
      <x:c r="J521">
        <x:v>84</x:v>
      </x:c>
      <x:c r="K521">
        <x:v>72</x:v>
      </x:c>
      <x:c r="L521">
        <x:v>37</x:v>
      </x:c>
      <x:c r="M521">
        <x:v>30</x:v>
      </x:c>
      <x:c r="N521">
        <x:v>48</x:v>
      </x:c>
      <x:c r="O521">
        <x:v>46</x:v>
      </x:c>
      <x:c r="P521">
        <x:v>75</x:v>
      </x:c>
      <x:c r="Q521">
        <x:v>52</x:v>
      </x:c>
      <x:c r="R521">
        <x:v>80</x:v>
      </x:c>
      <x:c r="S521">
        <x:v>76</x:v>
      </x:c>
      <x:c r="T521">
        <x:v>51</x:v>
      </x:c>
      <x:c r="U521">
        <x:v>57</x:v>
      </x:c>
    </x:row>
    <x:row r="522">
      <x:c r="A522" t="s">
        <x:v>880</x:v>
      </x:c>
      <x:c r="B522" t="s">
        <x:v>354</x:v>
      </x:c>
      <x:c r="C522" t="s">
        <x:v>323</x:v>
      </x:c>
      <x:c r="D522">
        <x:v>8475343</x:v>
      </x:c>
      <x:c r="E522">
        <x:v>73</x:v>
      </x:c>
      <x:c r="F522">
        <x:v>54</x:v>
      </x:c>
      <x:c r="G522">
        <x:v>76</x:v>
      </x:c>
      <x:c r="H522">
        <x:v>49</x:v>
      </x:c>
      <x:c r="I522">
        <x:v>80</x:v>
      </x:c>
      <x:c r="J522">
        <x:v>85</x:v>
      </x:c>
      <x:c r="K522">
        <x:v>93</x:v>
      </x:c>
      <x:c r="L522">
        <x:v>51</x:v>
      </x:c>
      <x:c r="M522">
        <x:v>88</x:v>
      </x:c>
      <x:c r="N522">
        <x:v>53</x:v>
      </x:c>
      <x:c r="O522">
        <x:v>51</x:v>
      </x:c>
      <x:c r="P522">
        <x:v>73</x:v>
      </x:c>
      <x:c r="Q522">
        <x:v>66</x:v>
      </x:c>
      <x:c r="R522">
        <x:v>87</x:v>
      </x:c>
      <x:c r="S522">
        <x:v>75</x:v>
      </x:c>
      <x:c r="T522">
        <x:v>51</x:v>
      </x:c>
      <x:c r="U522">
        <x:v>57</x:v>
      </x:c>
    </x:row>
    <x:row r="523">
      <x:c r="A523" t="s">
        <x:v>881</x:v>
      </x:c>
      <x:c r="B523" t="s">
        <x:v>350</x:v>
      </x:c>
      <x:c r="C523" t="s">
        <x:v>358</x:v>
      </x:c>
      <x:c r="D523">
        <x:v>8483808</x:v>
      </x:c>
      <x:c r="E523">
        <x:v>59</x:v>
      </x:c>
      <x:c r="F523">
        <x:v>33</x:v>
      </x:c>
      <x:c r="G523">
        <x:v>89</x:v>
      </x:c>
      <x:c r="H523">
        <x:v>52</x:v>
      </x:c>
      <x:c r="I523">
        <x:v>76</x:v>
      </x:c>
      <x:c r="J523">
        <x:v>85</x:v>
      </x:c>
      <x:c r="K523">
        <x:v>78</x:v>
      </x:c>
      <x:c r="L523">
        <x:v>55</x:v>
      </x:c>
      <x:c r="M523">
        <x:v>62</x:v>
      </x:c>
      <x:c r="N523">
        <x:v>55</x:v>
      </x:c>
      <x:c r="O523">
        <x:v>58</x:v>
      </x:c>
      <x:c r="P523">
        <x:v>61</x:v>
      </x:c>
      <x:c r="Q523">
        <x:v>73</x:v>
      </x:c>
      <x:c r="R523">
        <x:v>72</x:v>
      </x:c>
      <x:c r="S523">
        <x:v>72</x:v>
      </x:c>
      <x:c r="T523">
        <x:v>51</x:v>
      </x:c>
      <x:c r="U523">
        <x:v>57</x:v>
      </x:c>
    </x:row>
    <x:row r="524">
      <x:c r="A524" t="s">
        <x:v>882</x:v>
      </x:c>
      <x:c r="B524" t="s">
        <x:v>348</x:v>
      </x:c>
      <x:c r="C524" t="s">
        <x:v>329</x:v>
      </x:c>
      <x:c r="D524">
        <x:v>8480289</x:v>
      </x:c>
      <x:c r="E524">
        <x:v>74</x:v>
      </x:c>
      <x:c r="F524">
        <x:v>63</x:v>
      </x:c>
      <x:c r="G524">
        <x:v>87</x:v>
      </x:c>
      <x:c r="H524">
        <x:v>51</x:v>
      </x:c>
      <x:c r="I524">
        <x:v>87</x:v>
      </x:c>
      <x:c r="J524">
        <x:v>83</x:v>
      </x:c>
      <x:c r="K524">
        <x:v>86</x:v>
      </x:c>
      <x:c r="L524">
        <x:v>52</x:v>
      </x:c>
      <x:c r="M524">
        <x:v>83</x:v>
      </x:c>
      <x:c r="N524">
        <x:v>52</x:v>
      </x:c>
      <x:c r="O524">
        <x:v>54</x:v>
      </x:c>
      <x:c r="P524">
        <x:v>70</x:v>
      </x:c>
      <x:c r="Q524">
        <x:v>52</x:v>
      </x:c>
      <x:c r="R524">
        <x:v>73</x:v>
      </x:c>
      <x:c r="S524">
        <x:v>70</x:v>
      </x:c>
      <x:c r="T524">
        <x:v>51</x:v>
      </x:c>
      <x:c r="U524">
        <x:v>57</x:v>
      </x:c>
    </x:row>
    <x:row r="525">
      <x:c r="A525" t="s">
        <x:v>883</x:v>
      </x:c>
      <x:c r="B525" t="s">
        <x:v>576</x:v>
      </x:c>
      <x:c r="C525" t="s">
        <x:v>333</x:v>
      </x:c>
      <x:c r="D525">
        <x:v>8483609</x:v>
      </x:c>
      <x:c r="E525">
        <x:v>90</x:v>
      </x:c>
      <x:c r="F525">
        <x:v>84</x:v>
      </x:c>
      <x:c r="G525">
        <x:v>74</x:v>
      </x:c>
      <x:c r="H525">
        <x:v>48</x:v>
      </x:c>
      <x:c r="I525">
        <x:v>94</x:v>
      </x:c>
      <x:c r="J525">
        <x:v>82</x:v>
      </x:c>
      <x:c r="K525">
        <x:v>94</x:v>
      </x:c>
      <x:c r="L525">
        <x:v>51</x:v>
      </x:c>
      <x:c r="M525">
        <x:v>68</x:v>
      </x:c>
      <x:c r="N525">
        <x:v>51</x:v>
      </x:c>
      <x:c r="O525">
        <x:v>52</x:v>
      </x:c>
      <x:c r="P525">
        <x:v>62</x:v>
      </x:c>
      <x:c r="Q525">
        <x:v>52</x:v>
      </x:c>
      <x:c r="R525">
        <x:v>70</x:v>
      </x:c>
      <x:c r="S525">
        <x:v>68</x:v>
      </x:c>
      <x:c r="T525">
        <x:v>51</x:v>
      </x:c>
      <x:c r="U525">
        <x:v>57</x:v>
      </x:c>
    </x:row>
    <x:row r="526">
      <x:c r="A526" t="s">
        <x:v>884</x:v>
      </x:c>
      <x:c r="B526" t="s">
        <x:v>361</x:v>
      </x:c>
      <x:c r="C526" t="s">
        <x:v>323</x:v>
      </x:c>
      <x:c r="D526">
        <x:v>8475842</x:v>
      </x:c>
      <x:c r="E526">
        <x:v>70</x:v>
      </x:c>
      <x:c r="F526">
        <x:v>90</x:v>
      </x:c>
      <x:c r="G526">
        <x:v>88</x:v>
      </x:c>
      <x:c r="H526">
        <x:v>49</x:v>
      </x:c>
      <x:c r="I526">
        <x:v>81</x:v>
      </x:c>
      <x:c r="J526">
        <x:v>82</x:v>
      </x:c>
      <x:c r="K526">
        <x:v>91</x:v>
      </x:c>
      <x:c r="L526">
        <x:v>49</x:v>
      </x:c>
      <x:c r="M526">
        <x:v>86</x:v>
      </x:c>
      <x:c r="N526">
        <x:v>50</x:v>
      </x:c>
      <x:c r="O526">
        <x:v>53</x:v>
      </x:c>
      <x:c r="P526">
        <x:v>68</x:v>
      </x:c>
      <x:c r="Q526">
        <x:v>52</x:v>
      </x:c>
      <x:c r="R526">
        <x:v>83</x:v>
      </x:c>
      <x:c r="S526">
        <x:v>76</x:v>
      </x:c>
      <x:c r="T526">
        <x:v>47</x:v>
      </x:c>
      <x:c r="U526">
        <x:v>57</x:v>
      </x:c>
    </x:row>
    <x:row r="527">
      <x:c r="A527" t="s">
        <x:v>885</x:v>
      </x:c>
      <x:c r="B527" t="s">
        <x:v>402</x:v>
      </x:c>
      <x:c r="C527" t="s">
        <x:v>333</x:v>
      </x:c>
      <x:c r="D527">
        <x:v>8478463</x:v>
      </x:c>
      <x:c r="E527">
        <x:v>68</x:v>
      </x:c>
      <x:c r="F527">
        <x:v>31</x:v>
      </x:c>
      <x:c r="G527">
        <x:v>88</x:v>
      </x:c>
      <x:c r="H527">
        <x:v>54</x:v>
      </x:c>
      <x:c r="I527">
        <x:v>74</x:v>
      </x:c>
      <x:c r="J527">
        <x:v>85</x:v>
      </x:c>
      <x:c r="K527">
        <x:v>98</x:v>
      </x:c>
      <x:c r="L527">
        <x:v>53</x:v>
      </x:c>
      <x:c r="M527">
        <x:v>75</x:v>
      </x:c>
      <x:c r="N527">
        <x:v>51</x:v>
      </x:c>
      <x:c r="O527">
        <x:v>55</x:v>
      </x:c>
      <x:c r="P527">
        <x:v>68</x:v>
      </x:c>
      <x:c r="Q527">
        <x:v>78</x:v>
      </x:c>
      <x:c r="R527">
        <x:v>77</x:v>
      </x:c>
      <x:c r="S527">
        <x:v>75</x:v>
      </x:c>
      <x:c r="T527">
        <x:v>51</x:v>
      </x:c>
      <x:c r="U527">
        <x:v>57</x:v>
      </x:c>
    </x:row>
    <x:row r="528">
      <x:c r="A528" t="s">
        <x:v>886</x:v>
      </x:c>
      <x:c r="B528" t="s">
        <x:v>352</x:v>
      </x:c>
      <x:c r="C528" t="s">
        <x:v>319</x:v>
      </x:c>
      <x:c r="D528">
        <x:v>8476927</x:v>
      </x:c>
      <x:c r="E528">
        <x:v>70</x:v>
      </x:c>
      <x:c r="F528">
        <x:v>79</x:v>
      </x:c>
      <x:c r="G528">
        <x:v>86</x:v>
      </x:c>
      <x:c r="H528">
        <x:v>52</x:v>
      </x:c>
      <x:c r="I528">
        <x:v>77</x:v>
      </x:c>
      <x:c r="J528">
        <x:v>85</x:v>
      </x:c>
      <x:c r="K528">
        <x:v>71</x:v>
      </x:c>
      <x:c r="L528">
        <x:v>51</x:v>
      </x:c>
      <x:c r="M528">
        <x:v>87</x:v>
      </x:c>
      <x:c r="N528">
        <x:v>54</x:v>
      </x:c>
      <x:c r="O528">
        <x:v>57</x:v>
      </x:c>
      <x:c r="P528">
        <x:v>67</x:v>
      </x:c>
      <x:c r="Q528">
        <x:v>62</x:v>
      </x:c>
      <x:c r="R528">
        <x:v>82</x:v>
      </x:c>
      <x:c r="S528">
        <x:v>75</x:v>
      </x:c>
      <x:c r="T528">
        <x:v>51</x:v>
      </x:c>
      <x:c r="U528">
        <x:v>57</x:v>
      </x:c>
    </x:row>
    <x:row r="529">
      <x:c r="A529" t="s">
        <x:v>887</x:v>
      </x:c>
      <x:c r="B529" t="s">
        <x:v>350</x:v>
      </x:c>
      <x:c r="C529" t="s">
        <x:v>333</x:v>
      </x:c>
      <x:c r="D529">
        <x:v>8481582</x:v>
      </x:c>
      <x:c r="E529">
        <x:v>66</x:v>
      </x:c>
      <x:c r="F529">
        <x:v>32</x:v>
      </x:c>
      <x:c r="G529">
        <x:v>96</x:v>
      </x:c>
      <x:c r="H529">
        <x:v>54</x:v>
      </x:c>
      <x:c r="I529">
        <x:v>75</x:v>
      </x:c>
      <x:c r="J529">
        <x:v>83</x:v>
      </x:c>
      <x:c r="K529">
        <x:v>93</x:v>
      </x:c>
      <x:c r="L529">
        <x:v>53</x:v>
      </x:c>
      <x:c r="M529">
        <x:v>68</x:v>
      </x:c>
      <x:c r="N529">
        <x:v>52</x:v>
      </x:c>
      <x:c r="O529">
        <x:v>57</x:v>
      </x:c>
      <x:c r="P529">
        <x:v>62</x:v>
      </x:c>
      <x:c r="Q529">
        <x:v>56</x:v>
      </x:c>
      <x:c r="R529">
        <x:v>70</x:v>
      </x:c>
      <x:c r="S529">
        <x:v>70</x:v>
      </x:c>
      <x:c r="T529">
        <x:v>51</x:v>
      </x:c>
      <x:c r="U529">
        <x:v>57</x:v>
      </x:c>
    </x:row>
    <x:row r="530">
      <x:c r="A530" t="s">
        <x:v>888</x:v>
      </x:c>
      <x:c r="B530" t="s">
        <x:v>383</x:v>
      </x:c>
      <x:c r="C530" t="s">
        <x:v>326</x:v>
      </x:c>
      <x:c r="D530">
        <x:v>8484210</x:v>
      </x:c>
      <x:c r="E530">
        <x:v>59</x:v>
      </x:c>
      <x:c r="F530">
        <x:v>31</x:v>
      </x:c>
      <x:c r="G530">
        <x:v>92</x:v>
      </x:c>
      <x:c r="H530">
        <x:v>56</x:v>
      </x:c>
      <x:c r="I530">
        <x:v>73</x:v>
      </x:c>
      <x:c r="J530">
        <x:v>85</x:v>
      </x:c>
      <x:c r="K530">
        <x:v>84</x:v>
      </x:c>
      <x:c r="L530">
        <x:v>56</x:v>
      </x:c>
      <x:c r="M530">
        <x:v>69</x:v>
      </x:c>
      <x:c r="N530">
        <x:v>54</x:v>
      </x:c>
      <x:c r="O530">
        <x:v>57</x:v>
      </x:c>
      <x:c r="P530">
        <x:v>61</x:v>
      </x:c>
      <x:c r="Q530">
        <x:v>51</x:v>
      </x:c>
      <x:c r="R530">
        <x:v>66</x:v>
      </x:c>
      <x:c r="S530">
        <x:v>67</x:v>
      </x:c>
      <x:c r="T530">
        <x:v>54</x:v>
      </x:c>
      <x:c r="U530">
        <x:v>57</x:v>
      </x:c>
    </x:row>
    <x:row r="531">
      <x:c r="A531" t="s">
        <x:v>889</x:v>
      </x:c>
      <x:c r="B531" t="s">
        <x:v>481</x:v>
      </x:c>
      <x:c r="C531" t="s">
        <x:v>331</x:v>
      </x:c>
      <x:c r="D531">
        <x:v>8479372</x:v>
      </x:c>
      <x:c r="E531">
        <x:v>74</x:v>
      </x:c>
      <x:c r="F531">
        <x:v>36</x:v>
      </x:c>
      <x:c r="G531">
        <x:v>80</x:v>
      </x:c>
      <x:c r="H531">
        <x:v>36</x:v>
      </x:c>
      <x:c r="I531">
        <x:v>78</x:v>
      </x:c>
      <x:c r="J531">
        <x:v>85</x:v>
      </x:c>
      <x:c r="K531">
        <x:v>54</x:v>
      </x:c>
      <x:c r="L531">
        <x:v>37</x:v>
      </x:c>
      <x:c r="M531">
        <x:v>30</x:v>
      </x:c>
      <x:c r="N531">
        <x:v>50</x:v>
      </x:c>
      <x:c r="O531">
        <x:v>46</x:v>
      </x:c>
      <x:c r="P531">
        <x:v>75</x:v>
      </x:c>
      <x:c r="Q531">
        <x:v>52</x:v>
      </x:c>
      <x:c r="R531">
        <x:v>73</x:v>
      </x:c>
      <x:c r="S531">
        <x:v>69</x:v>
      </x:c>
      <x:c r="T531">
        <x:v>51</x:v>
      </x:c>
      <x:c r="U531">
        <x:v>57</x:v>
      </x:c>
    </x:row>
    <x:row r="532">
      <x:c r="A532" t="s">
        <x:v>890</x:v>
      </x:c>
      <x:c r="B532" t="s">
        <x:v>350</x:v>
      </x:c>
      <x:c r="C532" t="s">
        <x:v>339</x:v>
      </x:c>
      <x:c r="D532">
        <x:v>8480980</x:v>
      </x:c>
      <x:c r="E532">
        <x:v>74</x:v>
      </x:c>
      <x:c r="F532">
        <x:v>57</x:v>
      </x:c>
      <x:c r="G532">
        <x:v>93</x:v>
      </x:c>
      <x:c r="H532">
        <x:v>52</x:v>
      </x:c>
      <x:c r="I532">
        <x:v>78</x:v>
      </x:c>
      <x:c r="J532">
        <x:v>84</x:v>
      </x:c>
      <x:c r="K532">
        <x:v>92</x:v>
      </x:c>
      <x:c r="L532">
        <x:v>53</x:v>
      </x:c>
      <x:c r="M532">
        <x:v>74</x:v>
      </x:c>
      <x:c r="N532">
        <x:v>52</x:v>
      </x:c>
      <x:c r="O532">
        <x:v>55</x:v>
      </x:c>
      <x:c r="P532">
        <x:v>73</x:v>
      </x:c>
      <x:c r="Q532">
        <x:v>52</x:v>
      </x:c>
      <x:c r="R532">
        <x:v>72</x:v>
      </x:c>
      <x:c r="S532">
        <x:v>68</x:v>
      </x:c>
      <x:c r="T532">
        <x:v>51</x:v>
      </x:c>
      <x:c r="U532">
        <x:v>57</x:v>
      </x:c>
    </x:row>
    <x:row r="533">
      <x:c r="A533" t="s">
        <x:v>891</x:v>
      </x:c>
      <x:c r="B533" t="s">
        <x:v>393</x:v>
      </x:c>
      <x:c r="C533" t="s">
        <x:v>333</x:v>
      </x:c>
      <x:c r="D533">
        <x:v>8478366</x:v>
      </x:c>
      <x:c r="E533">
        <x:v>72</x:v>
      </x:c>
      <x:c r="F533">
        <x:v>73</x:v>
      </x:c>
      <x:c r="G533">
        <x:v>79</x:v>
      </x:c>
      <x:c r="H533">
        <x:v>52</x:v>
      </x:c>
      <x:c r="I533">
        <x:v>80</x:v>
      </x:c>
      <x:c r="J533">
        <x:v>84</x:v>
      </x:c>
      <x:c r="K533">
        <x:v>80</x:v>
      </x:c>
      <x:c r="L533">
        <x:v>51</x:v>
      </x:c>
      <x:c r="M533">
        <x:v>68</x:v>
      </x:c>
      <x:c r="N533">
        <x:v>51</x:v>
      </x:c>
      <x:c r="O533">
        <x:v>54</x:v>
      </x:c>
      <x:c r="P533">
        <x:v>66</x:v>
      </x:c>
      <x:c r="Q533">
        <x:v>56</x:v>
      </x:c>
      <x:c r="R533">
        <x:v>82</x:v>
      </x:c>
      <x:c r="S533">
        <x:v>77</x:v>
      </x:c>
      <x:c r="T533">
        <x:v>51</x:v>
      </x:c>
      <x:c r="U533">
        <x:v>57</x:v>
      </x:c>
    </x:row>
    <x:row r="534">
      <x:c r="A534" t="s">
        <x:v>892</x:v>
      </x:c>
      <x:c r="B534" t="s">
        <x:v>370</x:v>
      </x:c>
      <x:c r="C534" t="s">
        <x:v>331</x:v>
      </x:c>
      <x:c r="D534">
        <x:v>8484321</x:v>
      </x:c>
      <x:c r="E534">
        <x:v>72</x:v>
      </x:c>
      <x:c r="F534">
        <x:v>41</x:v>
      </x:c>
      <x:c r="G534">
        <x:v>86</x:v>
      </x:c>
      <x:c r="H534">
        <x:v>35</x:v>
      </x:c>
      <x:c r="I534">
        <x:v>83</x:v>
      </x:c>
      <x:c r="J534">
        <x:v>85</x:v>
      </x:c>
      <x:c r="K534">
        <x:v>79</x:v>
      </x:c>
      <x:c r="L534">
        <x:v>36</x:v>
      </x:c>
      <x:c r="M534">
        <x:v>30</x:v>
      </x:c>
      <x:c r="N534">
        <x:v>49</x:v>
      </x:c>
      <x:c r="O534">
        <x:v>45</x:v>
      </x:c>
      <x:c r="P534">
        <x:v>75</x:v>
      </x:c>
      <x:c r="Q534">
        <x:v>52</x:v>
      </x:c>
      <x:c r="R534">
        <x:v>69</x:v>
      </x:c>
      <x:c r="S534">
        <x:v>68</x:v>
      </x:c>
      <x:c r="T534">
        <x:v>51</x:v>
      </x:c>
      <x:c r="U534">
        <x:v>57</x:v>
      </x:c>
    </x:row>
    <x:row r="535">
      <x:c r="A535" t="s">
        <x:v>893</x:v>
      </x:c>
      <x:c r="B535" t="s">
        <x:v>393</x:v>
      </x:c>
      <x:c r="C535" t="s">
        <x:v>333</x:v>
      </x:c>
      <x:c r="D535">
        <x:v>8479661</x:v>
      </x:c>
      <x:c r="E535">
        <x:v>85</x:v>
      </x:c>
      <x:c r="F535">
        <x:v>91</x:v>
      </x:c>
      <x:c r="G535">
        <x:v>85</x:v>
      </x:c>
      <x:c r="H535">
        <x:v>49</x:v>
      </x:c>
      <x:c r="I535">
        <x:v>90</x:v>
      </x:c>
      <x:c r="J535">
        <x:v>83</x:v>
      </x:c>
      <x:c r="K535">
        <x:v>92</x:v>
      </x:c>
      <x:c r="L535">
        <x:v>49</x:v>
      </x:c>
      <x:c r="M535">
        <x:v>68</x:v>
      </x:c>
      <x:c r="N535">
        <x:v>52</x:v>
      </x:c>
      <x:c r="O535">
        <x:v>51</x:v>
      </x:c>
      <x:c r="P535">
        <x:v>68</x:v>
      </x:c>
      <x:c r="Q535">
        <x:v>52</x:v>
      </x:c>
      <x:c r="R535">
        <x:v>77</x:v>
      </x:c>
      <x:c r="S535">
        <x:v>72</x:v>
      </x:c>
      <x:c r="T535">
        <x:v>51</x:v>
      </x:c>
      <x:c r="U535">
        <x:v>57</x:v>
      </x:c>
    </x:row>
    <x:row r="536">
      <x:c r="A536" t="s">
        <x:v>894</x:v>
      </x:c>
      <x:c r="B536" t="s">
        <x:v>439</x:v>
      </x:c>
      <x:c r="C536" t="s">
        <x:v>333</x:v>
      </x:c>
      <x:c r="D536">
        <x:v>8477407</x:v>
      </x:c>
      <x:c r="E536">
        <x:v>58</x:v>
      </x:c>
      <x:c r="F536">
        <x:v>34</x:v>
      </x:c>
      <x:c r="G536">
        <x:v>94</x:v>
      </x:c>
      <x:c r="H536">
        <x:v>56</x:v>
      </x:c>
      <x:c r="I536">
        <x:v>76</x:v>
      </x:c>
      <x:c r="J536">
        <x:v>84</x:v>
      </x:c>
      <x:c r="K536">
        <x:v>80</x:v>
      </x:c>
      <x:c r="L536">
        <x:v>53</x:v>
      </x:c>
      <x:c r="M536">
        <x:v>68</x:v>
      </x:c>
      <x:c r="N536">
        <x:v>53</x:v>
      </x:c>
      <x:c r="O536">
        <x:v>56</x:v>
      </x:c>
      <x:c r="P536">
        <x:v>63</x:v>
      </x:c>
      <x:c r="Q536">
        <x:v>66</x:v>
      </x:c>
      <x:c r="R536">
        <x:v>80</x:v>
      </x:c>
      <x:c r="S536">
        <x:v>71</x:v>
      </x:c>
      <x:c r="T536">
        <x:v>51</x:v>
      </x:c>
      <x:c r="U536">
        <x:v>57</x:v>
      </x:c>
    </x:row>
    <x:row r="537">
      <x:c r="A537" t="s">
        <x:v>895</x:v>
      </x:c>
      <x:c r="B537" t="s">
        <x:v>370</x:v>
      </x:c>
      <x:c r="C537" t="s">
        <x:v>339</x:v>
      </x:c>
      <x:c r="D537">
        <x:v>8476393</x:v>
      </x:c>
      <x:c r="E537">
        <x:v>74</x:v>
      </x:c>
      <x:c r="F537">
        <x:v>55</x:v>
      </x:c>
      <x:c r="G537">
        <x:v>74</x:v>
      </x:c>
      <x:c r="H537">
        <x:v>49</x:v>
      </x:c>
      <x:c r="I537">
        <x:v>79</x:v>
      </x:c>
      <x:c r="J537">
        <x:v>82</x:v>
      </x:c>
      <x:c r="K537">
        <x:v>94</x:v>
      </x:c>
      <x:c r="L537">
        <x:v>51</x:v>
      </x:c>
      <x:c r="M537">
        <x:v>69</x:v>
      </x:c>
      <x:c r="N537">
        <x:v>52</x:v>
      </x:c>
      <x:c r="O537">
        <x:v>52</x:v>
      </x:c>
      <x:c r="P537">
        <x:v>62</x:v>
      </x:c>
      <x:c r="Q537">
        <x:v>65</x:v>
      </x:c>
      <x:c r="R537">
        <x:v>83</x:v>
      </x:c>
      <x:c r="S537">
        <x:v>72</x:v>
      </x:c>
      <x:c r="T537">
        <x:v>51</x:v>
      </x:c>
      <x:c r="U537">
        <x:v>57</x:v>
      </x:c>
    </x:row>
    <x:row r="538">
      <x:c r="A538" t="s">
        <x:v>896</x:v>
      </x:c>
      <x:c r="B538" t="s">
        <x:v>348</x:v>
      </x:c>
      <x:c r="C538" t="s">
        <x:v>331</x:v>
      </x:c>
      <x:c r="D538">
        <x:v>8477938</x:v>
      </x:c>
      <x:c r="E538">
        <x:v>76</x:v>
      </x:c>
      <x:c r="F538">
        <x:v>41</x:v>
      </x:c>
      <x:c r="G538">
        <x:v>87</x:v>
      </x:c>
      <x:c r="H538">
        <x:v>37</x:v>
      </x:c>
      <x:c r="I538">
        <x:v>84</x:v>
      </x:c>
      <x:c r="J538">
        <x:v>83</x:v>
      </x:c>
      <x:c r="K538">
        <x:v>70</x:v>
      </x:c>
      <x:c r="L538">
        <x:v>35</x:v>
      </x:c>
      <x:c r="M538">
        <x:v>30</x:v>
      </x:c>
      <x:c r="N538">
        <x:v>48</x:v>
      </x:c>
      <x:c r="O538">
        <x:v>46</x:v>
      </x:c>
      <x:c r="P538">
        <x:v>75</x:v>
      </x:c>
      <x:c r="Q538">
        <x:v>52</x:v>
      </x:c>
      <x:c r="R538">
        <x:v>78</x:v>
      </x:c>
      <x:c r="S538">
        <x:v>73</x:v>
      </x:c>
      <x:c r="T538">
        <x:v>51</x:v>
      </x:c>
      <x:c r="U538">
        <x:v>57</x:v>
      </x:c>
    </x:row>
    <x:row r="539">
      <x:c r="A539" t="s">
        <x:v>897</x:v>
      </x:c>
      <x:c r="B539" t="s">
        <x:v>337</x:v>
      </x:c>
      <x:c r="C539" t="s">
        <x:v>358</x:v>
      </x:c>
      <x:c r="D539">
        <x:v>8477425</x:v>
      </x:c>
      <x:c r="E539">
        <x:v>68</x:v>
      </x:c>
      <x:c r="F539">
        <x:v>47</x:v>
      </x:c>
      <x:c r="G539">
        <x:v>81</x:v>
      </x:c>
      <x:c r="H539">
        <x:v>51</x:v>
      </x:c>
      <x:c r="I539">
        <x:v>81</x:v>
      </x:c>
      <x:c r="J539">
        <x:v>82</x:v>
      </x:c>
      <x:c r="K539">
        <x:v>76</x:v>
      </x:c>
      <x:c r="L539">
        <x:v>51</x:v>
      </x:c>
      <x:c r="M539">
        <x:v>66</x:v>
      </x:c>
      <x:c r="N539">
        <x:v>51</x:v>
      </x:c>
      <x:c r="O539">
        <x:v>54</x:v>
      </x:c>
      <x:c r="P539">
        <x:v>64</x:v>
      </x:c>
      <x:c r="Q539">
        <x:v>52</x:v>
      </x:c>
      <x:c r="R539">
        <x:v>80</x:v>
      </x:c>
      <x:c r="S539">
        <x:v>78</x:v>
      </x:c>
      <x:c r="T539">
        <x:v>51</x:v>
      </x:c>
      <x:c r="U539">
        <x:v>56</x:v>
      </x:c>
    </x:row>
    <x:row r="540">
      <x:c r="A540" t="s">
        <x:v>898</x:v>
      </x:c>
      <x:c r="B540" t="s">
        <x:v>361</x:v>
      </x:c>
      <x:c r="C540" t="s">
        <x:v>331</x:v>
      </x:c>
      <x:c r="D540">
        <x:v>8478502</x:v>
      </x:c>
      <x:c r="E540">
        <x:v>77</x:v>
      </x:c>
      <x:c r="F540">
        <x:v>91</x:v>
      </x:c>
      <x:c r="G540">
        <x:v>77</x:v>
      </x:c>
      <x:c r="H540">
        <x:v>33</x:v>
      </x:c>
      <x:c r="I540">
        <x:v>88</x:v>
      </x:c>
      <x:c r="J540">
        <x:v>76</x:v>
      </x:c>
      <x:c r="K540">
        <x:v>78</x:v>
      </x:c>
      <x:c r="L540">
        <x:v>34</x:v>
      </x:c>
      <x:c r="M540">
        <x:v>30</x:v>
      </x:c>
      <x:c r="N540">
        <x:v>51</x:v>
      </x:c>
      <x:c r="O540">
        <x:v>44</x:v>
      </x:c>
      <x:c r="P540">
        <x:v>74</x:v>
      </x:c>
      <x:c r="Q540">
        <x:v>48</x:v>
      </x:c>
      <x:c r="R540">
        <x:v>77</x:v>
      </x:c>
      <x:c r="S540">
        <x:v>72</x:v>
      </x:c>
      <x:c r="T540">
        <x:v>51</x:v>
      </x:c>
      <x:c r="U540">
        <x:v>56</x:v>
      </x:c>
    </x:row>
    <x:row r="541">
      <x:c r="A541" t="s">
        <x:v>899</x:v>
      </x:c>
      <x:c r="B541" t="s">
        <x:v>361</x:v>
      </x:c>
      <x:c r="C541" t="s">
        <x:v>333</x:v>
      </x:c>
      <x:c r="D541">
        <x:v>8479359</x:v>
      </x:c>
      <x:c r="E541">
        <x:v>86</x:v>
      </x:c>
      <x:c r="F541">
        <x:v>70</x:v>
      </x:c>
      <x:c r="G541">
        <x:v>87</x:v>
      </x:c>
      <x:c r="H541">
        <x:v>48</x:v>
      </x:c>
      <x:c r="I541">
        <x:v>83</x:v>
      </x:c>
      <x:c r="J541">
        <x:v>82</x:v>
      </x:c>
      <x:c r="K541">
        <x:v>97</x:v>
      </x:c>
      <x:c r="L541">
        <x:v>48</x:v>
      </x:c>
      <x:c r="M541">
        <x:v>68</x:v>
      </x:c>
      <x:c r="N541">
        <x:v>49</x:v>
      </x:c>
      <x:c r="O541">
        <x:v>51</x:v>
      </x:c>
      <x:c r="P541">
        <x:v>71</x:v>
      </x:c>
      <x:c r="Q541">
        <x:v>52</x:v>
      </x:c>
      <x:c r="R541">
        <x:v>73</x:v>
      </x:c>
      <x:c r="S541">
        <x:v>70</x:v>
      </x:c>
      <x:c r="T541">
        <x:v>51</x:v>
      </x:c>
      <x:c r="U541">
        <x:v>56</x:v>
      </x:c>
    </x:row>
    <x:row r="542">
      <x:c r="A542" t="s">
        <x:v>900</x:v>
      </x:c>
      <x:c r="B542" t="s">
        <x:v>361</x:v>
      </x:c>
      <x:c r="C542" t="s">
        <x:v>329</x:v>
      </x:c>
      <x:c r="D542">
        <x:v>8483468</x:v>
      </x:c>
      <x:c r="E542">
        <x:v>64</x:v>
      </x:c>
      <x:c r="F542">
        <x:v>34</x:v>
      </x:c>
      <x:c r="G542">
        <x:v>86</x:v>
      </x:c>
      <x:c r="H542">
        <x:v>55</x:v>
      </x:c>
      <x:c r="I542">
        <x:v>77</x:v>
      </x:c>
      <x:c r="J542">
        <x:v>84</x:v>
      </x:c>
      <x:c r="K542">
        <x:v>43</x:v>
      </x:c>
      <x:c r="L542">
        <x:v>53</x:v>
      </x:c>
      <x:c r="M542">
        <x:v>84</x:v>
      </x:c>
      <x:c r="N542">
        <x:v>53</x:v>
      </x:c>
      <x:c r="O542">
        <x:v>57</x:v>
      </x:c>
      <x:c r="P542">
        <x:v>63</x:v>
      </x:c>
      <x:c r="Q542">
        <x:v>52</x:v>
      </x:c>
      <x:c r="R542">
        <x:v>65</x:v>
      </x:c>
      <x:c r="S542">
        <x:v>66</x:v>
      </x:c>
      <x:c r="T542">
        <x:v>51</x:v>
      </x:c>
      <x:c r="U542">
        <x:v>56</x:v>
      </x:c>
    </x:row>
    <x:row r="543">
      <x:c r="A543" t="s">
        <x:v>901</x:v>
      </x:c>
      <x:c r="C543" t="s">
        <x:v>329</x:v>
      </x:c>
      <x:c r="D543">
        <x:v>8484471</x:v>
      </x:c>
      <x:c r="E543">
        <x:v>71</x:v>
      </x:c>
      <x:c r="F543">
        <x:v>36</x:v>
      </x:c>
      <x:c r="G543">
        <x:v>94</x:v>
      </x:c>
      <x:c r="H543">
        <x:v>54</x:v>
      </x:c>
      <x:c r="I543">
        <x:v>78</x:v>
      </x:c>
      <x:c r="J543">
        <x:v>84</x:v>
      </x:c>
      <x:c r="K543">
        <x:v>94</x:v>
      </x:c>
      <x:c r="L543">
        <x:v>51</x:v>
      </x:c>
      <x:c r="M543">
        <x:v>70</x:v>
      </x:c>
      <x:c r="N543">
        <x:v>52</x:v>
      </x:c>
      <x:c r="O543">
        <x:v>54</x:v>
      </x:c>
      <x:c r="P543">
        <x:v>65</x:v>
      </x:c>
      <x:c r="Q543">
        <x:v>54</x:v>
      </x:c>
      <x:c r="R543">
        <x:v>66</x:v>
      </x:c>
      <x:c r="S543">
        <x:v>65</x:v>
      </x:c>
      <x:c r="T543">
        <x:v>54</x:v>
      </x:c>
      <x:c r="U543">
        <x:v>56</x:v>
      </x:c>
    </x:row>
    <x:row r="544">
      <x:c r="A544" t="s">
        <x:v>902</x:v>
      </x:c>
      <x:c r="C544" t="s">
        <x:v>339</x:v>
      </x:c>
      <x:c r="D544">
        <x:v>8456453</x:v>
      </x:c>
      <x:c r="E544">
        <x:v>79</x:v>
      </x:c>
      <x:c r="F544">
        <x:v>39</x:v>
      </x:c>
      <x:c r="G544">
        <x:v>94</x:v>
      </x:c>
      <x:c r="H544">
        <x:v>48</x:v>
      </x:c>
      <x:c r="I544">
        <x:v>81</x:v>
      </x:c>
      <x:c r="J544">
        <x:v>83</x:v>
      </x:c>
      <x:c r="K544">
        <x:v>32</x:v>
      </x:c>
      <x:c r="L544">
        <x:v>49</x:v>
      </x:c>
      <x:c r="M544">
        <x:v>82</x:v>
      </x:c>
      <x:c r="N544">
        <x:v>48</x:v>
      </x:c>
      <x:c r="O544">
        <x:v>54</x:v>
      </x:c>
      <x:c r="P544">
        <x:v>69</x:v>
      </x:c>
      <x:c r="Q544">
        <x:v>51</x:v>
      </x:c>
      <x:c r="R544">
        <x:v>68</x:v>
      </x:c>
      <x:c r="S544">
        <x:v>68</x:v>
      </x:c>
      <x:c r="T544">
        <x:v>54</x:v>
      </x:c>
      <x:c r="U544">
        <x:v>56</x:v>
      </x:c>
    </x:row>
    <x:row r="545">
      <x:c r="A545" t="s">
        <x:v>903</x:v>
      </x:c>
      <x:c r="B545" t="s">
        <x:v>368</x:v>
      </x:c>
      <x:c r="C545" t="s">
        <x:v>323</x:v>
      </x:c>
      <x:c r="D545">
        <x:v>8478891</x:v>
      </x:c>
      <x:c r="E545">
        <x:v>69</x:v>
      </x:c>
      <x:c r="F545">
        <x:v>36</x:v>
      </x:c>
      <x:c r="G545">
        <x:v>81</x:v>
      </x:c>
      <x:c r="H545">
        <x:v>51</x:v>
      </x:c>
      <x:c r="I545">
        <x:v>79</x:v>
      </x:c>
      <x:c r="J545">
        <x:v>84</x:v>
      </x:c>
      <x:c r="K545">
        <x:v>85</x:v>
      </x:c>
      <x:c r="L545">
        <x:v>49</x:v>
      </x:c>
      <x:c r="M545">
        <x:v>66</x:v>
      </x:c>
      <x:c r="N545">
        <x:v>51</x:v>
      </x:c>
      <x:c r="O545">
        <x:v>52</x:v>
      </x:c>
      <x:c r="P545">
        <x:v>68</x:v>
      </x:c>
      <x:c r="Q545">
        <x:v>52</x:v>
      </x:c>
      <x:c r="R545">
        <x:v>79</x:v>
      </x:c>
      <x:c r="S545">
        <x:v>72</x:v>
      </x:c>
      <x:c r="T545">
        <x:v>51</x:v>
      </x:c>
      <x:c r="U545">
        <x:v>56</x:v>
      </x:c>
    </x:row>
    <x:row r="546">
      <x:c r="A546" t="s">
        <x:v>904</x:v>
      </x:c>
      <x:c r="B546" t="s">
        <x:v>396</x:v>
      </x:c>
      <x:c r="C546" t="s">
        <x:v>323</x:v>
      </x:c>
      <x:c r="D546">
        <x:v>8476897</x:v>
      </x:c>
      <x:c r="E546">
        <x:v>68</x:v>
      </x:c>
      <x:c r="F546">
        <x:v>42</x:v>
      </x:c>
      <x:c r="G546">
        <x:v>82</x:v>
      </x:c>
      <x:c r="H546">
        <x:v>49</x:v>
      </x:c>
      <x:c r="I546">
        <x:v>86</x:v>
      </x:c>
      <x:c r="J546">
        <x:v>83</x:v>
      </x:c>
      <x:c r="K546">
        <x:v>78</x:v>
      </x:c>
      <x:c r="L546">
        <x:v>48</x:v>
      </x:c>
      <x:c r="M546">
        <x:v>83</x:v>
      </x:c>
      <x:c r="N546">
        <x:v>54</x:v>
      </x:c>
      <x:c r="O546">
        <x:v>52</x:v>
      </x:c>
      <x:c r="P546">
        <x:v>67</x:v>
      </x:c>
      <x:c r="Q546">
        <x:v>52</x:v>
      </x:c>
      <x:c r="R546">
        <x:v>83</x:v>
      </x:c>
      <x:c r="S546">
        <x:v>75</x:v>
      </x:c>
      <x:c r="T546">
        <x:v>51</x:v>
      </x:c>
      <x:c r="U546">
        <x:v>56</x:v>
      </x:c>
    </x:row>
    <x:row r="547">
      <x:c r="A547" t="s">
        <x:v>905</x:v>
      </x:c>
      <x:c r="B547" t="s">
        <x:v>396</x:v>
      </x:c>
      <x:c r="C547" t="s">
        <x:v>333</x:v>
      </x:c>
      <x:c r="D547">
        <x:v>8481013</x:v>
      </x:c>
      <x:c r="E547">
        <x:v>64</x:v>
      </x:c>
      <x:c r="F547">
        <x:v>32</x:v>
      </x:c>
      <x:c r="G547">
        <x:v>92</x:v>
      </x:c>
      <x:c r="H547">
        <x:v>53</x:v>
      </x:c>
      <x:c r="I547">
        <x:v>75</x:v>
      </x:c>
      <x:c r="J547">
        <x:v>84</x:v>
      </x:c>
      <x:c r="K547">
        <x:v>79</x:v>
      </x:c>
      <x:c r="L547">
        <x:v>53</x:v>
      </x:c>
      <x:c r="M547">
        <x:v>69</x:v>
      </x:c>
      <x:c r="N547">
        <x:v>54</x:v>
      </x:c>
      <x:c r="O547">
        <x:v>55</x:v>
      </x:c>
      <x:c r="P547">
        <x:v>61</x:v>
      </x:c>
      <x:c r="Q547">
        <x:v>52</x:v>
      </x:c>
      <x:c r="R547">
        <x:v>71</x:v>
      </x:c>
      <x:c r="S547">
        <x:v>68</x:v>
      </x:c>
      <x:c r="T547">
        <x:v>51</x:v>
      </x:c>
      <x:c r="U547">
        <x:v>56</x:v>
      </x:c>
    </x:row>
    <x:row r="548">
      <x:c r="A548" t="s">
        <x:v>906</x:v>
      </x:c>
      <x:c r="B548" t="s">
        <x:v>337</x:v>
      </x:c>
      <x:c r="C548" t="s">
        <x:v>329</x:v>
      </x:c>
      <x:c r="D548">
        <x:v>8482660</x:v>
      </x:c>
      <x:c r="E548">
        <x:v>57</x:v>
      </x:c>
      <x:c r="F548">
        <x:v>32</x:v>
      </x:c>
      <x:c r="G548">
        <x:v>92</x:v>
      </x:c>
      <x:c r="H548">
        <x:v>52</x:v>
      </x:c>
      <x:c r="I548">
        <x:v>74</x:v>
      </x:c>
      <x:c r="J548">
        <x:v>85</x:v>
      </x:c>
      <x:c r="K548">
        <x:v>91</x:v>
      </x:c>
      <x:c r="L548">
        <x:v>55</x:v>
      </x:c>
      <x:c r="M548">
        <x:v>62</x:v>
      </x:c>
      <x:c r="N548">
        <x:v>54</x:v>
      </x:c>
      <x:c r="O548">
        <x:v>54</x:v>
      </x:c>
      <x:c r="P548">
        <x:v>63</x:v>
      </x:c>
      <x:c r="Q548">
        <x:v>92</x:v>
      </x:c>
      <x:c r="R548">
        <x:v>69</x:v>
      </x:c>
      <x:c r="S548">
        <x:v>74</x:v>
      </x:c>
      <x:c r="T548">
        <x:v>51</x:v>
      </x:c>
      <x:c r="U548">
        <x:v>56</x:v>
      </x:c>
    </x:row>
    <x:row r="549">
      <x:c r="A549" t="s">
        <x:v>907</x:v>
      </x:c>
      <x:c r="B549" t="s">
        <x:v>584</x:v>
      </x:c>
      <x:c r="C549" t="s">
        <x:v>331</x:v>
      </x:c>
      <x:c r="D549">
        <x:v>8477018</x:v>
      </x:c>
      <x:c r="E549">
        <x:v>69</x:v>
      </x:c>
      <x:c r="F549">
        <x:v>57</x:v>
      </x:c>
      <x:c r="G549">
        <x:v>91</x:v>
      </x:c>
      <x:c r="H549">
        <x:v>38</x:v>
      </x:c>
      <x:c r="I549">
        <x:v>82</x:v>
      </x:c>
      <x:c r="J549">
        <x:v>84</x:v>
      </x:c>
      <x:c r="K549">
        <x:v>73</x:v>
      </x:c>
      <x:c r="L549">
        <x:v>38</x:v>
      </x:c>
      <x:c r="M549">
        <x:v>30</x:v>
      </x:c>
      <x:c r="N549">
        <x:v>52</x:v>
      </x:c>
      <x:c r="O549">
        <x:v>48</x:v>
      </x:c>
      <x:c r="P549">
        <x:v>73</x:v>
      </x:c>
      <x:c r="Q549">
        <x:v>52</x:v>
      </x:c>
      <x:c r="R549">
        <x:v>84</x:v>
      </x:c>
      <x:c r="S549">
        <x:v>73</x:v>
      </x:c>
      <x:c r="T549">
        <x:v>51</x:v>
      </x:c>
      <x:c r="U549">
        <x:v>56</x:v>
      </x:c>
    </x:row>
    <x:row r="550">
      <x:c r="A550" t="s">
        <x:v>908</x:v>
      </x:c>
      <x:c r="B550" t="s">
        <x:v>383</x:v>
      </x:c>
      <x:c r="C550" t="s">
        <x:v>333</x:v>
      </x:c>
      <x:c r="D550">
        <x:v>8479390</x:v>
      </x:c>
      <x:c r="E550">
        <x:v>63</x:v>
      </x:c>
      <x:c r="F550">
        <x:v>39</x:v>
      </x:c>
      <x:c r="G550">
        <x:v>94</x:v>
      </x:c>
      <x:c r="H550">
        <x:v>52</x:v>
      </x:c>
      <x:c r="I550">
        <x:v>82</x:v>
      </x:c>
      <x:c r="J550">
        <x:v>83</x:v>
      </x:c>
      <x:c r="K550">
        <x:v>89</x:v>
      </x:c>
      <x:c r="L550">
        <x:v>51</x:v>
      </x:c>
      <x:c r="M550">
        <x:v>65</x:v>
      </x:c>
      <x:c r="N550">
        <x:v>52</x:v>
      </x:c>
      <x:c r="O550">
        <x:v>53</x:v>
      </x:c>
      <x:c r="P550">
        <x:v>66</x:v>
      </x:c>
      <x:c r="Q550">
        <x:v>54</x:v>
      </x:c>
      <x:c r="R550">
        <x:v>74</x:v>
      </x:c>
      <x:c r="S550">
        <x:v>71</x:v>
      </x:c>
      <x:c r="T550">
        <x:v>51</x:v>
      </x:c>
      <x:c r="U550">
        <x:v>56</x:v>
      </x:c>
    </x:row>
    <x:row r="551">
      <x:c r="A551" t="s">
        <x:v>909</x:v>
      </x:c>
      <x:c r="B551" t="s">
        <x:v>340</x:v>
      </x:c>
      <x:c r="C551" t="s">
        <x:v>319</x:v>
      </x:c>
      <x:c r="D551">
        <x:v>8485402</x:v>
      </x:c>
      <x:c r="E551">
        <x:v>57</x:v>
      </x:c>
      <x:c r="F551">
        <x:v>31</x:v>
      </x:c>
      <x:c r="G551">
        <x:v>91</x:v>
      </x:c>
      <x:c r="H551">
        <x:v>53</x:v>
      </x:c>
      <x:c r="I551">
        <x:v>75</x:v>
      </x:c>
      <x:c r="J551">
        <x:v>82</x:v>
      </x:c>
      <x:c r="K551">
        <x:v>72</x:v>
      </x:c>
      <x:c r="L551">
        <x:v>54</x:v>
      </x:c>
      <x:c r="M551">
        <x:v>83</x:v>
      </x:c>
      <x:c r="N551">
        <x:v>53</x:v>
      </x:c>
      <x:c r="O551">
        <x:v>55</x:v>
      </x:c>
      <x:c r="P551">
        <x:v>61</x:v>
      </x:c>
      <x:c r="Q551">
        <x:v>51</x:v>
      </x:c>
      <x:c r="R551">
        <x:v>65</x:v>
      </x:c>
      <x:c r="S551">
        <x:v>67</x:v>
      </x:c>
      <x:c r="T551">
        <x:v>54</x:v>
      </x:c>
      <x:c r="U551">
        <x:v>56</x:v>
      </x:c>
    </x:row>
    <x:row r="552">
      <x:c r="A552" t="s">
        <x:v>910</x:v>
      </x:c>
      <x:c r="C552" t="s">
        <x:v>329</x:v>
      </x:c>
      <x:c r="D552">
        <x:v>8475714</x:v>
      </x:c>
      <x:c r="E552">
        <x:v>62</x:v>
      </x:c>
      <x:c r="F552">
        <x:v>36</x:v>
      </x:c>
      <x:c r="G552">
        <x:v>94</x:v>
      </x:c>
      <x:c r="H552">
        <x:v>51</x:v>
      </x:c>
      <x:c r="I552">
        <x:v>78</x:v>
      </x:c>
      <x:c r="J552">
        <x:v>83</x:v>
      </x:c>
      <x:c r="K552">
        <x:v>72</x:v>
      </x:c>
      <x:c r="L552">
        <x:v>49</x:v>
      </x:c>
      <x:c r="M552">
        <x:v>72</x:v>
      </x:c>
      <x:c r="N552">
        <x:v>50</x:v>
      </x:c>
      <x:c r="O552">
        <x:v>52</x:v>
      </x:c>
      <x:c r="P552">
        <x:v>67</x:v>
      </x:c>
      <x:c r="Q552">
        <x:v>57</x:v>
      </x:c>
      <x:c r="R552">
        <x:v>86</x:v>
      </x:c>
      <x:c r="S552">
        <x:v>76</x:v>
      </x:c>
      <x:c r="T552">
        <x:v>51</x:v>
      </x:c>
      <x:c r="U552">
        <x:v>56</x:v>
      </x:c>
    </x:row>
    <x:row r="553">
      <x:c r="A553" t="s">
        <x:v>911</x:v>
      </x:c>
      <x:c r="C553" t="s">
        <x:v>331</x:v>
      </x:c>
      <x:c r="D553">
        <x:v>8482624</x:v>
      </x:c>
      <x:c r="E553">
        <x:v>72</x:v>
      </x:c>
      <x:c r="F553">
        <x:v>37</x:v>
      </x:c>
      <x:c r="G553">
        <x:v>86</x:v>
      </x:c>
      <x:c r="H553">
        <x:v>35</x:v>
      </x:c>
      <x:c r="I553">
        <x:v>83</x:v>
      </x:c>
      <x:c r="J553">
        <x:v>86</x:v>
      </x:c>
      <x:c r="K553">
        <x:v>88</x:v>
      </x:c>
      <x:c r="L553">
        <x:v>34</x:v>
      </x:c>
      <x:c r="M553">
        <x:v>30</x:v>
      </x:c>
      <x:c r="N553">
        <x:v>52</x:v>
      </x:c>
      <x:c r="O553">
        <x:v>46</x:v>
      </x:c>
      <x:c r="P553">
        <x:v>74</x:v>
      </x:c>
      <x:c r="Q553">
        <x:v>52</x:v>
      </x:c>
      <x:c r="R553">
        <x:v>74</x:v>
      </x:c>
      <x:c r="S553">
        <x:v>71</x:v>
      </x:c>
      <x:c r="T553">
        <x:v>51</x:v>
      </x:c>
      <x:c r="U553">
        <x:v>56</x:v>
      </x:c>
    </x:row>
    <x:row r="554">
      <x:c r="A554" t="s">
        <x:v>912</x:v>
      </x:c>
      <x:c r="C554" t="s">
        <x:v>323</x:v>
      </x:c>
      <x:c r="D554">
        <x:v>8477380</x:v>
      </x:c>
      <x:c r="E554">
        <x:v>64</x:v>
      </x:c>
      <x:c r="F554">
        <x:v>36</x:v>
      </x:c>
      <x:c r="G554">
        <x:v>93</x:v>
      </x:c>
      <x:c r="H554">
        <x:v>49</x:v>
      </x:c>
      <x:c r="I554">
        <x:v>79</x:v>
      </x:c>
      <x:c r="J554">
        <x:v>82</x:v>
      </x:c>
      <x:c r="K554">
        <x:v>78</x:v>
      </x:c>
      <x:c r="L554">
        <x:v>48</x:v>
      </x:c>
      <x:c r="M554">
        <x:v>77</x:v>
      </x:c>
      <x:c r="N554">
        <x:v>52</x:v>
      </x:c>
      <x:c r="O554">
        <x:v>53</x:v>
      </x:c>
      <x:c r="P554">
        <x:v>62</x:v>
      </x:c>
      <x:c r="Q554">
        <x:v>53</x:v>
      </x:c>
      <x:c r="R554">
        <x:v>82</x:v>
      </x:c>
      <x:c r="S554">
        <x:v>77</x:v>
      </x:c>
      <x:c r="T554">
        <x:v>51</x:v>
      </x:c>
      <x:c r="U554">
        <x:v>56</x:v>
      </x:c>
    </x:row>
    <x:row r="555">
      <x:c r="A555" t="s">
        <x:v>913</x:v>
      </x:c>
      <x:c r="B555" t="s">
        <x:v>345</x:v>
      </x:c>
      <x:c r="C555" t="s">
        <x:v>339</x:v>
      </x:c>
      <x:c r="D555">
        <x:v>8481477</x:v>
      </x:c>
      <x:c r="E555">
        <x:v>68</x:v>
      </x:c>
      <x:c r="F555">
        <x:v>47</x:v>
      </x:c>
      <x:c r="G555">
        <x:v>87</x:v>
      </x:c>
      <x:c r="H555">
        <x:v>48</x:v>
      </x:c>
      <x:c r="I555">
        <x:v>83</x:v>
      </x:c>
      <x:c r="J555">
        <x:v>82</x:v>
      </x:c>
      <x:c r="K555">
        <x:v>76</x:v>
      </x:c>
      <x:c r="L555">
        <x:v>48</x:v>
      </x:c>
      <x:c r="M555">
        <x:v>87</x:v>
      </x:c>
      <x:c r="N555">
        <x:v>51</x:v>
      </x:c>
      <x:c r="O555">
        <x:v>52</x:v>
      </x:c>
      <x:c r="P555">
        <x:v>68</x:v>
      </x:c>
      <x:c r="Q555">
        <x:v>52</x:v>
      </x:c>
      <x:c r="R555">
        <x:v>81</x:v>
      </x:c>
      <x:c r="S555">
        <x:v>74</x:v>
      </x:c>
      <x:c r="T555">
        <x:v>54</x:v>
      </x:c>
      <x:c r="U555">
        <x:v>56</x:v>
      </x:c>
    </x:row>
    <x:row r="556">
      <x:c r="A556" t="s">
        <x:v>914</x:v>
      </x:c>
      <x:c r="C556" t="s">
        <x:v>331</x:v>
      </x:c>
      <x:c r="D556">
        <x:v>8481593</x:v>
      </x:c>
      <x:c r="E556">
        <x:v>80</x:v>
      </x:c>
      <x:c r="F556">
        <x:v>78</x:v>
      </x:c>
      <x:c r="G556">
        <x:v>77</x:v>
      </x:c>
      <x:c r="H556">
        <x:v>37</x:v>
      </x:c>
      <x:c r="I556">
        <x:v>85</x:v>
      </x:c>
      <x:c r="J556">
        <x:v>84</x:v>
      </x:c>
      <x:c r="K556">
        <x:v>82</x:v>
      </x:c>
      <x:c r="L556">
        <x:v>38</x:v>
      </x:c>
      <x:c r="M556">
        <x:v>30</x:v>
      </x:c>
      <x:c r="N556">
        <x:v>52</x:v>
      </x:c>
      <x:c r="O556">
        <x:v>46</x:v>
      </x:c>
      <x:c r="P556">
        <x:v>74</x:v>
      </x:c>
      <x:c r="Q556">
        <x:v>51</x:v>
      </x:c>
      <x:c r="R556">
        <x:v>69</x:v>
      </x:c>
      <x:c r="S556">
        <x:v>68</x:v>
      </x:c>
      <x:c r="T556">
        <x:v>47</x:v>
      </x:c>
      <x:c r="U556">
        <x:v>56</x:v>
      </x:c>
    </x:row>
    <x:row r="557">
      <x:c r="A557" t="s">
        <x:v>915</x:v>
      </x:c>
      <x:c r="B557" t="s">
        <x:v>352</x:v>
      </x:c>
      <x:c r="C557" t="s">
        <x:v>331</x:v>
      </x:c>
      <x:c r="D557">
        <x:v>8482126</x:v>
      </x:c>
      <x:c r="E557">
        <x:v>74</x:v>
      </x:c>
      <x:c r="F557">
        <x:v>32</x:v>
      </x:c>
      <x:c r="G557">
        <x:v>87</x:v>
      </x:c>
      <x:c r="H557">
        <x:v>38</x:v>
      </x:c>
      <x:c r="I557">
        <x:v>75</x:v>
      </x:c>
      <x:c r="J557">
        <x:v>85</x:v>
      </x:c>
      <x:c r="K557">
        <x:v>89</x:v>
      </x:c>
      <x:c r="L557">
        <x:v>39</x:v>
      </x:c>
      <x:c r="M557">
        <x:v>30</x:v>
      </x:c>
      <x:c r="N557">
        <x:v>52</x:v>
      </x:c>
      <x:c r="O557">
        <x:v>46</x:v>
      </x:c>
      <x:c r="P557">
        <x:v>75</x:v>
      </x:c>
      <x:c r="Q557">
        <x:v>52</x:v>
      </x:c>
      <x:c r="R557">
        <x:v>68</x:v>
      </x:c>
      <x:c r="S557">
        <x:v>67</x:v>
      </x:c>
      <x:c r="T557">
        <x:v>47</x:v>
      </x:c>
      <x:c r="U557">
        <x:v>56</x:v>
      </x:c>
    </x:row>
    <x:row r="558">
      <x:c r="A558" t="s">
        <x:v>916</x:v>
      </x:c>
      <x:c r="B558" t="s">
        <x:v>584</x:v>
      </x:c>
      <x:c r="C558" t="s">
        <x:v>333</x:v>
      </x:c>
      <x:c r="D558">
        <x:v>8474679</x:v>
      </x:c>
      <x:c r="E558">
        <x:v>61</x:v>
      </x:c>
      <x:c r="F558">
        <x:v>32</x:v>
      </x:c>
      <x:c r="G558">
        <x:v>93</x:v>
      </x:c>
      <x:c r="H558">
        <x:v>51</x:v>
      </x:c>
      <x:c r="I558">
        <x:v>75</x:v>
      </x:c>
      <x:c r="J558">
        <x:v>84</x:v>
      </x:c>
      <x:c r="K558">
        <x:v>80</x:v>
      </x:c>
      <x:c r="L558">
        <x:v>52</x:v>
      </x:c>
      <x:c r="M558">
        <x:v>69</x:v>
      </x:c>
      <x:c r="N558">
        <x:v>54</x:v>
      </x:c>
      <x:c r="O558">
        <x:v>50</x:v>
      </x:c>
      <x:c r="P558">
        <x:v>65</x:v>
      </x:c>
      <x:c r="Q558">
        <x:v>76</x:v>
      </x:c>
      <x:c r="R558">
        <x:v>89</x:v>
      </x:c>
      <x:c r="S558">
        <x:v>77</x:v>
      </x:c>
      <x:c r="T558">
        <x:v>51</x:v>
      </x:c>
      <x:c r="U558">
        <x:v>56</x:v>
      </x:c>
    </x:row>
    <x:row r="559">
      <x:c r="A559" t="s">
        <x:v>917</x:v>
      </x:c>
      <x:c r="C559" t="s">
        <x:v>331</x:v>
      </x:c>
      <x:c r="D559">
        <x:v>8477384</x:v>
      </x:c>
      <x:c r="E559">
        <x:v>79</x:v>
      </x:c>
      <x:c r="F559">
        <x:v>91</x:v>
      </x:c>
      <x:c r="G559">
        <x:v>74</x:v>
      </x:c>
      <x:c r="H559">
        <x:v>34</x:v>
      </x:c>
      <x:c r="I559">
        <x:v>88</x:v>
      </x:c>
      <x:c r="J559">
        <x:v>82</x:v>
      </x:c>
      <x:c r="K559">
        <x:v>84</x:v>
      </x:c>
      <x:c r="L559">
        <x:v>35</x:v>
      </x:c>
      <x:c r="M559">
        <x:v>30</x:v>
      </x:c>
      <x:c r="N559">
        <x:v>49</x:v>
      </x:c>
      <x:c r="O559">
        <x:v>44</x:v>
      </x:c>
      <x:c r="P559">
        <x:v>75</x:v>
      </x:c>
      <x:c r="Q559">
        <x:v>47</x:v>
      </x:c>
      <x:c r="R559">
        <x:v>81</x:v>
      </x:c>
      <x:c r="S559">
        <x:v>74</x:v>
      </x:c>
      <x:c r="T559">
        <x:v>51</x:v>
      </x:c>
      <x:c r="U559">
        <x:v>56</x:v>
      </x:c>
    </x:row>
    <x:row r="560">
      <x:c r="A560" t="s">
        <x:v>918</x:v>
      </x:c>
      <x:c r="B560" t="s">
        <x:v>420</x:v>
      </x:c>
      <x:c r="C560" t="s">
        <x:v>358</x:v>
      </x:c>
      <x:c r="D560">
        <x:v>8483499</x:v>
      </x:c>
      <x:c r="E560">
        <x:v>66</x:v>
      </x:c>
      <x:c r="F560">
        <x:v>37</x:v>
      </x:c>
      <x:c r="G560">
        <x:v>97</x:v>
      </x:c>
      <x:c r="H560">
        <x:v>51</x:v>
      </x:c>
      <x:c r="I560">
        <x:v>79</x:v>
      </x:c>
      <x:c r="J560">
        <x:v>83</x:v>
      </x:c>
      <x:c r="K560">
        <x:v>92</x:v>
      </x:c>
      <x:c r="L560">
        <x:v>52</x:v>
      </x:c>
      <x:c r="M560">
        <x:v>68</x:v>
      </x:c>
      <x:c r="N560">
        <x:v>51</x:v>
      </x:c>
      <x:c r="O560">
        <x:v>53</x:v>
      </x:c>
      <x:c r="P560">
        <x:v>64</x:v>
      </x:c>
      <x:c r="Q560">
        <x:v>75</x:v>
      </x:c>
      <x:c r="R560">
        <x:v>66</x:v>
      </x:c>
      <x:c r="S560">
        <x:v>65</x:v>
      </x:c>
      <x:c r="T560">
        <x:v>51</x:v>
      </x:c>
      <x:c r="U560">
        <x:v>56</x:v>
      </x:c>
    </x:row>
    <x:row r="561">
      <x:c r="A561" t="s">
        <x:v>919</x:v>
      </x:c>
      <x:c r="B561" t="s">
        <x:v>420</x:v>
      </x:c>
      <x:c r="C561" t="s">
        <x:v>339</x:v>
      </x:c>
      <x:c r="D561">
        <x:v>8482691</x:v>
      </x:c>
      <x:c r="E561">
        <x:v>79</x:v>
      </x:c>
      <x:c r="F561">
        <x:v>39</x:v>
      </x:c>
      <x:c r="G561">
        <x:v>88</x:v>
      </x:c>
      <x:c r="H561">
        <x:v>51</x:v>
      </x:c>
      <x:c r="I561">
        <x:v>81</x:v>
      </x:c>
      <x:c r="J561">
        <x:v>83</x:v>
      </x:c>
      <x:c r="K561">
        <x:v>87</x:v>
      </x:c>
      <x:c r="L561">
        <x:v>52</x:v>
      </x:c>
      <x:c r="M561">
        <x:v>90</x:v>
      </x:c>
      <x:c r="N561">
        <x:v>51</x:v>
      </x:c>
      <x:c r="O561">
        <x:v>54</x:v>
      </x:c>
      <x:c r="P561">
        <x:v>63</x:v>
      </x:c>
      <x:c r="Q561">
        <x:v>52</x:v>
      </x:c>
      <x:c r="R561">
        <x:v>68</x:v>
      </x:c>
      <x:c r="S561">
        <x:v>67</x:v>
      </x:c>
      <x:c r="T561">
        <x:v>51</x:v>
      </x:c>
      <x:c r="U561">
        <x:v>56</x:v>
      </x:c>
    </x:row>
    <x:row r="562">
      <x:c r="A562" t="s">
        <x:v>920</x:v>
      </x:c>
      <x:c r="B562" t="s">
        <x:v>427</x:v>
      </x:c>
      <x:c r="C562" t="s">
        <x:v>326</x:v>
      </x:c>
      <x:c r="D562">
        <x:v>8479336</x:v>
      </x:c>
      <x:c r="E562">
        <x:v>84</x:v>
      </x:c>
      <x:c r="F562">
        <x:v>54</x:v>
      </x:c>
      <x:c r="G562">
        <x:v>88</x:v>
      </x:c>
      <x:c r="H562">
        <x:v>48</x:v>
      </x:c>
      <x:c r="I562">
        <x:v>80</x:v>
      </x:c>
      <x:c r="J562">
        <x:v>82</x:v>
      </x:c>
      <x:c r="K562">
        <x:v>84</x:v>
      </x:c>
      <x:c r="L562">
        <x:v>49</x:v>
      </x:c>
      <x:c r="M562">
        <x:v>66</x:v>
      </x:c>
      <x:c r="N562">
        <x:v>50</x:v>
      </x:c>
      <x:c r="O562">
        <x:v>55</x:v>
      </x:c>
      <x:c r="P562">
        <x:v>64</x:v>
      </x:c>
      <x:c r="Q562">
        <x:v>57</x:v>
      </x:c>
      <x:c r="R562">
        <x:v>75</x:v>
      </x:c>
      <x:c r="S562">
        <x:v>71</x:v>
      </x:c>
      <x:c r="T562">
        <x:v>51</x:v>
      </x:c>
      <x:c r="U562">
        <x:v>56</x:v>
      </x:c>
    </x:row>
    <x:row r="563">
      <x:c r="A563" t="s">
        <x:v>921</x:v>
      </x:c>
      <x:c r="B563" t="s">
        <x:v>439</x:v>
      </x:c>
      <x:c r="C563" t="s">
        <x:v>331</x:v>
      </x:c>
      <x:c r="D563">
        <x:v>8477335</x:v>
      </x:c>
      <x:c r="E563">
        <x:v>78</x:v>
      </x:c>
      <x:c r="F563">
        <x:v>88</x:v>
      </x:c>
      <x:c r="G563">
        <x:v>81</x:v>
      </x:c>
      <x:c r="H563">
        <x:v>34</x:v>
      </x:c>
      <x:c r="I563">
        <x:v>80</x:v>
      </x:c>
      <x:c r="J563">
        <x:v>74</x:v>
      </x:c>
      <x:c r="K563">
        <x:v>76</x:v>
      </x:c>
      <x:c r="L563">
        <x:v>33</x:v>
      </x:c>
      <x:c r="M563">
        <x:v>30</x:v>
      </x:c>
      <x:c r="N563">
        <x:v>48</x:v>
      </x:c>
      <x:c r="O563">
        <x:v>44</x:v>
      </x:c>
      <x:c r="P563">
        <x:v>74</x:v>
      </x:c>
      <x:c r="Q563">
        <x:v>48</x:v>
      </x:c>
      <x:c r="R563">
        <x:v>79</x:v>
      </x:c>
      <x:c r="S563">
        <x:v>71</x:v>
      </x:c>
      <x:c r="T563">
        <x:v>51</x:v>
      </x:c>
      <x:c r="U563">
        <x:v>56</x:v>
      </x:c>
    </x:row>
    <x:row r="564">
      <x:c r="A564" t="s">
        <x:v>922</x:v>
      </x:c>
      <x:c r="C564" t="s">
        <x:v>331</x:v>
      </x:c>
      <x:c r="D564">
        <x:v>8478451</x:v>
      </x:c>
      <x:c r="E564">
        <x:v>67</x:v>
      </x:c>
      <x:c r="F564">
        <x:v>39</x:v>
      </x:c>
      <x:c r="G564">
        <x:v>87</x:v>
      </x:c>
      <x:c r="H564">
        <x:v>35</x:v>
      </x:c>
      <x:c r="I564">
        <x:v>78</x:v>
      </x:c>
      <x:c r="J564">
        <x:v>79</x:v>
      </x:c>
      <x:c r="K564">
        <x:v>81</x:v>
      </x:c>
      <x:c r="L564">
        <x:v>36</x:v>
      </x:c>
      <x:c r="M564">
        <x:v>30</x:v>
      </x:c>
      <x:c r="N564">
        <x:v>51</x:v>
      </x:c>
      <x:c r="O564">
        <x:v>44</x:v>
      </x:c>
      <x:c r="P564">
        <x:v>73</x:v>
      </x:c>
      <x:c r="Q564">
        <x:v>52</x:v>
      </x:c>
      <x:c r="R564">
        <x:v>71</x:v>
      </x:c>
      <x:c r="S564">
        <x:v>70</x:v>
      </x:c>
      <x:c r="T564">
        <x:v>51</x:v>
      </x:c>
      <x:c r="U564">
        <x:v>56</x:v>
      </x:c>
    </x:row>
    <x:row r="565">
      <x:c r="A565" t="s">
        <x:v>923</x:v>
      </x:c>
      <x:c r="B565" t="s">
        <x:v>396</x:v>
      </x:c>
      <x:c r="C565" t="s">
        <x:v>333</x:v>
      </x:c>
      <x:c r="D565">
        <x:v>8480281</x:v>
      </x:c>
      <x:c r="E565">
        <x:v>76</x:v>
      </x:c>
      <x:c r="F565">
        <x:v>73</x:v>
      </x:c>
      <x:c r="G565">
        <x:v>90</x:v>
      </x:c>
      <x:c r="H565">
        <x:v>49</x:v>
      </x:c>
      <x:c r="I565">
        <x:v>89</x:v>
      </x:c>
      <x:c r="J565">
        <x:v>83</x:v>
      </x:c>
      <x:c r="K565">
        <x:v>86</x:v>
      </x:c>
      <x:c r="L565">
        <x:v>51</x:v>
      </x:c>
      <x:c r="M565">
        <x:v>69</x:v>
      </x:c>
      <x:c r="N565">
        <x:v>51</x:v>
      </x:c>
      <x:c r="O565">
        <x:v>50</x:v>
      </x:c>
      <x:c r="P565">
        <x:v>70</x:v>
      </x:c>
      <x:c r="Q565">
        <x:v>53</x:v>
      </x:c>
      <x:c r="R565">
        <x:v>71</x:v>
      </x:c>
      <x:c r="S565">
        <x:v>69</x:v>
      </x:c>
      <x:c r="T565">
        <x:v>51</x:v>
      </x:c>
      <x:c r="U565">
        <x:v>56</x:v>
      </x:c>
    </x:row>
    <x:row r="566">
      <x:c r="A566" t="s">
        <x:v>924</x:v>
      </x:c>
      <x:c r="B566" t="s">
        <x:v>396</x:v>
      </x:c>
      <x:c r="C566" t="s">
        <x:v>339</x:v>
      </x:c>
      <x:c r="D566">
        <x:v>8479992</x:v>
      </x:c>
      <x:c r="E566">
        <x:v>67</x:v>
      </x:c>
      <x:c r="F566">
        <x:v>53</x:v>
      </x:c>
      <x:c r="G566">
        <x:v>94</x:v>
      </x:c>
      <x:c r="H566">
        <x:v>49</x:v>
      </x:c>
      <x:c r="I566">
        <x:v>89</x:v>
      </x:c>
      <x:c r="J566">
        <x:v>83</x:v>
      </x:c>
      <x:c r="K566">
        <x:v>85</x:v>
      </x:c>
      <x:c r="L566">
        <x:v>51</x:v>
      </x:c>
      <x:c r="M566">
        <x:v>80</x:v>
      </x:c>
      <x:c r="N566">
        <x:v>51</x:v>
      </x:c>
      <x:c r="O566">
        <x:v>52</x:v>
      </x:c>
      <x:c r="P566">
        <x:v>70</x:v>
      </x:c>
      <x:c r="Q566">
        <x:v>52</x:v>
      </x:c>
      <x:c r="R566">
        <x:v>73</x:v>
      </x:c>
      <x:c r="S566">
        <x:v>71</x:v>
      </x:c>
      <x:c r="T566">
        <x:v>51</x:v>
      </x:c>
      <x:c r="U566">
        <x:v>56</x:v>
      </x:c>
    </x:row>
    <x:row r="567">
      <x:c r="A567" t="s">
        <x:v>925</x:v>
      </x:c>
      <x:c r="B567" t="s">
        <x:v>345</x:v>
      </x:c>
      <x:c r="C567" t="s">
        <x:v>326</x:v>
      </x:c>
      <x:c r="D567">
        <x:v>8483525</x:v>
      </x:c>
      <x:c r="E567">
        <x:v>64</x:v>
      </x:c>
      <x:c r="F567">
        <x:v>35</x:v>
      </x:c>
      <x:c r="G567">
        <x:v>85</x:v>
      </x:c>
      <x:c r="H567">
        <x:v>53</x:v>
      </x:c>
      <x:c r="I567">
        <x:v>78</x:v>
      </x:c>
      <x:c r="J567">
        <x:v>83</x:v>
      </x:c>
      <x:c r="K567">
        <x:v>87</x:v>
      </x:c>
      <x:c r="L567">
        <x:v>53</x:v>
      </x:c>
      <x:c r="M567">
        <x:v>82</x:v>
      </x:c>
      <x:c r="N567">
        <x:v>52</x:v>
      </x:c>
      <x:c r="O567">
        <x:v>54</x:v>
      </x:c>
      <x:c r="P567">
        <x:v>65</x:v>
      </x:c>
      <x:c r="Q567">
        <x:v>51</x:v>
      </x:c>
      <x:c r="R567">
        <x:v>68</x:v>
      </x:c>
      <x:c r="S567">
        <x:v>69</x:v>
      </x:c>
      <x:c r="T567">
        <x:v>54</x:v>
      </x:c>
      <x:c r="U567">
        <x:v>56</x:v>
      </x:c>
    </x:row>
    <x:row r="568">
      <x:c r="A568" t="s">
        <x:v>926</x:v>
      </x:c>
      <x:c r="B568" t="s">
        <x:v>334</x:v>
      </x:c>
      <x:c r="C568" t="s">
        <x:v>323</x:v>
      </x:c>
      <x:c r="D568">
        <x:v>8476822</x:v>
      </x:c>
      <x:c r="E568">
        <x:v>69</x:v>
      </x:c>
      <x:c r="F568">
        <x:v>38</x:v>
      </x:c>
      <x:c r="G568">
        <x:v>96</x:v>
      </x:c>
      <x:c r="H568">
        <x:v>47</x:v>
      </x:c>
      <x:c r="I568">
        <x:v>79</x:v>
      </x:c>
      <x:c r="J568">
        <x:v>82</x:v>
      </x:c>
      <x:c r="K568">
        <x:v>89</x:v>
      </x:c>
      <x:c r="L568">
        <x:v>47</x:v>
      </x:c>
      <x:c r="M568">
        <x:v>88</x:v>
      </x:c>
      <x:c r="N568">
        <x:v>49</x:v>
      </x:c>
      <x:c r="O568">
        <x:v>49</x:v>
      </x:c>
      <x:c r="P568">
        <x:v>70</x:v>
      </x:c>
      <x:c r="Q568">
        <x:v>52</x:v>
      </x:c>
      <x:c r="R568">
        <x:v>88</x:v>
      </x:c>
      <x:c r="S568">
        <x:v>78</x:v>
      </x:c>
      <x:c r="T568">
        <x:v>51</x:v>
      </x:c>
      <x:c r="U568">
        <x:v>56</x:v>
      </x:c>
    </x:row>
    <x:row r="569">
      <x:c r="A569" t="s">
        <x:v>927</x:v>
      </x:c>
      <x:c r="C569" t="s">
        <x:v>339</x:v>
      </x:c>
      <x:c r="D569">
        <x:v>8483752</x:v>
      </x:c>
      <x:c r="E569">
        <x:v>68</x:v>
      </x:c>
      <x:c r="F569">
        <x:v>31</x:v>
      </x:c>
      <x:c r="G569">
        <x:v>92</x:v>
      </x:c>
      <x:c r="H569">
        <x:v>52</x:v>
      </x:c>
      <x:c r="I569">
        <x:v>75</x:v>
      </x:c>
      <x:c r="J569">
        <x:v>82</x:v>
      </x:c>
      <x:c r="K569">
        <x:v>72</x:v>
      </x:c>
      <x:c r="L569">
        <x:v>49</x:v>
      </x:c>
      <x:c r="M569">
        <x:v>83</x:v>
      </x:c>
      <x:c r="N569">
        <x:v>51</x:v>
      </x:c>
      <x:c r="O569">
        <x:v>53</x:v>
      </x:c>
      <x:c r="P569">
        <x:v>59</x:v>
      </x:c>
      <x:c r="Q569">
        <x:v>76</x:v>
      </x:c>
      <x:c r="R569">
        <x:v>69</x:v>
      </x:c>
      <x:c r="S569">
        <x:v>70</x:v>
      </x:c>
      <x:c r="T569">
        <x:v>54</x:v>
      </x:c>
      <x:c r="U569">
        <x:v>56</x:v>
      </x:c>
    </x:row>
    <x:row r="570">
      <x:c r="A570" t="s">
        <x:v>928</x:v>
      </x:c>
      <x:c r="B570" t="s">
        <x:v>352</x:v>
      </x:c>
      <x:c r="C570" t="s">
        <x:v>329</x:v>
      </x:c>
      <x:c r="D570">
        <x:v>8484158</x:v>
      </x:c>
      <x:c r="E570">
        <x:v>66</x:v>
      </x:c>
      <x:c r="F570">
        <x:v>45</x:v>
      </x:c>
      <x:c r="G570">
        <x:v>79</x:v>
      </x:c>
      <x:c r="H570">
        <x:v>54</x:v>
      </x:c>
      <x:c r="I570">
        <x:v>74</x:v>
      </x:c>
      <x:c r="J570">
        <x:v>84</x:v>
      </x:c>
      <x:c r="K570">
        <x:v>85</x:v>
      </x:c>
      <x:c r="L570">
        <x:v>53</x:v>
      </x:c>
      <x:c r="M570">
        <x:v>66</x:v>
      </x:c>
      <x:c r="N570">
        <x:v>54</x:v>
      </x:c>
      <x:c r="O570">
        <x:v>54</x:v>
      </x:c>
      <x:c r="P570">
        <x:v>61</x:v>
      </x:c>
      <x:c r="Q570">
        <x:v>60</x:v>
      </x:c>
      <x:c r="R570">
        <x:v>66</x:v>
      </x:c>
      <x:c r="S570">
        <x:v>66</x:v>
      </x:c>
      <x:c r="T570">
        <x:v>54</x:v>
      </x:c>
      <x:c r="U570">
        <x:v>56</x:v>
      </x:c>
    </x:row>
    <x:row r="571">
      <x:c r="A571" t="s">
        <x:v>929</x:v>
      </x:c>
      <x:c r="B571" t="s">
        <x:v>400</x:v>
      </x:c>
      <x:c r="C571" t="s">
        <x:v>331</x:v>
      </x:c>
      <x:c r="D571">
        <x:v>8484304</x:v>
      </x:c>
      <x:c r="E571">
        <x:v>75</x:v>
      </x:c>
      <x:c r="F571">
        <x:v>36</x:v>
      </x:c>
      <x:c r="G571">
        <x:v>81</x:v>
      </x:c>
      <x:c r="H571">
        <x:v>38</x:v>
      </x:c>
      <x:c r="I571">
        <x:v>77</x:v>
      </x:c>
      <x:c r="J571">
        <x:v>86</x:v>
      </x:c>
      <x:c r="K571">
        <x:v>82</x:v>
      </x:c>
      <x:c r="L571">
        <x:v>37</x:v>
      </x:c>
      <x:c r="M571">
        <x:v>30</x:v>
      </x:c>
      <x:c r="N571">
        <x:v>52</x:v>
      </x:c>
      <x:c r="O571">
        <x:v>47</x:v>
      </x:c>
      <x:c r="P571">
        <x:v>74</x:v>
      </x:c>
      <x:c r="Q571">
        <x:v>52</x:v>
      </x:c>
      <x:c r="R571">
        <x:v>73</x:v>
      </x:c>
      <x:c r="S571">
        <x:v>70</x:v>
      </x:c>
      <x:c r="T571">
        <x:v>51</x:v>
      </x:c>
      <x:c r="U571">
        <x:v>56</x:v>
      </x:c>
    </x:row>
    <x:row r="572">
      <x:c r="A572" t="s">
        <x:v>930</x:v>
      </x:c>
      <x:c r="B572" t="s">
        <x:v>340</x:v>
      </x:c>
      <x:c r="C572" t="s">
        <x:v>319</x:v>
      </x:c>
      <x:c r="D572">
        <x:v>8476624</x:v>
      </x:c>
      <x:c r="E572">
        <x:v>72</x:v>
      </x:c>
      <x:c r="F572">
        <x:v>82</x:v>
      </x:c>
      <x:c r="G572">
        <x:v>77</x:v>
      </x:c>
      <x:c r="H572">
        <x:v>47</x:v>
      </x:c>
      <x:c r="I572">
        <x:v>84</x:v>
      </x:c>
      <x:c r="J572">
        <x:v>82</x:v>
      </x:c>
      <x:c r="K572">
        <x:v>98</x:v>
      </x:c>
      <x:c r="L572">
        <x:v>47</x:v>
      </x:c>
      <x:c r="M572">
        <x:v>72</x:v>
      </x:c>
      <x:c r="N572">
        <x:v>49</x:v>
      </x:c>
      <x:c r="O572">
        <x:v>50</x:v>
      </x:c>
      <x:c r="P572">
        <x:v>70</x:v>
      </x:c>
      <x:c r="Q572">
        <x:v>53</x:v>
      </x:c>
      <x:c r="R572">
        <x:v>84</x:v>
      </x:c>
      <x:c r="S572">
        <x:v>80</x:v>
      </x:c>
      <x:c r="T572">
        <x:v>51</x:v>
      </x:c>
      <x:c r="U572">
        <x:v>56</x:v>
      </x:c>
    </x:row>
    <x:row r="573">
      <x:c r="A573" t="s">
        <x:v>931</x:v>
      </x:c>
      <x:c r="B573" t="s">
        <x:v>584</x:v>
      </x:c>
      <x:c r="C573" t="s">
        <x:v>331</x:v>
      </x:c>
      <x:c r="D573">
        <x:v>8479402</x:v>
      </x:c>
      <x:c r="E573">
        <x:v>66</x:v>
      </x:c>
      <x:c r="F573">
        <x:v>33</x:v>
      </x:c>
      <x:c r="G573">
        <x:v>78</x:v>
      </x:c>
      <x:c r="H573">
        <x:v>38</x:v>
      </x:c>
      <x:c r="I573">
        <x:v>77</x:v>
      </x:c>
      <x:c r="J573">
        <x:v>84</x:v>
      </x:c>
      <x:c r="K573">
        <x:v>48</x:v>
      </x:c>
      <x:c r="L573">
        <x:v>38</x:v>
      </x:c>
      <x:c r="M573">
        <x:v>30</x:v>
      </x:c>
      <x:c r="N573">
        <x:v>49</x:v>
      </x:c>
      <x:c r="O573">
        <x:v>47</x:v>
      </x:c>
      <x:c r="P573">
        <x:v>74</x:v>
      </x:c>
      <x:c r="Q573">
        <x:v>52</x:v>
      </x:c>
      <x:c r="R573">
        <x:v>75</x:v>
      </x:c>
      <x:c r="S573">
        <x:v>69</x:v>
      </x:c>
      <x:c r="T573">
        <x:v>51</x:v>
      </x:c>
      <x:c r="U573">
        <x:v>56</x:v>
      </x:c>
    </x:row>
    <x:row r="574">
      <x:c r="A574" t="s">
        <x:v>932</x:v>
      </x:c>
      <x:c r="B574" t="s">
        <x:v>420</x:v>
      </x:c>
      <x:c r="C574" t="s">
        <x:v>339</x:v>
      </x:c>
      <x:c r="D574">
        <x:v>8481032</x:v>
      </x:c>
      <x:c r="E574">
        <x:v>81</x:v>
      </x:c>
      <x:c r="F574">
        <x:v>61</x:v>
      </x:c>
      <x:c r="G574">
        <x:v>91</x:v>
      </x:c>
      <x:c r="H574">
        <x:v>49</x:v>
      </x:c>
      <x:c r="I574">
        <x:v>84</x:v>
      </x:c>
      <x:c r="J574">
        <x:v>82</x:v>
      </x:c>
      <x:c r="K574">
        <x:v>96</x:v>
      </x:c>
      <x:c r="L574">
        <x:v>51</x:v>
      </x:c>
      <x:c r="M574">
        <x:v>77</x:v>
      </x:c>
      <x:c r="N574">
        <x:v>49</x:v>
      </x:c>
      <x:c r="O574">
        <x:v>53</x:v>
      </x:c>
      <x:c r="P574">
        <x:v>60</x:v>
      </x:c>
      <x:c r="Q574">
        <x:v>84</x:v>
      </x:c>
      <x:c r="R574">
        <x:v>72</x:v>
      </x:c>
      <x:c r="S574">
        <x:v>69</x:v>
      </x:c>
      <x:c r="T574">
        <x:v>51</x:v>
      </x:c>
      <x:c r="U574">
        <x:v>56</x:v>
      </x:c>
    </x:row>
    <x:row r="575">
      <x:c r="A575" t="s">
        <x:v>933</x:v>
      </x:c>
      <x:c r="B575" t="s">
        <x:v>584</x:v>
      </x:c>
      <x:c r="C575" t="s">
        <x:v>329</x:v>
      </x:c>
      <x:c r="D575">
        <x:v>8475763</x:v>
      </x:c>
      <x:c r="E575">
        <x:v>66</x:v>
      </x:c>
      <x:c r="F575">
        <x:v>42</x:v>
      </x:c>
      <x:c r="G575">
        <x:v>90</x:v>
      </x:c>
      <x:c r="H575">
        <x:v>51</x:v>
      </x:c>
      <x:c r="I575">
        <x:v>86</x:v>
      </x:c>
      <x:c r="J575">
        <x:v>82</x:v>
      </x:c>
      <x:c r="K575">
        <x:v>61</x:v>
      </x:c>
      <x:c r="L575">
        <x:v>52</x:v>
      </x:c>
      <x:c r="M575">
        <x:v>80</x:v>
      </x:c>
      <x:c r="N575">
        <x:v>52</x:v>
      </x:c>
      <x:c r="O575">
        <x:v>55</x:v>
      </x:c>
      <x:c r="P575">
        <x:v>61</x:v>
      </x:c>
      <x:c r="Q575">
        <x:v>71</x:v>
      </x:c>
      <x:c r="R575">
        <x:v>87</x:v>
      </x:c>
      <x:c r="S575">
        <x:v>81</x:v>
      </x:c>
      <x:c r="T575">
        <x:v>51</x:v>
      </x:c>
      <x:c r="U575">
        <x:v>56</x:v>
      </x:c>
    </x:row>
    <x:row r="576">
      <x:c r="A576" t="s">
        <x:v>934</x:v>
      </x:c>
      <x:c r="B576" t="s">
        <x:v>372</x:v>
      </x:c>
      <x:c r="C576" t="s">
        <x:v>319</x:v>
      </x:c>
      <x:c r="D576">
        <x:v>8480835</x:v>
      </x:c>
      <x:c r="E576">
        <x:v>61</x:v>
      </x:c>
      <x:c r="F576">
        <x:v>46</x:v>
      </x:c>
      <x:c r="G576">
        <x:v>88</x:v>
      </x:c>
      <x:c r="H576">
        <x:v>53</x:v>
      </x:c>
      <x:c r="I576">
        <x:v>76</x:v>
      </x:c>
      <x:c r="J576">
        <x:v>84</x:v>
      </x:c>
      <x:c r="K576">
        <x:v>97</x:v>
      </x:c>
      <x:c r="L576">
        <x:v>53</x:v>
      </x:c>
      <x:c r="M576">
        <x:v>90</x:v>
      </x:c>
      <x:c r="N576">
        <x:v>53</x:v>
      </x:c>
      <x:c r="O576">
        <x:v>53</x:v>
      </x:c>
      <x:c r="P576">
        <x:v>71</x:v>
      </x:c>
      <x:c r="Q576">
        <x:v>52</x:v>
      </x:c>
      <x:c r="R576">
        <x:v>71</x:v>
      </x:c>
      <x:c r="S576">
        <x:v>66</x:v>
      </x:c>
      <x:c r="T576">
        <x:v>51</x:v>
      </x:c>
      <x:c r="U576">
        <x:v>56</x:v>
      </x:c>
    </x:row>
    <x:row r="577">
      <x:c r="A577" t="s">
        <x:v>935</x:v>
      </x:c>
      <x:c r="C577" t="s">
        <x:v>331</x:v>
      </x:c>
      <x:c r="D577">
        <x:v>8482165</x:v>
      </x:c>
      <x:c r="E577">
        <x:v>75</x:v>
      </x:c>
      <x:c r="F577">
        <x:v>42</x:v>
      </x:c>
      <x:c r="G577">
        <x:v>84</x:v>
      </x:c>
      <x:c r="H577">
        <x:v>37</x:v>
      </x:c>
      <x:c r="I577">
        <x:v>84</x:v>
      </x:c>
      <x:c r="J577">
        <x:v>92</x:v>
      </x:c>
      <x:c r="K577">
        <x:v>90</x:v>
      </x:c>
      <x:c r="L577">
        <x:v>37</x:v>
      </x:c>
      <x:c r="M577">
        <x:v>30</x:v>
      </x:c>
      <x:c r="N577">
        <x:v>49</x:v>
      </x:c>
      <x:c r="O577">
        <x:v>49</x:v>
      </x:c>
      <x:c r="P577">
        <x:v>75</x:v>
      </x:c>
      <x:c r="Q577">
        <x:v>54</x:v>
      </x:c>
      <x:c r="R577">
        <x:v>67</x:v>
      </x:c>
      <x:c r="S577">
        <x:v>66</x:v>
      </x:c>
      <x:c r="T577">
        <x:v>51</x:v>
      </x:c>
      <x:c r="U577">
        <x:v>56</x:v>
      </x:c>
    </x:row>
    <x:row r="578">
      <x:c r="A578" t="s">
        <x:v>936</x:v>
      </x:c>
      <x:c r="B578" t="s">
        <x:v>383</x:v>
      </x:c>
      <x:c r="C578" t="s">
        <x:v>319</x:v>
      </x:c>
      <x:c r="D578">
        <x:v>8483690</x:v>
      </x:c>
      <x:c r="E578">
        <x:v>70</x:v>
      </x:c>
      <x:c r="F578">
        <x:v>59</x:v>
      </x:c>
      <x:c r="G578">
        <x:v>86</x:v>
      </x:c>
      <x:c r="H578">
        <x:v>51</x:v>
      </x:c>
      <x:c r="I578">
        <x:v>82</x:v>
      </x:c>
      <x:c r="J578">
        <x:v>83</x:v>
      </x:c>
      <x:c r="K578">
        <x:v>88</x:v>
      </x:c>
      <x:c r="L578">
        <x:v>52</x:v>
      </x:c>
      <x:c r="M578">
        <x:v>86</x:v>
      </x:c>
      <x:c r="N578">
        <x:v>52</x:v>
      </x:c>
      <x:c r="O578">
        <x:v>52</x:v>
      </x:c>
      <x:c r="P578">
        <x:v>68</x:v>
      </x:c>
      <x:c r="Q578">
        <x:v>51</x:v>
      </x:c>
      <x:c r="R578">
        <x:v>65</x:v>
      </x:c>
      <x:c r="S578">
        <x:v>66</x:v>
      </x:c>
      <x:c r="T578">
        <x:v>54</x:v>
      </x:c>
      <x:c r="U578">
        <x:v>56</x:v>
      </x:c>
    </x:row>
    <x:row r="579">
      <x:c r="A579" t="s">
        <x:v>937</x:v>
      </x:c>
      <x:c r="B579" t="s">
        <x:v>379</x:v>
      </x:c>
      <x:c r="C579" t="s">
        <x:v>331</x:v>
      </x:c>
      <x:c r="D579">
        <x:v>8481059</x:v>
      </x:c>
      <x:c r="E579">
        <x:v>67</x:v>
      </x:c>
      <x:c r="F579">
        <x:v>37</x:v>
      </x:c>
      <x:c r="G579">
        <x:v>82</x:v>
      </x:c>
      <x:c r="H579">
        <x:v>37</x:v>
      </x:c>
      <x:c r="I579">
        <x:v>74</x:v>
      </x:c>
      <x:c r="J579">
        <x:v>83</x:v>
      </x:c>
      <x:c r="K579">
        <x:v>86</x:v>
      </x:c>
      <x:c r="L579">
        <x:v>38</x:v>
      </x:c>
      <x:c r="M579">
        <x:v>30</x:v>
      </x:c>
      <x:c r="N579">
        <x:v>54</x:v>
      </x:c>
      <x:c r="O579">
        <x:v>45</x:v>
      </x:c>
      <x:c r="P579">
        <x:v>73</x:v>
      </x:c>
      <x:c r="Q579">
        <x:v>53</x:v>
      </x:c>
      <x:c r="R579">
        <x:v>73</x:v>
      </x:c>
      <x:c r="S579">
        <x:v>70</x:v>
      </x:c>
      <x:c r="T579">
        <x:v>54</x:v>
      </x:c>
      <x:c r="U579">
        <x:v>56</x:v>
      </x:c>
    </x:row>
    <x:row r="580">
      <x:c r="A580" t="s">
        <x:v>938</x:v>
      </x:c>
      <x:c r="C580" t="s">
        <x:v>331</x:v>
      </x:c>
      <x:c r="D580">
        <x:v>8480871</x:v>
      </x:c>
      <x:c r="E580">
        <x:v>67</x:v>
      </x:c>
      <x:c r="F580">
        <x:v>32</x:v>
      </x:c>
      <x:c r="G580">
        <x:v>89</x:v>
      </x:c>
      <x:c r="H580">
        <x:v>39</x:v>
      </x:c>
      <x:c r="I580">
        <x:v>75</x:v>
      </x:c>
      <x:c r="J580">
        <x:v>83</x:v>
      </x:c>
      <x:c r="K580">
        <x:v>60</x:v>
      </x:c>
      <x:c r="L580">
        <x:v>37</x:v>
      </x:c>
      <x:c r="M580">
        <x:v>30</x:v>
      </x:c>
      <x:c r="N580">
        <x:v>51</x:v>
      </x:c>
      <x:c r="O580">
        <x:v>46</x:v>
      </x:c>
      <x:c r="P580">
        <x:v>72</x:v>
      </x:c>
      <x:c r="Q580">
        <x:v>53</x:v>
      </x:c>
      <x:c r="R580">
        <x:v>72</x:v>
      </x:c>
      <x:c r="S580">
        <x:v>67</x:v>
      </x:c>
      <x:c r="T580">
        <x:v>51</x:v>
      </x:c>
      <x:c r="U580">
        <x:v>56</x:v>
      </x:c>
    </x:row>
    <x:row r="581">
      <x:c r="A581" t="s">
        <x:v>939</x:v>
      </x:c>
      <x:c r="B581" t="s">
        <x:v>327</x:v>
      </x:c>
      <x:c r="C581" t="s">
        <x:v>329</x:v>
      </x:c>
      <x:c r="D581">
        <x:v>8480995</x:v>
      </x:c>
      <x:c r="E581">
        <x:v>65</x:v>
      </x:c>
      <x:c r="F581">
        <x:v>52</x:v>
      </x:c>
      <x:c r="G581">
        <x:v>87</x:v>
      </x:c>
      <x:c r="H581">
        <x:v>53</x:v>
      </x:c>
      <x:c r="I581">
        <x:v>78</x:v>
      </x:c>
      <x:c r="J581">
        <x:v>84</x:v>
      </x:c>
      <x:c r="K581">
        <x:v>88</x:v>
      </x:c>
      <x:c r="L581">
        <x:v>52</x:v>
      </x:c>
      <x:c r="M581">
        <x:v>72</x:v>
      </x:c>
      <x:c r="N581">
        <x:v>52</x:v>
      </x:c>
      <x:c r="O581">
        <x:v>54</x:v>
      </x:c>
      <x:c r="P581">
        <x:v>64</x:v>
      </x:c>
      <x:c r="Q581">
        <x:v>52</x:v>
      </x:c>
      <x:c r="R581">
        <x:v>72</x:v>
      </x:c>
      <x:c r="S581">
        <x:v>70</x:v>
      </x:c>
      <x:c r="T581">
        <x:v>51</x:v>
      </x:c>
      <x:c r="U581">
        <x:v>56</x:v>
      </x:c>
    </x:row>
    <x:row r="582">
      <x:c r="A582" t="s">
        <x:v>940</x:v>
      </x:c>
      <x:c r="B582" t="s">
        <x:v>364</x:v>
      </x:c>
      <x:c r="C582" t="s">
        <x:v>333</x:v>
      </x:c>
      <x:c r="D582">
        <x:v>8479977</x:v>
      </x:c>
      <x:c r="E582">
        <x:v>64</x:v>
      </x:c>
      <x:c r="F582">
        <x:v>33</x:v>
      </x:c>
      <x:c r="G582">
        <x:v>91</x:v>
      </x:c>
      <x:c r="H582">
        <x:v>53</x:v>
      </x:c>
      <x:c r="I582">
        <x:v>76</x:v>
      </x:c>
      <x:c r="J582">
        <x:v>82</x:v>
      </x:c>
      <x:c r="K582">
        <x:v>80</x:v>
      </x:c>
      <x:c r="L582">
        <x:v>52</x:v>
      </x:c>
      <x:c r="M582">
        <x:v>71</x:v>
      </x:c>
      <x:c r="N582">
        <x:v>52</x:v>
      </x:c>
      <x:c r="O582">
        <x:v>57</x:v>
      </x:c>
      <x:c r="P582">
        <x:v>62</x:v>
      </x:c>
      <x:c r="Q582">
        <x:v>65</x:v>
      </x:c>
      <x:c r="R582">
        <x:v>74</x:v>
      </x:c>
      <x:c r="S582">
        <x:v>72</x:v>
      </x:c>
      <x:c r="T582">
        <x:v>51</x:v>
      </x:c>
      <x:c r="U582">
        <x:v>56</x:v>
      </x:c>
    </x:row>
    <x:row r="583">
      <x:c r="A583" t="s">
        <x:v>941</x:v>
      </x:c>
      <x:c r="B583" t="s">
        <x:v>352</x:v>
      </x:c>
      <x:c r="C583" t="s">
        <x:v>333</x:v>
      </x:c>
      <x:c r="D583">
        <x:v>8479520</x:v>
      </x:c>
      <x:c r="E583">
        <x:v>74</x:v>
      </x:c>
      <x:c r="F583">
        <x:v>91</x:v>
      </x:c>
      <x:c r="G583">
        <x:v>82</x:v>
      </x:c>
      <x:c r="H583">
        <x:v>49</x:v>
      </x:c>
      <x:c r="I583">
        <x:v>83</x:v>
      </x:c>
      <x:c r="J583">
        <x:v>82</x:v>
      </x:c>
      <x:c r="K583">
        <x:v>99</x:v>
      </x:c>
      <x:c r="L583">
        <x:v>48</x:v>
      </x:c>
      <x:c r="M583">
        <x:v>68</x:v>
      </x:c>
      <x:c r="N583">
        <x:v>49</x:v>
      </x:c>
      <x:c r="O583">
        <x:v>50</x:v>
      </x:c>
      <x:c r="P583">
        <x:v>68</x:v>
      </x:c>
      <x:c r="Q583">
        <x:v>52</x:v>
      </x:c>
      <x:c r="R583">
        <x:v>76</x:v>
      </x:c>
      <x:c r="S583">
        <x:v>70</x:v>
      </x:c>
      <x:c r="T583">
        <x:v>51</x:v>
      </x:c>
      <x:c r="U583">
        <x:v>56</x:v>
      </x:c>
    </x:row>
    <x:row r="584">
      <x:c r="A584" t="s">
        <x:v>942</x:v>
      </x:c>
      <x:c r="B584" t="s">
        <x:v>350</x:v>
      </x:c>
      <x:c r="C584" t="s">
        <x:v>329</x:v>
      </x:c>
      <x:c r="D584">
        <x:v>8479316</x:v>
      </x:c>
      <x:c r="E584">
        <x:v>75</x:v>
      </x:c>
      <x:c r="F584">
        <x:v>82</x:v>
      </x:c>
      <x:c r="G584">
        <x:v>81</x:v>
      </x:c>
      <x:c r="H584">
        <x:v>48</x:v>
      </x:c>
      <x:c r="I584">
        <x:v>83</x:v>
      </x:c>
      <x:c r="J584">
        <x:v>82</x:v>
      </x:c>
      <x:c r="K584">
        <x:v>84</x:v>
      </x:c>
      <x:c r="L584">
        <x:v>49</x:v>
      </x:c>
      <x:c r="M584">
        <x:v>83</x:v>
      </x:c>
      <x:c r="N584">
        <x:v>50</x:v>
      </x:c>
      <x:c r="O584">
        <x:v>51</x:v>
      </x:c>
      <x:c r="P584">
        <x:v>68</x:v>
      </x:c>
      <x:c r="Q584">
        <x:v>54</x:v>
      </x:c>
      <x:c r="R584">
        <x:v>76</x:v>
      </x:c>
      <x:c r="S584">
        <x:v>74</x:v>
      </x:c>
      <x:c r="T584">
        <x:v>51</x:v>
      </x:c>
      <x:c r="U584">
        <x:v>56</x:v>
      </x:c>
    </x:row>
    <x:row r="585">
      <x:c r="A585" t="s">
        <x:v>943</x:v>
      </x:c>
      <x:c r="C585" t="s">
        <x:v>319</x:v>
      </x:c>
      <x:c r="D585">
        <x:v>8479591</x:v>
      </x:c>
      <x:c r="E585">
        <x:v>67</x:v>
      </x:c>
      <x:c r="F585">
        <x:v>62</x:v>
      </x:c>
      <x:c r="G585">
        <x:v>83</x:v>
      </x:c>
      <x:c r="H585">
        <x:v>51</x:v>
      </x:c>
      <x:c r="I585">
        <x:v>80</x:v>
      </x:c>
      <x:c r="J585">
        <x:v>82</x:v>
      </x:c>
      <x:c r="K585">
        <x:v>81</x:v>
      </x:c>
      <x:c r="L585">
        <x:v>51</x:v>
      </x:c>
      <x:c r="M585">
        <x:v>68</x:v>
      </x:c>
      <x:c r="N585">
        <x:v>52</x:v>
      </x:c>
      <x:c r="O585">
        <x:v>54</x:v>
      </x:c>
      <x:c r="P585">
        <x:v>61</x:v>
      </x:c>
      <x:c r="Q585">
        <x:v>60</x:v>
      </x:c>
      <x:c r="R585">
        <x:v>77</x:v>
      </x:c>
      <x:c r="S585">
        <x:v>72</x:v>
      </x:c>
      <x:c r="T585">
        <x:v>51</x:v>
      </x:c>
      <x:c r="U585">
        <x:v>56</x:v>
      </x:c>
    </x:row>
    <x:row r="586">
      <x:c r="A586" t="s">
        <x:v>944</x:v>
      </x:c>
      <x:c r="B586" t="s">
        <x:v>383</x:v>
      </x:c>
      <x:c r="C586" t="s">
        <x:v>331</x:v>
      </x:c>
      <x:c r="D586">
        <x:v>8480001</x:v>
      </x:c>
      <x:c r="E586">
        <x:v>67</x:v>
      </x:c>
      <x:c r="F586">
        <x:v>39</x:v>
      </x:c>
      <x:c r="G586">
        <x:v>85</x:v>
      </x:c>
      <x:c r="H586">
        <x:v>38</x:v>
      </x:c>
      <x:c r="I586">
        <x:v>81</x:v>
      </x:c>
      <x:c r="J586">
        <x:v>83</x:v>
      </x:c>
      <x:c r="K586">
        <x:v>69</x:v>
      </x:c>
      <x:c r="L586">
        <x:v>37</x:v>
      </x:c>
      <x:c r="M586">
        <x:v>30</x:v>
      </x:c>
      <x:c r="N586">
        <x:v>53</x:v>
      </x:c>
      <x:c r="O586">
        <x:v>45</x:v>
      </x:c>
      <x:c r="P586">
        <x:v>74</x:v>
      </x:c>
      <x:c r="Q586">
        <x:v>52</x:v>
      </x:c>
      <x:c r="R586">
        <x:v>72</x:v>
      </x:c>
      <x:c r="S586">
        <x:v>71</x:v>
      </x:c>
      <x:c r="T586">
        <x:v>51</x:v>
      </x:c>
      <x:c r="U586">
        <x:v>56</x:v>
      </x:c>
    </x:row>
    <x:row r="587">
      <x:c r="A587" t="s">
        <x:v>945</x:v>
      </x:c>
      <x:c r="C587" t="s">
        <x:v>331</x:v>
      </x:c>
      <x:c r="D587">
        <x:v>8475718</x:v>
      </x:c>
      <x:c r="E587">
        <x:v>71</x:v>
      </x:c>
      <x:c r="F587">
        <x:v>36</x:v>
      </x:c>
      <x:c r="G587">
        <x:v>90</x:v>
      </x:c>
      <x:c r="H587">
        <x:v>35</x:v>
      </x:c>
      <x:c r="I587">
        <x:v>84</x:v>
      </x:c>
      <x:c r="J587">
        <x:v>83</x:v>
      </x:c>
      <x:c r="K587">
        <x:v>85</x:v>
      </x:c>
      <x:c r="L587">
        <x:v>35</x:v>
      </x:c>
      <x:c r="M587">
        <x:v>30</x:v>
      </x:c>
      <x:c r="N587">
        <x:v>50</x:v>
      </x:c>
      <x:c r="O587">
        <x:v>46</x:v>
      </x:c>
      <x:c r="P587">
        <x:v>76</x:v>
      </x:c>
      <x:c r="Q587">
        <x:v>48</x:v>
      </x:c>
      <x:c r="R587">
        <x:v>86</x:v>
      </x:c>
      <x:c r="S587">
        <x:v>75</x:v>
      </x:c>
      <x:c r="T587">
        <x:v>51</x:v>
      </x:c>
      <x:c r="U587">
        <x:v>56</x:v>
      </x:c>
    </x:row>
    <x:row r="588">
      <x:c r="A588" t="s">
        <x:v>946</x:v>
      </x:c>
      <x:c r="C588" t="s">
        <x:v>331</x:v>
      </x:c>
      <x:c r="D588">
        <x:v>8482131</x:v>
      </x:c>
      <x:c r="E588">
        <x:v>78</x:v>
      </x:c>
      <x:c r="F588">
        <x:v>80</x:v>
      </x:c>
      <x:c r="G588">
        <x:v>73</x:v>
      </x:c>
      <x:c r="H588">
        <x:v>37</x:v>
      </x:c>
      <x:c r="I588">
        <x:v>82</x:v>
      </x:c>
      <x:c r="J588">
        <x:v>84</x:v>
      </x:c>
      <x:c r="K588">
        <x:v>75</x:v>
      </x:c>
      <x:c r="L588">
        <x:v>37</x:v>
      </x:c>
      <x:c r="M588">
        <x:v>30</x:v>
      </x:c>
      <x:c r="N588">
        <x:v>52</x:v>
      </x:c>
      <x:c r="O588">
        <x:v>45</x:v>
      </x:c>
      <x:c r="P588">
        <x:v>73</x:v>
      </x:c>
      <x:c r="Q588">
        <x:v>55</x:v>
      </x:c>
      <x:c r="R588">
        <x:v>67</x:v>
      </x:c>
      <x:c r="S588">
        <x:v>66</x:v>
      </x:c>
      <x:c r="T588">
        <x:v>51</x:v>
      </x:c>
      <x:c r="U588">
        <x:v>56</x:v>
      </x:c>
    </x:row>
    <x:row r="589">
      <x:c r="A589" t="s">
        <x:v>947</x:v>
      </x:c>
      <x:c r="B589" t="s">
        <x:v>340</x:v>
      </x:c>
      <x:c r="C589" t="s">
        <x:v>329</x:v>
      </x:c>
      <x:c r="D589">
        <x:v>8480848</x:v>
      </x:c>
      <x:c r="E589">
        <x:v>81</x:v>
      </x:c>
      <x:c r="F589">
        <x:v>44</x:v>
      </x:c>
      <x:c r="G589">
        <x:v>82</x:v>
      </x:c>
      <x:c r="H589">
        <x:v>49</x:v>
      </x:c>
      <x:c r="I589">
        <x:v>78</x:v>
      </x:c>
      <x:c r="J589">
        <x:v>84</x:v>
      </x:c>
      <x:c r="K589">
        <x:v>75</x:v>
      </x:c>
      <x:c r="L589">
        <x:v>49</x:v>
      </x:c>
      <x:c r="M589">
        <x:v>87</x:v>
      </x:c>
      <x:c r="N589">
        <x:v>52</x:v>
      </x:c>
      <x:c r="O589">
        <x:v>49</x:v>
      </x:c>
      <x:c r="P589">
        <x:v>70</x:v>
      </x:c>
      <x:c r="Q589">
        <x:v>53</x:v>
      </x:c>
      <x:c r="R589">
        <x:v>72</x:v>
      </x:c>
      <x:c r="S589">
        <x:v>68</x:v>
      </x:c>
      <x:c r="T589">
        <x:v>51</x:v>
      </x:c>
      <x:c r="U589">
        <x:v>56</x:v>
      </x:c>
    </x:row>
    <x:row r="590">
      <x:c r="A590" t="s">
        <x:v>948</x:v>
      </x:c>
      <x:c r="B590" t="s">
        <x:v>436</x:v>
      </x:c>
      <x:c r="C590" t="s">
        <x:v>323</x:v>
      </x:c>
      <x:c r="D590">
        <x:v>8483450</x:v>
      </x:c>
      <x:c r="E590">
        <x:v>61</x:v>
      </x:c>
      <x:c r="F590">
        <x:v>34</x:v>
      </x:c>
      <x:c r="G590">
        <x:v>93</x:v>
      </x:c>
      <x:c r="H590">
        <x:v>54</x:v>
      </x:c>
      <x:c r="I590">
        <x:v>77</x:v>
      </x:c>
      <x:c r="J590">
        <x:v>86</x:v>
      </x:c>
      <x:c r="K590">
        <x:v>95</x:v>
      </x:c>
      <x:c r="L590">
        <x:v>51</x:v>
      </x:c>
      <x:c r="M590">
        <x:v>83</x:v>
      </x:c>
      <x:c r="N590">
        <x:v>52</x:v>
      </x:c>
      <x:c r="O590">
        <x:v>53</x:v>
      </x:c>
      <x:c r="P590">
        <x:v>69</x:v>
      </x:c>
      <x:c r="Q590">
        <x:v>51</x:v>
      </x:c>
      <x:c r="R590">
        <x:v>68</x:v>
      </x:c>
      <x:c r="S590">
        <x:v>69</x:v>
      </x:c>
      <x:c r="T590">
        <x:v>54</x:v>
      </x:c>
      <x:c r="U590">
        <x:v>56</x:v>
      </x:c>
    </x:row>
    <x:row r="591">
      <x:c r="A591" t="s">
        <x:v>949</x:v>
      </x:c>
      <x:c r="B591" t="s">
        <x:v>396</x:v>
      </x:c>
      <x:c r="C591" t="s">
        <x:v>323</x:v>
      </x:c>
      <x:c r="D591">
        <x:v>8484164</x:v>
      </x:c>
      <x:c r="E591">
        <x:v>66</x:v>
      </x:c>
      <x:c r="F591">
        <x:v>38</x:v>
      </x:c>
      <x:c r="G591">
        <x:v>88</x:v>
      </x:c>
      <x:c r="H591">
        <x:v>54</x:v>
      </x:c>
      <x:c r="I591">
        <x:v>79</x:v>
      </x:c>
      <x:c r="J591">
        <x:v>84</x:v>
      </x:c>
      <x:c r="K591">
        <x:v>93</x:v>
      </x:c>
      <x:c r="L591">
        <x:v>52</x:v>
      </x:c>
      <x:c r="M591">
        <x:v>84</x:v>
      </x:c>
      <x:c r="N591">
        <x:v>50</x:v>
      </x:c>
      <x:c r="O591">
        <x:v>54</x:v>
      </x:c>
      <x:c r="P591">
        <x:v>60</x:v>
      </x:c>
      <x:c r="Q591">
        <x:v>77</x:v>
      </x:c>
      <x:c r="R591">
        <x:v>65</x:v>
      </x:c>
      <x:c r="S591">
        <x:v>66</x:v>
      </x:c>
      <x:c r="T591">
        <x:v>54</x:v>
      </x:c>
      <x:c r="U591">
        <x:v>56</x:v>
      </x:c>
    </x:row>
    <x:row r="592">
      <x:c r="A592" t="s">
        <x:v>950</x:v>
      </x:c>
      <x:c r="B592" t="s">
        <x:v>584</x:v>
      </x:c>
      <x:c r="C592" t="s">
        <x:v>333</x:v>
      </x:c>
      <x:c r="D592">
        <x:v>8477454</x:v>
      </x:c>
      <x:c r="E592">
        <x:v>85</x:v>
      </x:c>
      <x:c r="F592">
        <x:v>66</x:v>
      </x:c>
      <x:c r="G592">
        <x:v>86</x:v>
      </x:c>
      <x:c r="H592">
        <x:v>48</x:v>
      </x:c>
      <x:c r="I592">
        <x:v>84</x:v>
      </x:c>
      <x:c r="J592">
        <x:v>80</x:v>
      </x:c>
      <x:c r="K592">
        <x:v>74</x:v>
      </x:c>
      <x:c r="L592">
        <x:v>48</x:v>
      </x:c>
      <x:c r="M592">
        <x:v>65</x:v>
      </x:c>
      <x:c r="N592">
        <x:v>48</x:v>
      </x:c>
      <x:c r="O592">
        <x:v>53</x:v>
      </x:c>
      <x:c r="P592">
        <x:v>62</x:v>
      </x:c>
      <x:c r="Q592">
        <x:v>59</x:v>
      </x:c>
      <x:c r="R592">
        <x:v>74</x:v>
      </x:c>
      <x:c r="S592">
        <x:v>74</x:v>
      </x:c>
      <x:c r="T592">
        <x:v>51</x:v>
      </x:c>
      <x:c r="U592">
        <x:v>56</x:v>
      </x:c>
    </x:row>
    <x:row r="593">
      <x:c r="A593" t="s">
        <x:v>951</x:v>
      </x:c>
      <x:c r="B593" t="s">
        <x:v>366</x:v>
      </x:c>
      <x:c r="C593" t="s">
        <x:v>339</x:v>
      </x:c>
      <x:c r="D593">
        <x:v>8480003</x:v>
      </x:c>
      <x:c r="E593">
        <x:v>74</x:v>
      </x:c>
      <x:c r="F593">
        <x:v>33</x:v>
      </x:c>
      <x:c r="G593">
        <x:v>93</x:v>
      </x:c>
      <x:c r="H593">
        <x:v>51</x:v>
      </x:c>
      <x:c r="I593">
        <x:v>76</x:v>
      </x:c>
      <x:c r="J593">
        <x:v>83</x:v>
      </x:c>
      <x:c r="K593">
        <x:v>91</x:v>
      </x:c>
      <x:c r="L593">
        <x:v>48</x:v>
      </x:c>
      <x:c r="M593">
        <x:v>72</x:v>
      </x:c>
      <x:c r="N593">
        <x:v>51</x:v>
      </x:c>
      <x:c r="O593">
        <x:v>51</x:v>
      </x:c>
      <x:c r="P593">
        <x:v>65</x:v>
      </x:c>
      <x:c r="Q593">
        <x:v>60</x:v>
      </x:c>
      <x:c r="R593">
        <x:v>74</x:v>
      </x:c>
      <x:c r="S593">
        <x:v>70</x:v>
      </x:c>
      <x:c r="T593">
        <x:v>51</x:v>
      </x:c>
      <x:c r="U593">
        <x:v>56</x:v>
      </x:c>
    </x:row>
    <x:row r="594">
      <x:c r="A594" t="s">
        <x:v>952</x:v>
      </x:c>
      <x:c r="B594" t="s">
        <x:v>350</x:v>
      </x:c>
      <x:c r="C594" t="s">
        <x:v>329</x:v>
      </x:c>
      <x:c r="D594">
        <x:v>8479365</x:v>
      </x:c>
      <x:c r="E594">
        <x:v>81</x:v>
      </x:c>
      <x:c r="F594">
        <x:v>84</x:v>
      </x:c>
      <x:c r="G594">
        <x:v>81</x:v>
      </x:c>
      <x:c r="H594">
        <x:v>47</x:v>
      </x:c>
      <x:c r="I594">
        <x:v>87</x:v>
      </x:c>
      <x:c r="J594">
        <x:v>82</x:v>
      </x:c>
      <x:c r="K594">
        <x:v>89</x:v>
      </x:c>
      <x:c r="L594">
        <x:v>48</x:v>
      </x:c>
      <x:c r="M594">
        <x:v>82</x:v>
      </x:c>
      <x:c r="N594">
        <x:v>49</x:v>
      </x:c>
      <x:c r="O594">
        <x:v>51</x:v>
      </x:c>
      <x:c r="P594">
        <x:v>61</x:v>
      </x:c>
      <x:c r="Q594">
        <x:v>53</x:v>
      </x:c>
      <x:c r="R594">
        <x:v>74</x:v>
      </x:c>
      <x:c r="S594">
        <x:v>72</x:v>
      </x:c>
      <x:c r="T594">
        <x:v>51</x:v>
      </x:c>
      <x:c r="U594">
        <x:v>56</x:v>
      </x:c>
    </x:row>
    <x:row r="595">
      <x:c r="A595" t="s">
        <x:v>953</x:v>
      </x:c>
      <x:c r="C595" t="s">
        <x:v>331</x:v>
      </x:c>
      <x:c r="D595">
        <x:v>8482733</x:v>
      </x:c>
      <x:c r="E595">
        <x:v>76</x:v>
      </x:c>
      <x:c r="F595">
        <x:v>70</x:v>
      </x:c>
      <x:c r="G595">
        <x:v>80</x:v>
      </x:c>
      <x:c r="H595">
        <x:v>39</x:v>
      </x:c>
      <x:c r="I595">
        <x:v>83</x:v>
      </x:c>
      <x:c r="J595">
        <x:v>88</x:v>
      </x:c>
      <x:c r="K595">
        <x:v>92</x:v>
      </x:c>
      <x:c r="L595">
        <x:v>37</x:v>
      </x:c>
      <x:c r="M595">
        <x:v>30</x:v>
      </x:c>
      <x:c r="N595">
        <x:v>49</x:v>
      </x:c>
      <x:c r="O595">
        <x:v>50</x:v>
      </x:c>
      <x:c r="P595">
        <x:v>73</x:v>
      </x:c>
      <x:c r="Q595">
        <x:v>58</x:v>
      </x:c>
      <x:c r="R595">
        <x:v>66</x:v>
      </x:c>
      <x:c r="S595">
        <x:v>66</x:v>
      </x:c>
      <x:c r="T595">
        <x:v>51</x:v>
      </x:c>
      <x:c r="U595">
        <x:v>56</x:v>
      </x:c>
    </x:row>
    <x:row r="596">
      <x:c r="A596" t="s">
        <x:v>954</x:v>
      </x:c>
      <x:c r="B596" t="s">
        <x:v>584</x:v>
      </x:c>
      <x:c r="C596" t="s">
        <x:v>333</x:v>
      </x:c>
      <x:c r="D596">
        <x:v>8476438</x:v>
      </x:c>
      <x:c r="E596">
        <x:v>58</x:v>
      </x:c>
      <x:c r="F596">
        <x:v>39</x:v>
      </x:c>
      <x:c r="G596">
        <x:v>91</x:v>
      </x:c>
      <x:c r="H596">
        <x:v>51</x:v>
      </x:c>
      <x:c r="I596">
        <x:v>83</x:v>
      </x:c>
      <x:c r="J596">
        <x:v>84</x:v>
      </x:c>
      <x:c r="K596">
        <x:v>78</x:v>
      </x:c>
      <x:c r="L596">
        <x:v>51</x:v>
      </x:c>
      <x:c r="M596">
        <x:v>68</x:v>
      </x:c>
      <x:c r="N596">
        <x:v>51</x:v>
      </x:c>
      <x:c r="O596">
        <x:v>52</x:v>
      </x:c>
      <x:c r="P596">
        <x:v>65</x:v>
      </x:c>
      <x:c r="Q596">
        <x:v>54</x:v>
      </x:c>
      <x:c r="R596">
        <x:v>87</x:v>
      </x:c>
      <x:c r="S596">
        <x:v>77</x:v>
      </x:c>
      <x:c r="T596">
        <x:v>51</x:v>
      </x:c>
      <x:c r="U596">
        <x:v>56</x:v>
      </x:c>
    </x:row>
    <x:row r="597">
      <x:c r="A597" t="s">
        <x:v>955</x:v>
      </x:c>
      <x:c r="B597" t="s">
        <x:v>436</x:v>
      </x:c>
      <x:c r="C597" t="s">
        <x:v>331</x:v>
      </x:c>
      <x:c r="D597">
        <x:v>8483506</x:v>
      </x:c>
      <x:c r="E597">
        <x:v>71</x:v>
      </x:c>
      <x:c r="F597">
        <x:v>37</x:v>
      </x:c>
      <x:c r="G597">
        <x:v>77</x:v>
      </x:c>
      <x:c r="H597">
        <x:v>40</x:v>
      </x:c>
      <x:c r="I597">
        <x:v>80</x:v>
      </x:c>
      <x:c r="J597">
        <x:v>88</x:v>
      </x:c>
      <x:c r="K597">
        <x:v>93</x:v>
      </x:c>
      <x:c r="L597">
        <x:v>39</x:v>
      </x:c>
      <x:c r="M597">
        <x:v>30</x:v>
      </x:c>
      <x:c r="N597">
        <x:v>51</x:v>
      </x:c>
      <x:c r="O597">
        <x:v>49</x:v>
      </x:c>
      <x:c r="P597">
        <x:v>72</x:v>
      </x:c>
      <x:c r="Q597">
        <x:v>51</x:v>
      </x:c>
      <x:c r="R597">
        <x:v>65</x:v>
      </x:c>
      <x:c r="S597">
        <x:v>64</x:v>
      </x:c>
      <x:c r="T597">
        <x:v>51</x:v>
      </x:c>
      <x:c r="U597">
        <x:v>56</x:v>
      </x:c>
    </x:row>
    <x:row r="598">
      <x:c r="A598" t="s">
        <x:v>956</x:v>
      </x:c>
      <x:c r="C598" t="s">
        <x:v>331</x:v>
      </x:c>
      <x:c r="D598">
        <x:v>8478476</x:v>
      </x:c>
      <x:c r="E598">
        <x:v>67</x:v>
      </x:c>
      <x:c r="F598">
        <x:v>39</x:v>
      </x:c>
      <x:c r="G598">
        <x:v>88</x:v>
      </x:c>
      <x:c r="H598">
        <x:v>37</x:v>
      </x:c>
      <x:c r="I598">
        <x:v>82</x:v>
      </x:c>
      <x:c r="J598">
        <x:v>82</x:v>
      </x:c>
      <x:c r="K598">
        <x:v>74</x:v>
      </x:c>
      <x:c r="L598">
        <x:v>37</x:v>
      </x:c>
      <x:c r="M598">
        <x:v>30</x:v>
      </x:c>
      <x:c r="N598">
        <x:v>49</x:v>
      </x:c>
      <x:c r="O598">
        <x:v>47</x:v>
      </x:c>
      <x:c r="P598">
        <x:v>72</x:v>
      </x:c>
      <x:c r="Q598">
        <x:v>56</x:v>
      </x:c>
      <x:c r="R598">
        <x:v>71</x:v>
      </x:c>
      <x:c r="S598">
        <x:v>70</x:v>
      </x:c>
      <x:c r="T598">
        <x:v>51</x:v>
      </x:c>
      <x:c r="U598">
        <x:v>56</x:v>
      </x:c>
    </x:row>
    <x:row r="599">
      <x:c r="A599" t="s">
        <x:v>957</x:v>
      </x:c>
      <x:c r="B599" t="s">
        <x:v>337</x:v>
      </x:c>
      <x:c r="C599" t="s">
        <x:v>333</x:v>
      </x:c>
      <x:c r="D599">
        <x:v>8478046</x:v>
      </x:c>
      <x:c r="E599">
        <x:v>67</x:v>
      </x:c>
      <x:c r="F599">
        <x:v>37</x:v>
      </x:c>
      <x:c r="G599">
        <x:v>86</x:v>
      </x:c>
      <x:c r="H599">
        <x:v>51</x:v>
      </x:c>
      <x:c r="I599">
        <x:v>77</x:v>
      </x:c>
      <x:c r="J599">
        <x:v>82</x:v>
      </x:c>
      <x:c r="K599">
        <x:v>82</x:v>
      </x:c>
      <x:c r="L599">
        <x:v>48</x:v>
      </x:c>
      <x:c r="M599">
        <x:v>69</x:v>
      </x:c>
      <x:c r="N599">
        <x:v>52</x:v>
      </x:c>
      <x:c r="O599">
        <x:v>54</x:v>
      </x:c>
      <x:c r="P599">
        <x:v>65</x:v>
      </x:c>
      <x:c r="Q599">
        <x:v>54</x:v>
      </x:c>
      <x:c r="R599">
        <x:v>80</x:v>
      </x:c>
      <x:c r="S599">
        <x:v>72</x:v>
      </x:c>
      <x:c r="T599">
        <x:v>51</x:v>
      </x:c>
      <x:c r="U599">
        <x:v>56</x:v>
      </x:c>
    </x:row>
    <x:row r="600">
      <x:c r="A600" t="s">
        <x:v>958</x:v>
      </x:c>
      <x:c r="B600" t="s">
        <x:v>364</x:v>
      </x:c>
      <x:c r="C600" t="s">
        <x:v>319</x:v>
      </x:c>
      <x:c r="D600">
        <x:v>8478831</x:v>
      </x:c>
      <x:c r="E600">
        <x:v>61</x:v>
      </x:c>
      <x:c r="F600">
        <x:v>42</x:v>
      </x:c>
      <x:c r="G600">
        <x:v>88</x:v>
      </x:c>
      <x:c r="H600">
        <x:v>48</x:v>
      </x:c>
      <x:c r="I600">
        <x:v>85</x:v>
      </x:c>
      <x:c r="J600">
        <x:v>84</x:v>
      </x:c>
      <x:c r="K600">
        <x:v>97</x:v>
      </x:c>
      <x:c r="L600">
        <x:v>49</x:v>
      </x:c>
      <x:c r="M600">
        <x:v>90</x:v>
      </x:c>
      <x:c r="N600">
        <x:v>52</x:v>
      </x:c>
      <x:c r="O600">
        <x:v>51</x:v>
      </x:c>
      <x:c r="P600">
        <x:v>75</x:v>
      </x:c>
      <x:c r="Q600">
        <x:v>54</x:v>
      </x:c>
      <x:c r="R600">
        <x:v>77</x:v>
      </x:c>
      <x:c r="S600">
        <x:v>73</x:v>
      </x:c>
      <x:c r="T600">
        <x:v>51</x:v>
      </x:c>
      <x:c r="U600">
        <x:v>56</x:v>
      </x:c>
    </x:row>
    <x:row r="601">
      <x:c r="A601" t="s">
        <x:v>959</x:v>
      </x:c>
      <x:c r="B601" t="s">
        <x:v>352</x:v>
      </x:c>
      <x:c r="C601" t="s">
        <x:v>323</x:v>
      </x:c>
      <x:c r="D601">
        <x:v>8476925</x:v>
      </x:c>
      <x:c r="E601">
        <x:v>70</x:v>
      </x:c>
      <x:c r="F601">
        <x:v>71</x:v>
      </x:c>
      <x:c r="G601">
        <x:v>90</x:v>
      </x:c>
      <x:c r="H601">
        <x:v>48</x:v>
      </x:c>
      <x:c r="I601">
        <x:v>81</x:v>
      </x:c>
      <x:c r="J601">
        <x:v>83</x:v>
      </x:c>
      <x:c r="K601">
        <x:v>86</x:v>
      </x:c>
      <x:c r="L601">
        <x:v>49</x:v>
      </x:c>
      <x:c r="M601">
        <x:v>88</x:v>
      </x:c>
      <x:c r="N601">
        <x:v>50</x:v>
      </x:c>
      <x:c r="O601">
        <x:v>52</x:v>
      </x:c>
      <x:c r="P601">
        <x:v>70</x:v>
      </x:c>
      <x:c r="Q601">
        <x:v>52</x:v>
      </x:c>
      <x:c r="R601">
        <x:v>84</x:v>
      </x:c>
      <x:c r="S601">
        <x:v>73</x:v>
      </x:c>
      <x:c r="T601">
        <x:v>51</x:v>
      </x:c>
      <x:c r="U601">
        <x:v>56</x:v>
      </x:c>
    </x:row>
    <x:row r="602">
      <x:c r="A602" t="s">
        <x:v>960</x:v>
      </x:c>
      <x:c r="B602" t="s">
        <x:v>436</x:v>
      </x:c>
      <x:c r="C602" t="s">
        <x:v>333</x:v>
      </x:c>
      <x:c r="D602">
        <x:v>8484185</x:v>
      </x:c>
      <x:c r="E602">
        <x:v>68</x:v>
      </x:c>
      <x:c r="F602">
        <x:v>31</x:v>
      </x:c>
      <x:c r="G602">
        <x:v>89</x:v>
      </x:c>
      <x:c r="H602">
        <x:v>53</x:v>
      </x:c>
      <x:c r="I602">
        <x:v>73</x:v>
      </x:c>
      <x:c r="J602">
        <x:v>82</x:v>
      </x:c>
      <x:c r="K602">
        <x:v>90</x:v>
      </x:c>
      <x:c r="L602">
        <x:v>51</x:v>
      </x:c>
      <x:c r="M602">
        <x:v>68</x:v>
      </x:c>
      <x:c r="N602">
        <x:v>49</x:v>
      </x:c>
      <x:c r="O602">
        <x:v>56</x:v>
      </x:c>
      <x:c r="P602">
        <x:v>58</x:v>
      </x:c>
      <x:c r="Q602">
        <x:v>77</x:v>
      </x:c>
      <x:c r="R602">
        <x:v>66</x:v>
      </x:c>
      <x:c r="S602">
        <x:v>66</x:v>
      </x:c>
      <x:c r="T602">
        <x:v>54</x:v>
      </x:c>
      <x:c r="U602">
        <x:v>56</x:v>
      </x:c>
    </x:row>
    <x:row r="603">
      <x:c r="A603" t="s">
        <x:v>961</x:v>
      </x:c>
      <x:c r="B603" t="s">
        <x:v>576</x:v>
      </x:c>
      <x:c r="C603" t="s">
        <x:v>326</x:v>
      </x:c>
      <x:c r="D603">
        <x:v>8484860</x:v>
      </x:c>
      <x:c r="E603">
        <x:v>55</x:v>
      </x:c>
      <x:c r="F603">
        <x:v>31</x:v>
      </x:c>
      <x:c r="G603">
        <x:v>95</x:v>
      </x:c>
      <x:c r="H603">
        <x:v>52</x:v>
      </x:c>
      <x:c r="I603">
        <x:v>75</x:v>
      </x:c>
      <x:c r="J603">
        <x:v>83</x:v>
      </x:c>
      <x:c r="K603">
        <x:v>88</x:v>
      </x:c>
      <x:c r="L603">
        <x:v>54</x:v>
      </x:c>
      <x:c r="M603">
        <x:v>65</x:v>
      </x:c>
      <x:c r="N603">
        <x:v>56</x:v>
      </x:c>
      <x:c r="O603">
        <x:v>52</x:v>
      </x:c>
      <x:c r="P603">
        <x:v>60</x:v>
      </x:c>
      <x:c r="Q603">
        <x:v>73</x:v>
      </x:c>
      <x:c r="R603">
        <x:v>65</x:v>
      </x:c>
      <x:c r="S603">
        <x:v>65</x:v>
      </x:c>
      <x:c r="T603">
        <x:v>54</x:v>
      </x:c>
      <x:c r="U603">
        <x:v>56</x:v>
      </x:c>
    </x:row>
    <x:row r="604">
      <x:c r="A604" t="s">
        <x:v>962</x:v>
      </x:c>
      <x:c r="B604" t="s">
        <x:v>584</x:v>
      </x:c>
      <x:c r="C604" t="s">
        <x:v>319</x:v>
      </x:c>
      <x:c r="D604">
        <x:v>8479370</x:v>
      </x:c>
      <x:c r="E604">
        <x:v>66</x:v>
      </x:c>
      <x:c r="F604">
        <x:v>39</x:v>
      </x:c>
      <x:c r="G604">
        <x:v>83</x:v>
      </x:c>
      <x:c r="H604">
        <x:v>49</x:v>
      </x:c>
      <x:c r="I604">
        <x:v>76</x:v>
      </x:c>
      <x:c r="J604">
        <x:v>82</x:v>
      </x:c>
      <x:c r="K604">
        <x:v>85</x:v>
      </x:c>
      <x:c r="L604">
        <x:v>51</x:v>
      </x:c>
      <x:c r="M604">
        <x:v>74</x:v>
      </x:c>
      <x:c r="N604">
        <x:v>51</x:v>
      </x:c>
      <x:c r="O604">
        <x:v>53</x:v>
      </x:c>
      <x:c r="P604">
        <x:v>67</x:v>
      </x:c>
      <x:c r="Q604">
        <x:v>56</x:v>
      </x:c>
      <x:c r="R604">
        <x:v>75</x:v>
      </x:c>
      <x:c r="S604">
        <x:v>77</x:v>
      </x:c>
      <x:c r="T604">
        <x:v>51</x:v>
      </x:c>
      <x:c r="U604">
        <x:v>56</x:v>
      </x:c>
    </x:row>
    <x:row r="605">
      <x:c r="A605" t="s">
        <x:v>963</x:v>
      </x:c>
      <x:c r="B605" t="s">
        <x:v>584</x:v>
      </x:c>
      <x:c r="C605" t="s">
        <x:v>331</x:v>
      </x:c>
      <x:c r="D605">
        <x:v>8474090</x:v>
      </x:c>
      <x:c r="E605">
        <x:v>72</x:v>
      </x:c>
      <x:c r="F605">
        <x:v>84</x:v>
      </x:c>
      <x:c r="G605">
        <x:v>84</x:v>
      </x:c>
      <x:c r="H605">
        <x:v>36</x:v>
      </x:c>
      <x:c r="I605">
        <x:v>84</x:v>
      </x:c>
      <x:c r="J605">
        <x:v>80</x:v>
      </x:c>
      <x:c r="K605">
        <x:v>56</x:v>
      </x:c>
      <x:c r="L605">
        <x:v>37</x:v>
      </x:c>
      <x:c r="M605">
        <x:v>30</x:v>
      </x:c>
      <x:c r="N605">
        <x:v>51</x:v>
      </x:c>
      <x:c r="O605">
        <x:v>46</x:v>
      </x:c>
      <x:c r="P605">
        <x:v>74</x:v>
      </x:c>
      <x:c r="Q605">
        <x:v>52</x:v>
      </x:c>
      <x:c r="R605">
        <x:v>90</x:v>
      </x:c>
      <x:c r="S605">
        <x:v>78</x:v>
      </x:c>
      <x:c r="T605">
        <x:v>51</x:v>
      </x:c>
      <x:c r="U605">
        <x:v>56</x:v>
      </x:c>
    </x:row>
    <x:row r="606">
      <x:c r="A606" t="s">
        <x:v>964</x:v>
      </x:c>
      <x:c r="B606" t="s">
        <x:v>356</x:v>
      </x:c>
      <x:c r="C606" t="s">
        <x:v>339</x:v>
      </x:c>
      <x:c r="D606">
        <x:v>8480074</x:v>
      </x:c>
      <x:c r="E606">
        <x:v>67</x:v>
      </x:c>
      <x:c r="F606">
        <x:v>34</x:v>
      </x:c>
      <x:c r="G606">
        <x:v>83</x:v>
      </x:c>
      <x:c r="H606">
        <x:v>53</x:v>
      </x:c>
      <x:c r="I606">
        <x:v>77</x:v>
      </x:c>
      <x:c r="J606">
        <x:v>84</x:v>
      </x:c>
      <x:c r="K606">
        <x:v>74</x:v>
      </x:c>
      <x:c r="L606">
        <x:v>52</x:v>
      </x:c>
      <x:c r="M606">
        <x:v>64</x:v>
      </x:c>
      <x:c r="N606">
        <x:v>54</x:v>
      </x:c>
      <x:c r="O606">
        <x:v>55</x:v>
      </x:c>
      <x:c r="P606">
        <x:v>63</x:v>
      </x:c>
      <x:c r="Q606">
        <x:v>78</x:v>
      </x:c>
      <x:c r="R606">
        <x:v>71</x:v>
      </x:c>
      <x:c r="S606">
        <x:v>70</x:v>
      </x:c>
      <x:c r="T606">
        <x:v>51</x:v>
      </x:c>
      <x:c r="U606">
        <x:v>56</x:v>
      </x:c>
    </x:row>
    <x:row r="607">
      <x:c r="A607" t="s">
        <x:v>965</x:v>
      </x:c>
      <x:c r="B607" t="s">
        <x:v>343</x:v>
      </x:c>
      <x:c r="C607" t="s">
        <x:v>319</x:v>
      </x:c>
      <x:c r="D607">
        <x:v>8476278</x:v>
      </x:c>
      <x:c r="E607">
        <x:v>70</x:v>
      </x:c>
      <x:c r="F607">
        <x:v>33</x:v>
      </x:c>
      <x:c r="G607">
        <x:v>82</x:v>
      </x:c>
      <x:c r="H607">
        <x:v>49</x:v>
      </x:c>
      <x:c r="I607">
        <x:v>76</x:v>
      </x:c>
      <x:c r="J607">
        <x:v>83</x:v>
      </x:c>
      <x:c r="K607">
        <x:v>86</x:v>
      </x:c>
      <x:c r="L607">
        <x:v>51</x:v>
      </x:c>
      <x:c r="M607">
        <x:v>79</x:v>
      </x:c>
      <x:c r="N607">
        <x:v>51</x:v>
      </x:c>
      <x:c r="O607">
        <x:v>51</x:v>
      </x:c>
      <x:c r="P607">
        <x:v>69</x:v>
      </x:c>
      <x:c r="Q607">
        <x:v>52</x:v>
      </x:c>
      <x:c r="R607">
        <x:v>82</x:v>
      </x:c>
      <x:c r="S607">
        <x:v>75</x:v>
      </x:c>
      <x:c r="T607">
        <x:v>51</x:v>
      </x:c>
      <x:c r="U607">
        <x:v>56</x:v>
      </x:c>
    </x:row>
    <x:row r="608">
      <x:c r="A608" t="s">
        <x:v>966</x:v>
      </x:c>
      <x:c r="B608" t="s">
        <x:v>584</x:v>
      </x:c>
      <x:c r="C608" t="s">
        <x:v>326</x:v>
      </x:c>
      <x:c r="D608">
        <x:v>8471817</x:v>
      </x:c>
      <x:c r="E608">
        <x:v>85</x:v>
      </x:c>
      <x:c r="F608">
        <x:v>88</x:v>
      </x:c>
      <x:c r="G608">
        <x:v>89</x:v>
      </x:c>
      <x:c r="H608">
        <x:v>46</x:v>
      </x:c>
      <x:c r="I608">
        <x:v>90</x:v>
      </x:c>
      <x:c r="J608">
        <x:v>79</x:v>
      </x:c>
      <x:c r="K608">
        <x:v>74</x:v>
      </x:c>
      <x:c r="L608">
        <x:v>47</x:v>
      </x:c>
      <x:c r="M608">
        <x:v>62</x:v>
      </x:c>
      <x:c r="N608">
        <x:v>48</x:v>
      </x:c>
      <x:c r="O608">
        <x:v>50</x:v>
      </x:c>
      <x:c r="P608">
        <x:v>61</x:v>
      </x:c>
      <x:c r="Q608">
        <x:v>52</x:v>
      </x:c>
      <x:c r="R608">
        <x:v>89</x:v>
      </x:c>
      <x:c r="S608">
        <x:v>77</x:v>
      </x:c>
      <x:c r="T608">
        <x:v>51</x:v>
      </x:c>
      <x:c r="U608">
        <x:v>56</x:v>
      </x:c>
    </x:row>
    <x:row r="609">
      <x:c r="A609" t="s">
        <x:v>967</x:v>
      </x:c>
      <x:c r="C609" t="s">
        <x:v>333</x:v>
      </x:c>
      <x:c r="D609">
        <x:v>8477839</x:v>
      </x:c>
      <x:c r="E609">
        <x:v>60</x:v>
      </x:c>
      <x:c r="F609">
        <x:v>32</x:v>
      </x:c>
      <x:c r="G609">
        <x:v>93</x:v>
      </x:c>
      <x:c r="H609">
        <x:v>51</x:v>
      </x:c>
      <x:c r="I609">
        <x:v>74</x:v>
      </x:c>
      <x:c r="J609">
        <x:v>84</x:v>
      </x:c>
      <x:c r="K609">
        <x:v>82</x:v>
      </x:c>
      <x:c r="L609">
        <x:v>52</x:v>
      </x:c>
      <x:c r="M609">
        <x:v>70</x:v>
      </x:c>
      <x:c r="N609">
        <x:v>52</x:v>
      </x:c>
      <x:c r="O609">
        <x:v>53</x:v>
      </x:c>
      <x:c r="P609">
        <x:v>65</x:v>
      </x:c>
      <x:c r="Q609">
        <x:v>61</x:v>
      </x:c>
      <x:c r="R609">
        <x:v>80</x:v>
      </x:c>
      <x:c r="S609">
        <x:v>80</x:v>
      </x:c>
      <x:c r="T609">
        <x:v>54</x:v>
      </x:c>
      <x:c r="U609">
        <x:v>56</x:v>
      </x:c>
    </x:row>
    <x:row r="610">
      <x:c r="A610" t="s">
        <x:v>968</x:v>
      </x:c>
      <x:c r="B610" t="s">
        <x:v>364</x:v>
      </x:c>
      <x:c r="C610" t="s">
        <x:v>333</x:v>
      </x:c>
      <x:c r="D610">
        <x:v>8479293</x:v>
      </x:c>
      <x:c r="E610">
        <x:v>81</x:v>
      </x:c>
      <x:c r="F610">
        <x:v>77</x:v>
      </x:c>
      <x:c r="G610">
        <x:v>83</x:v>
      </x:c>
      <x:c r="H610">
        <x:v>49</x:v>
      </x:c>
      <x:c r="I610">
        <x:v>81</x:v>
      </x:c>
      <x:c r="J610">
        <x:v>81</x:v>
      </x:c>
      <x:c r="K610">
        <x:v>81</x:v>
      </x:c>
      <x:c r="L610">
        <x:v>49</x:v>
      </x:c>
      <x:c r="M610">
        <x:v>65</x:v>
      </x:c>
      <x:c r="N610">
        <x:v>49</x:v>
      </x:c>
      <x:c r="O610">
        <x:v>49</x:v>
      </x:c>
      <x:c r="P610">
        <x:v>66</x:v>
      </x:c>
      <x:c r="Q610">
        <x:v>52</x:v>
      </x:c>
      <x:c r="R610">
        <x:v>86</x:v>
      </x:c>
      <x:c r="S610">
        <x:v>74</x:v>
      </x:c>
      <x:c r="T610">
        <x:v>51</x:v>
      </x:c>
      <x:c r="U610">
        <x:v>56</x:v>
      </x:c>
    </x:row>
    <x:row r="611">
      <x:c r="A611" t="s">
        <x:v>969</x:v>
      </x:c>
      <x:c r="B611" t="s">
        <x:v>327</x:v>
      </x:c>
      <x:c r="C611" t="s">
        <x:v>331</x:v>
      </x:c>
      <x:c r="D611">
        <x:v>8475762</x:v>
      </x:c>
      <x:c r="E611">
        <x:v>75</x:v>
      </x:c>
      <x:c r="F611">
        <x:v>79</x:v>
      </x:c>
      <x:c r="G611">
        <x:v>83</x:v>
      </x:c>
      <x:c r="H611">
        <x:v>34</x:v>
      </x:c>
      <x:c r="I611">
        <x:v>88</x:v>
      </x:c>
      <x:c r="J611">
        <x:v>81</x:v>
      </x:c>
      <x:c r="K611">
        <x:v>27</x:v>
      </x:c>
      <x:c r="L611">
        <x:v>35</x:v>
      </x:c>
      <x:c r="M611">
        <x:v>30</x:v>
      </x:c>
      <x:c r="N611">
        <x:v>51</x:v>
      </x:c>
      <x:c r="O611">
        <x:v>45</x:v>
      </x:c>
      <x:c r="P611">
        <x:v>74</x:v>
      </x:c>
      <x:c r="Q611">
        <x:v>47</x:v>
      </x:c>
      <x:c r="R611">
        <x:v>85</x:v>
      </x:c>
      <x:c r="S611">
        <x:v>75</x:v>
      </x:c>
      <x:c r="T611">
        <x:v>51</x:v>
      </x:c>
      <x:c r="U611">
        <x:v>56</x:v>
      </x:c>
    </x:row>
    <x:row r="612">
      <x:c r="A612" t="s">
        <x:v>970</x:v>
      </x:c>
      <x:c r="B612" t="s">
        <x:v>481</x:v>
      </x:c>
      <x:c r="C612" t="s">
        <x:v>339</x:v>
      </x:c>
      <x:c r="D612">
        <x:v>8483570</x:v>
      </x:c>
      <x:c r="E612">
        <x:v>68</x:v>
      </x:c>
      <x:c r="F612">
        <x:v>71</x:v>
      </x:c>
      <x:c r="G612">
        <x:v>94</x:v>
      </x:c>
      <x:c r="H612">
        <x:v>49</x:v>
      </x:c>
      <x:c r="I612">
        <x:v>76</x:v>
      </x:c>
      <x:c r="J612">
        <x:v>83</x:v>
      </x:c>
      <x:c r="K612">
        <x:v>83</x:v>
      </x:c>
      <x:c r="L612">
        <x:v>51</x:v>
      </x:c>
      <x:c r="M612">
        <x:v>84</x:v>
      </x:c>
      <x:c r="N612">
        <x:v>51</x:v>
      </x:c>
      <x:c r="O612">
        <x:v>53</x:v>
      </x:c>
      <x:c r="P612">
        <x:v>66</x:v>
      </x:c>
      <x:c r="Q612">
        <x:v>56</x:v>
      </x:c>
      <x:c r="R612">
        <x:v>70</x:v>
      </x:c>
      <x:c r="S612">
        <x:v>70</x:v>
      </x:c>
      <x:c r="T612">
        <x:v>51</x:v>
      </x:c>
      <x:c r="U612">
        <x:v>56</x:v>
      </x:c>
    </x:row>
    <x:row r="613">
      <x:c r="A613" t="s">
        <x:v>971</x:v>
      </x:c>
      <x:c r="B613" t="s">
        <x:v>327</x:v>
      </x:c>
      <x:c r="C613" t="s">
        <x:v>331</x:v>
      </x:c>
      <x:c r="D613">
        <x:v>8481719</x:v>
      </x:c>
      <x:c r="E613">
        <x:v>74</x:v>
      </x:c>
      <x:c r="F613">
        <x:v>82</x:v>
      </x:c>
      <x:c r="G613">
        <x:v>76</x:v>
      </x:c>
      <x:c r="H613">
        <x:v>37</x:v>
      </x:c>
      <x:c r="I613">
        <x:v>80</x:v>
      </x:c>
      <x:c r="J613">
        <x:v>84</x:v>
      </x:c>
      <x:c r="K613">
        <x:v>65</x:v>
      </x:c>
      <x:c r="L613">
        <x:v>37</x:v>
      </x:c>
      <x:c r="M613">
        <x:v>30</x:v>
      </x:c>
      <x:c r="N613">
        <x:v>52</x:v>
      </x:c>
      <x:c r="O613">
        <x:v>46</x:v>
      </x:c>
      <x:c r="P613">
        <x:v>74</x:v>
      </x:c>
      <x:c r="Q613">
        <x:v>51</x:v>
      </x:c>
      <x:c r="R613">
        <x:v>69</x:v>
      </x:c>
      <x:c r="S613">
        <x:v>69</x:v>
      </x:c>
      <x:c r="T613">
        <x:v>51</x:v>
      </x:c>
      <x:c r="U613">
        <x:v>56</x:v>
      </x:c>
    </x:row>
    <x:row r="614">
      <x:c r="A614" t="s">
        <x:v>972</x:v>
      </x:c>
      <x:c r="C614" t="s">
        <x:v>331</x:v>
      </x:c>
      <x:c r="D614">
        <x:v>8479976</x:v>
      </x:c>
      <x:c r="E614">
        <x:v>72</x:v>
      </x:c>
      <x:c r="F614">
        <x:v>37</x:v>
      </x:c>
      <x:c r="G614">
        <x:v>85</x:v>
      </x:c>
      <x:c r="H614">
        <x:v>36</x:v>
      </x:c>
      <x:c r="I614">
        <x:v>82</x:v>
      </x:c>
      <x:c r="J614">
        <x:v>78</x:v>
      </x:c>
      <x:c r="K614">
        <x:v>78</x:v>
      </x:c>
      <x:c r="L614">
        <x:v>36</x:v>
      </x:c>
      <x:c r="M614">
        <x:v>30</x:v>
      </x:c>
      <x:c r="N614">
        <x:v>52</x:v>
      </x:c>
      <x:c r="O614">
        <x:v>46</x:v>
      </x:c>
      <x:c r="P614">
        <x:v>74</x:v>
      </x:c>
      <x:c r="Q614">
        <x:v>55</x:v>
      </x:c>
      <x:c r="R614">
        <x:v>74</x:v>
      </x:c>
      <x:c r="S614">
        <x:v>72</x:v>
      </x:c>
      <x:c r="T614">
        <x:v>51</x:v>
      </x:c>
      <x:c r="U614">
        <x:v>56</x:v>
      </x:c>
    </x:row>
    <x:row r="615">
      <x:c r="A615" t="s">
        <x:v>973</x:v>
      </x:c>
      <x:c r="B615" t="s">
        <x:v>366</x:v>
      </x:c>
      <x:c r="C615" t="s">
        <x:v>323</x:v>
      </x:c>
      <x:c r="D615">
        <x:v>8475760</x:v>
      </x:c>
      <x:c r="E615">
        <x:v>71</x:v>
      </x:c>
      <x:c r="F615">
        <x:v>65</x:v>
      </x:c>
      <x:c r="G615">
        <x:v>85</x:v>
      </x:c>
      <x:c r="H615">
        <x:v>49</x:v>
      </x:c>
      <x:c r="I615">
        <x:v>88</x:v>
      </x:c>
      <x:c r="J615">
        <x:v>82</x:v>
      </x:c>
      <x:c r="K615">
        <x:v>81</x:v>
      </x:c>
      <x:c r="L615">
        <x:v>51</x:v>
      </x:c>
      <x:c r="M615">
        <x:v>83</x:v>
      </x:c>
      <x:c r="N615">
        <x:v>49</x:v>
      </x:c>
      <x:c r="O615">
        <x:v>53</x:v>
      </x:c>
      <x:c r="P615">
        <x:v>66</x:v>
      </x:c>
      <x:c r="Q615">
        <x:v>69</x:v>
      </x:c>
      <x:c r="R615">
        <x:v>87</x:v>
      </x:c>
      <x:c r="S615">
        <x:v>76</x:v>
      </x:c>
      <x:c r="T615">
        <x:v>51</x:v>
      </x:c>
      <x:c r="U615">
        <x:v>56</x:v>
      </x:c>
    </x:row>
    <x:row r="616">
      <x:c r="A616" t="s">
        <x:v>974</x:v>
      </x:c>
      <x:c r="C616" t="s">
        <x:v>331</x:v>
      </x:c>
      <x:c r="D616">
        <x:v>8479341</x:v>
      </x:c>
      <x:c r="E616">
        <x:v>67</x:v>
      </x:c>
      <x:c r="F616">
        <x:v>36</x:v>
      </x:c>
      <x:c r="G616">
        <x:v>85</x:v>
      </x:c>
      <x:c r="H616">
        <x:v>36</x:v>
      </x:c>
      <x:c r="I616">
        <x:v>78</x:v>
      </x:c>
      <x:c r="J616">
        <x:v>81</x:v>
      </x:c>
      <x:c r="K616">
        <x:v>82</x:v>
      </x:c>
      <x:c r="L616">
        <x:v>37</x:v>
      </x:c>
      <x:c r="M616">
        <x:v>30</x:v>
      </x:c>
      <x:c r="N616">
        <x:v>49</x:v>
      </x:c>
      <x:c r="O616">
        <x:v>41</x:v>
      </x:c>
      <x:c r="P616">
        <x:v>69</x:v>
      </x:c>
      <x:c r="Q616">
        <x:v>51</x:v>
      </x:c>
      <x:c r="R616">
        <x:v>70</x:v>
      </x:c>
      <x:c r="S616">
        <x:v>70</x:v>
      </x:c>
      <x:c r="T616">
        <x:v>51</x:v>
      </x:c>
      <x:c r="U616">
        <x:v>55</x:v>
      </x:c>
    </x:row>
    <x:row r="617">
      <x:c r="A617" t="s">
        <x:v>975</x:v>
      </x:c>
      <x:c r="B617" t="s">
        <x:v>576</x:v>
      </x:c>
      <x:c r="C617" t="s">
        <x:v>333</x:v>
      </x:c>
      <x:c r="D617">
        <x:v>8481028</x:v>
      </x:c>
      <x:c r="E617">
        <x:v>89</x:v>
      </x:c>
      <x:c r="F617">
        <x:v>80</x:v>
      </x:c>
      <x:c r="G617">
        <x:v>79</x:v>
      </x:c>
      <x:c r="H617">
        <x:v>48</x:v>
      </x:c>
      <x:c r="I617">
        <x:v>81</x:v>
      </x:c>
      <x:c r="J617">
        <x:v>81</x:v>
      </x:c>
      <x:c r="K617">
        <x:v>57</x:v>
      </x:c>
      <x:c r="L617">
        <x:v>49</x:v>
      </x:c>
      <x:c r="M617">
        <x:v>74</x:v>
      </x:c>
      <x:c r="N617">
        <x:v>51</x:v>
      </x:c>
      <x:c r="O617">
        <x:v>51</x:v>
      </x:c>
      <x:c r="P617">
        <x:v>61</x:v>
      </x:c>
      <x:c r="Q617">
        <x:v>52</x:v>
      </x:c>
      <x:c r="R617">
        <x:v>71</x:v>
      </x:c>
      <x:c r="S617">
        <x:v>69</x:v>
      </x:c>
      <x:c r="T617">
        <x:v>51</x:v>
      </x:c>
      <x:c r="U617">
        <x:v>55</x:v>
      </x:c>
    </x:row>
    <x:row r="618">
      <x:c r="A618" t="s">
        <x:v>976</x:v>
      </x:c>
      <x:c r="B618" t="s">
        <x:v>366</x:v>
      </x:c>
      <x:c r="C618" t="s">
        <x:v>326</x:v>
      </x:c>
      <x:c r="D618">
        <x:v>8476474</x:v>
      </x:c>
      <x:c r="E618">
        <x:v>67</x:v>
      </x:c>
      <x:c r="F618">
        <x:v>81</x:v>
      </x:c>
      <x:c r="G618">
        <x:v>83</x:v>
      </x:c>
      <x:c r="H618">
        <x:v>48</x:v>
      </x:c>
      <x:c r="I618">
        <x:v>81</x:v>
      </x:c>
      <x:c r="J618">
        <x:v>82</x:v>
      </x:c>
      <x:c r="K618">
        <x:v>73</x:v>
      </x:c>
      <x:c r="L618">
        <x:v>48</x:v>
      </x:c>
      <x:c r="M618">
        <x:v>72</x:v>
      </x:c>
      <x:c r="N618">
        <x:v>51</x:v>
      </x:c>
      <x:c r="O618">
        <x:v>53</x:v>
      </x:c>
      <x:c r="P618">
        <x:v>62</x:v>
      </x:c>
      <x:c r="Q618">
        <x:v>53</x:v>
      </x:c>
      <x:c r="R618">
        <x:v>82</x:v>
      </x:c>
      <x:c r="S618">
        <x:v>75</x:v>
      </x:c>
      <x:c r="T618">
        <x:v>51</x:v>
      </x:c>
      <x:c r="U618">
        <x:v>55</x:v>
      </x:c>
    </x:row>
    <x:row r="619">
      <x:c r="A619" t="s">
        <x:v>977</x:v>
      </x:c>
      <x:c r="C619" t="s">
        <x:v>331</x:v>
      </x:c>
      <x:c r="D619">
        <x:v>8476884</x:v>
      </x:c>
      <x:c r="E619">
        <x:v>69</x:v>
      </x:c>
      <x:c r="F619">
        <x:v>37</x:v>
      </x:c>
      <x:c r="G619">
        <x:v>84</x:v>
      </x:c>
      <x:c r="H619">
        <x:v>35</x:v>
      </x:c>
      <x:c r="I619">
        <x:v>81</x:v>
      </x:c>
      <x:c r="J619">
        <x:v>91</x:v>
      </x:c>
      <x:c r="K619">
        <x:v>93</x:v>
      </x:c>
      <x:c r="L619">
        <x:v>36</x:v>
      </x:c>
      <x:c r="M619">
        <x:v>30</x:v>
      </x:c>
      <x:c r="N619">
        <x:v>50</x:v>
      </x:c>
      <x:c r="O619">
        <x:v>39</x:v>
      </x:c>
      <x:c r="P619">
        <x:v>70</x:v>
      </x:c>
      <x:c r="Q619">
        <x:v>51</x:v>
      </x:c>
      <x:c r="R619">
        <x:v>76</x:v>
      </x:c>
      <x:c r="S619">
        <x:v>75</x:v>
      </x:c>
      <x:c r="T619">
        <x:v>51</x:v>
      </x:c>
      <x:c r="U619">
        <x:v>55</x:v>
      </x:c>
    </x:row>
    <x:row r="620">
      <x:c r="A620" t="s">
        <x:v>978</x:v>
      </x:c>
      <x:c r="B620" t="s">
        <x:v>368</x:v>
      </x:c>
      <x:c r="C620" t="s">
        <x:v>333</x:v>
      </x:c>
      <x:c r="D620">
        <x:v>8479339</x:v>
      </x:c>
      <x:c r="E620">
        <x:v>62</x:v>
      </x:c>
      <x:c r="F620">
        <x:v>30</x:v>
      </x:c>
      <x:c r="G620">
        <x:v>84</x:v>
      </x:c>
      <x:c r="H620">
        <x:v>51</x:v>
      </x:c>
      <x:c r="I620">
        <x:v>88</x:v>
      </x:c>
      <x:c r="J620">
        <x:v>82</x:v>
      </x:c>
      <x:c r="K620">
        <x:v>34</x:v>
      </x:c>
      <x:c r="L620">
        <x:v>51</x:v>
      </x:c>
      <x:c r="M620">
        <x:v>66</x:v>
      </x:c>
      <x:c r="N620">
        <x:v>53</x:v>
      </x:c>
      <x:c r="O620">
        <x:v>54</x:v>
      </x:c>
      <x:c r="P620">
        <x:v>62</x:v>
      </x:c>
      <x:c r="Q620">
        <x:v>74</x:v>
      </x:c>
      <x:c r="R620">
        <x:v>74</x:v>
      </x:c>
      <x:c r="S620">
        <x:v>74</x:v>
      </x:c>
      <x:c r="T620">
        <x:v>51</x:v>
      </x:c>
      <x:c r="U620">
        <x:v>55</x:v>
      </x:c>
    </x:row>
    <x:row r="621">
      <x:c r="A621" t="s">
        <x:v>979</x:v>
      </x:c>
      <x:c r="C621" t="s">
        <x:v>331</x:v>
      </x:c>
      <x:c r="D621">
        <x:v>8476449</x:v>
      </x:c>
      <x:c r="E621">
        <x:v>84</x:v>
      </x:c>
      <x:c r="F621">
        <x:v>46</x:v>
      </x:c>
      <x:c r="G621">
        <x:v>86</x:v>
      </x:c>
      <x:c r="H621">
        <x:v>33</x:v>
      </x:c>
      <x:c r="I621">
        <x:v>81</x:v>
      </x:c>
      <x:c r="J621">
        <x:v>86</x:v>
      </x:c>
      <x:c r="K621">
        <x:v>91</x:v>
      </x:c>
      <x:c r="L621">
        <x:v>32</x:v>
      </x:c>
      <x:c r="M621">
        <x:v>30</x:v>
      </x:c>
      <x:c r="N621">
        <x:v>42</x:v>
      </x:c>
      <x:c r="O621">
        <x:v>39</x:v>
      </x:c>
      <x:c r="P621">
        <x:v>70</x:v>
      </x:c>
      <x:c r="Q621">
        <x:v>46</x:v>
      </x:c>
      <x:c r="R621">
        <x:v>78</x:v>
      </x:c>
      <x:c r="S621">
        <x:v>78</x:v>
      </x:c>
      <x:c r="T621">
        <x:v>51</x:v>
      </x:c>
      <x:c r="U621">
        <x:v>55</x:v>
      </x:c>
    </x:row>
    <x:row r="622">
      <x:c r="A622" t="s">
        <x:v>980</x:v>
      </x:c>
      <x:c r="C622" t="s">
        <x:v>339</x:v>
      </x:c>
      <x:c r="D622">
        <x:v>8484230</x:v>
      </x:c>
      <x:c r="E622">
        <x:v>68</x:v>
      </x:c>
      <x:c r="F622">
        <x:v>70</x:v>
      </x:c>
      <x:c r="G622">
        <x:v>96</x:v>
      </x:c>
      <x:c r="H622">
        <x:v>48</x:v>
      </x:c>
      <x:c r="I622">
        <x:v>75</x:v>
      </x:c>
      <x:c r="J622">
        <x:v>81</x:v>
      </x:c>
      <x:c r="K622">
        <x:v>85</x:v>
      </x:c>
      <x:c r="L622">
        <x:v>51</x:v>
      </x:c>
      <x:c r="M622">
        <x:v>69</x:v>
      </x:c>
      <x:c r="N622">
        <x:v>51</x:v>
      </x:c>
      <x:c r="O622">
        <x:v>49</x:v>
      </x:c>
      <x:c r="P622">
        <x:v>65</x:v>
      </x:c>
      <x:c r="Q622">
        <x:v>55</x:v>
      </x:c>
      <x:c r="R622">
        <x:v>65</x:v>
      </x:c>
      <x:c r="S622">
        <x:v>65</x:v>
      </x:c>
      <x:c r="T622">
        <x:v>54</x:v>
      </x:c>
      <x:c r="U622">
        <x:v>55</x:v>
      </x:c>
    </x:row>
    <x:row r="623">
      <x:c r="A623" t="s">
        <x:v>981</x:v>
      </x:c>
      <x:c r="C623" t="s">
        <x:v>333</x:v>
      </x:c>
      <x:c r="D623">
        <x:v>8481641</x:v>
      </x:c>
      <x:c r="E623">
        <x:v>68</x:v>
      </x:c>
      <x:c r="F623">
        <x:v>34</x:v>
      </x:c>
      <x:c r="G623">
        <x:v>94</x:v>
      </x:c>
      <x:c r="H623">
        <x:v>48</x:v>
      </x:c>
      <x:c r="I623">
        <x:v>77</x:v>
      </x:c>
      <x:c r="J623">
        <x:v>82</x:v>
      </x:c>
      <x:c r="K623">
        <x:v>80</x:v>
      </x:c>
      <x:c r="L623">
        <x:v>48</x:v>
      </x:c>
      <x:c r="M623">
        <x:v>68</x:v>
      </x:c>
      <x:c r="N623">
        <x:v>51</x:v>
      </x:c>
      <x:c r="O623">
        <x:v>51</x:v>
      </x:c>
      <x:c r="P623">
        <x:v>67</x:v>
      </x:c>
      <x:c r="Q623">
        <x:v>52</x:v>
      </x:c>
      <x:c r="R623">
        <x:v>77</x:v>
      </x:c>
      <x:c r="S623">
        <x:v>72</x:v>
      </x:c>
      <x:c r="T623">
        <x:v>51</x:v>
      </x:c>
      <x:c r="U623">
        <x:v>55</x:v>
      </x:c>
    </x:row>
    <x:row r="624">
      <x:c r="A624" t="s">
        <x:v>982</x:v>
      </x:c>
      <x:c r="B624" t="s">
        <x:v>320</x:v>
      </x:c>
      <x:c r="C624" t="s">
        <x:v>333</x:v>
      </x:c>
      <x:c r="D624">
        <x:v>8478472</x:v>
      </x:c>
      <x:c r="E624">
        <x:v>76</x:v>
      </x:c>
      <x:c r="F624">
        <x:v>51</x:v>
      </x:c>
      <x:c r="G624">
        <x:v>95</x:v>
      </x:c>
      <x:c r="H624">
        <x:v>51</x:v>
      </x:c>
      <x:c r="I624">
        <x:v>78</x:v>
      </x:c>
      <x:c r="J624">
        <x:v>83</x:v>
      </x:c>
      <x:c r="K624">
        <x:v>78</x:v>
      </x:c>
      <x:c r="L624">
        <x:v>47</x:v>
      </x:c>
      <x:c r="M624">
        <x:v>66</x:v>
      </x:c>
      <x:c r="N624">
        <x:v>52</x:v>
      </x:c>
      <x:c r="O624">
        <x:v>50</x:v>
      </x:c>
      <x:c r="P624">
        <x:v>66</x:v>
      </x:c>
      <x:c r="Q624">
        <x:v>53</x:v>
      </x:c>
      <x:c r="R624">
        <x:v>76</x:v>
      </x:c>
      <x:c r="S624">
        <x:v>72</x:v>
      </x:c>
      <x:c r="T624">
        <x:v>51</x:v>
      </x:c>
      <x:c r="U624">
        <x:v>55</x:v>
      </x:c>
    </x:row>
    <x:row r="625">
      <x:c r="A625" t="s">
        <x:v>983</x:v>
      </x:c>
      <x:c r="C625" t="s">
        <x:v>326</x:v>
      </x:c>
      <x:c r="E625">
        <x:v>76</x:v>
      </x:c>
      <x:c r="F625">
        <x:v>39</x:v>
      </x:c>
      <x:c r="G625">
        <x:v>83</x:v>
      </x:c>
      <x:c r="H625">
        <x:v>46</x:v>
      </x:c>
      <x:c r="I625">
        <x:v>85</x:v>
      </x:c>
      <x:c r="J625">
        <x:v>93</x:v>
      </x:c>
      <x:c r="K625">
        <x:v>96</x:v>
      </x:c>
      <x:c r="L625">
        <x:v>46</x:v>
      </x:c>
      <x:c r="M625">
        <x:v>77</x:v>
      </x:c>
      <x:c r="N625">
        <x:v>48</x:v>
      </x:c>
      <x:c r="O625">
        <x:v>45</x:v>
      </x:c>
      <x:c r="P625">
        <x:v>69</x:v>
      </x:c>
      <x:c r="Q625">
        <x:v>68</x:v>
      </x:c>
      <x:c r="R625">
        <x:v>80</x:v>
      </x:c>
      <x:c r="S625">
        <x:v>78</x:v>
      </x:c>
      <x:c r="T625">
        <x:v>51</x:v>
      </x:c>
      <x:c r="U625">
        <x:v>55</x:v>
      </x:c>
    </x:row>
    <x:row r="626">
      <x:c r="A626" t="s">
        <x:v>984</x:v>
      </x:c>
      <x:c r="C626" t="s">
        <x:v>331</x:v>
      </x:c>
      <x:c r="D626">
        <x:v>8479388</x:v>
      </x:c>
      <x:c r="E626">
        <x:v>81</x:v>
      </x:c>
      <x:c r="F626">
        <x:v>80</x:v>
      </x:c>
      <x:c r="G626">
        <x:v>73</x:v>
      </x:c>
      <x:c r="H626">
        <x:v>33</x:v>
      </x:c>
      <x:c r="I626">
        <x:v>81</x:v>
      </x:c>
      <x:c r="J626">
        <x:v>82</x:v>
      </x:c>
      <x:c r="K626">
        <x:v>84</x:v>
      </x:c>
      <x:c r="L626">
        <x:v>34</x:v>
      </x:c>
      <x:c r="M626">
        <x:v>30</x:v>
      </x:c>
      <x:c r="N626">
        <x:v>44</x:v>
      </x:c>
      <x:c r="O626">
        <x:v>40</x:v>
      </x:c>
      <x:c r="P626">
        <x:v>71</x:v>
      </x:c>
      <x:c r="Q626">
        <x:v>47</x:v>
      </x:c>
      <x:c r="R626">
        <x:v>70</x:v>
      </x:c>
      <x:c r="S626">
        <x:v>70</x:v>
      </x:c>
      <x:c r="T626">
        <x:v>51</x:v>
      </x:c>
      <x:c r="U626">
        <x:v>55</x:v>
      </x:c>
    </x:row>
    <x:row r="627">
      <x:c r="A627" t="s">
        <x:v>985</x:v>
      </x:c>
      <x:c r="C627" t="s">
        <x:v>331</x:v>
      </x:c>
      <x:c r="D627">
        <x:v>8478021</x:v>
      </x:c>
      <x:c r="E627">
        <x:v>75</x:v>
      </x:c>
      <x:c r="F627">
        <x:v>79</x:v>
      </x:c>
      <x:c r="G627">
        <x:v>83</x:v>
      </x:c>
      <x:c r="H627">
        <x:v>34</x:v>
      </x:c>
      <x:c r="I627">
        <x:v>83</x:v>
      </x:c>
      <x:c r="J627">
        <x:v>82</x:v>
      </x:c>
      <x:c r="K627">
        <x:v>86</x:v>
      </x:c>
      <x:c r="L627">
        <x:v>34</x:v>
      </x:c>
      <x:c r="M627">
        <x:v>30</x:v>
      </x:c>
      <x:c r="N627">
        <x:v>50</x:v>
      </x:c>
      <x:c r="O627">
        <x:v>44</x:v>
      </x:c>
      <x:c r="P627">
        <x:v>73</x:v>
      </x:c>
      <x:c r="Q627">
        <x:v>48</x:v>
      </x:c>
      <x:c r="R627">
        <x:v>72</x:v>
      </x:c>
      <x:c r="S627">
        <x:v>72</x:v>
      </x:c>
      <x:c r="T627">
        <x:v>51</x:v>
      </x:c>
      <x:c r="U627">
        <x:v>55</x:v>
      </x:c>
    </x:row>
    <x:row r="628">
      <x:c r="A628" t="s">
        <x:v>986</x:v>
      </x:c>
      <x:c r="C628" t="s">
        <x:v>323</x:v>
      </x:c>
      <x:c r="D628">
        <x:v>8479580</x:v>
      </x:c>
      <x:c r="E628">
        <x:v>66</x:v>
      </x:c>
      <x:c r="F628">
        <x:v>35</x:v>
      </x:c>
      <x:c r="G628">
        <x:v>91</x:v>
      </x:c>
      <x:c r="H628">
        <x:v>48</x:v>
      </x:c>
      <x:c r="I628">
        <x:v>79</x:v>
      </x:c>
      <x:c r="J628">
        <x:v>80</x:v>
      </x:c>
      <x:c r="K628">
        <x:v>81</x:v>
      </x:c>
      <x:c r="L628">
        <x:v>48</x:v>
      </x:c>
      <x:c r="M628">
        <x:v>85</x:v>
      </x:c>
      <x:c r="N628">
        <x:v>51</x:v>
      </x:c>
      <x:c r="O628">
        <x:v>45</x:v>
      </x:c>
      <x:c r="P628">
        <x:v>69</x:v>
      </x:c>
      <x:c r="Q628">
        <x:v>70</x:v>
      </x:c>
      <x:c r="R628">
        <x:v>72</x:v>
      </x:c>
      <x:c r="S628">
        <x:v>73</x:v>
      </x:c>
      <x:c r="T628">
        <x:v>51</x:v>
      </x:c>
      <x:c r="U628">
        <x:v>55</x:v>
      </x:c>
    </x:row>
    <x:row r="629">
      <x:c r="A629" t="s">
        <x:v>987</x:v>
      </x:c>
      <x:c r="B629" t="s">
        <x:v>370</x:v>
      </x:c>
      <x:c r="C629" t="s">
        <x:v>323</x:v>
      </x:c>
      <x:c r="D629">
        <x:v>8478173</x:v>
      </x:c>
      <x:c r="E629">
        <x:v>80</x:v>
      </x:c>
      <x:c r="F629">
        <x:v>77</x:v>
      </x:c>
      <x:c r="G629">
        <x:v>77</x:v>
      </x:c>
      <x:c r="H629">
        <x:v>47</x:v>
      </x:c>
      <x:c r="I629">
        <x:v>84</x:v>
      </x:c>
      <x:c r="J629">
        <x:v>76</x:v>
      </x:c>
      <x:c r="K629">
        <x:v>80</x:v>
      </x:c>
      <x:c r="L629">
        <x:v>47</x:v>
      </x:c>
      <x:c r="M629">
        <x:v>64</x:v>
      </x:c>
      <x:c r="N629">
        <x:v>49</x:v>
      </x:c>
      <x:c r="O629">
        <x:v>49</x:v>
      </x:c>
      <x:c r="P629">
        <x:v>59</x:v>
      </x:c>
      <x:c r="Q629">
        <x:v>54</x:v>
      </x:c>
      <x:c r="R629">
        <x:v>72</x:v>
      </x:c>
      <x:c r="S629">
        <x:v>73</x:v>
      </x:c>
      <x:c r="T629">
        <x:v>51</x:v>
      </x:c>
      <x:c r="U629">
        <x:v>55</x:v>
      </x:c>
    </x:row>
    <x:row r="630">
      <x:c r="A630" t="s">
        <x:v>988</x:v>
      </x:c>
      <x:c r="B630" t="s">
        <x:v>354</x:v>
      </x:c>
      <x:c r="C630" t="s">
        <x:v>331</x:v>
      </x:c>
      <x:c r="D630">
        <x:v>8479639</x:v>
      </x:c>
      <x:c r="E630">
        <x:v>68</x:v>
      </x:c>
      <x:c r="F630">
        <x:v>37</x:v>
      </x:c>
      <x:c r="G630">
        <x:v>85</x:v>
      </x:c>
      <x:c r="H630">
        <x:v>33</x:v>
      </x:c>
      <x:c r="I630">
        <x:v>85</x:v>
      </x:c>
      <x:c r="J630">
        <x:v>85</x:v>
      </x:c>
      <x:c r="K630">
        <x:v>89</x:v>
      </x:c>
      <x:c r="L630">
        <x:v>34</x:v>
      </x:c>
      <x:c r="M630">
        <x:v>30</x:v>
      </x:c>
      <x:c r="N630">
        <x:v>50</x:v>
      </x:c>
      <x:c r="O630">
        <x:v>45</x:v>
      </x:c>
      <x:c r="P630">
        <x:v>72</x:v>
      </x:c>
      <x:c r="Q630">
        <x:v>53</x:v>
      </x:c>
      <x:c r="R630">
        <x:v>70</x:v>
      </x:c>
      <x:c r="S630">
        <x:v>71</x:v>
      </x:c>
      <x:c r="T630">
        <x:v>51</x:v>
      </x:c>
      <x:c r="U630">
        <x:v>55</x:v>
      </x:c>
    </x:row>
    <x:row r="631">
      <x:c r="A631" t="s">
        <x:v>989</x:v>
      </x:c>
      <x:c r="B631" t="s">
        <x:v>584</x:v>
      </x:c>
      <x:c r="C631" t="s">
        <x:v>323</x:v>
      </x:c>
      <x:c r="D631">
        <x:v>8477508</x:v>
      </x:c>
      <x:c r="E631">
        <x:v>76</x:v>
      </x:c>
      <x:c r="F631">
        <x:v>40</x:v>
      </x:c>
      <x:c r="G631">
        <x:v>91</x:v>
      </x:c>
      <x:c r="H631">
        <x:v>48</x:v>
      </x:c>
      <x:c r="I631">
        <x:v>81</x:v>
      </x:c>
      <x:c r="J631">
        <x:v>80</x:v>
      </x:c>
      <x:c r="K631">
        <x:v>74</x:v>
      </x:c>
      <x:c r="L631">
        <x:v>48</x:v>
      </x:c>
      <x:c r="M631">
        <x:v>86</x:v>
      </x:c>
      <x:c r="N631">
        <x:v>49</x:v>
      </x:c>
      <x:c r="O631">
        <x:v>51</x:v>
      </x:c>
      <x:c r="P631">
        <x:v>64</x:v>
      </x:c>
      <x:c r="Q631">
        <x:v>52</x:v>
      </x:c>
      <x:c r="R631">
        <x:v>80</x:v>
      </x:c>
      <x:c r="S631">
        <x:v>75</x:v>
      </x:c>
      <x:c r="T631">
        <x:v>51</x:v>
      </x:c>
      <x:c r="U631">
        <x:v>55</x:v>
      </x:c>
    </x:row>
    <x:row r="632">
      <x:c r="A632" t="s">
        <x:v>990</x:v>
      </x:c>
      <x:c r="C632" t="s">
        <x:v>331</x:v>
      </x:c>
      <x:c r="D632">
        <x:v>8481708</x:v>
      </x:c>
      <x:c r="E632">
        <x:v>69</x:v>
      </x:c>
      <x:c r="F632">
        <x:v>38</x:v>
      </x:c>
      <x:c r="G632">
        <x:v>89</x:v>
      </x:c>
      <x:c r="H632">
        <x:v>36</x:v>
      </x:c>
      <x:c r="I632">
        <x:v>76</x:v>
      </x:c>
      <x:c r="J632">
        <x:v>83</x:v>
      </x:c>
      <x:c r="K632">
        <x:v>85</x:v>
      </x:c>
      <x:c r="L632">
        <x:v>37</x:v>
      </x:c>
      <x:c r="M632">
        <x:v>30</x:v>
      </x:c>
      <x:c r="N632">
        <x:v>53</x:v>
      </x:c>
      <x:c r="O632">
        <x:v>46</x:v>
      </x:c>
      <x:c r="P632">
        <x:v>74</x:v>
      </x:c>
      <x:c r="Q632">
        <x:v>55</x:v>
      </x:c>
      <x:c r="R632">
        <x:v>71</x:v>
      </x:c>
      <x:c r="S632">
        <x:v>70</x:v>
      </x:c>
      <x:c r="T632">
        <x:v>47</x:v>
      </x:c>
      <x:c r="U632">
        <x:v>55</x:v>
      </x:c>
    </x:row>
    <x:row r="633">
      <x:c r="A633" t="s">
        <x:v>991</x:v>
      </x:c>
      <x:c r="B633" t="s">
        <x:v>584</x:v>
      </x:c>
      <x:c r="C633" t="s">
        <x:v>323</x:v>
      </x:c>
      <x:c r="D633">
        <x:v>8479414</x:v>
      </x:c>
      <x:c r="E633">
        <x:v>78</x:v>
      </x:c>
      <x:c r="F633">
        <x:v>75</x:v>
      </x:c>
      <x:c r="G633">
        <x:v>84</x:v>
      </x:c>
      <x:c r="H633">
        <x:v>48</x:v>
      </x:c>
      <x:c r="I633">
        <x:v>84</x:v>
      </x:c>
      <x:c r="J633">
        <x:v>79</x:v>
      </x:c>
      <x:c r="K633">
        <x:v>72</x:v>
      </x:c>
      <x:c r="L633">
        <x:v>47</x:v>
      </x:c>
      <x:c r="M633">
        <x:v>63</x:v>
      </x:c>
      <x:c r="N633">
        <x:v>49</x:v>
      </x:c>
      <x:c r="O633">
        <x:v>54</x:v>
      </x:c>
      <x:c r="P633">
        <x:v>61</x:v>
      </x:c>
      <x:c r="Q633">
        <x:v>52</x:v>
      </x:c>
      <x:c r="R633">
        <x:v>76</x:v>
      </x:c>
      <x:c r="S633">
        <x:v>69</x:v>
      </x:c>
      <x:c r="T633">
        <x:v>51</x:v>
      </x:c>
      <x:c r="U633">
        <x:v>55</x:v>
      </x:c>
    </x:row>
    <x:row r="634">
      <x:c r="A634" t="s">
        <x:v>992</x:v>
      </x:c>
      <x:c r="B634" t="s">
        <x:v>324</x:v>
      </x:c>
      <x:c r="C634" t="s">
        <x:v>331</x:v>
      </x:c>
      <x:c r="D634">
        <x:v>8479387</x:v>
      </x:c>
      <x:c r="E634">
        <x:v>77</x:v>
      </x:c>
      <x:c r="F634">
        <x:v>75</x:v>
      </x:c>
      <x:c r="G634">
        <x:v>78</x:v>
      </x:c>
      <x:c r="H634">
        <x:v>33</x:v>
      </x:c>
      <x:c r="I634">
        <x:v>93</x:v>
      </x:c>
      <x:c r="J634">
        <x:v>88</x:v>
      </x:c>
      <x:c r="K634">
        <x:v>92</x:v>
      </x:c>
      <x:c r="L634">
        <x:v>33</x:v>
      </x:c>
      <x:c r="M634">
        <x:v>30</x:v>
      </x:c>
      <x:c r="N634">
        <x:v>50</x:v>
      </x:c>
      <x:c r="O634">
        <x:v>44</x:v>
      </x:c>
      <x:c r="P634">
        <x:v>74</x:v>
      </x:c>
      <x:c r="Q634">
        <x:v>47</x:v>
      </x:c>
      <x:c r="R634">
        <x:v>70</x:v>
      </x:c>
      <x:c r="S634">
        <x:v>70</x:v>
      </x:c>
      <x:c r="T634">
        <x:v>51</x:v>
      </x:c>
      <x:c r="U634">
        <x:v>55</x:v>
      </x:c>
    </x:row>
    <x:row r="635">
      <x:c r="A635" t="s">
        <x:v>993</x:v>
      </x:c>
      <x:c r="C635" t="s">
        <x:v>331</x:v>
      </x:c>
      <x:c r="D635">
        <x:v>8482094</x:v>
      </x:c>
      <x:c r="E635">
        <x:v>70</x:v>
      </x:c>
      <x:c r="F635">
        <x:v>33</x:v>
      </x:c>
      <x:c r="G635">
        <x:v>92</x:v>
      </x:c>
      <x:c r="H635">
        <x:v>37</x:v>
      </x:c>
      <x:c r="I635">
        <x:v>77</x:v>
      </x:c>
      <x:c r="J635">
        <x:v>82</x:v>
      </x:c>
      <x:c r="K635">
        <x:v>69</x:v>
      </x:c>
      <x:c r="L635">
        <x:v>37</x:v>
      </x:c>
      <x:c r="M635">
        <x:v>30</x:v>
      </x:c>
      <x:c r="N635">
        <x:v>52</x:v>
      </x:c>
      <x:c r="O635">
        <x:v>45</x:v>
      </x:c>
      <x:c r="P635">
        <x:v>74</x:v>
      </x:c>
      <x:c r="Q635">
        <x:v>55</x:v>
      </x:c>
      <x:c r="R635">
        <x:v>67</x:v>
      </x:c>
      <x:c r="S635">
        <x:v>66</x:v>
      </x:c>
      <x:c r="T635">
        <x:v>51</x:v>
      </x:c>
      <x:c r="U635">
        <x:v>55</x:v>
      </x:c>
    </x:row>
    <x:row r="636">
      <x:c r="A636" t="s">
        <x:v>994</x:v>
      </x:c>
      <x:c r="B636" t="s">
        <x:v>427</x:v>
      </x:c>
      <x:c r="C636" t="s">
        <x:v>339</x:v>
      </x:c>
      <x:c r="D636">
        <x:v>8484142</x:v>
      </x:c>
      <x:c r="E636">
        <x:v>64</x:v>
      </x:c>
      <x:c r="F636">
        <x:v>31</x:v>
      </x:c>
      <x:c r="G636">
        <x:v>85</x:v>
      </x:c>
      <x:c r="H636">
        <x:v>52</x:v>
      </x:c>
      <x:c r="I636">
        <x:v>75</x:v>
      </x:c>
      <x:c r="J636">
        <x:v>83</x:v>
      </x:c>
      <x:c r="K636">
        <x:v>84</x:v>
      </x:c>
      <x:c r="L636">
        <x:v>51</x:v>
      </x:c>
      <x:c r="M636">
        <x:v>68</x:v>
      </x:c>
      <x:c r="N636">
        <x:v>54</x:v>
      </x:c>
      <x:c r="O636">
        <x:v>51</x:v>
      </x:c>
      <x:c r="P636">
        <x:v>60</x:v>
      </x:c>
      <x:c r="Q636">
        <x:v>51</x:v>
      </x:c>
      <x:c r="R636">
        <x:v>66</x:v>
      </x:c>
      <x:c r="S636">
        <x:v>67</x:v>
      </x:c>
      <x:c r="T636">
        <x:v>54</x:v>
      </x:c>
      <x:c r="U636">
        <x:v>55</x:v>
      </x:c>
    </x:row>
    <x:row r="637">
      <x:c r="A637" t="s">
        <x:v>995</x:v>
      </x:c>
      <x:c r="B637" t="s">
        <x:v>436</x:v>
      </x:c>
      <x:c r="C637" t="s">
        <x:v>333</x:v>
      </x:c>
      <x:c r="D637">
        <x:v>8478413</x:v>
      </x:c>
      <x:c r="E637">
        <x:v>71</x:v>
      </x:c>
      <x:c r="F637">
        <x:v>74</x:v>
      </x:c>
      <x:c r="G637">
        <x:v>79</x:v>
      </x:c>
      <x:c r="H637">
        <x:v>48</x:v>
      </x:c>
      <x:c r="I637">
        <x:v>91</x:v>
      </x:c>
      <x:c r="J637">
        <x:v>83</x:v>
      </x:c>
      <x:c r="K637">
        <x:v>70</x:v>
      </x:c>
      <x:c r="L637">
        <x:v>48</x:v>
      </x:c>
      <x:c r="M637">
        <x:v>67</x:v>
      </x:c>
      <x:c r="N637">
        <x:v>51</x:v>
      </x:c>
      <x:c r="O637">
        <x:v>50</x:v>
      </x:c>
      <x:c r="P637">
        <x:v>67</x:v>
      </x:c>
      <x:c r="Q637">
        <x:v>52</x:v>
      </x:c>
      <x:c r="R637">
        <x:v>76</x:v>
      </x:c>
      <x:c r="S637">
        <x:v>72</x:v>
      </x:c>
      <x:c r="T637">
        <x:v>51</x:v>
      </x:c>
      <x:c r="U637">
        <x:v>55</x:v>
      </x:c>
    </x:row>
    <x:row r="638">
      <x:c r="A638" t="s">
        <x:v>996</x:v>
      </x:c>
      <x:c r="C638" t="s">
        <x:v>339</x:v>
      </x:c>
      <x:c r="D638">
        <x:v>8477931</x:v>
      </x:c>
      <x:c r="E638">
        <x:v>75</x:v>
      </x:c>
      <x:c r="F638">
        <x:v>38</x:v>
      </x:c>
      <x:c r="G638">
        <x:v>92</x:v>
      </x:c>
      <x:c r="H638">
        <x:v>46</x:v>
      </x:c>
      <x:c r="I638">
        <x:v>81</x:v>
      </x:c>
      <x:c r="J638">
        <x:v>82</x:v>
      </x:c>
      <x:c r="K638">
        <x:v>48</x:v>
      </x:c>
      <x:c r="L638">
        <x:v>48</x:v>
      </x:c>
      <x:c r="M638">
        <x:v>85</x:v>
      </x:c>
      <x:c r="N638">
        <x:v>50</x:v>
      </x:c>
      <x:c r="O638">
        <x:v>51</x:v>
      </x:c>
      <x:c r="P638">
        <x:v>66</x:v>
      </x:c>
      <x:c r="Q638">
        <x:v>52</x:v>
      </x:c>
      <x:c r="R638">
        <x:v>85</x:v>
      </x:c>
      <x:c r="S638">
        <x:v>74</x:v>
      </x:c>
      <x:c r="T638">
        <x:v>51</x:v>
      </x:c>
      <x:c r="U638">
        <x:v>55</x:v>
      </x:c>
    </x:row>
    <x:row r="639">
      <x:c r="A639" t="s">
        <x:v>997</x:v>
      </x:c>
      <x:c r="B639" t="s">
        <x:v>393</x:v>
      </x:c>
      <x:c r="C639" t="s">
        <x:v>998</x:v>
      </x:c>
      <x:c r="D639">
        <x:v>8482178</x:v>
      </x:c>
      <x:c r="E639">
        <x:v>69</x:v>
      </x:c>
      <x:c r="F639">
        <x:v>40</x:v>
      </x:c>
      <x:c r="G639">
        <x:v>86</x:v>
      </x:c>
      <x:c r="H639">
        <x:v>37</x:v>
      </x:c>
      <x:c r="I639">
        <x:v>82</x:v>
      </x:c>
      <x:c r="J639">
        <x:v>83</x:v>
      </x:c>
      <x:c r="K639">
        <x:v>87</x:v>
      </x:c>
      <x:c r="L639">
        <x:v>38</x:v>
      </x:c>
      <x:c r="M639">
        <x:v>30</x:v>
      </x:c>
      <x:c r="N639">
        <x:v>49</x:v>
      </x:c>
      <x:c r="O639">
        <x:v>49</x:v>
      </x:c>
      <x:c r="P639">
        <x:v>74</x:v>
      </x:c>
      <x:c r="Q639">
        <x:v>51</x:v>
      </x:c>
      <x:c r="R639">
        <x:v>66</x:v>
      </x:c>
      <x:c r="S639">
        <x:v>65</x:v>
      </x:c>
      <x:c r="T639">
        <x:v>51</x:v>
      </x:c>
      <x:c r="U639">
        <x:v>55</x:v>
      </x:c>
    </x:row>
    <x:row r="640">
      <x:c r="A640" t="s">
        <x:v>999</x:v>
      </x:c>
      <x:c r="B640" t="s">
        <x:v>354</x:v>
      </x:c>
      <x:c r="C640" t="s">
        <x:v>323</x:v>
      </x:c>
      <x:c r="D640">
        <x:v>8483553</x:v>
      </x:c>
      <x:c r="E640">
        <x:v>92</x:v>
      </x:c>
      <x:c r="F640">
        <x:v>43</x:v>
      </x:c>
      <x:c r="G640">
        <x:v>92</x:v>
      </x:c>
      <x:c r="H640">
        <x:v>48</x:v>
      </x:c>
      <x:c r="I640">
        <x:v>79</x:v>
      </x:c>
      <x:c r="J640">
        <x:v>81</x:v>
      </x:c>
      <x:c r="K640">
        <x:v>85</x:v>
      </x:c>
      <x:c r="L640">
        <x:v>47</x:v>
      </x:c>
      <x:c r="M640">
        <x:v>64</x:v>
      </x:c>
      <x:c r="N640">
        <x:v>49</x:v>
      </x:c>
      <x:c r="O640">
        <x:v>52</x:v>
      </x:c>
      <x:c r="P640">
        <x:v>62</x:v>
      </x:c>
      <x:c r="Q640">
        <x:v>52</x:v>
      </x:c>
      <x:c r="R640">
        <x:v>70</x:v>
      </x:c>
      <x:c r="S640">
        <x:v>70</x:v>
      </x:c>
      <x:c r="T640">
        <x:v>51</x:v>
      </x:c>
      <x:c r="U640">
        <x:v>55</x:v>
      </x:c>
    </x:row>
    <x:row r="641">
      <x:c r="A641" t="s">
        <x:v>1000</x:v>
      </x:c>
      <x:c r="B641" t="s">
        <x:v>354</x:v>
      </x:c>
      <x:c r="C641" t="s">
        <x:v>319</x:v>
      </x:c>
      <x:c r="D641">
        <x:v>8479550</x:v>
      </x:c>
      <x:c r="E641">
        <x:v>59</x:v>
      </x:c>
      <x:c r="F641">
        <x:v>39</x:v>
      </x:c>
      <x:c r="G641">
        <x:v>86</x:v>
      </x:c>
      <x:c r="H641">
        <x:v>48</x:v>
      </x:c>
      <x:c r="I641">
        <x:v>81</x:v>
      </x:c>
      <x:c r="J641">
        <x:v>80</x:v>
      </x:c>
      <x:c r="K641">
        <x:v>88</x:v>
      </x:c>
      <x:c r="L641">
        <x:v>51</x:v>
      </x:c>
      <x:c r="M641">
        <x:v>84</x:v>
      </x:c>
      <x:c r="N641">
        <x:v>56</x:v>
      </x:c>
      <x:c r="O641">
        <x:v>49</x:v>
      </x:c>
      <x:c r="P641">
        <x:v>62</x:v>
      </x:c>
      <x:c r="Q641">
        <x:v>57</x:v>
      </x:c>
      <x:c r="R641">
        <x:v>71</x:v>
      </x:c>
      <x:c r="S641">
        <x:v>70</x:v>
      </x:c>
      <x:c r="T641">
        <x:v>51</x:v>
      </x:c>
      <x:c r="U641">
        <x:v>55</x:v>
      </x:c>
    </x:row>
    <x:row r="642">
      <x:c r="A642" t="s">
        <x:v>1001</x:v>
      </x:c>
      <x:c r="B642" t="s">
        <x:v>481</x:v>
      </x:c>
      <x:c r="C642" t="s">
        <x:v>331</x:v>
      </x:c>
      <x:c r="D642">
        <x:v>8479985</x:v>
      </x:c>
      <x:c r="E642">
        <x:v>79</x:v>
      </x:c>
      <x:c r="F642">
        <x:v>71</x:v>
      </x:c>
      <x:c r="G642">
        <x:v>95</x:v>
      </x:c>
      <x:c r="H642">
        <x:v>35</x:v>
      </x:c>
      <x:c r="I642">
        <x:v>81</x:v>
      </x:c>
      <x:c r="J642">
        <x:v>84</x:v>
      </x:c>
      <x:c r="K642">
        <x:v>54</x:v>
      </x:c>
      <x:c r="L642">
        <x:v>35</x:v>
      </x:c>
      <x:c r="M642">
        <x:v>30</x:v>
      </x:c>
      <x:c r="N642">
        <x:v>48</x:v>
      </x:c>
      <x:c r="O642">
        <x:v>46</x:v>
      </x:c>
      <x:c r="P642">
        <x:v>74</x:v>
      </x:c>
      <x:c r="Q642">
        <x:v>52</x:v>
      </x:c>
      <x:c r="R642">
        <x:v>74</x:v>
      </x:c>
      <x:c r="S642">
        <x:v>70</x:v>
      </x:c>
      <x:c r="T642">
        <x:v>51</x:v>
      </x:c>
      <x:c r="U642">
        <x:v>55</x:v>
      </x:c>
    </x:row>
    <x:row r="643">
      <x:c r="A643" t="s">
        <x:v>1002</x:v>
      </x:c>
      <x:c r="C643" t="s">
        <x:v>331</x:v>
      </x:c>
      <x:c r="D643">
        <x:v>8479395</x:v>
      </x:c>
      <x:c r="E643">
        <x:v>65</x:v>
      </x:c>
      <x:c r="F643">
        <x:v>39</x:v>
      </x:c>
      <x:c r="G643">
        <x:v>93</x:v>
      </x:c>
      <x:c r="H643">
        <x:v>36</x:v>
      </x:c>
      <x:c r="I643">
        <x:v>82</x:v>
      </x:c>
      <x:c r="J643">
        <x:v>82</x:v>
      </x:c>
      <x:c r="K643">
        <x:v>65</x:v>
      </x:c>
      <x:c r="L643">
        <x:v>37</x:v>
      </x:c>
      <x:c r="M643">
        <x:v>30</x:v>
      </x:c>
      <x:c r="N643">
        <x:v>50</x:v>
      </x:c>
      <x:c r="O643">
        <x:v>46</x:v>
      </x:c>
      <x:c r="P643">
        <x:v>72</x:v>
      </x:c>
      <x:c r="Q643">
        <x:v>52</x:v>
      </x:c>
      <x:c r="R643">
        <x:v>70</x:v>
      </x:c>
      <x:c r="S643">
        <x:v>70</x:v>
      </x:c>
      <x:c r="T643">
        <x:v>51</x:v>
      </x:c>
      <x:c r="U643">
        <x:v>55</x:v>
      </x:c>
    </x:row>
    <x:row r="644">
      <x:c r="A644" t="s">
        <x:v>1003</x:v>
      </x:c>
      <x:c r="C644" t="s">
        <x:v>358</x:v>
      </x:c>
      <x:c r="D644">
        <x:v>8479066</x:v>
      </x:c>
      <x:c r="E644">
        <x:v>76</x:v>
      </x:c>
      <x:c r="F644">
        <x:v>87</x:v>
      </x:c>
      <x:c r="G644">
        <x:v>79</x:v>
      </x:c>
      <x:c r="H644">
        <x:v>49</x:v>
      </x:c>
      <x:c r="I644">
        <x:v>78</x:v>
      </x:c>
      <x:c r="J644">
        <x:v>80</x:v>
      </x:c>
      <x:c r="K644">
        <x:v>82</x:v>
      </x:c>
      <x:c r="L644">
        <x:v>47</x:v>
      </x:c>
      <x:c r="M644">
        <x:v>67</x:v>
      </x:c>
      <x:c r="N644">
        <x:v>50</x:v>
      </x:c>
      <x:c r="O644">
        <x:v>50</x:v>
      </x:c>
      <x:c r="P644">
        <x:v>61</x:v>
      </x:c>
      <x:c r="Q644">
        <x:v>52</x:v>
      </x:c>
      <x:c r="R644">
        <x:v>80</x:v>
      </x:c>
      <x:c r="S644">
        <x:v>73</x:v>
      </x:c>
      <x:c r="T644">
        <x:v>51</x:v>
      </x:c>
      <x:c r="U644">
        <x:v>55</x:v>
      </x:c>
    </x:row>
    <x:row r="645">
      <x:c r="A645" t="s">
        <x:v>1004</x:v>
      </x:c>
      <x:c r="C645" t="s">
        <x:v>331</x:v>
      </x:c>
      <x:c r="D645">
        <x:v>8475795</x:v>
      </x:c>
      <x:c r="E645">
        <x:v>78</x:v>
      </x:c>
      <x:c r="F645">
        <x:v>92</x:v>
      </x:c>
      <x:c r="G645">
        <x:v>89</x:v>
      </x:c>
      <x:c r="H645">
        <x:v>35</x:v>
      </x:c>
      <x:c r="I645">
        <x:v>93</x:v>
      </x:c>
      <x:c r="J645">
        <x:v>78</x:v>
      </x:c>
      <x:c r="K645">
        <x:v>38</x:v>
      </x:c>
      <x:c r="L645">
        <x:v>35</x:v>
      </x:c>
      <x:c r="M645">
        <x:v>30</x:v>
      </x:c>
      <x:c r="N645">
        <x:v>48</x:v>
      </x:c>
      <x:c r="O645">
        <x:v>46</x:v>
      </x:c>
      <x:c r="P645">
        <x:v>73</x:v>
      </x:c>
      <x:c r="Q645">
        <x:v>52</x:v>
      </x:c>
      <x:c r="R645">
        <x:v>80</x:v>
      </x:c>
      <x:c r="S645">
        <x:v>76</x:v>
      </x:c>
      <x:c r="T645">
        <x:v>51</x:v>
      </x:c>
      <x:c r="U645">
        <x:v>55</x:v>
      </x:c>
    </x:row>
    <x:row r="646">
      <x:c r="A646" t="s">
        <x:v>1005</x:v>
      </x:c>
      <x:c r="C646" t="s">
        <x:v>329</x:v>
      </x:c>
      <x:c r="D646">
        <x:v>8480144</x:v>
      </x:c>
      <x:c r="E646">
        <x:v>67</x:v>
      </x:c>
      <x:c r="F646">
        <x:v>37</x:v>
      </x:c>
      <x:c r="G646">
        <x:v>89</x:v>
      </x:c>
      <x:c r="H646">
        <x:v>48</x:v>
      </x:c>
      <x:c r="I646">
        <x:v>79</x:v>
      </x:c>
      <x:c r="J646">
        <x:v>84</x:v>
      </x:c>
      <x:c r="K646">
        <x:v>74</x:v>
      </x:c>
      <x:c r="L646">
        <x:v>47</x:v>
      </x:c>
      <x:c r="M646">
        <x:v>88</x:v>
      </x:c>
      <x:c r="N646">
        <x:v>51</x:v>
      </x:c>
      <x:c r="O646">
        <x:v>51</x:v>
      </x:c>
      <x:c r="P646">
        <x:v>67</x:v>
      </x:c>
      <x:c r="Q646">
        <x:v>52</x:v>
      </x:c>
      <x:c r="R646">
        <x:v>79</x:v>
      </x:c>
      <x:c r="S646">
        <x:v>72</x:v>
      </x:c>
      <x:c r="T646">
        <x:v>41</x:v>
      </x:c>
      <x:c r="U646">
        <x:v>55</x:v>
      </x:c>
    </x:row>
    <x:row r="647">
      <x:c r="A647" t="s">
        <x:v>1006</x:v>
      </x:c>
      <x:c r="C647" t="s">
        <x:v>339</x:v>
      </x:c>
      <x:c r="D647">
        <x:v>8476867</x:v>
      </x:c>
      <x:c r="E647">
        <x:v>71</x:v>
      </x:c>
      <x:c r="F647">
        <x:v>42</x:v>
      </x:c>
      <x:c r="G647">
        <x:v>84</x:v>
      </x:c>
      <x:c r="H647">
        <x:v>47</x:v>
      </x:c>
      <x:c r="I647">
        <x:v>85</x:v>
      </x:c>
      <x:c r="J647">
        <x:v>81</x:v>
      </x:c>
      <x:c r="K647">
        <x:v>85</x:v>
      </x:c>
      <x:c r="L647">
        <x:v>47</x:v>
      </x:c>
      <x:c r="M647">
        <x:v>84</x:v>
      </x:c>
      <x:c r="N647">
        <x:v>51</x:v>
      </x:c>
      <x:c r="O647">
        <x:v>51</x:v>
      </x:c>
      <x:c r="P647">
        <x:v>67</x:v>
      </x:c>
      <x:c r="Q647">
        <x:v>52</x:v>
      </x:c>
      <x:c r="R647">
        <x:v>74</x:v>
      </x:c>
      <x:c r="S647">
        <x:v>74</x:v>
      </x:c>
      <x:c r="T647">
        <x:v>51</x:v>
      </x:c>
      <x:c r="U647">
        <x:v>55</x:v>
      </x:c>
    </x:row>
    <x:row r="648">
      <x:c r="A648" t="s">
        <x:v>1007</x:v>
      </x:c>
      <x:c r="C648" t="s">
        <x:v>339</x:v>
      </x:c>
      <x:c r="D648">
        <x:v>8477952</x:v>
      </x:c>
      <x:c r="E648">
        <x:v>72</x:v>
      </x:c>
      <x:c r="F648">
        <x:v>33</x:v>
      </x:c>
      <x:c r="G648">
        <x:v>79</x:v>
      </x:c>
      <x:c r="H648">
        <x:v>49</x:v>
      </x:c>
      <x:c r="I648">
        <x:v>75</x:v>
      </x:c>
      <x:c r="J648">
        <x:v>82</x:v>
      </x:c>
      <x:c r="K648">
        <x:v>52</x:v>
      </x:c>
      <x:c r="L648">
        <x:v>49</x:v>
      </x:c>
      <x:c r="M648">
        <x:v>72</x:v>
      </x:c>
      <x:c r="N648">
        <x:v>52</x:v>
      </x:c>
      <x:c r="O648">
        <x:v>53</x:v>
      </x:c>
      <x:c r="P648">
        <x:v>63</x:v>
      </x:c>
      <x:c r="Q648">
        <x:v>59</x:v>
      </x:c>
      <x:c r="R648">
        <x:v>77</x:v>
      </x:c>
      <x:c r="S648">
        <x:v>72</x:v>
      </x:c>
      <x:c r="T648">
        <x:v>51</x:v>
      </x:c>
      <x:c r="U648">
        <x:v>55</x:v>
      </x:c>
    </x:row>
    <x:row r="649">
      <x:c r="A649" t="s">
        <x:v>1008</x:v>
      </x:c>
      <x:c r="B649" t="s">
        <x:v>584</x:v>
      </x:c>
      <x:c r="C649" t="s">
        <x:v>331</x:v>
      </x:c>
      <x:c r="D649">
        <x:v>8477851</x:v>
      </x:c>
      <x:c r="E649">
        <x:v>71</x:v>
      </x:c>
      <x:c r="F649">
        <x:v>33</x:v>
      </x:c>
      <x:c r="G649">
        <x:v>86</x:v>
      </x:c>
      <x:c r="H649">
        <x:v>37</x:v>
      </x:c>
      <x:c r="I649">
        <x:v>77</x:v>
      </x:c>
      <x:c r="J649">
        <x:v>88</x:v>
      </x:c>
      <x:c r="K649">
        <x:v>91</x:v>
      </x:c>
      <x:c r="L649">
        <x:v>37</x:v>
      </x:c>
      <x:c r="M649">
        <x:v>30</x:v>
      </x:c>
      <x:c r="N649">
        <x:v>52</x:v>
      </x:c>
      <x:c r="O649">
        <x:v>46</x:v>
      </x:c>
      <x:c r="P649">
        <x:v>74</x:v>
      </x:c>
      <x:c r="Q649">
        <x:v>53</x:v>
      </x:c>
      <x:c r="R649">
        <x:v>84</x:v>
      </x:c>
      <x:c r="S649">
        <x:v>77</x:v>
      </x:c>
      <x:c r="T649">
        <x:v>51</x:v>
      </x:c>
      <x:c r="U649">
        <x:v>55</x:v>
      </x:c>
    </x:row>
    <x:row r="650">
      <x:c r="A650" t="s">
        <x:v>1009</x:v>
      </x:c>
      <x:c r="C650" t="s">
        <x:v>331</x:v>
      </x:c>
      <x:c r="D650">
        <x:v>8482470</x:v>
      </x:c>
      <x:c r="E650">
        <x:v>74</x:v>
      </x:c>
      <x:c r="F650">
        <x:v>40</x:v>
      </x:c>
      <x:c r="G650">
        <x:v>82</x:v>
      </x:c>
      <x:c r="H650">
        <x:v>38</x:v>
      </x:c>
      <x:c r="I650">
        <x:v>83</x:v>
      </x:c>
      <x:c r="J650">
        <x:v>82</x:v>
      </x:c>
      <x:c r="K650">
        <x:v>70</x:v>
      </x:c>
      <x:c r="L650">
        <x:v>37</x:v>
      </x:c>
      <x:c r="M650">
        <x:v>30</x:v>
      </x:c>
      <x:c r="N650">
        <x:v>53</x:v>
      </x:c>
      <x:c r="O650">
        <x:v>46</x:v>
      </x:c>
      <x:c r="P650">
        <x:v>73</x:v>
      </x:c>
      <x:c r="Q650">
        <x:v>55</x:v>
      </x:c>
      <x:c r="R650">
        <x:v>69</x:v>
      </x:c>
      <x:c r="S650">
        <x:v>68</x:v>
      </x:c>
      <x:c r="T650">
        <x:v>51</x:v>
      </x:c>
      <x:c r="U650">
        <x:v>55</x:v>
      </x:c>
    </x:row>
    <x:row r="651">
      <x:c r="A651" t="s">
        <x:v>1010</x:v>
      </x:c>
      <x:c r="C651" t="s">
        <x:v>331</x:v>
      </x:c>
      <x:c r="D651">
        <x:v>8483510</x:v>
      </x:c>
      <x:c r="E651">
        <x:v>75</x:v>
      </x:c>
      <x:c r="F651">
        <x:v>34</x:v>
      </x:c>
      <x:c r="G651">
        <x:v>86</x:v>
      </x:c>
      <x:c r="H651">
        <x:v>38</x:v>
      </x:c>
      <x:c r="I651">
        <x:v>77</x:v>
      </x:c>
      <x:c r="J651">
        <x:v>85</x:v>
      </x:c>
      <x:c r="K651">
        <x:v>83</x:v>
      </x:c>
      <x:c r="L651">
        <x:v>38</x:v>
      </x:c>
      <x:c r="M651">
        <x:v>30</x:v>
      </x:c>
      <x:c r="N651">
        <x:v>49</x:v>
      </x:c>
      <x:c r="O651">
        <x:v>48</x:v>
      </x:c>
      <x:c r="P651">
        <x:v>71</x:v>
      </x:c>
      <x:c r="Q651">
        <x:v>55</x:v>
      </x:c>
      <x:c r="R651">
        <x:v>65</x:v>
      </x:c>
      <x:c r="S651">
        <x:v>65</x:v>
      </x:c>
      <x:c r="T651">
        <x:v>51</x:v>
      </x:c>
      <x:c r="U651">
        <x:v>55</x:v>
      </x:c>
    </x:row>
    <x:row r="652">
      <x:c r="A652" t="s">
        <x:v>1011</x:v>
      </x:c>
      <x:c r="B652" t="s">
        <x:v>420</x:v>
      </x:c>
      <x:c r="C652" t="s">
        <x:v>323</x:v>
      </x:c>
      <x:c r="D652">
        <x:v>8480078</x:v>
      </x:c>
      <x:c r="E652">
        <x:v>60</x:v>
      </x:c>
      <x:c r="F652">
        <x:v>38</x:v>
      </x:c>
      <x:c r="G652">
        <x:v>83</x:v>
      </x:c>
      <x:c r="H652">
        <x:v>52</x:v>
      </x:c>
      <x:c r="I652">
        <x:v>80</x:v>
      </x:c>
      <x:c r="J652">
        <x:v>83</x:v>
      </x:c>
      <x:c r="K652">
        <x:v>40</x:v>
      </x:c>
      <x:c r="L652">
        <x:v>48</x:v>
      </x:c>
      <x:c r="M652">
        <x:v>86</x:v>
      </x:c>
      <x:c r="N652">
        <x:v>50</x:v>
      </x:c>
      <x:c r="O652">
        <x:v>56</x:v>
      </x:c>
      <x:c r="P652">
        <x:v>60</x:v>
      </x:c>
      <x:c r="Q652">
        <x:v>56</x:v>
      </x:c>
      <x:c r="R652">
        <x:v>73</x:v>
      </x:c>
      <x:c r="S652">
        <x:v>72</x:v>
      </x:c>
      <x:c r="T652">
        <x:v>51</x:v>
      </x:c>
      <x:c r="U652">
        <x:v>55</x:v>
      </x:c>
    </x:row>
    <x:row r="653">
      <x:c r="A653" t="s">
        <x:v>1012</x:v>
      </x:c>
      <x:c r="B653" t="s">
        <x:v>584</x:v>
      </x:c>
      <x:c r="C653" t="s">
        <x:v>331</x:v>
      </x:c>
      <x:c r="D653">
        <x:v>8479421</x:v>
      </x:c>
      <x:c r="E653">
        <x:v>67</x:v>
      </x:c>
      <x:c r="F653">
        <x:v>40</x:v>
      </x:c>
      <x:c r="G653">
        <x:v>95</x:v>
      </x:c>
      <x:c r="H653">
        <x:v>35</x:v>
      </x:c>
      <x:c r="I653">
        <x:v>83</x:v>
      </x:c>
      <x:c r="J653">
        <x:v>78</x:v>
      </x:c>
      <x:c r="K653">
        <x:v>46</x:v>
      </x:c>
      <x:c r="L653">
        <x:v>35</x:v>
      </x:c>
      <x:c r="M653">
        <x:v>30</x:v>
      </x:c>
      <x:c r="N653">
        <x:v>48</x:v>
      </x:c>
      <x:c r="O653">
        <x:v>46</x:v>
      </x:c>
      <x:c r="P653">
        <x:v>72</x:v>
      </x:c>
      <x:c r="Q653">
        <x:v>52</x:v>
      </x:c>
      <x:c r="R653">
        <x:v>70</x:v>
      </x:c>
      <x:c r="S653">
        <x:v>70</x:v>
      </x:c>
      <x:c r="T653">
        <x:v>51</x:v>
      </x:c>
      <x:c r="U653">
        <x:v>55</x:v>
      </x:c>
    </x:row>
    <x:row r="654">
      <x:c r="A654" t="s">
        <x:v>1013</x:v>
      </x:c>
      <x:c r="C654" t="s">
        <x:v>333</x:v>
      </x:c>
      <x:c r="D654">
        <x:v>8475752</x:v>
      </x:c>
      <x:c r="E654">
        <x:v>79</x:v>
      </x:c>
      <x:c r="F654">
        <x:v>68</x:v>
      </x:c>
      <x:c r="G654">
        <x:v>82</x:v>
      </x:c>
      <x:c r="H654">
        <x:v>47</x:v>
      </x:c>
      <x:c r="I654">
        <x:v>79</x:v>
      </x:c>
      <x:c r="J654">
        <x:v>78</x:v>
      </x:c>
      <x:c r="K654">
        <x:v>78</x:v>
      </x:c>
      <x:c r="L654">
        <x:v>47</x:v>
      </x:c>
      <x:c r="M654">
        <x:v>62</x:v>
      </x:c>
      <x:c r="N654">
        <x:v>47</x:v>
      </x:c>
      <x:c r="O654">
        <x:v>50</x:v>
      </x:c>
      <x:c r="P654">
        <x:v>62</x:v>
      </x:c>
      <x:c r="Q654">
        <x:v>56</x:v>
      </x:c>
      <x:c r="R654">
        <x:v>82</x:v>
      </x:c>
      <x:c r="S654">
        <x:v>83</x:v>
      </x:c>
      <x:c r="T654">
        <x:v>51</x:v>
      </x:c>
      <x:c r="U654">
        <x:v>55</x:v>
      </x:c>
    </x:row>
    <x:row r="655">
      <x:c r="A655" t="s">
        <x:v>1014</x:v>
      </x:c>
      <x:c r="B655" t="s">
        <x:v>337</x:v>
      </x:c>
      <x:c r="C655" t="s">
        <x:v>323</x:v>
      </x:c>
      <x:c r="D655">
        <x:v>8480806</x:v>
      </x:c>
      <x:c r="E655">
        <x:v>63</x:v>
      </x:c>
      <x:c r="F655">
        <x:v>35</x:v>
      </x:c>
      <x:c r="G655">
        <x:v>98</x:v>
      </x:c>
      <x:c r="H655">
        <x:v>52</x:v>
      </x:c>
      <x:c r="I655">
        <x:v>78</x:v>
      </x:c>
      <x:c r="J655">
        <x:v>83</x:v>
      </x:c>
      <x:c r="K655">
        <x:v>88</x:v>
      </x:c>
      <x:c r="L655">
        <x:v>49</x:v>
      </x:c>
      <x:c r="M655">
        <x:v>83</x:v>
      </x:c>
      <x:c r="N655">
        <x:v>51</x:v>
      </x:c>
      <x:c r="O655">
        <x:v>50</x:v>
      </x:c>
      <x:c r="P655">
        <x:v>71</x:v>
      </x:c>
      <x:c r="Q655">
        <x:v>52</x:v>
      </x:c>
      <x:c r="R655">
        <x:v>73</x:v>
      </x:c>
      <x:c r="S655">
        <x:v>69</x:v>
      </x:c>
      <x:c r="T655">
        <x:v>51</x:v>
      </x:c>
      <x:c r="U655">
        <x:v>55</x:v>
      </x:c>
    </x:row>
    <x:row r="656">
      <x:c r="A656" t="s">
        <x:v>1015</x:v>
      </x:c>
      <x:c r="C656" t="s">
        <x:v>331</x:v>
      </x:c>
      <x:c r="D656">
        <x:v>8483768</x:v>
      </x:c>
      <x:c r="E656">
        <x:v>73</x:v>
      </x:c>
      <x:c r="F656">
        <x:v>71</x:v>
      </x:c>
      <x:c r="G656">
        <x:v>94</x:v>
      </x:c>
      <x:c r="H656">
        <x:v>38</x:v>
      </x:c>
      <x:c r="I656">
        <x:v>85</x:v>
      </x:c>
      <x:c r="J656">
        <x:v>82</x:v>
      </x:c>
      <x:c r="K656">
        <x:v>81</x:v>
      </x:c>
      <x:c r="L656">
        <x:v>38</x:v>
      </x:c>
      <x:c r="M656">
        <x:v>30</x:v>
      </x:c>
      <x:c r="N656">
        <x:v>50</x:v>
      </x:c>
      <x:c r="O656">
        <x:v>46</x:v>
      </x:c>
      <x:c r="P656">
        <x:v>72</x:v>
      </x:c>
      <x:c r="Q656">
        <x:v>52</x:v>
      </x:c>
      <x:c r="R656">
        <x:v>68</x:v>
      </x:c>
      <x:c r="S656">
        <x:v>65</x:v>
      </x:c>
      <x:c r="T656">
        <x:v>51</x:v>
      </x:c>
      <x:c r="U656">
        <x:v>55</x:v>
      </x:c>
    </x:row>
    <x:row r="657">
      <x:c r="A657" t="s">
        <x:v>1016</x:v>
      </x:c>
      <x:c r="B657" t="s">
        <x:v>584</x:v>
      </x:c>
      <x:c r="C657" t="s">
        <x:v>333</x:v>
      </x:c>
      <x:c r="D657">
        <x:v>8474149</x:v>
      </x:c>
      <x:c r="E657">
        <x:v>59</x:v>
      </x:c>
      <x:c r="F657">
        <x:v>33</x:v>
      </x:c>
      <x:c r="G657">
        <x:v>96</x:v>
      </x:c>
      <x:c r="H657">
        <x:v>51</x:v>
      </x:c>
      <x:c r="I657">
        <x:v>76</x:v>
      </x:c>
      <x:c r="J657">
        <x:v>81</x:v>
      </x:c>
      <x:c r="K657">
        <x:v>56</x:v>
      </x:c>
      <x:c r="L657">
        <x:v>51</x:v>
      </x:c>
      <x:c r="M657">
        <x:v>62</x:v>
      </x:c>
      <x:c r="N657">
        <x:v>50</x:v>
      </x:c>
      <x:c r="O657">
        <x:v>52</x:v>
      </x:c>
      <x:c r="P657">
        <x:v>62</x:v>
      </x:c>
      <x:c r="Q657">
        <x:v>55</x:v>
      </x:c>
      <x:c r="R657">
        <x:v>87</x:v>
      </x:c>
      <x:c r="S657">
        <x:v>74</x:v>
      </x:c>
      <x:c r="T657">
        <x:v>51</x:v>
      </x:c>
      <x:c r="U657">
        <x:v>55</x:v>
      </x:c>
    </x:row>
    <x:row r="658">
      <x:c r="A658" t="s">
        <x:v>1017</x:v>
      </x:c>
      <x:c r="C658" t="s">
        <x:v>331</x:v>
      </x:c>
      <x:c r="D658">
        <x:v>8482144</x:v>
      </x:c>
      <x:c r="E658">
        <x:v>68</x:v>
      </x:c>
      <x:c r="F658">
        <x:v>38</x:v>
      </x:c>
      <x:c r="G658">
        <x:v>86</x:v>
      </x:c>
      <x:c r="H658">
        <x:v>35</x:v>
      </x:c>
      <x:c r="I658">
        <x:v>78</x:v>
      </x:c>
      <x:c r="J658">
        <x:v>82</x:v>
      </x:c>
      <x:c r="K658">
        <x:v>85</x:v>
      </x:c>
      <x:c r="L658">
        <x:v>36</x:v>
      </x:c>
      <x:c r="M658">
        <x:v>30</x:v>
      </x:c>
      <x:c r="N658">
        <x:v>50</x:v>
      </x:c>
      <x:c r="O658">
        <x:v>46</x:v>
      </x:c>
      <x:c r="P658">
        <x:v>73</x:v>
      </x:c>
      <x:c r="Q658">
        <x:v>51</x:v>
      </x:c>
      <x:c r="R658">
        <x:v>67</x:v>
      </x:c>
      <x:c r="S658">
        <x:v>67</x:v>
      </x:c>
      <x:c r="T658">
        <x:v>51</x:v>
      </x:c>
      <x:c r="U658">
        <x:v>55</x:v>
      </x:c>
    </x:row>
    <x:row r="659">
      <x:c r="A659" t="s">
        <x:v>1018</x:v>
      </x:c>
      <x:c r="B659" t="s">
        <x:v>396</x:v>
      </x:c>
      <x:c r="C659" t="s">
        <x:v>358</x:v>
      </x:c>
      <x:c r="D659">
        <x:v>8477527</x:v>
      </x:c>
      <x:c r="E659">
        <x:v>84</x:v>
      </x:c>
      <x:c r="F659">
        <x:v>94</x:v>
      </x:c>
      <x:c r="G659">
        <x:v>75</x:v>
      </x:c>
      <x:c r="H659">
        <x:v>47</x:v>
      </x:c>
      <x:c r="I659">
        <x:v>91</x:v>
      </x:c>
      <x:c r="J659">
        <x:v>81</x:v>
      </x:c>
      <x:c r="K659">
        <x:v>80</x:v>
      </x:c>
      <x:c r="L659">
        <x:v>48</x:v>
      </x:c>
      <x:c r="M659">
        <x:v>68</x:v>
      </x:c>
      <x:c r="N659">
        <x:v>51</x:v>
      </x:c>
      <x:c r="O659">
        <x:v>49</x:v>
      </x:c>
      <x:c r="P659">
        <x:v>60</x:v>
      </x:c>
      <x:c r="Q659">
        <x:v>52</x:v>
      </x:c>
      <x:c r="R659">
        <x:v>82</x:v>
      </x:c>
      <x:c r="S659">
        <x:v>75</x:v>
      </x:c>
      <x:c r="T659">
        <x:v>51</x:v>
      </x:c>
      <x:c r="U659">
        <x:v>55</x:v>
      </x:c>
    </x:row>
    <x:row r="660">
      <x:c r="A660" t="s">
        <x:v>1019</x:v>
      </x:c>
      <x:c r="B660" t="s">
        <x:v>400</x:v>
      </x:c>
      <x:c r="C660" t="s">
        <x:v>358</x:v>
      </x:c>
      <x:c r="D660">
        <x:v>8479981</x:v>
      </x:c>
      <x:c r="E660">
        <x:v>80</x:v>
      </x:c>
      <x:c r="F660">
        <x:v>89</x:v>
      </x:c>
      <x:c r="G660">
        <x:v>87</x:v>
      </x:c>
      <x:c r="H660">
        <x:v>47</x:v>
      </x:c>
      <x:c r="I660">
        <x:v>89</x:v>
      </x:c>
      <x:c r="J660">
        <x:v>77</x:v>
      </x:c>
      <x:c r="K660">
        <x:v>38</x:v>
      </x:c>
      <x:c r="L660">
        <x:v>48</x:v>
      </x:c>
      <x:c r="M660">
        <x:v>62</x:v>
      </x:c>
      <x:c r="N660">
        <x:v>53</x:v>
      </x:c>
      <x:c r="O660">
        <x:v>50</x:v>
      </x:c>
      <x:c r="P660">
        <x:v>61</x:v>
      </x:c>
      <x:c r="Q660">
        <x:v>52</x:v>
      </x:c>
      <x:c r="R660">
        <x:v>73</x:v>
      </x:c>
      <x:c r="S660">
        <x:v>68</x:v>
      </x:c>
      <x:c r="T660">
        <x:v>51</x:v>
      </x:c>
      <x:c r="U660">
        <x:v>55</x:v>
      </x:c>
    </x:row>
    <x:row r="661">
      <x:c r="A661" t="s">
        <x:v>1020</x:v>
      </x:c>
      <x:c r="C661" t="s">
        <x:v>331</x:v>
      </x:c>
      <x:c r="D661">
        <x:v>8484759</x:v>
      </x:c>
      <x:c r="E661">
        <x:v>79</x:v>
      </x:c>
      <x:c r="F661">
        <x:v>38</x:v>
      </x:c>
      <x:c r="G661">
        <x:v>82</x:v>
      </x:c>
      <x:c r="H661">
        <x:v>36</x:v>
      </x:c>
      <x:c r="I661">
        <x:v>86</x:v>
      </x:c>
      <x:c r="J661">
        <x:v>81</x:v>
      </x:c>
      <x:c r="K661">
        <x:v>85</x:v>
      </x:c>
      <x:c r="L661">
        <x:v>37</x:v>
      </x:c>
      <x:c r="M661">
        <x:v>30</x:v>
      </x:c>
      <x:c r="N661">
        <x:v>51</x:v>
      </x:c>
      <x:c r="O661">
        <x:v>44</x:v>
      </x:c>
      <x:c r="P661">
        <x:v>71</x:v>
      </x:c>
      <x:c r="Q661">
        <x:v>53</x:v>
      </x:c>
      <x:c r="R661">
        <x:v>65</x:v>
      </x:c>
      <x:c r="S661">
        <x:v>65</x:v>
      </x:c>
      <x:c r="T661">
        <x:v>51</x:v>
      </x:c>
      <x:c r="U661">
        <x:v>55</x:v>
      </x:c>
    </x:row>
    <x:row r="662">
      <x:c r="A662" t="s">
        <x:v>1021</x:v>
      </x:c>
      <x:c r="B662" t="s">
        <x:v>327</x:v>
      </x:c>
      <x:c r="C662" t="s">
        <x:v>326</x:v>
      </x:c>
      <x:c r="D662">
        <x:v>8477149</x:v>
      </x:c>
      <x:c r="E662">
        <x:v>77</x:v>
      </x:c>
      <x:c r="F662">
        <x:v>91</x:v>
      </x:c>
      <x:c r="G662">
        <x:v>61</x:v>
      </x:c>
      <x:c r="H662">
        <x:v>46</x:v>
      </x:c>
      <x:c r="I662">
        <x:v>86</x:v>
      </x:c>
      <x:c r="J662">
        <x:v>80</x:v>
      </x:c>
      <x:c r="K662">
        <x:v>79</x:v>
      </x:c>
      <x:c r="L662">
        <x:v>46</x:v>
      </x:c>
      <x:c r="M662">
        <x:v>60</x:v>
      </x:c>
      <x:c r="N662">
        <x:v>51</x:v>
      </x:c>
      <x:c r="O662">
        <x:v>50</x:v>
      </x:c>
      <x:c r="P662">
        <x:v>61</x:v>
      </x:c>
      <x:c r="Q662">
        <x:v>55</x:v>
      </x:c>
      <x:c r="R662">
        <x:v>80</x:v>
      </x:c>
      <x:c r="S662">
        <x:v>80</x:v>
      </x:c>
      <x:c r="T662">
        <x:v>51</x:v>
      </x:c>
      <x:c r="U662">
        <x:v>55</x:v>
      </x:c>
    </x:row>
    <x:row r="663">
      <x:c r="A663" t="s">
        <x:v>1022</x:v>
      </x:c>
      <x:c r="C663" t="s">
        <x:v>331</x:v>
      </x:c>
      <x:c r="D663">
        <x:v>8480157</x:v>
      </x:c>
      <x:c r="E663">
        <x:v>64</x:v>
      </x:c>
      <x:c r="F663">
        <x:v>37</x:v>
      </x:c>
      <x:c r="G663">
        <x:v>87</x:v>
      </x:c>
      <x:c r="H663">
        <x:v>36</x:v>
      </x:c>
      <x:c r="I663">
        <x:v>79</x:v>
      </x:c>
      <x:c r="J663">
        <x:v>90</x:v>
      </x:c>
      <x:c r="K663">
        <x:v>94</x:v>
      </x:c>
      <x:c r="L663">
        <x:v>37</x:v>
      </x:c>
      <x:c r="M663">
        <x:v>30</x:v>
      </x:c>
      <x:c r="N663">
        <x:v>48</x:v>
      </x:c>
      <x:c r="O663">
        <x:v>42</x:v>
      </x:c>
      <x:c r="P663">
        <x:v>70</x:v>
      </x:c>
      <x:c r="Q663">
        <x:v>51</x:v>
      </x:c>
      <x:c r="R663">
        <x:v>76</x:v>
      </x:c>
      <x:c r="S663">
        <x:v>75</x:v>
      </x:c>
      <x:c r="T663">
        <x:v>51</x:v>
      </x:c>
      <x:c r="U663">
        <x:v>55</x:v>
      </x:c>
    </x:row>
    <x:row r="664">
      <x:c r="A664" t="s">
        <x:v>1023</x:v>
      </x:c>
      <x:c r="C664" t="s">
        <x:v>331</x:v>
      </x:c>
      <x:c r="D664">
        <x:v>8479439</x:v>
      </x:c>
      <x:c r="E664">
        <x:v>74</x:v>
      </x:c>
      <x:c r="F664">
        <x:v>79</x:v>
      </x:c>
      <x:c r="G664">
        <x:v>90</x:v>
      </x:c>
      <x:c r="H664">
        <x:v>35</x:v>
      </x:c>
      <x:c r="I664">
        <x:v>80</x:v>
      </x:c>
      <x:c r="J664">
        <x:v>77</x:v>
      </x:c>
      <x:c r="K664">
        <x:v>78</x:v>
      </x:c>
      <x:c r="L664">
        <x:v>36</x:v>
      </x:c>
      <x:c r="M664">
        <x:v>30</x:v>
      </x:c>
      <x:c r="N664">
        <x:v>49</x:v>
      </x:c>
      <x:c r="O664">
        <x:v>48</x:v>
      </x:c>
      <x:c r="P664">
        <x:v>72</x:v>
      </x:c>
      <x:c r="Q664">
        <x:v>53</x:v>
      </x:c>
      <x:c r="R664">
        <x:v>78</x:v>
      </x:c>
      <x:c r="S664">
        <x:v>79</x:v>
      </x:c>
      <x:c r="T664">
        <x:v>47</x:v>
      </x:c>
      <x:c r="U664">
        <x:v>55</x:v>
      </x:c>
    </x:row>
    <x:row r="665">
      <x:c r="A665" t="s">
        <x:v>1024</x:v>
      </x:c>
      <x:c r="B665" t="s">
        <x:v>393</x:v>
      </x:c>
      <x:c r="C665" t="s">
        <x:v>358</x:v>
      </x:c>
      <x:c r="D665">
        <x:v>8482408</x:v>
      </x:c>
      <x:c r="E665">
        <x:v>81</x:v>
      </x:c>
      <x:c r="F665">
        <x:v>81</x:v>
      </x:c>
      <x:c r="G665">
        <x:v>79</x:v>
      </x:c>
      <x:c r="H665">
        <x:v>47</x:v>
      </x:c>
      <x:c r="I665">
        <x:v>85</x:v>
      </x:c>
      <x:c r="J665">
        <x:v>80</x:v>
      </x:c>
      <x:c r="K665">
        <x:v>81</x:v>
      </x:c>
      <x:c r="L665">
        <x:v>47</x:v>
      </x:c>
      <x:c r="M665">
        <x:v>66</x:v>
      </x:c>
      <x:c r="N665">
        <x:v>50</x:v>
      </x:c>
      <x:c r="O665">
        <x:v>49</x:v>
      </x:c>
      <x:c r="P665">
        <x:v>61</x:v>
      </x:c>
      <x:c r="Q665">
        <x:v>52</x:v>
      </x:c>
      <x:c r="R665">
        <x:v>72</x:v>
      </x:c>
      <x:c r="S665">
        <x:v>72</x:v>
      </x:c>
      <x:c r="T665">
        <x:v>54</x:v>
      </x:c>
      <x:c r="U665">
        <x:v>55</x:v>
      </x:c>
    </x:row>
    <x:row r="666">
      <x:c r="A666" t="s">
        <x:v>1025</x:v>
      </x:c>
      <x:c r="C666" t="s">
        <x:v>331</x:v>
      </x:c>
      <x:c r="D666">
        <x:v>8482067</x:v>
      </x:c>
      <x:c r="E666">
        <x:v>78</x:v>
      </x:c>
      <x:c r="F666">
        <x:v>34</x:v>
      </x:c>
      <x:c r="G666">
        <x:v>75</x:v>
      </x:c>
      <x:c r="H666">
        <x:v>33</x:v>
      </x:c>
      <x:c r="I666">
        <x:v>83</x:v>
      </x:c>
      <x:c r="J666">
        <x:v>87</x:v>
      </x:c>
      <x:c r="K666">
        <x:v>90</x:v>
      </x:c>
      <x:c r="L666">
        <x:v>32</x:v>
      </x:c>
      <x:c r="M666">
        <x:v>30</x:v>
      </x:c>
      <x:c r="N666">
        <x:v>43</x:v>
      </x:c>
      <x:c r="O666">
        <x:v>41</x:v>
      </x:c>
      <x:c r="P666">
        <x:v>70</x:v>
      </x:c>
      <x:c r="Q666">
        <x:v>47</x:v>
      </x:c>
      <x:c r="R666">
        <x:v>72</x:v>
      </x:c>
      <x:c r="S666">
        <x:v>73</x:v>
      </x:c>
      <x:c r="T666">
        <x:v>51</x:v>
      </x:c>
      <x:c r="U666">
        <x:v>55</x:v>
      </x:c>
    </x:row>
    <x:row r="667">
      <x:c r="A667" t="s">
        <x:v>1026</x:v>
      </x:c>
      <x:c r="B667" t="s">
        <x:v>427</x:v>
      </x:c>
      <x:c r="C667" t="s">
        <x:v>339</x:v>
      </x:c>
      <x:c r="D667">
        <x:v>8482703</x:v>
      </x:c>
      <x:c r="E667">
        <x:v>88</x:v>
      </x:c>
      <x:c r="F667">
        <x:v>83</x:v>
      </x:c>
      <x:c r="G667">
        <x:v>82</x:v>
      </x:c>
      <x:c r="H667">
        <x:v>47</x:v>
      </x:c>
      <x:c r="I667">
        <x:v>84</x:v>
      </x:c>
      <x:c r="J667">
        <x:v>82</x:v>
      </x:c>
      <x:c r="K667">
        <x:v>80</x:v>
      </x:c>
      <x:c r="L667">
        <x:v>47</x:v>
      </x:c>
      <x:c r="M667">
        <x:v>71</x:v>
      </x:c>
      <x:c r="N667">
        <x:v>51</x:v>
      </x:c>
      <x:c r="O667">
        <x:v>51</x:v>
      </x:c>
      <x:c r="P667">
        <x:v>61</x:v>
      </x:c>
      <x:c r="Q667">
        <x:v>52</x:v>
      </x:c>
      <x:c r="R667">
        <x:v>67</x:v>
      </x:c>
      <x:c r="S667">
        <x:v>65</x:v>
      </x:c>
      <x:c r="T667">
        <x:v>51</x:v>
      </x:c>
      <x:c r="U667">
        <x:v>55</x:v>
      </x:c>
    </x:row>
    <x:row r="668">
      <x:c r="A668" t="s">
        <x:v>1027</x:v>
      </x:c>
      <x:c r="C668" t="s">
        <x:v>358</x:v>
      </x:c>
      <x:c r="D668">
        <x:v>8483731</x:v>
      </x:c>
      <x:c r="E668">
        <x:v>62</x:v>
      </x:c>
      <x:c r="F668">
        <x:v>34</x:v>
      </x:c>
      <x:c r="G668">
        <x:v>92</x:v>
      </x:c>
      <x:c r="H668">
        <x:v>51</x:v>
      </x:c>
      <x:c r="I668">
        <x:v>77</x:v>
      </x:c>
      <x:c r="J668">
        <x:v>80</x:v>
      </x:c>
      <x:c r="K668">
        <x:v>75</x:v>
      </x:c>
      <x:c r="L668">
        <x:v>51</x:v>
      </x:c>
      <x:c r="M668">
        <x:v>61</x:v>
      </x:c>
      <x:c r="N668">
        <x:v>50</x:v>
      </x:c>
      <x:c r="O668">
        <x:v>54</x:v>
      </x:c>
      <x:c r="P668">
        <x:v>58</x:v>
      </x:c>
      <x:c r="Q668">
        <x:v>51</x:v>
      </x:c>
      <x:c r="R668">
        <x:v>68</x:v>
      </x:c>
      <x:c r="S668">
        <x:v>69</x:v>
      </x:c>
      <x:c r="T668">
        <x:v>54</x:v>
      </x:c>
      <x:c r="U668">
        <x:v>55</x:v>
      </x:c>
    </x:row>
    <x:row r="669">
      <x:c r="A669" t="s">
        <x:v>1028</x:v>
      </x:c>
      <x:c r="C669" t="s">
        <x:v>326</x:v>
      </x:c>
      <x:c r="D669">
        <x:v>8481517</x:v>
      </x:c>
      <x:c r="E669">
        <x:v>70</x:v>
      </x:c>
      <x:c r="F669">
        <x:v>37</x:v>
      </x:c>
      <x:c r="G669">
        <x:v>82</x:v>
      </x:c>
      <x:c r="H669">
        <x:v>46</x:v>
      </x:c>
      <x:c r="I669">
        <x:v>88</x:v>
      </x:c>
      <x:c r="J669">
        <x:v>84</x:v>
      </x:c>
      <x:c r="K669">
        <x:v>87</x:v>
      </x:c>
      <x:c r="L669">
        <x:v>46</x:v>
      </x:c>
      <x:c r="M669">
        <x:v>73</x:v>
      </x:c>
      <x:c r="N669">
        <x:v>52</x:v>
      </x:c>
      <x:c r="O669">
        <x:v>52</x:v>
      </x:c>
      <x:c r="P669">
        <x:v>66</x:v>
      </x:c>
      <x:c r="Q669">
        <x:v>68</x:v>
      </x:c>
      <x:c r="R669">
        <x:v>72</x:v>
      </x:c>
      <x:c r="S669">
        <x:v>69</x:v>
      </x:c>
      <x:c r="T669">
        <x:v>51</x:v>
      </x:c>
      <x:c r="U669">
        <x:v>55</x:v>
      </x:c>
    </x:row>
    <x:row r="670">
      <x:c r="A670" t="s">
        <x:v>1029</x:v>
      </x:c>
      <x:c r="B670" t="s">
        <x:v>383</x:v>
      </x:c>
      <x:c r="C670" t="s">
        <x:v>319</x:v>
      </x:c>
      <x:c r="D670">
        <x:v>8480813</x:v>
      </x:c>
      <x:c r="E670">
        <x:v>80</x:v>
      </x:c>
      <x:c r="F670">
        <x:v>55</x:v>
      </x:c>
      <x:c r="G670">
        <x:v>93</x:v>
      </x:c>
      <x:c r="H670">
        <x:v>49</x:v>
      </x:c>
      <x:c r="I670">
        <x:v>80</x:v>
      </x:c>
      <x:c r="J670">
        <x:v>83</x:v>
      </x:c>
      <x:c r="K670">
        <x:v>82</x:v>
      </x:c>
      <x:c r="L670">
        <x:v>49</x:v>
      </x:c>
      <x:c r="M670">
        <x:v>83</x:v>
      </x:c>
      <x:c r="N670">
        <x:v>49</x:v>
      </x:c>
      <x:c r="O670">
        <x:v>50</x:v>
      </x:c>
      <x:c r="P670">
        <x:v>67</x:v>
      </x:c>
      <x:c r="Q670">
        <x:v>52</x:v>
      </x:c>
      <x:c r="R670">
        <x:v>71</x:v>
      </x:c>
      <x:c r="S670">
        <x:v>71</x:v>
      </x:c>
      <x:c r="T670">
        <x:v>51</x:v>
      </x:c>
      <x:c r="U670">
        <x:v>55</x:v>
      </x:c>
    </x:row>
    <x:row r="671">
      <x:c r="A671" t="s">
        <x:v>1030</x:v>
      </x:c>
      <x:c r="B671" t="s">
        <x:v>343</x:v>
      </x:c>
      <x:c r="C671" t="s">
        <x:v>339</x:v>
      </x:c>
      <x:c r="D671">
        <x:v>8480829</x:v>
      </x:c>
      <x:c r="E671">
        <x:v>69</x:v>
      </x:c>
      <x:c r="F671">
        <x:v>47</x:v>
      </x:c>
      <x:c r="G671">
        <x:v>90</x:v>
      </x:c>
      <x:c r="H671">
        <x:v>49</x:v>
      </x:c>
      <x:c r="I671">
        <x:v>84</x:v>
      </x:c>
      <x:c r="J671">
        <x:v>82</x:v>
      </x:c>
      <x:c r="K671">
        <x:v>76</x:v>
      </x:c>
      <x:c r="L671">
        <x:v>51</x:v>
      </x:c>
      <x:c r="M671">
        <x:v>84</x:v>
      </x:c>
      <x:c r="N671">
        <x:v>52</x:v>
      </x:c>
      <x:c r="O671">
        <x:v>51</x:v>
      </x:c>
      <x:c r="P671">
        <x:v>62</x:v>
      </x:c>
      <x:c r="Q671">
        <x:v>58</x:v>
      </x:c>
      <x:c r="R671">
        <x:v>72</x:v>
      </x:c>
      <x:c r="S671">
        <x:v>70</x:v>
      </x:c>
      <x:c r="T671">
        <x:v>51</x:v>
      </x:c>
      <x:c r="U671">
        <x:v>55</x:v>
      </x:c>
    </x:row>
    <x:row r="672">
      <x:c r="A672" t="s">
        <x:v>1031</x:v>
      </x:c>
      <x:c r="C672" t="s">
        <x:v>331</x:v>
      </x:c>
      <x:c r="D672">
        <x:v>8483398</x:v>
      </x:c>
      <x:c r="E672">
        <x:v>74</x:v>
      </x:c>
      <x:c r="F672">
        <x:v>73</x:v>
      </x:c>
      <x:c r="G672">
        <x:v>79</x:v>
      </x:c>
      <x:c r="H672">
        <x:v>37</x:v>
      </x:c>
      <x:c r="I672">
        <x:v>81</x:v>
      </x:c>
      <x:c r="J672">
        <x:v>85</x:v>
      </x:c>
      <x:c r="K672">
        <x:v>83</x:v>
      </x:c>
      <x:c r="L672">
        <x:v>37</x:v>
      </x:c>
      <x:c r="M672">
        <x:v>30</x:v>
      </x:c>
      <x:c r="N672">
        <x:v>47</x:v>
      </x:c>
      <x:c r="O672">
        <x:v>47</x:v>
      </x:c>
      <x:c r="P672">
        <x:v>74</x:v>
      </x:c>
      <x:c r="Q672">
        <x:v>54</x:v>
      </x:c>
      <x:c r="R672">
        <x:v>69</x:v>
      </x:c>
      <x:c r="S672">
        <x:v>69</x:v>
      </x:c>
      <x:c r="T672">
        <x:v>51</x:v>
      </x:c>
      <x:c r="U672">
        <x:v>55</x:v>
      </x:c>
    </x:row>
    <x:row r="673">
      <x:c r="A673" t="s">
        <x:v>1032</x:v>
      </x:c>
      <x:c r="C673" t="s">
        <x:v>331</x:v>
      </x:c>
      <x:c r="D673">
        <x:v>8477467</x:v>
      </x:c>
      <x:c r="E673">
        <x:v>79</x:v>
      </x:c>
      <x:c r="F673">
        <x:v>40</x:v>
      </x:c>
      <x:c r="G673">
        <x:v>84</x:v>
      </x:c>
      <x:c r="H673">
        <x:v>36</x:v>
      </x:c>
      <x:c r="I673">
        <x:v>82</x:v>
      </x:c>
      <x:c r="J673">
        <x:v>81</x:v>
      </x:c>
      <x:c r="K673">
        <x:v>83</x:v>
      </x:c>
      <x:c r="L673">
        <x:v>37</x:v>
      </x:c>
      <x:c r="M673">
        <x:v>30</x:v>
      </x:c>
      <x:c r="N673">
        <x:v>50</x:v>
      </x:c>
      <x:c r="O673">
        <x:v>41</x:v>
      </x:c>
      <x:c r="P673">
        <x:v>70</x:v>
      </x:c>
      <x:c r="Q673">
        <x:v>51</x:v>
      </x:c>
      <x:c r="R673">
        <x:v>76</x:v>
      </x:c>
      <x:c r="S673">
        <x:v>76</x:v>
      </x:c>
      <x:c r="T673">
        <x:v>51</x:v>
      </x:c>
      <x:c r="U673">
        <x:v>55</x:v>
      </x:c>
    </x:row>
    <x:row r="674">
      <x:c r="A674" t="s">
        <x:v>1033</x:v>
      </x:c>
      <x:c r="B674" t="s">
        <x:v>386</x:v>
      </x:c>
      <x:c r="C674" t="s">
        <x:v>358</x:v>
      </x:c>
      <x:c r="D674">
        <x:v>8475235</x:v>
      </x:c>
      <x:c r="E674">
        <x:v>88</x:v>
      </x:c>
      <x:c r="F674">
        <x:v>93</x:v>
      </x:c>
      <x:c r="G674">
        <x:v>88</x:v>
      </x:c>
      <x:c r="H674">
        <x:v>46</x:v>
      </x:c>
      <x:c r="I674">
        <x:v>89</x:v>
      </x:c>
      <x:c r="J674">
        <x:v>78</x:v>
      </x:c>
      <x:c r="K674">
        <x:v>62</x:v>
      </x:c>
      <x:c r="L674">
        <x:v>46</x:v>
      </x:c>
      <x:c r="M674">
        <x:v>69</x:v>
      </x:c>
      <x:c r="N674">
        <x:v>49</x:v>
      </x:c>
      <x:c r="O674">
        <x:v>48</x:v>
      </x:c>
      <x:c r="P674">
        <x:v>60</x:v>
      </x:c>
      <x:c r="Q674">
        <x:v>52</x:v>
      </x:c>
      <x:c r="R674">
        <x:v>85</x:v>
      </x:c>
      <x:c r="S674">
        <x:v>77</x:v>
      </x:c>
      <x:c r="T674">
        <x:v>51</x:v>
      </x:c>
      <x:c r="U674">
        <x:v>55</x:v>
      </x:c>
    </x:row>
    <x:row r="675">
      <x:c r="A675" t="s">
        <x:v>1034</x:v>
      </x:c>
      <x:c r="C675" t="s">
        <x:v>331</x:v>
      </x:c>
      <x:c r="D675">
        <x:v>8480058</x:v>
      </x:c>
      <x:c r="E675">
        <x:v>69</x:v>
      </x:c>
      <x:c r="F675">
        <x:v>42</x:v>
      </x:c>
      <x:c r="G675">
        <x:v>88</x:v>
      </x:c>
      <x:c r="H675">
        <x:v>37</x:v>
      </x:c>
      <x:c r="I675">
        <x:v>78</x:v>
      </x:c>
      <x:c r="J675">
        <x:v>83</x:v>
      </x:c>
      <x:c r="K675">
        <x:v>66</x:v>
      </x:c>
      <x:c r="L675">
        <x:v>38</x:v>
      </x:c>
      <x:c r="M675">
        <x:v>30</x:v>
      </x:c>
      <x:c r="N675">
        <x:v>51</x:v>
      </x:c>
      <x:c r="O675">
        <x:v>46</x:v>
      </x:c>
      <x:c r="P675">
        <x:v>74</x:v>
      </x:c>
      <x:c r="Q675">
        <x:v>52</x:v>
      </x:c>
      <x:c r="R675">
        <x:v>72</x:v>
      </x:c>
      <x:c r="S675">
        <x:v>69</x:v>
      </x:c>
      <x:c r="T675">
        <x:v>47</x:v>
      </x:c>
      <x:c r="U675">
        <x:v>55</x:v>
      </x:c>
    </x:row>
    <x:row r="676">
      <x:c r="A676" t="s">
        <x:v>1035</x:v>
      </x:c>
      <x:c r="C676" t="s">
        <x:v>331</x:v>
      </x:c>
      <x:c r="D676">
        <x:v>8479026</x:v>
      </x:c>
      <x:c r="E676">
        <x:v>77</x:v>
      </x:c>
      <x:c r="F676">
        <x:v>49</x:v>
      </x:c>
      <x:c r="G676">
        <x:v>81</x:v>
      </x:c>
      <x:c r="H676">
        <x:v>36</x:v>
      </x:c>
      <x:c r="I676">
        <x:v>88</x:v>
      </x:c>
      <x:c r="J676">
        <x:v>84</x:v>
      </x:c>
      <x:c r="K676">
        <x:v>72</x:v>
      </x:c>
      <x:c r="L676">
        <x:v>36</x:v>
      </x:c>
      <x:c r="M676">
        <x:v>30</x:v>
      </x:c>
      <x:c r="N676">
        <x:v>48</x:v>
      </x:c>
      <x:c r="O676">
        <x:v>45</x:v>
      </x:c>
      <x:c r="P676">
        <x:v>75</x:v>
      </x:c>
      <x:c r="Q676">
        <x:v>53</x:v>
      </x:c>
      <x:c r="R676">
        <x:v>75</x:v>
      </x:c>
      <x:c r="S676">
        <x:v>71</x:v>
      </x:c>
      <x:c r="T676">
        <x:v>51</x:v>
      </x:c>
      <x:c r="U676">
        <x:v>55</x:v>
      </x:c>
    </x:row>
    <x:row r="677">
      <x:c r="A677" t="s">
        <x:v>1036</x:v>
      </x:c>
      <x:c r="B677" t="s">
        <x:v>584</x:v>
      </x:c>
      <x:c r="C677" t="s">
        <x:v>331</x:v>
      </x:c>
      <x:c r="D677">
        <x:v>8475246</x:v>
      </x:c>
      <x:c r="E677">
        <x:v>78</x:v>
      </x:c>
      <x:c r="F677">
        <x:v>35</x:v>
      </x:c>
      <x:c r="G677">
        <x:v>79</x:v>
      </x:c>
      <x:c r="H677">
        <x:v>32</x:v>
      </x:c>
      <x:c r="I677">
        <x:v>83</x:v>
      </x:c>
      <x:c r="J677">
        <x:v>79</x:v>
      </x:c>
      <x:c r="K677">
        <x:v>80</x:v>
      </x:c>
      <x:c r="L677">
        <x:v>33</x:v>
      </x:c>
      <x:c r="M677">
        <x:v>30</x:v>
      </x:c>
      <x:c r="N677">
        <x:v>42</x:v>
      </x:c>
      <x:c r="O677">
        <x:v>38</x:v>
      </x:c>
      <x:c r="P677">
        <x:v>69</x:v>
      </x:c>
      <x:c r="Q677">
        <x:v>45</x:v>
      </x:c>
      <x:c r="R677">
        <x:v>83</x:v>
      </x:c>
      <x:c r="S677">
        <x:v>79</x:v>
      </x:c>
      <x:c r="T677">
        <x:v>51</x:v>
      </x:c>
      <x:c r="U677">
        <x:v>55</x:v>
      </x:c>
    </x:row>
    <x:row r="678">
      <x:c r="A678" t="s">
        <x:v>1037</x:v>
      </x:c>
      <x:c r="B678" t="s">
        <x:v>334</x:v>
      </x:c>
      <x:c r="C678" t="s">
        <x:v>329</x:v>
      </x:c>
      <x:c r="D678">
        <x:v>8482634</x:v>
      </x:c>
      <x:c r="E678">
        <x:v>88</x:v>
      </x:c>
      <x:c r="F678">
        <x:v>72</x:v>
      </x:c>
      <x:c r="G678">
        <x:v>81</x:v>
      </x:c>
      <x:c r="H678">
        <x:v>52</x:v>
      </x:c>
      <x:c r="I678">
        <x:v>81</x:v>
      </x:c>
      <x:c r="J678">
        <x:v>84</x:v>
      </x:c>
      <x:c r="K678">
        <x:v>79</x:v>
      </x:c>
      <x:c r="L678">
        <x:v>52</x:v>
      </x:c>
      <x:c r="M678">
        <x:v>68</x:v>
      </x:c>
      <x:c r="N678">
        <x:v>50</x:v>
      </x:c>
      <x:c r="O678">
        <x:v>55</x:v>
      </x:c>
      <x:c r="P678">
        <x:v>64</x:v>
      </x:c>
      <x:c r="Q678">
        <x:v>57</x:v>
      </x:c>
      <x:c r="R678">
        <x:v>69</x:v>
      </x:c>
      <x:c r="S678">
        <x:v>69</x:v>
      </x:c>
      <x:c r="T678">
        <x:v>51</x:v>
      </x:c>
      <x:c r="U678">
        <x:v>55</x:v>
      </x:c>
    </x:row>
    <x:row r="679">
      <x:c r="A679" t="s">
        <x:v>1038</x:v>
      </x:c>
      <x:c r="B679" t="s">
        <x:v>324</x:v>
      </x:c>
      <x:c r="C679" t="s">
        <x:v>339</x:v>
      </x:c>
      <x:c r="D679">
        <x:v>8482768</x:v>
      </x:c>
      <x:c r="E679">
        <x:v>64</x:v>
      </x:c>
      <x:c r="F679">
        <x:v>35</x:v>
      </x:c>
      <x:c r="G679">
        <x:v>89</x:v>
      </x:c>
      <x:c r="H679">
        <x:v>51</x:v>
      </x:c>
      <x:c r="I679">
        <x:v>78</x:v>
      </x:c>
      <x:c r="J679">
        <x:v>83</x:v>
      </x:c>
      <x:c r="K679">
        <x:v>85</x:v>
      </x:c>
      <x:c r="L679">
        <x:v>51</x:v>
      </x:c>
      <x:c r="M679">
        <x:v>80</x:v>
      </x:c>
      <x:c r="N679">
        <x:v>52</x:v>
      </x:c>
      <x:c r="O679">
        <x:v>51</x:v>
      </x:c>
      <x:c r="P679">
        <x:v>63</x:v>
      </x:c>
      <x:c r="Q679">
        <x:v>52</x:v>
      </x:c>
      <x:c r="R679">
        <x:v>67</x:v>
      </x:c>
      <x:c r="S679">
        <x:v>66</x:v>
      </x:c>
      <x:c r="T679">
        <x:v>54</x:v>
      </x:c>
      <x:c r="U679">
        <x:v>55</x:v>
      </x:c>
    </x:row>
    <x:row r="680">
      <x:c r="A680" t="s">
        <x:v>1039</x:v>
      </x:c>
      <x:c r="C680" t="s">
        <x:v>331</x:v>
      </x:c>
      <x:c r="D680">
        <x:v>8476979</x:v>
      </x:c>
      <x:c r="E680">
        <x:v>72</x:v>
      </x:c>
      <x:c r="F680">
        <x:v>39</x:v>
      </x:c>
      <x:c r="G680">
        <x:v>82</x:v>
      </x:c>
      <x:c r="H680">
        <x:v>37</x:v>
      </x:c>
      <x:c r="I680">
        <x:v>77</x:v>
      </x:c>
      <x:c r="J680">
        <x:v>81</x:v>
      </x:c>
      <x:c r="K680">
        <x:v>82</x:v>
      </x:c>
      <x:c r="L680">
        <x:v>36</x:v>
      </x:c>
      <x:c r="M680">
        <x:v>30</x:v>
      </x:c>
      <x:c r="N680">
        <x:v>53</x:v>
      </x:c>
      <x:c r="O680">
        <x:v>47</x:v>
      </x:c>
      <x:c r="P680">
        <x:v>74</x:v>
      </x:c>
      <x:c r="Q680">
        <x:v>55</x:v>
      </x:c>
      <x:c r="R680">
        <x:v>86</x:v>
      </x:c>
      <x:c r="S680">
        <x:v>73</x:v>
      </x:c>
      <x:c r="T680">
        <x:v>47</x:v>
      </x:c>
      <x:c r="U680">
        <x:v>55</x:v>
      </x:c>
    </x:row>
    <x:row r="681">
      <x:c r="A681" t="s">
        <x:v>1040</x:v>
      </x:c>
      <x:c r="C681" t="s">
        <x:v>319</x:v>
      </x:c>
      <x:c r="D681">
        <x:v>8477070</x:v>
      </x:c>
      <x:c r="E681">
        <x:v>84</x:v>
      </x:c>
      <x:c r="F681">
        <x:v>88</x:v>
      </x:c>
      <x:c r="G681">
        <x:v>75</x:v>
      </x:c>
      <x:c r="H681">
        <x:v>47</x:v>
      </x:c>
      <x:c r="I681">
        <x:v>84</x:v>
      </x:c>
      <x:c r="J681">
        <x:v>79</x:v>
      </x:c>
      <x:c r="K681">
        <x:v>67</x:v>
      </x:c>
      <x:c r="L681">
        <x:v>46</x:v>
      </x:c>
      <x:c r="M681">
        <x:v>69</x:v>
      </x:c>
      <x:c r="N681">
        <x:v>49</x:v>
      </x:c>
      <x:c r="O681">
        <x:v>51</x:v>
      </x:c>
      <x:c r="P681">
        <x:v>61</x:v>
      </x:c>
      <x:c r="Q681">
        <x:v>52</x:v>
      </x:c>
      <x:c r="R681">
        <x:v>79</x:v>
      </x:c>
      <x:c r="S681">
        <x:v>72</x:v>
      </x:c>
      <x:c r="T681">
        <x:v>51</x:v>
      </x:c>
      <x:c r="U681">
        <x:v>55</x:v>
      </x:c>
    </x:row>
    <x:row r="682">
      <x:c r="A682" t="s">
        <x:v>1041</x:v>
      </x:c>
      <x:c r="C682" t="s">
        <x:v>331</x:v>
      </x:c>
      <x:c r="D682">
        <x:v>8480196</x:v>
      </x:c>
      <x:c r="E682">
        <x:v>67</x:v>
      </x:c>
      <x:c r="F682">
        <x:v>32</x:v>
      </x:c>
      <x:c r="G682">
        <x:v>93</x:v>
      </x:c>
      <x:c r="H682">
        <x:v>37</x:v>
      </x:c>
      <x:c r="I682">
        <x:v>74</x:v>
      </x:c>
      <x:c r="J682">
        <x:v>82</x:v>
      </x:c>
      <x:c r="K682">
        <x:v>77</x:v>
      </x:c>
      <x:c r="L682">
        <x:v>38</x:v>
      </x:c>
      <x:c r="M682">
        <x:v>30</x:v>
      </x:c>
      <x:c r="N682">
        <x:v>51</x:v>
      </x:c>
      <x:c r="O682">
        <x:v>46</x:v>
      </x:c>
      <x:c r="P682">
        <x:v>74</x:v>
      </x:c>
      <x:c r="Q682">
        <x:v>51</x:v>
      </x:c>
      <x:c r="R682">
        <x:v>75</x:v>
      </x:c>
      <x:c r="S682">
        <x:v>71</x:v>
      </x:c>
      <x:c r="T682">
        <x:v>47</x:v>
      </x:c>
      <x:c r="U682">
        <x:v>55</x:v>
      </x:c>
    </x:row>
    <x:row r="683">
      <x:c r="A683" t="s">
        <x:v>1042</x:v>
      </x:c>
      <x:c r="B683" t="s">
        <x:v>368</x:v>
      </x:c>
      <x:c r="C683" t="s">
        <x:v>331</x:v>
      </x:c>
      <x:c r="D683">
        <x:v>8481056</x:v>
      </x:c>
      <x:c r="E683">
        <x:v>66</x:v>
      </x:c>
      <x:c r="F683">
        <x:v>37</x:v>
      </x:c>
      <x:c r="G683">
        <x:v>90</x:v>
      </x:c>
      <x:c r="H683">
        <x:v>37</x:v>
      </x:c>
      <x:c r="I683">
        <x:v>79</x:v>
      </x:c>
      <x:c r="J683">
        <x:v>85</x:v>
      </x:c>
      <x:c r="K683">
        <x:v>86</x:v>
      </x:c>
      <x:c r="L683">
        <x:v>38</x:v>
      </x:c>
      <x:c r="M683">
        <x:v>30</x:v>
      </x:c>
      <x:c r="N683">
        <x:v>50</x:v>
      </x:c>
      <x:c r="O683">
        <x:v>46</x:v>
      </x:c>
      <x:c r="P683">
        <x:v>76</x:v>
      </x:c>
      <x:c r="Q683">
        <x:v>52</x:v>
      </x:c>
      <x:c r="R683">
        <x:v>70</x:v>
      </x:c>
      <x:c r="S683">
        <x:v>68</x:v>
      </x:c>
      <x:c r="T683">
        <x:v>51</x:v>
      </x:c>
      <x:c r="U683">
        <x:v>55</x:v>
      </x:c>
    </x:row>
    <x:row r="684">
      <x:c r="A684" t="s">
        <x:v>1043</x:v>
      </x:c>
      <x:c r="C684" t="s">
        <x:v>331</x:v>
      </x:c>
      <x:c r="D684">
        <x:v>8481575</x:v>
      </x:c>
      <x:c r="E684">
        <x:v>67</x:v>
      </x:c>
      <x:c r="F684">
        <x:v>37</x:v>
      </x:c>
      <x:c r="G684">
        <x:v>94</x:v>
      </x:c>
      <x:c r="H684">
        <x:v>37</x:v>
      </x:c>
      <x:c r="I684">
        <x:v>79</x:v>
      </x:c>
      <x:c r="J684">
        <x:v>81</x:v>
      </x:c>
      <x:c r="K684">
        <x:v>84</x:v>
      </x:c>
      <x:c r="L684">
        <x:v>37</x:v>
      </x:c>
      <x:c r="M684">
        <x:v>30</x:v>
      </x:c>
      <x:c r="N684">
        <x:v>52</x:v>
      </x:c>
      <x:c r="O684">
        <x:v>46</x:v>
      </x:c>
      <x:c r="P684">
        <x:v>72</x:v>
      </x:c>
      <x:c r="Q684">
        <x:v>51</x:v>
      </x:c>
      <x:c r="R684">
        <x:v>71</x:v>
      </x:c>
      <x:c r="S684">
        <x:v>71</x:v>
      </x:c>
      <x:c r="T684">
        <x:v>51</x:v>
      </x:c>
      <x:c r="U684">
        <x:v>55</x:v>
      </x:c>
    </x:row>
    <x:row r="685">
      <x:c r="A685" t="s">
        <x:v>1044</x:v>
      </x:c>
      <x:c r="C685" t="s">
        <x:v>331</x:v>
      </x:c>
      <x:c r="D685">
        <x:v>8482666</x:v>
      </x:c>
      <x:c r="E685">
        <x:v>67</x:v>
      </x:c>
      <x:c r="F685">
        <x:v>39</x:v>
      </x:c>
      <x:c r="G685">
        <x:v>93</x:v>
      </x:c>
      <x:c r="H685">
        <x:v>39</x:v>
      </x:c>
      <x:c r="I685">
        <x:v>81</x:v>
      </x:c>
      <x:c r="J685">
        <x:v>84</x:v>
      </x:c>
      <x:c r="K685">
        <x:v>84</x:v>
      </x:c>
      <x:c r="L685">
        <x:v>38</x:v>
      </x:c>
      <x:c r="M685">
        <x:v>30</x:v>
      </x:c>
      <x:c r="N685">
        <x:v>53</x:v>
      </x:c>
      <x:c r="O685">
        <x:v>46</x:v>
      </x:c>
      <x:c r="P685">
        <x:v>72</x:v>
      </x:c>
      <x:c r="Q685">
        <x:v>52</x:v>
      </x:c>
      <x:c r="R685">
        <x:v>68</x:v>
      </x:c>
      <x:c r="S685">
        <x:v>68</x:v>
      </x:c>
      <x:c r="T685">
        <x:v>51</x:v>
      </x:c>
      <x:c r="U685">
        <x:v>55</x:v>
      </x:c>
    </x:row>
    <x:row r="686">
      <x:c r="A686" t="s">
        <x:v>1045</x:v>
      </x:c>
      <x:c r="C686" t="s">
        <x:v>358</x:v>
      </x:c>
      <x:c r="D686">
        <x:v>8478211</x:v>
      </x:c>
      <x:c r="E686">
        <x:v>76</x:v>
      </x:c>
      <x:c r="F686">
        <x:v>81</x:v>
      </x:c>
      <x:c r="G686">
        <x:v>77</x:v>
      </x:c>
      <x:c r="H686">
        <x:v>48</x:v>
      </x:c>
      <x:c r="I686">
        <x:v>79</x:v>
      </x:c>
      <x:c r="J686">
        <x:v>82</x:v>
      </x:c>
      <x:c r="K686">
        <x:v>85</x:v>
      </x:c>
      <x:c r="L686">
        <x:v>47</x:v>
      </x:c>
      <x:c r="M686">
        <x:v>77</x:v>
      </x:c>
      <x:c r="N686">
        <x:v>54</x:v>
      </x:c>
      <x:c r="O686">
        <x:v>51</x:v>
      </x:c>
      <x:c r="P686">
        <x:v>62</x:v>
      </x:c>
      <x:c r="Q686">
        <x:v>73</x:v>
      </x:c>
      <x:c r="R686">
        <x:v>74</x:v>
      </x:c>
      <x:c r="S686">
        <x:v>73</x:v>
      </x:c>
      <x:c r="T686">
        <x:v>51</x:v>
      </x:c>
      <x:c r="U686">
        <x:v>55</x:v>
      </x:c>
    </x:row>
    <x:row r="687">
      <x:c r="A687" t="s">
        <x:v>1046</x:v>
      </x:c>
      <x:c r="C687" t="s">
        <x:v>331</x:v>
      </x:c>
      <x:c r="D687">
        <x:v>8479416</x:v>
      </x:c>
      <x:c r="E687">
        <x:v>75</x:v>
      </x:c>
      <x:c r="F687">
        <x:v>38</x:v>
      </x:c>
      <x:c r="G687">
        <x:v>86</x:v>
      </x:c>
      <x:c r="H687">
        <x:v>34</x:v>
      </x:c>
      <x:c r="I687">
        <x:v>79</x:v>
      </x:c>
      <x:c r="J687">
        <x:v>82</x:v>
      </x:c>
      <x:c r="K687">
        <x:v>85</x:v>
      </x:c>
      <x:c r="L687">
        <x:v>35</x:v>
      </x:c>
      <x:c r="M687">
        <x:v>30</x:v>
      </x:c>
      <x:c r="N687">
        <x:v>46</x:v>
      </x:c>
      <x:c r="O687">
        <x:v>39</x:v>
      </x:c>
      <x:c r="P687">
        <x:v>69</x:v>
      </x:c>
      <x:c r="Q687">
        <x:v>48</x:v>
      </x:c>
      <x:c r="R687">
        <x:v>70</x:v>
      </x:c>
      <x:c r="S687">
        <x:v>69</x:v>
      </x:c>
      <x:c r="T687">
        <x:v>51</x:v>
      </x:c>
      <x:c r="U687">
        <x:v>55</x:v>
      </x:c>
    </x:row>
    <x:row r="688">
      <x:c r="A688" t="s">
        <x:v>1047</x:v>
      </x:c>
      <x:c r="C688" t="s">
        <x:v>331</x:v>
      </x:c>
      <x:c r="D688">
        <x:v>8477971</x:v>
      </x:c>
      <x:c r="E688">
        <x:v>77</x:v>
      </x:c>
      <x:c r="F688">
        <x:v>94</x:v>
      </x:c>
      <x:c r="G688">
        <x:v>75</x:v>
      </x:c>
      <x:c r="H688">
        <x:v>33</x:v>
      </x:c>
      <x:c r="I688">
        <x:v>84</x:v>
      </x:c>
      <x:c r="J688">
        <x:v>81</x:v>
      </x:c>
      <x:c r="K688">
        <x:v>83</x:v>
      </x:c>
      <x:c r="L688">
        <x:v>32</x:v>
      </x:c>
      <x:c r="M688">
        <x:v>30</x:v>
      </x:c>
      <x:c r="N688">
        <x:v>50</x:v>
      </x:c>
      <x:c r="O688">
        <x:v>45</x:v>
      </x:c>
      <x:c r="P688">
        <x:v>74</x:v>
      </x:c>
      <x:c r="Q688">
        <x:v>47</x:v>
      </x:c>
      <x:c r="R688">
        <x:v>76</x:v>
      </x:c>
      <x:c r="S688">
        <x:v>72</x:v>
      </x:c>
      <x:c r="T688">
        <x:v>45</x:v>
      </x:c>
      <x:c r="U688">
        <x:v>55</x:v>
      </x:c>
    </x:row>
    <x:row r="689">
      <x:c r="A689" t="s">
        <x:v>1048</x:v>
      </x:c>
      <x:c r="C689" t="s">
        <x:v>331</x:v>
      </x:c>
      <x:c r="D689">
        <x:v>8475797</x:v>
      </x:c>
      <x:c r="E689">
        <x:v>91</x:v>
      </x:c>
      <x:c r="F689">
        <x:v>91</x:v>
      </x:c>
      <x:c r="G689">
        <x:v>74</x:v>
      </x:c>
      <x:c r="H689">
        <x:v>33</x:v>
      </x:c>
      <x:c r="I689">
        <x:v>93</x:v>
      </x:c>
      <x:c r="J689">
        <x:v>79</x:v>
      </x:c>
      <x:c r="K689">
        <x:v>81</x:v>
      </x:c>
      <x:c r="L689">
        <x:v>34</x:v>
      </x:c>
      <x:c r="M689">
        <x:v>30</x:v>
      </x:c>
      <x:c r="N689">
        <x:v>48</x:v>
      </x:c>
      <x:c r="O689">
        <x:v>43</x:v>
      </x:c>
      <x:c r="P689">
        <x:v>74</x:v>
      </x:c>
      <x:c r="Q689">
        <x:v>46</x:v>
      </x:c>
      <x:c r="R689">
        <x:v>82</x:v>
      </x:c>
      <x:c r="S689">
        <x:v>79</x:v>
      </x:c>
      <x:c r="T689">
        <x:v>51</x:v>
      </x:c>
      <x:c r="U689">
        <x:v>55</x:v>
      </x:c>
    </x:row>
    <x:row r="690">
      <x:c r="A690" t="s">
        <x:v>1049</x:v>
      </x:c>
      <x:c r="C690" t="s">
        <x:v>319</x:v>
      </x:c>
      <x:c r="D690">
        <x:v>8476285</x:v>
      </x:c>
      <x:c r="E690">
        <x:v>64</x:v>
      </x:c>
      <x:c r="F690">
        <x:v>35</x:v>
      </x:c>
      <x:c r="G690">
        <x:v>89</x:v>
      </x:c>
      <x:c r="H690">
        <x:v>48</x:v>
      </x:c>
      <x:c r="I690">
        <x:v>74</x:v>
      </x:c>
      <x:c r="J690">
        <x:v>87</x:v>
      </x:c>
      <x:c r="K690">
        <x:v>89</x:v>
      </x:c>
      <x:c r="L690">
        <x:v>49</x:v>
      </x:c>
      <x:c r="M690">
        <x:v>67</x:v>
      </x:c>
      <x:c r="N690">
        <x:v>51</x:v>
      </x:c>
      <x:c r="O690">
        <x:v>45</x:v>
      </x:c>
      <x:c r="P690">
        <x:v>67</x:v>
      </x:c>
      <x:c r="Q690">
        <x:v>70</x:v>
      </x:c>
      <x:c r="R690">
        <x:v>78</x:v>
      </x:c>
      <x:c r="S690">
        <x:v>78</x:v>
      </x:c>
      <x:c r="T690">
        <x:v>51</x:v>
      </x:c>
      <x:c r="U690">
        <x:v>55</x:v>
      </x:c>
    </x:row>
    <x:row r="691">
      <x:c r="A691" t="s">
        <x:v>1050</x:v>
      </x:c>
      <x:c r="C691" t="s">
        <x:v>331</x:v>
      </x:c>
      <x:c r="D691">
        <x:v>8479602</x:v>
      </x:c>
      <x:c r="E691">
        <x:v>70</x:v>
      </x:c>
      <x:c r="F691">
        <x:v>39</x:v>
      </x:c>
      <x:c r="G691">
        <x:v>79</x:v>
      </x:c>
      <x:c r="H691">
        <x:v>35</x:v>
      </x:c>
      <x:c r="I691">
        <x:v>77</x:v>
      </x:c>
      <x:c r="J691">
        <x:v>94</x:v>
      </x:c>
      <x:c r="K691">
        <x:v>97</x:v>
      </x:c>
      <x:c r="L691">
        <x:v>35</x:v>
      </x:c>
      <x:c r="M691">
        <x:v>30</x:v>
      </x:c>
      <x:c r="N691">
        <x:v>51</x:v>
      </x:c>
      <x:c r="O691">
        <x:v>42</x:v>
      </x:c>
      <x:c r="P691">
        <x:v>65</x:v>
      </x:c>
      <x:c r="Q691">
        <x:v>52</x:v>
      </x:c>
      <x:c r="R691">
        <x:v>72</x:v>
      </x:c>
      <x:c r="S691">
        <x:v>71</x:v>
      </x:c>
      <x:c r="T691">
        <x:v>51</x:v>
      </x:c>
      <x:c r="U691">
        <x:v>55</x:v>
      </x:c>
    </x:row>
    <x:row r="692">
      <x:c r="A692" t="s">
        <x:v>1051</x:v>
      </x:c>
      <x:c r="B692" t="s">
        <x:v>340</x:v>
      </x:c>
      <x:c r="C692" t="s">
        <x:v>331</x:v>
      </x:c>
      <x:c r="D692">
        <x:v>8479523</x:v>
      </x:c>
      <x:c r="E692">
        <x:v>66</x:v>
      </x:c>
      <x:c r="F692">
        <x:v>61</x:v>
      </x:c>
      <x:c r="G692">
        <x:v>81</x:v>
      </x:c>
      <x:c r="H692">
        <x:v>35</x:v>
      </x:c>
      <x:c r="I692">
        <x:v>79</x:v>
      </x:c>
      <x:c r="J692">
        <x:v>84</x:v>
      </x:c>
      <x:c r="K692">
        <x:v>86</x:v>
      </x:c>
      <x:c r="L692">
        <x:v>36</x:v>
      </x:c>
      <x:c r="M692">
        <x:v>30</x:v>
      </x:c>
      <x:c r="N692">
        <x:v>48</x:v>
      </x:c>
      <x:c r="O692">
        <x:v>46</x:v>
      </x:c>
      <x:c r="P692">
        <x:v>73</x:v>
      </x:c>
      <x:c r="Q692">
        <x:v>51</x:v>
      </x:c>
      <x:c r="R692">
        <x:v>72</x:v>
      </x:c>
      <x:c r="S692">
        <x:v>71</x:v>
      </x:c>
      <x:c r="T692">
        <x:v>51</x:v>
      </x:c>
      <x:c r="U692">
        <x:v>55</x:v>
      </x:c>
    </x:row>
    <x:row r="693">
      <x:c r="A693" t="s">
        <x:v>1052</x:v>
      </x:c>
      <x:c r="B693" t="s">
        <x:v>324</x:v>
      </x:c>
      <x:c r="C693" t="s">
        <x:v>323</x:v>
      </x:c>
      <x:c r="D693">
        <x:v>8481186</x:v>
      </x:c>
      <x:c r="E693">
        <x:v>64</x:v>
      </x:c>
      <x:c r="F693">
        <x:v>41</x:v>
      </x:c>
      <x:c r="G693">
        <x:v>86</x:v>
      </x:c>
      <x:c r="H693">
        <x:v>49</x:v>
      </x:c>
      <x:c r="I693">
        <x:v>77</x:v>
      </x:c>
      <x:c r="J693">
        <x:v>80</x:v>
      </x:c>
      <x:c r="K693">
        <x:v>45</x:v>
      </x:c>
      <x:c r="L693">
        <x:v>51</x:v>
      </x:c>
      <x:c r="M693">
        <x:v>63</x:v>
      </x:c>
      <x:c r="N693">
        <x:v>52</x:v>
      </x:c>
      <x:c r="O693">
        <x:v>50</x:v>
      </x:c>
      <x:c r="P693">
        <x:v>66</x:v>
      </x:c>
      <x:c r="Q693">
        <x:v>52</x:v>
      </x:c>
      <x:c r="R693">
        <x:v>77</x:v>
      </x:c>
      <x:c r="S693">
        <x:v>71</x:v>
      </x:c>
      <x:c r="T693">
        <x:v>51</x:v>
      </x:c>
      <x:c r="U693">
        <x:v>55</x:v>
      </x:c>
    </x:row>
    <x:row r="694">
      <x:c r="A694" t="s">
        <x:v>1053</x:v>
      </x:c>
      <x:c r="B694" t="s">
        <x:v>364</x:v>
      </x:c>
      <x:c r="C694" t="s">
        <x:v>331</x:v>
      </x:c>
      <x:c r="D694">
        <x:v>8480084</x:v>
      </x:c>
      <x:c r="E694">
        <x:v>68</x:v>
      </x:c>
      <x:c r="F694">
        <x:v>35</x:v>
      </x:c>
      <x:c r="G694">
        <x:v>90</x:v>
      </x:c>
      <x:c r="H694">
        <x:v>37</x:v>
      </x:c>
      <x:c r="I694">
        <x:v>78</x:v>
      </x:c>
      <x:c r="J694">
        <x:v>84</x:v>
      </x:c>
      <x:c r="K694">
        <x:v>71</x:v>
      </x:c>
      <x:c r="L694">
        <x:v>38</x:v>
      </x:c>
      <x:c r="M694">
        <x:v>30</x:v>
      </x:c>
      <x:c r="N694">
        <x:v>51</x:v>
      </x:c>
      <x:c r="O694">
        <x:v>47</x:v>
      </x:c>
      <x:c r="P694">
        <x:v>73</x:v>
      </x:c>
      <x:c r="Q694">
        <x:v>51</x:v>
      </x:c>
      <x:c r="R694">
        <x:v>74</x:v>
      </x:c>
      <x:c r="S694">
        <x:v>74</x:v>
      </x:c>
      <x:c r="T694">
        <x:v>51</x:v>
      </x:c>
      <x:c r="U694">
        <x:v>55</x:v>
      </x:c>
    </x:row>
    <x:row r="695">
      <x:c r="A695" t="s">
        <x:v>1054</x:v>
      </x:c>
      <x:c r="B695" t="s">
        <x:v>576</x:v>
      </x:c>
      <x:c r="C695" t="s">
        <x:v>326</x:v>
      </x:c>
      <x:c r="D695">
        <x:v>8484958</x:v>
      </x:c>
      <x:c r="E695">
        <x:v>71</x:v>
      </x:c>
      <x:c r="F695">
        <x:v>43</x:v>
      </x:c>
      <x:c r="G695">
        <x:v>92</x:v>
      </x:c>
      <x:c r="H695">
        <x:v>51</x:v>
      </x:c>
      <x:c r="I695">
        <x:v>83</x:v>
      </x:c>
      <x:c r="J695">
        <x:v>81</x:v>
      </x:c>
      <x:c r="K695">
        <x:v>78</x:v>
      </x:c>
      <x:c r="L695">
        <x:v>49</x:v>
      </x:c>
      <x:c r="M695">
        <x:v>69</x:v>
      </x:c>
      <x:c r="N695">
        <x:v>50</x:v>
      </x:c>
      <x:c r="O695">
        <x:v>50</x:v>
      </x:c>
      <x:c r="P695">
        <x:v>60</x:v>
      </x:c>
      <x:c r="Q695">
        <x:v>58</x:v>
      </x:c>
      <x:c r="R695">
        <x:v>72</x:v>
      </x:c>
      <x:c r="S695">
        <x:v>70</x:v>
      </x:c>
      <x:c r="T695">
        <x:v>51</x:v>
      </x:c>
      <x:c r="U695">
        <x:v>55</x:v>
      </x:c>
    </x:row>
    <x:row r="696">
      <x:c r="A696" t="s">
        <x:v>1055</x:v>
      </x:c>
      <x:c r="C696" t="s">
        <x:v>339</x:v>
      </x:c>
      <x:c r="D696">
        <x:v>8483500</x:v>
      </x:c>
      <x:c r="E696">
        <x:v>55</x:v>
      </x:c>
      <x:c r="F696">
        <x:v>32</x:v>
      </x:c>
      <x:c r="G696">
        <x:v>91</x:v>
      </x:c>
      <x:c r="H696">
        <x:v>53</x:v>
      </x:c>
      <x:c r="I696">
        <x:v>74</x:v>
      </x:c>
      <x:c r="J696">
        <x:v>83</x:v>
      </x:c>
      <x:c r="K696">
        <x:v>85</x:v>
      </x:c>
      <x:c r="L696">
        <x:v>54</x:v>
      </x:c>
      <x:c r="M696">
        <x:v>75</x:v>
      </x:c>
      <x:c r="N696">
        <x:v>53</x:v>
      </x:c>
      <x:c r="O696">
        <x:v>54</x:v>
      </x:c>
      <x:c r="P696">
        <x:v>62</x:v>
      </x:c>
      <x:c r="Q696">
        <x:v>74</x:v>
      </x:c>
      <x:c r="R696">
        <x:v>65</x:v>
      </x:c>
      <x:c r="S696">
        <x:v>65</x:v>
      </x:c>
      <x:c r="T696">
        <x:v>51</x:v>
      </x:c>
      <x:c r="U696">
        <x:v>54</x:v>
      </x:c>
    </x:row>
    <x:row r="697">
      <x:c r="A697" t="s">
        <x:v>1056</x:v>
      </x:c>
      <x:c r="C697" t="s">
        <x:v>326</x:v>
      </x:c>
      <x:c r="D697">
        <x:v>8482070</x:v>
      </x:c>
      <x:c r="E697">
        <x:v>77</x:v>
      </x:c>
      <x:c r="F697">
        <x:v>37</x:v>
      </x:c>
      <x:c r="G697">
        <x:v>85</x:v>
      </x:c>
      <x:c r="H697">
        <x:v>47</x:v>
      </x:c>
      <x:c r="I697">
        <x:v>78</x:v>
      </x:c>
      <x:c r="J697">
        <x:v>79</x:v>
      </x:c>
      <x:c r="K697">
        <x:v>84</x:v>
      </x:c>
      <x:c r="L697">
        <x:v>46</x:v>
      </x:c>
      <x:c r="M697">
        <x:v>71</x:v>
      </x:c>
      <x:c r="N697">
        <x:v>50</x:v>
      </x:c>
      <x:c r="O697">
        <x:v>51</x:v>
      </x:c>
      <x:c r="P697">
        <x:v>61</x:v>
      </x:c>
      <x:c r="Q697">
        <x:v>52</x:v>
      </x:c>
      <x:c r="R697">
        <x:v>72</x:v>
      </x:c>
      <x:c r="S697">
        <x:v>70</x:v>
      </x:c>
      <x:c r="T697">
        <x:v>51</x:v>
      </x:c>
      <x:c r="U697">
        <x:v>54</x:v>
      </x:c>
    </x:row>
    <x:row r="698">
      <x:c r="A698" t="s">
        <x:v>1057</x:v>
      </x:c>
      <x:c r="C698" t="s">
        <x:v>331</x:v>
      </x:c>
      <x:c r="D698">
        <x:v>8481609</x:v>
      </x:c>
      <x:c r="E698">
        <x:v>68</x:v>
      </x:c>
      <x:c r="F698">
        <x:v>36</x:v>
      </x:c>
      <x:c r="G698">
        <x:v>87</x:v>
      </x:c>
      <x:c r="H698">
        <x:v>37</x:v>
      </x:c>
      <x:c r="I698">
        <x:v>78</x:v>
      </x:c>
      <x:c r="J698">
        <x:v>81</x:v>
      </x:c>
      <x:c r="K698">
        <x:v>75</x:v>
      </x:c>
      <x:c r="L698">
        <x:v>38</x:v>
      </x:c>
      <x:c r="M698">
        <x:v>30</x:v>
      </x:c>
      <x:c r="N698">
        <x:v>51</x:v>
      </x:c>
      <x:c r="O698">
        <x:v>47</x:v>
      </x:c>
      <x:c r="P698">
        <x:v>73</x:v>
      </x:c>
      <x:c r="Q698">
        <x:v>52</x:v>
      </x:c>
      <x:c r="R698">
        <x:v>69</x:v>
      </x:c>
      <x:c r="S698">
        <x:v>67</x:v>
      </x:c>
      <x:c r="T698">
        <x:v>51</x:v>
      </x:c>
      <x:c r="U698">
        <x:v>54</x:v>
      </x:c>
    </x:row>
    <x:row r="699">
      <x:c r="A699" t="s">
        <x:v>1058</x:v>
      </x:c>
      <x:c r="C699" t="s">
        <x:v>331</x:v>
      </x:c>
      <x:c r="D699">
        <x:v>8484428</x:v>
      </x:c>
      <x:c r="E699">
        <x:v>70</x:v>
      </x:c>
      <x:c r="F699">
        <x:v>85</x:v>
      </x:c>
      <x:c r="G699">
        <x:v>77</x:v>
      </x:c>
      <x:c r="H699">
        <x:v>37</x:v>
      </x:c>
      <x:c r="I699">
        <x:v>84</x:v>
      </x:c>
      <x:c r="J699">
        <x:v>81</x:v>
      </x:c>
      <x:c r="K699">
        <x:v>66</x:v>
      </x:c>
      <x:c r="L699">
        <x:v>36</x:v>
      </x:c>
      <x:c r="M699">
        <x:v>30</x:v>
      </x:c>
      <x:c r="N699">
        <x:v>46</x:v>
      </x:c>
      <x:c r="O699">
        <x:v>48</x:v>
      </x:c>
      <x:c r="P699">
        <x:v>72</x:v>
      </x:c>
      <x:c r="Q699">
        <x:v>51</x:v>
      </x:c>
      <x:c r="R699">
        <x:v>65</x:v>
      </x:c>
      <x:c r="S699">
        <x:v>66</x:v>
      </x:c>
      <x:c r="T699">
        <x:v>51</x:v>
      </x:c>
      <x:c r="U699">
        <x:v>54</x:v>
      </x:c>
    </x:row>
    <x:row r="700">
      <x:c r="A700" t="s">
        <x:v>1059</x:v>
      </x:c>
      <x:c r="C700" t="s">
        <x:v>329</x:v>
      </x:c>
      <x:c r="D700">
        <x:v>8480326</x:v>
      </x:c>
      <x:c r="E700">
        <x:v>68</x:v>
      </x:c>
      <x:c r="F700">
        <x:v>36</x:v>
      </x:c>
      <x:c r="G700">
        <x:v>89</x:v>
      </x:c>
      <x:c r="H700">
        <x:v>47</x:v>
      </x:c>
      <x:c r="I700">
        <x:v>74</x:v>
      </x:c>
      <x:c r="J700">
        <x:v>85</x:v>
      </x:c>
      <x:c r="K700">
        <x:v>88</x:v>
      </x:c>
      <x:c r="L700">
        <x:v>48</x:v>
      </x:c>
      <x:c r="M700">
        <x:v>85</x:v>
      </x:c>
      <x:c r="N700">
        <x:v>46</x:v>
      </x:c>
      <x:c r="O700">
        <x:v>47</x:v>
      </x:c>
      <x:c r="P700">
        <x:v>64</x:v>
      </x:c>
      <x:c r="Q700">
        <x:v>68</x:v>
      </x:c>
      <x:c r="R700">
        <x:v>76</x:v>
      </x:c>
      <x:c r="S700">
        <x:v>77</x:v>
      </x:c>
      <x:c r="T700">
        <x:v>51</x:v>
      </x:c>
      <x:c r="U700">
        <x:v>54</x:v>
      </x:c>
    </x:row>
    <x:row r="701">
      <x:c r="A701" t="s">
        <x:v>1060</x:v>
      </x:c>
      <x:c r="C701" t="s">
        <x:v>331</x:v>
      </x:c>
      <x:c r="D701">
        <x:v>8484150</x:v>
      </x:c>
      <x:c r="E701">
        <x:v>68</x:v>
      </x:c>
      <x:c r="F701">
        <x:v>35</x:v>
      </x:c>
      <x:c r="G701">
        <x:v>93</x:v>
      </x:c>
      <x:c r="H701">
        <x:v>37</x:v>
      </x:c>
      <x:c r="I701">
        <x:v>76</x:v>
      </x:c>
      <x:c r="J701">
        <x:v>86</x:v>
      </x:c>
      <x:c r="K701">
        <x:v>90</x:v>
      </x:c>
      <x:c r="L701">
        <x:v>35</x:v>
      </x:c>
      <x:c r="M701">
        <x:v>30</x:v>
      </x:c>
      <x:c r="N701">
        <x:v>48</x:v>
      </x:c>
      <x:c r="O701">
        <x:v>47</x:v>
      </x:c>
      <x:c r="P701">
        <x:v>70</x:v>
      </x:c>
      <x:c r="Q701">
        <x:v>55</x:v>
      </x:c>
      <x:c r="R701">
        <x:v>65</x:v>
      </x:c>
      <x:c r="S701">
        <x:v>64</x:v>
      </x:c>
      <x:c r="T701">
        <x:v>51</x:v>
      </x:c>
      <x:c r="U701">
        <x:v>54</x:v>
      </x:c>
    </x:row>
    <x:row r="702">
      <x:c r="A702" t="s">
        <x:v>1061</x:v>
      </x:c>
      <x:c r="C702" t="s">
        <x:v>331</x:v>
      </x:c>
      <x:c r="D702">
        <x:v>8481161</x:v>
      </x:c>
      <x:c r="E702">
        <x:v>70</x:v>
      </x:c>
      <x:c r="F702">
        <x:v>38</x:v>
      </x:c>
      <x:c r="G702">
        <x:v>93</x:v>
      </x:c>
      <x:c r="H702">
        <x:v>37</x:v>
      </x:c>
      <x:c r="I702">
        <x:v>77</x:v>
      </x:c>
      <x:c r="J702">
        <x:v>81</x:v>
      </x:c>
      <x:c r="K702">
        <x:v>76</x:v>
      </x:c>
      <x:c r="L702">
        <x:v>38</x:v>
      </x:c>
      <x:c r="M702">
        <x:v>30</x:v>
      </x:c>
      <x:c r="N702">
        <x:v>48</x:v>
      </x:c>
      <x:c r="O702">
        <x:v>45</x:v>
      </x:c>
      <x:c r="P702">
        <x:v>73</x:v>
      </x:c>
      <x:c r="Q702">
        <x:v>52</x:v>
      </x:c>
      <x:c r="R702">
        <x:v>71</x:v>
      </x:c>
      <x:c r="S702">
        <x:v>69</x:v>
      </x:c>
      <x:c r="T702">
        <x:v>51</x:v>
      </x:c>
      <x:c r="U702">
        <x:v>54</x:v>
      </x:c>
    </x:row>
    <x:row r="703">
      <x:c r="A703" t="s">
        <x:v>1062</x:v>
      </x:c>
      <x:c r="B703" t="s">
        <x:v>379</x:v>
      </x:c>
      <x:c r="C703" t="s">
        <x:v>326</x:v>
      </x:c>
      <x:c r="D703">
        <x:v>8483406</x:v>
      </x:c>
      <x:c r="E703">
        <x:v>66</x:v>
      </x:c>
      <x:c r="F703">
        <x:v>69</x:v>
      </x:c>
      <x:c r="G703">
        <x:v>94</x:v>
      </x:c>
      <x:c r="H703">
        <x:v>47</x:v>
      </x:c>
      <x:c r="I703">
        <x:v>84</x:v>
      </x:c>
      <x:c r="J703">
        <x:v>81</x:v>
      </x:c>
      <x:c r="K703">
        <x:v>88</x:v>
      </x:c>
      <x:c r="L703">
        <x:v>47</x:v>
      </x:c>
      <x:c r="M703">
        <x:v>67</x:v>
      </x:c>
      <x:c r="N703">
        <x:v>50</x:v>
      </x:c>
      <x:c r="O703">
        <x:v>52</x:v>
      </x:c>
      <x:c r="P703">
        <x:v>59</x:v>
      </x:c>
      <x:c r="Q703">
        <x:v>55</x:v>
      </x:c>
      <x:c r="R703">
        <x:v>70</x:v>
      </x:c>
      <x:c r="S703">
        <x:v>70</x:v>
      </x:c>
      <x:c r="T703">
        <x:v>51</x:v>
      </x:c>
      <x:c r="U703">
        <x:v>54</x:v>
      </x:c>
    </x:row>
    <x:row r="704">
      <x:c r="A704" t="s">
        <x:v>1063</x:v>
      </x:c>
      <x:c r="C704" t="s">
        <x:v>339</x:v>
      </x:c>
      <x:c r="D704">
        <x:v>8482117</x:v>
      </x:c>
      <x:c r="E704">
        <x:v>59</x:v>
      </x:c>
      <x:c r="F704">
        <x:v>32</x:v>
      </x:c>
      <x:c r="G704">
        <x:v>92</x:v>
      </x:c>
      <x:c r="H704">
        <x:v>51</x:v>
      </x:c>
      <x:c r="I704">
        <x:v>76</x:v>
      </x:c>
      <x:c r="J704">
        <x:v>82</x:v>
      </x:c>
      <x:c r="K704">
        <x:v>80</x:v>
      </x:c>
      <x:c r="L704">
        <x:v>48</x:v>
      </x:c>
      <x:c r="M704">
        <x:v>78</x:v>
      </x:c>
      <x:c r="N704">
        <x:v>52</x:v>
      </x:c>
      <x:c r="O704">
        <x:v>53</x:v>
      </x:c>
      <x:c r="P704">
        <x:v>62</x:v>
      </x:c>
      <x:c r="Q704">
        <x:v>58</x:v>
      </x:c>
      <x:c r="R704">
        <x:v>69</x:v>
      </x:c>
      <x:c r="S704">
        <x:v>68</x:v>
      </x:c>
      <x:c r="T704">
        <x:v>51</x:v>
      </x:c>
      <x:c r="U704">
        <x:v>54</x:v>
      </x:c>
    </x:row>
    <x:row r="705">
      <x:c r="A705" t="s">
        <x:v>1064</x:v>
      </x:c>
      <x:c r="B705" t="s">
        <x:v>584</x:v>
      </x:c>
      <x:c r="C705" t="s">
        <x:v>319</x:v>
      </x:c>
      <x:c r="D705">
        <x:v>8479291</x:v>
      </x:c>
      <x:c r="E705">
        <x:v>68</x:v>
      </x:c>
      <x:c r="F705">
        <x:v>33</x:v>
      </x:c>
      <x:c r="G705">
        <x:v>92</x:v>
      </x:c>
      <x:c r="H705">
        <x:v>45</x:v>
      </x:c>
      <x:c r="I705">
        <x:v>78</x:v>
      </x:c>
      <x:c r="J705">
        <x:v>80</x:v>
      </x:c>
      <x:c r="K705">
        <x:v>82</x:v>
      </x:c>
      <x:c r="L705">
        <x:v>44</x:v>
      </x:c>
      <x:c r="M705">
        <x:v>81</x:v>
      </x:c>
      <x:c r="N705">
        <x:v>51</x:v>
      </x:c>
      <x:c r="O705">
        <x:v>56</x:v>
      </x:c>
      <x:c r="P705">
        <x:v>67</x:v>
      </x:c>
      <x:c r="Q705">
        <x:v>66</x:v>
      </x:c>
      <x:c r="R705">
        <x:v>83</x:v>
      </x:c>
      <x:c r="S705">
        <x:v>76</x:v>
      </x:c>
      <x:c r="T705">
        <x:v>51</x:v>
      </x:c>
      <x:c r="U705">
        <x:v>54</x:v>
      </x:c>
    </x:row>
    <x:row r="706">
      <x:c r="A706" t="s">
        <x:v>1065</x:v>
      </x:c>
      <x:c r="C706" t="s">
        <x:v>331</x:v>
      </x:c>
      <x:c r="D706">
        <x:v>8481600</x:v>
      </x:c>
      <x:c r="E706">
        <x:v>70</x:v>
      </x:c>
      <x:c r="F706">
        <x:v>39</x:v>
      </x:c>
      <x:c r="G706">
        <x:v>93</x:v>
      </x:c>
      <x:c r="H706">
        <x:v>35</x:v>
      </x:c>
      <x:c r="I706">
        <x:v>81</x:v>
      </x:c>
      <x:c r="J706">
        <x:v>81</x:v>
      </x:c>
      <x:c r="K706">
        <x:v>79</x:v>
      </x:c>
      <x:c r="L706">
        <x:v>35</x:v>
      </x:c>
      <x:c r="M706">
        <x:v>30</x:v>
      </x:c>
      <x:c r="N706">
        <x:v>49</x:v>
      </x:c>
      <x:c r="O706">
        <x:v>47</x:v>
      </x:c>
      <x:c r="P706">
        <x:v>73</x:v>
      </x:c>
      <x:c r="Q706">
        <x:v>53</x:v>
      </x:c>
      <x:c r="R706">
        <x:v>69</x:v>
      </x:c>
      <x:c r="S706">
        <x:v>67</x:v>
      </x:c>
      <x:c r="T706">
        <x:v>51</x:v>
      </x:c>
      <x:c r="U706">
        <x:v>54</x:v>
      </x:c>
    </x:row>
    <x:row r="707">
      <x:c r="A707" t="s">
        <x:v>1066</x:v>
      </x:c>
      <x:c r="C707" t="s">
        <x:v>331</x:v>
      </x:c>
      <x:c r="D707">
        <x:v>8479348</x:v>
      </x:c>
      <x:c r="E707">
        <x:v>67</x:v>
      </x:c>
      <x:c r="F707">
        <x:v>36</x:v>
      </x:c>
      <x:c r="G707">
        <x:v>83</x:v>
      </x:c>
      <x:c r="H707">
        <x:v>35</x:v>
      </x:c>
      <x:c r="I707">
        <x:v>79</x:v>
      </x:c>
      <x:c r="J707">
        <x:v>88</x:v>
      </x:c>
      <x:c r="K707">
        <x:v>92</x:v>
      </x:c>
      <x:c r="L707">
        <x:v>36</x:v>
      </x:c>
      <x:c r="M707">
        <x:v>30</x:v>
      </x:c>
      <x:c r="N707">
        <x:v>45</x:v>
      </x:c>
      <x:c r="O707">
        <x:v>42</x:v>
      </x:c>
      <x:c r="P707">
        <x:v>68</x:v>
      </x:c>
      <x:c r="Q707">
        <x:v>48</x:v>
      </x:c>
      <x:c r="R707">
        <x:v>70</x:v>
      </x:c>
      <x:c r="S707">
        <x:v>69</x:v>
      </x:c>
      <x:c r="T707">
        <x:v>51</x:v>
      </x:c>
      <x:c r="U707">
        <x:v>54</x:v>
      </x:c>
    </x:row>
    <x:row r="708">
      <x:c r="A708" t="s">
        <x:v>1067</x:v>
      </x:c>
      <x:c r="C708" t="s">
        <x:v>331</x:v>
      </x:c>
      <x:c r="D708">
        <x:v>8484305</x:v>
      </x:c>
      <x:c r="E708">
        <x:v>63</x:v>
      </x:c>
      <x:c r="F708">
        <x:v>33</x:v>
      </x:c>
      <x:c r="G708">
        <x:v>93</x:v>
      </x:c>
      <x:c r="H708">
        <x:v>37</x:v>
      </x:c>
      <x:c r="I708">
        <x:v>76</x:v>
      </x:c>
      <x:c r="J708">
        <x:v>83</x:v>
      </x:c>
      <x:c r="K708">
        <x:v>85</x:v>
      </x:c>
      <x:c r="L708">
        <x:v>37</x:v>
      </x:c>
      <x:c r="M708">
        <x:v>30</x:v>
      </x:c>
      <x:c r="N708">
        <x:v>48</x:v>
      </x:c>
      <x:c r="O708">
        <x:v>48</x:v>
      </x:c>
      <x:c r="P708">
        <x:v>71</x:v>
      </x:c>
      <x:c r="Q708">
        <x:v>56</x:v>
      </x:c>
      <x:c r="R708">
        <x:v>70</x:v>
      </x:c>
      <x:c r="S708">
        <x:v>70</x:v>
      </x:c>
      <x:c r="T708">
        <x:v>51</x:v>
      </x:c>
      <x:c r="U708">
        <x:v>54</x:v>
      </x:c>
    </x:row>
    <x:row r="709">
      <x:c r="A709" t="s">
        <x:v>1068</x:v>
      </x:c>
      <x:c r="C709" t="s">
        <x:v>331</x:v>
      </x:c>
      <x:c r="D709">
        <x:v>8484386</x:v>
      </x:c>
      <x:c r="E709">
        <x:v>66</x:v>
      </x:c>
      <x:c r="F709">
        <x:v>78</x:v>
      </x:c>
      <x:c r="G709">
        <x:v>79</x:v>
      </x:c>
      <x:c r="H709">
        <x:v>38</x:v>
      </x:c>
      <x:c r="I709">
        <x:v>83</x:v>
      </x:c>
      <x:c r="J709">
        <x:v>83</x:v>
      </x:c>
      <x:c r="K709">
        <x:v>86</x:v>
      </x:c>
      <x:c r="L709">
        <x:v>36</x:v>
      </x:c>
      <x:c r="M709">
        <x:v>30</x:v>
      </x:c>
      <x:c r="N709">
        <x:v>49</x:v>
      </x:c>
      <x:c r="O709">
        <x:v>46</x:v>
      </x:c>
      <x:c r="P709">
        <x:v>70</x:v>
      </x:c>
      <x:c r="Q709">
        <x:v>51</x:v>
      </x:c>
      <x:c r="R709">
        <x:v>65</x:v>
      </x:c>
      <x:c r="S709">
        <x:v>66</x:v>
      </x:c>
      <x:c r="T709">
        <x:v>51</x:v>
      </x:c>
      <x:c r="U709">
        <x:v>54</x:v>
      </x:c>
    </x:row>
    <x:row r="710">
      <x:c r="A710" t="s">
        <x:v>1069</x:v>
      </x:c>
      <x:c r="C710" t="s">
        <x:v>331</x:v>
      </x:c>
      <x:c r="D710">
        <x:v>8478176</x:v>
      </x:c>
      <x:c r="E710">
        <x:v>66</x:v>
      </x:c>
      <x:c r="F710">
        <x:v>37</x:v>
      </x:c>
      <x:c r="G710">
        <x:v>80</x:v>
      </x:c>
      <x:c r="H710">
        <x:v>34</x:v>
      </x:c>
      <x:c r="I710">
        <x:v>76</x:v>
      </x:c>
      <x:c r="J710">
        <x:v>87</x:v>
      </x:c>
      <x:c r="K710">
        <x:v>91</x:v>
      </x:c>
      <x:c r="L710">
        <x:v>34</x:v>
      </x:c>
      <x:c r="M710">
        <x:v>30</x:v>
      </x:c>
      <x:c r="N710">
        <x:v>45</x:v>
      </x:c>
      <x:c r="O710">
        <x:v>40</x:v>
      </x:c>
      <x:c r="P710">
        <x:v>68</x:v>
      </x:c>
      <x:c r="Q710">
        <x:v>47</x:v>
      </x:c>
      <x:c r="R710">
        <x:v>72</x:v>
      </x:c>
      <x:c r="S710">
        <x:v>73</x:v>
      </x:c>
      <x:c r="T710">
        <x:v>51</x:v>
      </x:c>
      <x:c r="U710">
        <x:v>54</x:v>
      </x:c>
    </x:row>
    <x:row r="711">
      <x:c r="A711" t="s">
        <x:v>1070</x:v>
      </x:c>
      <x:c r="C711" t="s">
        <x:v>331</x:v>
      </x:c>
      <x:c r="D711">
        <x:v>8480070</x:v>
      </x:c>
      <x:c r="E711">
        <x:v>67</x:v>
      </x:c>
      <x:c r="F711">
        <x:v>35</x:v>
      </x:c>
      <x:c r="G711">
        <x:v>91</x:v>
      </x:c>
      <x:c r="H711">
        <x:v>35</x:v>
      </x:c>
      <x:c r="I711">
        <x:v>78</x:v>
      </x:c>
      <x:c r="J711">
        <x:v>83</x:v>
      </x:c>
      <x:c r="K711">
        <x:v>86</x:v>
      </x:c>
      <x:c r="L711">
        <x:v>36</x:v>
      </x:c>
      <x:c r="M711">
        <x:v>30</x:v>
      </x:c>
      <x:c r="N711">
        <x:v>49</x:v>
      </x:c>
      <x:c r="O711">
        <x:v>44</x:v>
      </x:c>
      <x:c r="P711">
        <x:v>72</x:v>
      </x:c>
      <x:c r="Q711">
        <x:v>49</x:v>
      </x:c>
      <x:c r="R711">
        <x:v>71</x:v>
      </x:c>
      <x:c r="S711">
        <x:v>69</x:v>
      </x:c>
      <x:c r="T711">
        <x:v>43</x:v>
      </x:c>
      <x:c r="U711">
        <x:v>54</x:v>
      </x:c>
    </x:row>
    <x:row r="712">
      <x:c r="A712" t="s">
        <x:v>1071</x:v>
      </x:c>
      <x:c r="C712" t="s">
        <x:v>319</x:v>
      </x:c>
      <x:c r="D712">
        <x:v>8477993</x:v>
      </x:c>
      <x:c r="E712">
        <x:v>70</x:v>
      </x:c>
      <x:c r="F712">
        <x:v>45</x:v>
      </x:c>
      <x:c r="G712">
        <x:v>93</x:v>
      </x:c>
      <x:c r="H712">
        <x:v>48</x:v>
      </x:c>
      <x:c r="I712">
        <x:v>80</x:v>
      </x:c>
      <x:c r="J712">
        <x:v>80</x:v>
      </x:c>
      <x:c r="K712">
        <x:v>75</x:v>
      </x:c>
      <x:c r="L712">
        <x:v>47</x:v>
      </x:c>
      <x:c r="M712">
        <x:v>82</x:v>
      </x:c>
      <x:c r="N712">
        <x:v>50</x:v>
      </x:c>
      <x:c r="O712">
        <x:v>51</x:v>
      </x:c>
      <x:c r="P712">
        <x:v>66</x:v>
      </x:c>
      <x:c r="Q712">
        <x:v>71</x:v>
      </x:c>
      <x:c r="R712">
        <x:v>72</x:v>
      </x:c>
      <x:c r="S712">
        <x:v>72</x:v>
      </x:c>
      <x:c r="T712">
        <x:v>51</x:v>
      </x:c>
      <x:c r="U712">
        <x:v>54</x:v>
      </x:c>
    </x:row>
    <x:row r="713">
      <x:c r="A713" t="s">
        <x:v>1072</x:v>
      </x:c>
      <x:c r="B713" t="s">
        <x:v>584</x:v>
      </x:c>
      <x:c r="C713" t="s">
        <x:v>331</x:v>
      </x:c>
      <x:c r="D713">
        <x:v>8476988</x:v>
      </x:c>
      <x:c r="E713">
        <x:v>73</x:v>
      </x:c>
      <x:c r="F713">
        <x:v>40</x:v>
      </x:c>
      <x:c r="G713">
        <x:v>82</x:v>
      </x:c>
      <x:c r="H713">
        <x:v>33</x:v>
      </x:c>
      <x:c r="I713">
        <x:v>81</x:v>
      </x:c>
      <x:c r="J713">
        <x:v>76</x:v>
      </x:c>
      <x:c r="K713">
        <x:v>79</x:v>
      </x:c>
      <x:c r="L713">
        <x:v>33</x:v>
      </x:c>
      <x:c r="M713">
        <x:v>30</x:v>
      </x:c>
      <x:c r="N713">
        <x:v>49</x:v>
      </x:c>
      <x:c r="O713">
        <x:v>44</x:v>
      </x:c>
      <x:c r="P713">
        <x:v>75</x:v>
      </x:c>
      <x:c r="Q713">
        <x:v>49</x:v>
      </x:c>
      <x:c r="R713">
        <x:v>76</x:v>
      </x:c>
      <x:c r="S713">
        <x:v>76</x:v>
      </x:c>
      <x:c r="T713">
        <x:v>51</x:v>
      </x:c>
      <x:c r="U713">
        <x:v>54</x:v>
      </x:c>
    </x:row>
    <x:row r="714">
      <x:c r="A714" t="s">
        <x:v>1073</x:v>
      </x:c>
      <x:c r="C714" t="s">
        <x:v>331</x:v>
      </x:c>
      <x:c r="D714">
        <x:v>8482141</x:v>
      </x:c>
      <x:c r="E714">
        <x:v>66</x:v>
      </x:c>
      <x:c r="F714">
        <x:v>34</x:v>
      </x:c>
      <x:c r="G714">
        <x:v>83</x:v>
      </x:c>
      <x:c r="H714">
        <x:v>37</x:v>
      </x:c>
      <x:c r="I714">
        <x:v>77</x:v>
      </x:c>
      <x:c r="J714">
        <x:v>80</x:v>
      </x:c>
      <x:c r="K714">
        <x:v>82</x:v>
      </x:c>
      <x:c r="L714">
        <x:v>37</x:v>
      </x:c>
      <x:c r="M714">
        <x:v>30</x:v>
      </x:c>
      <x:c r="N714">
        <x:v>52</x:v>
      </x:c>
      <x:c r="O714">
        <x:v>43</x:v>
      </x:c>
      <x:c r="P714">
        <x:v>67</x:v>
      </x:c>
      <x:c r="Q714">
        <x:v>54</x:v>
      </x:c>
      <x:c r="R714">
        <x:v>67</x:v>
      </x:c>
      <x:c r="S714">
        <x:v>67</x:v>
      </x:c>
      <x:c r="T714">
        <x:v>51</x:v>
      </x:c>
      <x:c r="U714">
        <x:v>54</x:v>
      </x:c>
    </x:row>
    <x:row r="715">
      <x:c r="A715" t="s">
        <x:v>1074</x:v>
      </x:c>
      <x:c r="B715" t="s">
        <x:v>354</x:v>
      </x:c>
      <x:c r="C715" t="s">
        <x:v>326</x:v>
      </x:c>
      <x:c r="D715">
        <x:v>8483890</x:v>
      </x:c>
      <x:c r="E715">
        <x:v>57</x:v>
      </x:c>
      <x:c r="F715">
        <x:v>37</x:v>
      </x:c>
      <x:c r="G715">
        <x:v>93</x:v>
      </x:c>
      <x:c r="H715">
        <x:v>53</x:v>
      </x:c>
      <x:c r="I715">
        <x:v>79</x:v>
      </x:c>
      <x:c r="J715">
        <x:v>85</x:v>
      </x:c>
      <x:c r="K715">
        <x:v>91</x:v>
      </x:c>
      <x:c r="L715">
        <x:v>53</x:v>
      </x:c>
      <x:c r="M715">
        <x:v>65</x:v>
      </x:c>
      <x:c r="N715">
        <x:v>55</x:v>
      </x:c>
      <x:c r="O715">
        <x:v>52</x:v>
      </x:c>
      <x:c r="P715">
        <x:v>60</x:v>
      </x:c>
      <x:c r="Q715">
        <x:v>55</x:v>
      </x:c>
      <x:c r="R715">
        <x:v>66</x:v>
      </x:c>
      <x:c r="S715">
        <x:v>67</x:v>
      </x:c>
      <x:c r="T715">
        <x:v>51</x:v>
      </x:c>
      <x:c r="U715">
        <x:v>54</x:v>
      </x:c>
    </x:row>
    <x:row r="716">
      <x:c r="A716" t="s">
        <x:v>1075</x:v>
      </x:c>
      <x:c r="C716" t="s">
        <x:v>339</x:v>
      </x:c>
      <x:c r="D716">
        <x:v>8475461</x:v>
      </x:c>
      <x:c r="E716">
        <x:v>75</x:v>
      </x:c>
      <x:c r="F716">
        <x:v>38</x:v>
      </x:c>
      <x:c r="G716">
        <x:v>84</x:v>
      </x:c>
      <x:c r="H716">
        <x:v>46</x:v>
      </x:c>
      <x:c r="I716">
        <x:v>76</x:v>
      </x:c>
      <x:c r="J716">
        <x:v>84</x:v>
      </x:c>
      <x:c r="K716">
        <x:v>86</x:v>
      </x:c>
      <x:c r="L716">
        <x:v>47</x:v>
      </x:c>
      <x:c r="M716">
        <x:v>71</x:v>
      </x:c>
      <x:c r="N716">
        <x:v>46</x:v>
      </x:c>
      <x:c r="O716">
        <x:v>46</x:v>
      </x:c>
      <x:c r="P716">
        <x:v>61</x:v>
      </x:c>
      <x:c r="Q716">
        <x:v>68</x:v>
      </x:c>
      <x:c r="R716">
        <x:v>82</x:v>
      </x:c>
      <x:c r="S716">
        <x:v>78</x:v>
      </x:c>
      <x:c r="T716">
        <x:v>51</x:v>
      </x:c>
      <x:c r="U716">
        <x:v>54</x:v>
      </x:c>
    </x:row>
    <x:row r="717">
      <x:c r="A717" t="s">
        <x:v>1076</x:v>
      </x:c>
      <x:c r="C717" t="s">
        <x:v>331</x:v>
      </x:c>
      <x:c r="D717">
        <x:v>8482192</x:v>
      </x:c>
      <x:c r="E717">
        <x:v>76</x:v>
      </x:c>
      <x:c r="F717">
        <x:v>41</x:v>
      </x:c>
      <x:c r="G717">
        <x:v>82</x:v>
      </x:c>
      <x:c r="H717">
        <x:v>34</x:v>
      </x:c>
      <x:c r="I717">
        <x:v>84</x:v>
      </x:c>
      <x:c r="J717">
        <x:v>91</x:v>
      </x:c>
      <x:c r="K717">
        <x:v>95</x:v>
      </x:c>
      <x:c r="L717">
        <x:v>33</x:v>
      </x:c>
      <x:c r="M717">
        <x:v>30</x:v>
      </x:c>
      <x:c r="N717">
        <x:v>49</x:v>
      </x:c>
      <x:c r="O717">
        <x:v>45</x:v>
      </x:c>
      <x:c r="P717">
        <x:v>73</x:v>
      </x:c>
      <x:c r="Q717">
        <x:v>48</x:v>
      </x:c>
      <x:c r="R717">
        <x:v>68</x:v>
      </x:c>
      <x:c r="S717">
        <x:v>68</x:v>
      </x:c>
      <x:c r="T717">
        <x:v>51</x:v>
      </x:c>
      <x:c r="U717">
        <x:v>54</x:v>
      </x:c>
    </x:row>
    <x:row r="718">
      <x:c r="A718" t="s">
        <x:v>1077</x:v>
      </x:c>
      <x:c r="C718" t="s">
        <x:v>331</x:v>
      </x:c>
      <x:c r="D718">
        <x:v>8482072</x:v>
      </x:c>
      <x:c r="E718">
        <x:v>67</x:v>
      </x:c>
      <x:c r="F718">
        <x:v>32</x:v>
      </x:c>
      <x:c r="G718">
        <x:v>91</x:v>
      </x:c>
      <x:c r="H718">
        <x:v>37</x:v>
      </x:c>
      <x:c r="I718">
        <x:v>74</x:v>
      </x:c>
      <x:c r="J718">
        <x:v>83</x:v>
      </x:c>
      <x:c r="K718">
        <x:v>92</x:v>
      </x:c>
      <x:c r="L718">
        <x:v>36</x:v>
      </x:c>
      <x:c r="M718">
        <x:v>30</x:v>
      </x:c>
      <x:c r="N718">
        <x:v>50</x:v>
      </x:c>
      <x:c r="O718">
        <x:v>45</x:v>
      </x:c>
      <x:c r="P718">
        <x:v>71</x:v>
      </x:c>
      <x:c r="Q718">
        <x:v>55</x:v>
      </x:c>
      <x:c r="R718">
        <x:v>71</x:v>
      </x:c>
      <x:c r="S718">
        <x:v>70</x:v>
      </x:c>
      <x:c r="T718">
        <x:v>51</x:v>
      </x:c>
      <x:c r="U718">
        <x:v>54</x:v>
      </x:c>
    </x:row>
    <x:row r="719">
      <x:c r="A719" t="s">
        <x:v>1078</x:v>
      </x:c>
      <x:c r="B719" t="s">
        <x:v>584</x:v>
      </x:c>
      <x:c r="C719" t="s">
        <x:v>358</x:v>
      </x:c>
      <x:c r="D719">
        <x:v>8477947</x:v>
      </x:c>
      <x:c r="E719">
        <x:v>59</x:v>
      </x:c>
      <x:c r="F719">
        <x:v>33</x:v>
      </x:c>
      <x:c r="G719">
        <x:v>93</x:v>
      </x:c>
      <x:c r="H719">
        <x:v>51</x:v>
      </x:c>
      <x:c r="I719">
        <x:v>76</x:v>
      </x:c>
      <x:c r="J719">
        <x:v>79</x:v>
      </x:c>
      <x:c r="K719">
        <x:v>68</x:v>
      </x:c>
      <x:c r="L719">
        <x:v>48</x:v>
      </x:c>
      <x:c r="M719">
        <x:v>68</x:v>
      </x:c>
      <x:c r="N719">
        <x:v>51</x:v>
      </x:c>
      <x:c r="O719">
        <x:v>53</x:v>
      </x:c>
      <x:c r="P719">
        <x:v>59</x:v>
      </x:c>
      <x:c r="Q719">
        <x:v>74</x:v>
      </x:c>
      <x:c r="R719">
        <x:v>78</x:v>
      </x:c>
      <x:c r="S719">
        <x:v>71</x:v>
      </x:c>
      <x:c r="T719">
        <x:v>51</x:v>
      </x:c>
      <x:c r="U719">
        <x:v>54</x:v>
      </x:c>
    </x:row>
    <x:row r="720">
      <x:c r="A720" t="s">
        <x:v>1079</x:v>
      </x:c>
      <x:c r="C720" t="s">
        <x:v>323</x:v>
      </x:c>
      <x:c r="D720">
        <x:v>8478400</x:v>
      </x:c>
      <x:c r="E720">
        <x:v>66</x:v>
      </x:c>
      <x:c r="F720">
        <x:v>33</x:v>
      </x:c>
      <x:c r="G720">
        <x:v>84</x:v>
      </x:c>
      <x:c r="H720">
        <x:v>48</x:v>
      </x:c>
      <x:c r="I720">
        <x:v>78</x:v>
      </x:c>
      <x:c r="J720">
        <x:v>80</x:v>
      </x:c>
      <x:c r="K720">
        <x:v>83</x:v>
      </x:c>
      <x:c r="L720">
        <x:v>47</x:v>
      </x:c>
      <x:c r="M720">
        <x:v>80</x:v>
      </x:c>
      <x:c r="N720">
        <x:v>51</x:v>
      </x:c>
      <x:c r="O720">
        <x:v>51</x:v>
      </x:c>
      <x:c r="P720">
        <x:v>64</x:v>
      </x:c>
      <x:c r="Q720">
        <x:v>72</x:v>
      </x:c>
      <x:c r="R720">
        <x:v>71</x:v>
      </x:c>
      <x:c r="S720">
        <x:v>71</x:v>
      </x:c>
      <x:c r="T720">
        <x:v>51</x:v>
      </x:c>
      <x:c r="U720">
        <x:v>54</x:v>
      </x:c>
    </x:row>
    <x:row r="721">
      <x:c r="A721" t="s">
        <x:v>1080</x:v>
      </x:c>
      <x:c r="C721" t="s">
        <x:v>331</x:v>
      </x:c>
      <x:c r="D721">
        <x:v>8481562</x:v>
      </x:c>
      <x:c r="E721">
        <x:v>69</x:v>
      </x:c>
      <x:c r="F721">
        <x:v>33</x:v>
      </x:c>
      <x:c r="G721">
        <x:v>83</x:v>
      </x:c>
      <x:c r="H721">
        <x:v>36</x:v>
      </x:c>
      <x:c r="I721">
        <x:v>74</x:v>
      </x:c>
      <x:c r="J721">
        <x:v>86</x:v>
      </x:c>
      <x:c r="K721">
        <x:v>88</x:v>
      </x:c>
      <x:c r="L721">
        <x:v>37</x:v>
      </x:c>
      <x:c r="M721">
        <x:v>30</x:v>
      </x:c>
      <x:c r="N721">
        <x:v>48</x:v>
      </x:c>
      <x:c r="O721">
        <x:v>43</x:v>
      </x:c>
      <x:c r="P721">
        <x:v>70</x:v>
      </x:c>
      <x:c r="Q721">
        <x:v>51</x:v>
      </x:c>
      <x:c r="R721">
        <x:v>68</x:v>
      </x:c>
      <x:c r="S721">
        <x:v>68</x:v>
      </x:c>
      <x:c r="T721">
        <x:v>51</x:v>
      </x:c>
      <x:c r="U721">
        <x:v>54</x:v>
      </x:c>
    </x:row>
    <x:row r="722">
      <x:c r="A722" t="s">
        <x:v>1081</x:v>
      </x:c>
      <x:c r="B722" t="s">
        <x:v>343</x:v>
      </x:c>
      <x:c r="C722" t="s">
        <x:v>331</x:v>
      </x:c>
      <x:c r="D722">
        <x:v>8481178</x:v>
      </x:c>
      <x:c r="E722">
        <x:v>66</x:v>
      </x:c>
      <x:c r="F722">
        <x:v>40</x:v>
      </x:c>
      <x:c r="G722">
        <x:v>94</x:v>
      </x:c>
      <x:c r="H722">
        <x:v>36</x:v>
      </x:c>
      <x:c r="I722">
        <x:v>83</x:v>
      </x:c>
      <x:c r="J722">
        <x:v>84</x:v>
      </x:c>
      <x:c r="K722">
        <x:v>69</x:v>
      </x:c>
      <x:c r="L722">
        <x:v>37</x:v>
      </x:c>
      <x:c r="M722">
        <x:v>30</x:v>
      </x:c>
      <x:c r="N722">
        <x:v>50</x:v>
      </x:c>
      <x:c r="O722">
        <x:v>45</x:v>
      </x:c>
      <x:c r="P722">
        <x:v>75</x:v>
      </x:c>
      <x:c r="Q722">
        <x:v>52</x:v>
      </x:c>
      <x:c r="R722">
        <x:v>70</x:v>
      </x:c>
      <x:c r="S722">
        <x:v>68</x:v>
      </x:c>
      <x:c r="T722">
        <x:v>47</x:v>
      </x:c>
      <x:c r="U722">
        <x:v>54</x:v>
      </x:c>
    </x:row>
    <x:row r="723">
      <x:c r="A723" t="s">
        <x:v>1082</x:v>
      </x:c>
      <x:c r="B723" t="s">
        <x:v>345</x:v>
      </x:c>
      <x:c r="C723" t="s">
        <x:v>331</x:v>
      </x:c>
      <x:c r="D723">
        <x:v>8482641</x:v>
      </x:c>
      <x:c r="E723">
        <x:v>67</x:v>
      </x:c>
      <x:c r="F723">
        <x:v>35</x:v>
      </x:c>
      <x:c r="G723">
        <x:v>81</x:v>
      </x:c>
      <x:c r="H723">
        <x:v>33</x:v>
      </x:c>
      <x:c r="I723">
        <x:v>77</x:v>
      </x:c>
      <x:c r="J723">
        <x:v>84</x:v>
      </x:c>
      <x:c r="K723">
        <x:v>86</x:v>
      </x:c>
      <x:c r="L723">
        <x:v>32</x:v>
      </x:c>
      <x:c r="M723">
        <x:v>30</x:v>
      </x:c>
      <x:c r="N723">
        <x:v>43</x:v>
      </x:c>
      <x:c r="O723">
        <x:v>41</x:v>
      </x:c>
      <x:c r="P723">
        <x:v>70</x:v>
      </x:c>
      <x:c r="Q723">
        <x:v>47</x:v>
      </x:c>
      <x:c r="R723">
        <x:v>70</x:v>
      </x:c>
      <x:c r="S723">
        <x:v>71</x:v>
      </x:c>
      <x:c r="T723">
        <x:v>51</x:v>
      </x:c>
      <x:c r="U723">
        <x:v>54</x:v>
      </x:c>
    </x:row>
    <x:row r="724">
      <x:c r="A724" t="s">
        <x:v>1083</x:v>
      </x:c>
      <x:c r="C724" t="s">
        <x:v>331</x:v>
      </x:c>
      <x:c r="D724">
        <x:v>8478062</x:v>
      </x:c>
      <x:c r="E724">
        <x:v>76</x:v>
      </x:c>
      <x:c r="F724">
        <x:v>62</x:v>
      </x:c>
      <x:c r="G724">
        <x:v>78</x:v>
      </x:c>
      <x:c r="H724">
        <x:v>35</x:v>
      </x:c>
      <x:c r="I724">
        <x:v>79</x:v>
      </x:c>
      <x:c r="J724">
        <x:v>85</x:v>
      </x:c>
      <x:c r="K724">
        <x:v>88</x:v>
      </x:c>
      <x:c r="L724">
        <x:v>34</x:v>
      </x:c>
      <x:c r="M724">
        <x:v>30</x:v>
      </x:c>
      <x:c r="N724">
        <x:v>48</x:v>
      </x:c>
      <x:c r="O724">
        <x:v>40</x:v>
      </x:c>
      <x:c r="P724">
        <x:v>71</x:v>
      </x:c>
      <x:c r="Q724">
        <x:v>49</x:v>
      </x:c>
      <x:c r="R724">
        <x:v>72</x:v>
      </x:c>
      <x:c r="S724">
        <x:v>72</x:v>
      </x:c>
      <x:c r="T724">
        <x:v>51</x:v>
      </x:c>
      <x:c r="U724">
        <x:v>54</x:v>
      </x:c>
    </x:row>
    <x:row r="725">
      <x:c r="A725" t="s">
        <x:v>1084</x:v>
      </x:c>
      <x:c r="C725" t="s">
        <x:v>331</x:v>
      </x:c>
      <x:c r="D725">
        <x:v>8482911</x:v>
      </x:c>
      <x:c r="E725">
        <x:v>63</x:v>
      </x:c>
      <x:c r="F725">
        <x:v>32</x:v>
      </x:c>
      <x:c r="G725">
        <x:v>92</x:v>
      </x:c>
      <x:c r="H725">
        <x:v>37</x:v>
      </x:c>
      <x:c r="I725">
        <x:v>76</x:v>
      </x:c>
      <x:c r="J725">
        <x:v>83</x:v>
      </x:c>
      <x:c r="K725">
        <x:v>91</x:v>
      </x:c>
      <x:c r="L725">
        <x:v>36</x:v>
      </x:c>
      <x:c r="M725">
        <x:v>30</x:v>
      </x:c>
      <x:c r="N725">
        <x:v>51</x:v>
      </x:c>
      <x:c r="O725">
        <x:v>46</x:v>
      </x:c>
      <x:c r="P725">
        <x:v>72</x:v>
      </x:c>
      <x:c r="Q725">
        <x:v>51</x:v>
      </x:c>
      <x:c r="R725">
        <x:v>69</x:v>
      </x:c>
      <x:c r="S725">
        <x:v>70</x:v>
      </x:c>
      <x:c r="T725">
        <x:v>51</x:v>
      </x:c>
      <x:c r="U725">
        <x:v>54</x:v>
      </x:c>
    </x:row>
    <x:row r="726">
      <x:c r="A726" t="s">
        <x:v>1085</x:v>
      </x:c>
      <x:c r="C726" t="s">
        <x:v>333</x:v>
      </x:c>
      <x:c r="D726">
        <x:v>8483630</x:v>
      </x:c>
      <x:c r="E726">
        <x:v>78</x:v>
      </x:c>
      <x:c r="F726">
        <x:v>41</x:v>
      </x:c>
      <x:c r="G726">
        <x:v>78</x:v>
      </x:c>
      <x:c r="H726">
        <x:v>48</x:v>
      </x:c>
      <x:c r="I726">
        <x:v>85</x:v>
      </x:c>
      <x:c r="J726">
        <x:v>84</x:v>
      </x:c>
      <x:c r="K726">
        <x:v>80</x:v>
      </x:c>
      <x:c r="L726">
        <x:v>49</x:v>
      </x:c>
      <x:c r="M726">
        <x:v>71</x:v>
      </x:c>
      <x:c r="N726">
        <x:v>48</x:v>
      </x:c>
      <x:c r="O726">
        <x:v>59</x:v>
      </x:c>
      <x:c r="P726">
        <x:v>61</x:v>
      </x:c>
      <x:c r="Q726">
        <x:v>55</x:v>
      </x:c>
      <x:c r="R726">
        <x:v>69</x:v>
      </x:c>
      <x:c r="S726">
        <x:v>68</x:v>
      </x:c>
      <x:c r="T726">
        <x:v>51</x:v>
      </x:c>
      <x:c r="U726">
        <x:v>54</x:v>
      </x:c>
    </x:row>
    <x:row r="727">
      <x:c r="A727" t="s">
        <x:v>1086</x:v>
      </x:c>
      <x:c r="C727" t="s">
        <x:v>319</x:v>
      </x:c>
      <x:c r="D727">
        <x:v>8483432</x:v>
      </x:c>
      <x:c r="E727">
        <x:v>59</x:v>
      </x:c>
      <x:c r="F727">
        <x:v>35</x:v>
      </x:c>
      <x:c r="G727">
        <x:v>88</x:v>
      </x:c>
      <x:c r="H727">
        <x:v>49</x:v>
      </x:c>
      <x:c r="I727">
        <x:v>78</x:v>
      </x:c>
      <x:c r="J727">
        <x:v>78</x:v>
      </x:c>
      <x:c r="K727">
        <x:v>88</x:v>
      </x:c>
      <x:c r="L727">
        <x:v>49</x:v>
      </x:c>
      <x:c r="M727">
        <x:v>78</x:v>
      </x:c>
      <x:c r="N727">
        <x:v>52</x:v>
      </x:c>
      <x:c r="O727">
        <x:v>51</x:v>
      </x:c>
      <x:c r="P727">
        <x:v>62</x:v>
      </x:c>
      <x:c r="Q727">
        <x:v>52</x:v>
      </x:c>
      <x:c r="R727">
        <x:v>67</x:v>
      </x:c>
      <x:c r="S727">
        <x:v>64</x:v>
      </x:c>
      <x:c r="T727">
        <x:v>51</x:v>
      </x:c>
      <x:c r="U727">
        <x:v>54</x:v>
      </x:c>
    </x:row>
    <x:row r="728">
      <x:c r="A728" t="s">
        <x:v>1087</x:v>
      </x:c>
      <x:c r="C728" t="s">
        <x:v>331</x:v>
      </x:c>
      <x:c r="D728">
        <x:v>8478846</x:v>
      </x:c>
      <x:c r="E728">
        <x:v>70</x:v>
      </x:c>
      <x:c r="F728">
        <x:v>35</x:v>
      </x:c>
      <x:c r="G728">
        <x:v>88</x:v>
      </x:c>
      <x:c r="H728">
        <x:v>35</x:v>
      </x:c>
      <x:c r="I728">
        <x:v>81</x:v>
      </x:c>
      <x:c r="J728">
        <x:v>83</x:v>
      </x:c>
      <x:c r="K728">
        <x:v>85</x:v>
      </x:c>
      <x:c r="L728">
        <x:v>35</x:v>
      </x:c>
      <x:c r="M728">
        <x:v>30</x:v>
      </x:c>
      <x:c r="N728">
        <x:v>50</x:v>
      </x:c>
      <x:c r="O728">
        <x:v>42</x:v>
      </x:c>
      <x:c r="P728">
        <x:v>69</x:v>
      </x:c>
      <x:c r="Q728">
        <x:v>52</x:v>
      </x:c>
      <x:c r="R728">
        <x:v>74</x:v>
      </x:c>
      <x:c r="S728">
        <x:v>74</x:v>
      </x:c>
      <x:c r="T728">
        <x:v>51</x:v>
      </x:c>
      <x:c r="U728">
        <x:v>54</x:v>
      </x:c>
    </x:row>
    <x:row r="729">
      <x:c r="A729" t="s">
        <x:v>1088</x:v>
      </x:c>
      <x:c r="C729" t="s">
        <x:v>331</x:v>
      </x:c>
      <x:c r="D729">
        <x:v>8477981</x:v>
      </x:c>
      <x:c r="E729">
        <x:v>64</x:v>
      </x:c>
      <x:c r="F729">
        <x:v>38</x:v>
      </x:c>
      <x:c r="G729">
        <x:v>82</x:v>
      </x:c>
      <x:c r="H729">
        <x:v>34</x:v>
      </x:c>
      <x:c r="I729">
        <x:v>81</x:v>
      </x:c>
      <x:c r="J729">
        <x:v>92</x:v>
      </x:c>
      <x:c r="K729">
        <x:v>95</x:v>
      </x:c>
      <x:c r="L729">
        <x:v>35</x:v>
      </x:c>
      <x:c r="M729">
        <x:v>30</x:v>
      </x:c>
      <x:c r="N729">
        <x:v>44</x:v>
      </x:c>
      <x:c r="O729">
        <x:v>41</x:v>
      </x:c>
      <x:c r="P729">
        <x:v>69</x:v>
      </x:c>
      <x:c r="Q729">
        <x:v>47</x:v>
      </x:c>
      <x:c r="R729">
        <x:v>72</x:v>
      </x:c>
      <x:c r="S729">
        <x:v>71</x:v>
      </x:c>
      <x:c r="T729">
        <x:v>51</x:v>
      </x:c>
      <x:c r="U729">
        <x:v>54</x:v>
      </x:c>
    </x:row>
    <x:row r="730">
      <x:c r="A730" t="s">
        <x:v>1089</x:v>
      </x:c>
      <x:c r="C730" t="s">
        <x:v>331</x:v>
      </x:c>
      <x:c r="D730">
        <x:v>8476953</x:v>
      </x:c>
      <x:c r="E730">
        <x:v>67</x:v>
      </x:c>
      <x:c r="F730">
        <x:v>41</x:v>
      </x:c>
      <x:c r="G730">
        <x:v>78</x:v>
      </x:c>
      <x:c r="H730">
        <x:v>35</x:v>
      </x:c>
      <x:c r="I730">
        <x:v>78</x:v>
      </x:c>
      <x:c r="J730">
        <x:v>86</x:v>
      </x:c>
      <x:c r="K730">
        <x:v>87</x:v>
      </x:c>
      <x:c r="L730">
        <x:v>35</x:v>
      </x:c>
      <x:c r="M730">
        <x:v>30</x:v>
      </x:c>
      <x:c r="N730">
        <x:v>46</x:v>
      </x:c>
      <x:c r="O730">
        <x:v>42</x:v>
      </x:c>
      <x:c r="P730">
        <x:v>71</x:v>
      </x:c>
      <x:c r="Q730">
        <x:v>49</x:v>
      </x:c>
      <x:c r="R730">
        <x:v>76</x:v>
      </x:c>
      <x:c r="S730">
        <x:v>75</x:v>
      </x:c>
      <x:c r="T730">
        <x:v>51</x:v>
      </x:c>
      <x:c r="U730">
        <x:v>54</x:v>
      </x:c>
    </x:row>
    <x:row r="731">
      <x:c r="A731" t="s">
        <x:v>1090</x:v>
      </x:c>
      <x:c r="C731" t="s">
        <x:v>326</x:v>
      </x:c>
      <x:c r="D731">
        <x:v>8475968</x:v>
      </x:c>
      <x:c r="E731">
        <x:v>67</x:v>
      </x:c>
      <x:c r="F731">
        <x:v>37</x:v>
      </x:c>
      <x:c r="G731">
        <x:v>75</x:v>
      </x:c>
      <x:c r="H731">
        <x:v>48</x:v>
      </x:c>
      <x:c r="I731">
        <x:v>81</x:v>
      </x:c>
      <x:c r="J731">
        <x:v>89</x:v>
      </x:c>
      <x:c r="K731">
        <x:v>91</x:v>
      </x:c>
      <x:c r="L731">
        <x:v>48</x:v>
      </x:c>
      <x:c r="M731">
        <x:v>77</x:v>
      </x:c>
      <x:c r="N731">
        <x:v>50</x:v>
      </x:c>
      <x:c r="O731">
        <x:v>47</x:v>
      </x:c>
      <x:c r="P731">
        <x:v>66</x:v>
      </x:c>
      <x:c r="Q731">
        <x:v>71</x:v>
      </x:c>
      <x:c r="R731">
        <x:v>82</x:v>
      </x:c>
      <x:c r="S731">
        <x:v>78</x:v>
      </x:c>
      <x:c r="T731">
        <x:v>51</x:v>
      </x:c>
      <x:c r="U731">
        <x:v>54</x:v>
      </x:c>
    </x:row>
    <x:row r="732">
      <x:c r="A732" t="s">
        <x:v>1091</x:v>
      </x:c>
      <x:c r="C732" t="s">
        <x:v>358</x:v>
      </x:c>
      <x:c r="D732">
        <x:v>8481422</x:v>
      </x:c>
      <x:c r="E732">
        <x:v>67</x:v>
      </x:c>
      <x:c r="F732">
        <x:v>36</x:v>
      </x:c>
      <x:c r="G732">
        <x:v>86</x:v>
      </x:c>
      <x:c r="H732">
        <x:v>46</x:v>
      </x:c>
      <x:c r="I732">
        <x:v>76</x:v>
      </x:c>
      <x:c r="J732">
        <x:v>87</x:v>
      </x:c>
      <x:c r="K732">
        <x:v>90</x:v>
      </x:c>
      <x:c r="L732">
        <x:v>47</x:v>
      </x:c>
      <x:c r="M732">
        <x:v>53</x:v>
      </x:c>
      <x:c r="N732">
        <x:v>51</x:v>
      </x:c>
      <x:c r="O732">
        <x:v>51</x:v>
      </x:c>
      <x:c r="P732">
        <x:v>65</x:v>
      </x:c>
      <x:c r="Q732">
        <x:v>69</x:v>
      </x:c>
      <x:c r="R732">
        <x:v>74</x:v>
      </x:c>
      <x:c r="S732">
        <x:v>74</x:v>
      </x:c>
      <x:c r="T732">
        <x:v>51</x:v>
      </x:c>
      <x:c r="U732">
        <x:v>54</x:v>
      </x:c>
    </x:row>
    <x:row r="733">
      <x:c r="A733" t="s">
        <x:v>1092</x:v>
      </x:c>
      <x:c r="C733" t="s">
        <x:v>358</x:v>
      </x:c>
      <x:c r="D733">
        <x:v>8479533</x:v>
      </x:c>
      <x:c r="E733">
        <x:v>68</x:v>
      </x:c>
      <x:c r="F733">
        <x:v>42</x:v>
      </x:c>
      <x:c r="G733">
        <x:v>92</x:v>
      </x:c>
      <x:c r="H733">
        <x:v>47</x:v>
      </x:c>
      <x:c r="I733">
        <x:v>86</x:v>
      </x:c>
      <x:c r="J733">
        <x:v>81</x:v>
      </x:c>
      <x:c r="K733">
        <x:v>80</x:v>
      </x:c>
      <x:c r="L733">
        <x:v>48</x:v>
      </x:c>
      <x:c r="M733">
        <x:v>76</x:v>
      </x:c>
      <x:c r="N733">
        <x:v>50</x:v>
      </x:c>
      <x:c r="O733">
        <x:v>49</x:v>
      </x:c>
      <x:c r="P733">
        <x:v>64</x:v>
      </x:c>
      <x:c r="Q733">
        <x:v>52</x:v>
      </x:c>
      <x:c r="R733">
        <x:v>70</x:v>
      </x:c>
      <x:c r="S733">
        <x:v>70</x:v>
      </x:c>
      <x:c r="T733">
        <x:v>51</x:v>
      </x:c>
      <x:c r="U733">
        <x:v>54</x:v>
      </x:c>
    </x:row>
    <x:row r="734">
      <x:c r="A734" t="s">
        <x:v>1093</x:v>
      </x:c>
      <x:c r="C734" t="s">
        <x:v>331</x:v>
      </x:c>
      <x:c r="D734">
        <x:v>8482807</x:v>
      </x:c>
      <x:c r="E734">
        <x:v>71</x:v>
      </x:c>
      <x:c r="F734">
        <x:v>41</x:v>
      </x:c>
      <x:c r="G734">
        <x:v>78</x:v>
      </x:c>
      <x:c r="H734">
        <x:v>36</x:v>
      </x:c>
      <x:c r="I734">
        <x:v>84</x:v>
      </x:c>
      <x:c r="J734">
        <x:v>82</x:v>
      </x:c>
      <x:c r="K734">
        <x:v>86</x:v>
      </x:c>
      <x:c r="L734">
        <x:v>36</x:v>
      </x:c>
      <x:c r="M734">
        <x:v>30</x:v>
      </x:c>
      <x:c r="N734">
        <x:v>45</x:v>
      </x:c>
      <x:c r="O734">
        <x:v>45</x:v>
      </x:c>
      <x:c r="P734">
        <x:v>72</x:v>
      </x:c>
      <x:c r="Q734">
        <x:v>52</x:v>
      </x:c>
      <x:c r="R734">
        <x:v>67</x:v>
      </x:c>
      <x:c r="S734">
        <x:v>64</x:v>
      </x:c>
      <x:c r="T734">
        <x:v>51</x:v>
      </x:c>
      <x:c r="U734">
        <x:v>54</x:v>
      </x:c>
    </x:row>
    <x:row r="735">
      <x:c r="A735" t="s">
        <x:v>1094</x:v>
      </x:c>
      <x:c r="C735" t="s">
        <x:v>319</x:v>
      </x:c>
      <x:c r="D735">
        <x:v>8478967</x:v>
      </x:c>
      <x:c r="E735">
        <x:v>84</x:v>
      </x:c>
      <x:c r="F735">
        <x:v>35</x:v>
      </x:c>
      <x:c r="G735">
        <x:v>82</x:v>
      </x:c>
      <x:c r="H735">
        <x:v>46</x:v>
      </x:c>
      <x:c r="I735">
        <x:v>79</x:v>
      </x:c>
      <x:c r="J735">
        <x:v>86</x:v>
      </x:c>
      <x:c r="K735">
        <x:v>90</x:v>
      </x:c>
      <x:c r="L735">
        <x:v>47</x:v>
      </x:c>
      <x:c r="M735">
        <x:v>78</x:v>
      </x:c>
      <x:c r="N735">
        <x:v>47</x:v>
      </x:c>
      <x:c r="O735">
        <x:v>45</x:v>
      </x:c>
      <x:c r="P735">
        <x:v>64</x:v>
      </x:c>
      <x:c r="Q735">
        <x:v>67</x:v>
      </x:c>
      <x:c r="R735">
        <x:v>71</x:v>
      </x:c>
      <x:c r="S735">
        <x:v>71</x:v>
      </x:c>
      <x:c r="T735">
        <x:v>51</x:v>
      </x:c>
      <x:c r="U735">
        <x:v>54</x:v>
      </x:c>
    </x:row>
    <x:row r="736">
      <x:c r="A736" t="s">
        <x:v>1095</x:v>
      </x:c>
      <x:c r="B736" t="s">
        <x:v>436</x:v>
      </x:c>
      <x:c r="C736" t="s">
        <x:v>331</x:v>
      </x:c>
      <x:c r="D736">
        <x:v>8483466</x:v>
      </x:c>
      <x:c r="E736">
        <x:v>67</x:v>
      </x:c>
      <x:c r="F736">
        <x:v>33</x:v>
      </x:c>
      <x:c r="G736">
        <x:v>86</x:v>
      </x:c>
      <x:c r="H736">
        <x:v>40</x:v>
      </x:c>
      <x:c r="I736">
        <x:v>75</x:v>
      </x:c>
      <x:c r="J736">
        <x:v>82</x:v>
      </x:c>
      <x:c r="K736">
        <x:v>88</x:v>
      </x:c>
      <x:c r="L736">
        <x:v>38</x:v>
      </x:c>
      <x:c r="M736">
        <x:v>30</x:v>
      </x:c>
      <x:c r="N736">
        <x:v>52</x:v>
      </x:c>
      <x:c r="O736">
        <x:v>46</x:v>
      </x:c>
      <x:c r="P736">
        <x:v>73</x:v>
      </x:c>
      <x:c r="Q736">
        <x:v>52</x:v>
      </x:c>
      <x:c r="R736">
        <x:v>66</x:v>
      </x:c>
      <x:c r="S736">
        <x:v>67</x:v>
      </x:c>
      <x:c r="T736">
        <x:v>51</x:v>
      </x:c>
      <x:c r="U736">
        <x:v>54</x:v>
      </x:c>
    </x:row>
    <x:row r="737">
      <x:c r="A737" t="s">
        <x:v>1096</x:v>
      </x:c>
      <x:c r="B737" t="s">
        <x:v>427</x:v>
      </x:c>
      <x:c r="C737" t="s">
        <x:v>331</x:v>
      </x:c>
      <x:c r="D737">
        <x:v>8483460</x:v>
      </x:c>
      <x:c r="E737">
        <x:v>68</x:v>
      </x:c>
      <x:c r="F737">
        <x:v>38</x:v>
      </x:c>
      <x:c r="G737">
        <x:v>80</x:v>
      </x:c>
      <x:c r="H737">
        <x:v>38</x:v>
      </x:c>
      <x:c r="I737">
        <x:v>81</x:v>
      </x:c>
      <x:c r="J737">
        <x:v>81</x:v>
      </x:c>
      <x:c r="K737">
        <x:v>85</x:v>
      </x:c>
      <x:c r="L737">
        <x:v>39</x:v>
      </x:c>
      <x:c r="M737">
        <x:v>30</x:v>
      </x:c>
      <x:c r="N737">
        <x:v>49</x:v>
      </x:c>
      <x:c r="O737">
        <x:v>46</x:v>
      </x:c>
      <x:c r="P737">
        <x:v>72</x:v>
      </x:c>
      <x:c r="Q737">
        <x:v>52</x:v>
      </x:c>
      <x:c r="R737">
        <x:v>67</x:v>
      </x:c>
      <x:c r="S737">
        <x:v>66</x:v>
      </x:c>
      <x:c r="T737">
        <x:v>51</x:v>
      </x:c>
      <x:c r="U737">
        <x:v>54</x:v>
      </x:c>
    </x:row>
    <x:row r="738">
      <x:c r="A738" t="s">
        <x:v>1097</x:v>
      </x:c>
      <x:c r="B738" t="s">
        <x:v>393</x:v>
      </x:c>
      <x:c r="C738" t="s">
        <x:v>319</x:v>
      </x:c>
      <x:c r="D738">
        <x:v>8485512</x:v>
      </x:c>
      <x:c r="E738">
        <x:v>78</x:v>
      </x:c>
      <x:c r="F738">
        <x:v>40</x:v>
      </x:c>
      <x:c r="G738">
        <x:v>86</x:v>
      </x:c>
      <x:c r="H738">
        <x:v>46</x:v>
      </x:c>
      <x:c r="I738">
        <x:v>83</x:v>
      </x:c>
      <x:c r="J738">
        <x:v>81</x:v>
      </x:c>
      <x:c r="K738">
        <x:v>80</x:v>
      </x:c>
      <x:c r="L738">
        <x:v>48</x:v>
      </x:c>
      <x:c r="M738">
        <x:v>80</x:v>
      </x:c>
      <x:c r="N738">
        <x:v>47</x:v>
      </x:c>
      <x:c r="O738">
        <x:v>47</x:v>
      </x:c>
      <x:c r="P738">
        <x:v>66</x:v>
      </x:c>
      <x:c r="Q738">
        <x:v>51</x:v>
      </x:c>
      <x:c r="R738">
        <x:v>68</x:v>
      </x:c>
      <x:c r="S738">
        <x:v>65</x:v>
      </x:c>
      <x:c r="T738">
        <x:v>51</x:v>
      </x:c>
      <x:c r="U738">
        <x:v>54</x:v>
      </x:c>
    </x:row>
    <x:row r="739">
      <x:c r="A739" t="s">
        <x:v>1098</x:v>
      </x:c>
      <x:c r="B739" t="s">
        <x:v>370</x:v>
      </x:c>
      <x:c r="C739" t="s">
        <x:v>333</x:v>
      </x:c>
      <x:c r="D739">
        <x:v>8481577</x:v>
      </x:c>
      <x:c r="E739">
        <x:v>67</x:v>
      </x:c>
      <x:c r="F739">
        <x:v>35</x:v>
      </x:c>
      <x:c r="G739">
        <x:v>80</x:v>
      </x:c>
      <x:c r="H739">
        <x:v>48</x:v>
      </x:c>
      <x:c r="I739">
        <x:v>76</x:v>
      </x:c>
      <x:c r="J739">
        <x:v>84</x:v>
      </x:c>
      <x:c r="K739">
        <x:v>87</x:v>
      </x:c>
      <x:c r="L739">
        <x:v>47</x:v>
      </x:c>
      <x:c r="M739">
        <x:v>71</x:v>
      </x:c>
      <x:c r="N739">
        <x:v>53</x:v>
      </x:c>
      <x:c r="O739">
        <x:v>51</x:v>
      </x:c>
      <x:c r="P739">
        <x:v>62</x:v>
      </x:c>
      <x:c r="Q739">
        <x:v>71</x:v>
      </x:c>
      <x:c r="R739">
        <x:v>70</x:v>
      </x:c>
      <x:c r="S739">
        <x:v>71</x:v>
      </x:c>
      <x:c r="T739">
        <x:v>51</x:v>
      </x:c>
      <x:c r="U739">
        <x:v>54</x:v>
      </x:c>
    </x:row>
    <x:row r="740">
      <x:c r="A740" t="s">
        <x:v>1099</x:v>
      </x:c>
      <x:c r="B740" t="s">
        <x:v>327</x:v>
      </x:c>
      <x:c r="C740" t="s">
        <x:v>323</x:v>
      </x:c>
      <x:c r="D740">
        <x:v>8483447</x:v>
      </x:c>
      <x:c r="E740">
        <x:v>75</x:v>
      </x:c>
      <x:c r="F740">
        <x:v>41</x:v>
      </x:c>
      <x:c r="G740">
        <x:v>82</x:v>
      </x:c>
      <x:c r="H740">
        <x:v>52</x:v>
      </x:c>
      <x:c r="I740">
        <x:v>84</x:v>
      </x:c>
      <x:c r="J740">
        <x:v>79</x:v>
      </x:c>
      <x:c r="K740">
        <x:v>88</x:v>
      </x:c>
      <x:c r="L740">
        <x:v>52</x:v>
      </x:c>
      <x:c r="M740">
        <x:v>79</x:v>
      </x:c>
      <x:c r="N740">
        <x:v>52</x:v>
      </x:c>
      <x:c r="O740">
        <x:v>52</x:v>
      </x:c>
      <x:c r="P740">
        <x:v>61</x:v>
      </x:c>
      <x:c r="Q740">
        <x:v>52</x:v>
      </x:c>
      <x:c r="R740">
        <x:v>66</x:v>
      </x:c>
      <x:c r="S740">
        <x:v>68</x:v>
      </x:c>
      <x:c r="T740">
        <x:v>47</x:v>
      </x:c>
      <x:c r="U740">
        <x:v>54</x:v>
      </x:c>
    </x:row>
    <x:row r="741">
      <x:c r="A741" t="s">
        <x:v>1100</x:v>
      </x:c>
      <x:c r="C741" t="s">
        <x:v>331</x:v>
      </x:c>
      <x:c r="D741">
        <x:v>8480823</x:v>
      </x:c>
      <x:c r="E741">
        <x:v>74</x:v>
      </x:c>
      <x:c r="F741">
        <x:v>41</x:v>
      </x:c>
      <x:c r="G741">
        <x:v>85</x:v>
      </x:c>
      <x:c r="H741">
        <x:v>34</x:v>
      </x:c>
      <x:c r="I741">
        <x:v>86</x:v>
      </x:c>
      <x:c r="J741">
        <x:v>72</x:v>
      </x:c>
      <x:c r="K741">
        <x:v>72</x:v>
      </x:c>
      <x:c r="L741">
        <x:v>35</x:v>
      </x:c>
      <x:c r="M741">
        <x:v>30</x:v>
      </x:c>
      <x:c r="N741">
        <x:v>48</x:v>
      </x:c>
      <x:c r="O741">
        <x:v>45</x:v>
      </x:c>
      <x:c r="P741">
        <x:v>74</x:v>
      </x:c>
      <x:c r="Q741">
        <x:v>48</x:v>
      </x:c>
      <x:c r="R741">
        <x:v>71</x:v>
      </x:c>
      <x:c r="S741">
        <x:v>69</x:v>
      </x:c>
      <x:c r="T741">
        <x:v>51</x:v>
      </x:c>
      <x:c r="U741">
        <x:v>54</x:v>
      </x:c>
    </x:row>
    <x:row r="742">
      <x:c r="A742" t="s">
        <x:v>1101</x:v>
      </x:c>
      <x:c r="C742" t="s">
        <x:v>331</x:v>
      </x:c>
      <x:c r="D742">
        <x:v>8481743</x:v>
      </x:c>
      <x:c r="E742">
        <x:v>77</x:v>
      </x:c>
      <x:c r="F742">
        <x:v>43</x:v>
      </x:c>
      <x:c r="G742">
        <x:v>83</x:v>
      </x:c>
      <x:c r="H742">
        <x:v>35</x:v>
      </x:c>
      <x:c r="I742">
        <x:v>77</x:v>
      </x:c>
      <x:c r="J742">
        <x:v>87</x:v>
      </x:c>
      <x:c r="K742">
        <x:v>90</x:v>
      </x:c>
      <x:c r="L742">
        <x:v>35</x:v>
      </x:c>
      <x:c r="M742">
        <x:v>30</x:v>
      </x:c>
      <x:c r="N742">
        <x:v>50</x:v>
      </x:c>
      <x:c r="O742">
        <x:v>45</x:v>
      </x:c>
      <x:c r="P742">
        <x:v>73</x:v>
      </x:c>
      <x:c r="Q742">
        <x:v>49</x:v>
      </x:c>
      <x:c r="R742">
        <x:v>70</x:v>
      </x:c>
      <x:c r="S742">
        <x:v>69</x:v>
      </x:c>
      <x:c r="T742">
        <x:v>51</x:v>
      </x:c>
      <x:c r="U742">
        <x:v>54</x:v>
      </x:c>
    </x:row>
    <x:row r="743">
      <x:c r="A743" t="s">
        <x:v>1102</x:v>
      </x:c>
      <x:c r="C743" t="s">
        <x:v>331</x:v>
      </x:c>
      <x:c r="D743">
        <x:v>8478841</x:v>
      </x:c>
      <x:c r="E743">
        <x:v>71</x:v>
      </x:c>
      <x:c r="F743">
        <x:v>34</x:v>
      </x:c>
      <x:c r="G743">
        <x:v>94</x:v>
      </x:c>
      <x:c r="H743">
        <x:v>37</x:v>
      </x:c>
      <x:c r="I743">
        <x:v>76</x:v>
      </x:c>
      <x:c r="J743">
        <x:v>82</x:v>
      </x:c>
      <x:c r="K743">
        <x:v>81</x:v>
      </x:c>
      <x:c r="L743">
        <x:v>37</x:v>
      </x:c>
      <x:c r="M743">
        <x:v>30</x:v>
      </x:c>
      <x:c r="N743">
        <x:v>50</x:v>
      </x:c>
      <x:c r="O743">
        <x:v>45</x:v>
      </x:c>
      <x:c r="P743">
        <x:v>71</x:v>
      </x:c>
      <x:c r="Q743">
        <x:v>54</x:v>
      </x:c>
      <x:c r="R743">
        <x:v>71</x:v>
      </x:c>
      <x:c r="S743">
        <x:v>71</x:v>
      </x:c>
      <x:c r="T743">
        <x:v>51</x:v>
      </x:c>
      <x:c r="U743">
        <x:v>54</x:v>
      </x:c>
    </x:row>
    <x:row r="744">
      <x:c r="A744" t="s">
        <x:v>1103</x:v>
      </x:c>
      <x:c r="C744" t="s">
        <x:v>331</x:v>
      </x:c>
      <x:c r="D744">
        <x:v>8478452</x:v>
      </x:c>
      <x:c r="E744">
        <x:v>75</x:v>
      </x:c>
      <x:c r="F744">
        <x:v>37</x:v>
      </x:c>
      <x:c r="G744">
        <x:v>88</x:v>
      </x:c>
      <x:c r="H744">
        <x:v>32</x:v>
      </x:c>
      <x:c r="I744">
        <x:v>79</x:v>
      </x:c>
      <x:c r="J744">
        <x:v>75</x:v>
      </x:c>
      <x:c r="K744">
        <x:v>76</x:v>
      </x:c>
      <x:c r="L744">
        <x:v>33</x:v>
      </x:c>
      <x:c r="M744">
        <x:v>30</x:v>
      </x:c>
      <x:c r="N744">
        <x:v>48</x:v>
      </x:c>
      <x:c r="O744">
        <x:v>43</x:v>
      </x:c>
      <x:c r="P744">
        <x:v>73</x:v>
      </x:c>
      <x:c r="Q744">
        <x:v>45</x:v>
      </x:c>
      <x:c r="R744">
        <x:v>71</x:v>
      </x:c>
      <x:c r="S744">
        <x:v>72</x:v>
      </x:c>
      <x:c r="T744">
        <x:v>51</x:v>
      </x:c>
      <x:c r="U744">
        <x:v>54</x:v>
      </x:c>
    </x:row>
    <x:row r="745">
      <x:c r="A745" t="s">
        <x:v>1104</x:v>
      </x:c>
      <x:c r="C745" t="s">
        <x:v>331</x:v>
      </x:c>
      <x:c r="D745">
        <x:v>8482516</x:v>
      </x:c>
      <x:c r="E745">
        <x:v>70</x:v>
      </x:c>
      <x:c r="F745">
        <x:v>40</x:v>
      </x:c>
      <x:c r="G745">
        <x:v>86</x:v>
      </x:c>
      <x:c r="H745">
        <x:v>36</x:v>
      </x:c>
      <x:c r="I745">
        <x:v>82</x:v>
      </x:c>
      <x:c r="J745">
        <x:v>82</x:v>
      </x:c>
      <x:c r="K745">
        <x:v>61</x:v>
      </x:c>
      <x:c r="L745">
        <x:v>37</x:v>
      </x:c>
      <x:c r="M745">
        <x:v>30</x:v>
      </x:c>
      <x:c r="N745">
        <x:v>48</x:v>
      </x:c>
      <x:c r="O745">
        <x:v>47</x:v>
      </x:c>
      <x:c r="P745">
        <x:v>74</x:v>
      </x:c>
      <x:c r="Q745">
        <x:v>52</x:v>
      </x:c>
      <x:c r="R745">
        <x:v>69</x:v>
      </x:c>
      <x:c r="S745">
        <x:v>68</x:v>
      </x:c>
      <x:c r="T745">
        <x:v>51</x:v>
      </x:c>
      <x:c r="U745">
        <x:v>54</x:v>
      </x:c>
    </x:row>
    <x:row r="746">
      <x:c r="A746" t="s">
        <x:v>1105</x:v>
      </x:c>
      <x:c r="C746" t="s">
        <x:v>323</x:v>
      </x:c>
      <x:c r="D746">
        <x:v>8477846</x:v>
      </x:c>
      <x:c r="E746">
        <x:v>64</x:v>
      </x:c>
      <x:c r="F746">
        <x:v>32</x:v>
      </x:c>
      <x:c r="G746">
        <x:v>89</x:v>
      </x:c>
      <x:c r="H746">
        <x:v>46</x:v>
      </x:c>
      <x:c r="I746">
        <x:v>79</x:v>
      </x:c>
      <x:c r="J746">
        <x:v>92</x:v>
      </x:c>
      <x:c r="K746">
        <x:v>96</x:v>
      </x:c>
      <x:c r="L746">
        <x:v>47</x:v>
      </x:c>
      <x:c r="M746">
        <x:v>79</x:v>
      </x:c>
      <x:c r="N746">
        <x:v>49</x:v>
      </x:c>
      <x:c r="O746">
        <x:v>49</x:v>
      </x:c>
      <x:c r="P746">
        <x:v>68</x:v>
      </x:c>
      <x:c r="Q746">
        <x:v>68</x:v>
      </x:c>
      <x:c r="R746">
        <x:v>82</x:v>
      </x:c>
      <x:c r="S746">
        <x:v>81</x:v>
      </x:c>
      <x:c r="T746">
        <x:v>51</x:v>
      </x:c>
      <x:c r="U746">
        <x:v>54</x:v>
      </x:c>
    </x:row>
    <x:row r="747">
      <x:c r="A747" t="s">
        <x:v>1106</x:v>
      </x:c>
      <x:c r="C747" t="s">
        <x:v>339</x:v>
      </x:c>
      <x:c r="D747">
        <x:v>8482742</x:v>
      </x:c>
      <x:c r="E747">
        <x:v>80</x:v>
      </x:c>
      <x:c r="F747">
        <x:v>78</x:v>
      </x:c>
      <x:c r="G747">
        <x:v>78</x:v>
      </x:c>
      <x:c r="H747">
        <x:v>49</x:v>
      </x:c>
      <x:c r="I747">
        <x:v>83</x:v>
      </x:c>
      <x:c r="J747">
        <x:v>83</x:v>
      </x:c>
      <x:c r="K747">
        <x:v>80</x:v>
      </x:c>
      <x:c r="L747">
        <x:v>48</x:v>
      </x:c>
      <x:c r="M747">
        <x:v>68</x:v>
      </x:c>
      <x:c r="N747">
        <x:v>50</x:v>
      </x:c>
      <x:c r="O747">
        <x:v>54</x:v>
      </x:c>
      <x:c r="P747">
        <x:v>66</x:v>
      </x:c>
      <x:c r="Q747">
        <x:v>52</x:v>
      </x:c>
      <x:c r="R747">
        <x:v>67</x:v>
      </x:c>
      <x:c r="S747">
        <x:v>65</x:v>
      </x:c>
      <x:c r="T747">
        <x:v>51</x:v>
      </x:c>
      <x:c r="U747">
        <x:v>54</x:v>
      </x:c>
    </x:row>
    <x:row r="748">
      <x:c r="A748" t="s">
        <x:v>1107</x:v>
      </x:c>
      <x:c r="C748" t="s">
        <x:v>331</x:v>
      </x:c>
      <x:c r="D748">
        <x:v>8482107</x:v>
      </x:c>
      <x:c r="E748">
        <x:v>62</x:v>
      </x:c>
      <x:c r="F748">
        <x:v>33</x:v>
      </x:c>
      <x:c r="G748">
        <x:v>92</x:v>
      </x:c>
      <x:c r="H748">
        <x:v>38</x:v>
      </x:c>
      <x:c r="I748">
        <x:v>74</x:v>
      </x:c>
      <x:c r="J748">
        <x:v>85</x:v>
      </x:c>
      <x:c r="K748">
        <x:v>51</x:v>
      </x:c>
      <x:c r="L748">
        <x:v>37</x:v>
      </x:c>
      <x:c r="M748">
        <x:v>30</x:v>
      </x:c>
      <x:c r="N748">
        <x:v>50</x:v>
      </x:c>
      <x:c r="O748">
        <x:v>49</x:v>
      </x:c>
      <x:c r="P748">
        <x:v>70</x:v>
      </x:c>
      <x:c r="Q748">
        <x:v>55</x:v>
      </x:c>
      <x:c r="R748">
        <x:v>67</x:v>
      </x:c>
      <x:c r="S748">
        <x:v>67</x:v>
      </x:c>
      <x:c r="T748">
        <x:v>51</x:v>
      </x:c>
      <x:c r="U748">
        <x:v>54</x:v>
      </x:c>
    </x:row>
    <x:row r="749">
      <x:c r="A749" t="s">
        <x:v>1108</x:v>
      </x:c>
      <x:c r="C749" t="s">
        <x:v>331</x:v>
      </x:c>
      <x:c r="D749">
        <x:v>8481812</x:v>
      </x:c>
      <x:c r="E749">
        <x:v>76</x:v>
      </x:c>
      <x:c r="F749">
        <x:v>41</x:v>
      </x:c>
      <x:c r="G749">
        <x:v>88</x:v>
      </x:c>
      <x:c r="H749">
        <x:v>32</x:v>
      </x:c>
      <x:c r="I749">
        <x:v>87</x:v>
      </x:c>
      <x:c r="J749">
        <x:v>81</x:v>
      </x:c>
      <x:c r="K749">
        <x:v>85</x:v>
      </x:c>
      <x:c r="L749">
        <x:v>33</x:v>
      </x:c>
      <x:c r="M749">
        <x:v>30</x:v>
      </x:c>
      <x:c r="N749">
        <x:v>44</x:v>
      </x:c>
      <x:c r="O749">
        <x:v>40</x:v>
      </x:c>
      <x:c r="P749">
        <x:v>73</x:v>
      </x:c>
      <x:c r="Q749">
        <x:v>45</x:v>
      </x:c>
      <x:c r="R749">
        <x:v>70</x:v>
      </x:c>
      <x:c r="S749">
        <x:v>69</x:v>
      </x:c>
      <x:c r="T749">
        <x:v>51</x:v>
      </x:c>
      <x:c r="U749">
        <x:v>54</x:v>
      </x:c>
    </x:row>
    <x:row r="750">
      <x:c r="A750" t="s">
        <x:v>1109</x:v>
      </x:c>
      <x:c r="C750" t="s">
        <x:v>358</x:v>
      </x:c>
      <x:c r="D750">
        <x:v>8481725</x:v>
      </x:c>
      <x:c r="E750">
        <x:v>71</x:v>
      </x:c>
      <x:c r="F750">
        <x:v>68</x:v>
      </x:c>
      <x:c r="G750">
        <x:v>89</x:v>
      </x:c>
      <x:c r="H750">
        <x:v>48</x:v>
      </x:c>
      <x:c r="I750">
        <x:v>98</x:v>
      </x:c>
      <x:c r="J750">
        <x:v>82</x:v>
      </x:c>
      <x:c r="K750">
        <x:v>80</x:v>
      </x:c>
      <x:c r="L750">
        <x:v>51</x:v>
      </x:c>
      <x:c r="M750">
        <x:v>67</x:v>
      </x:c>
      <x:c r="N750">
        <x:v>51</x:v>
      </x:c>
      <x:c r="O750">
        <x:v>53</x:v>
      </x:c>
      <x:c r="P750">
        <x:v>61</x:v>
      </x:c>
      <x:c r="Q750">
        <x:v>52</x:v>
      </x:c>
      <x:c r="R750">
        <x:v>69</x:v>
      </x:c>
      <x:c r="S750">
        <x:v>69</x:v>
      </x:c>
      <x:c r="T750">
        <x:v>51</x:v>
      </x:c>
      <x:c r="U750">
        <x:v>54</x:v>
      </x:c>
    </x:row>
    <x:row r="751">
      <x:c r="A751" t="s">
        <x:v>1110</x:v>
      </x:c>
      <x:c r="C751" t="s">
        <x:v>331</x:v>
      </x:c>
      <x:c r="D751">
        <x:v>8483503</x:v>
      </x:c>
      <x:c r="E751">
        <x:v>78</x:v>
      </x:c>
      <x:c r="F751">
        <x:v>36</x:v>
      </x:c>
      <x:c r="G751">
        <x:v>86</x:v>
      </x:c>
      <x:c r="H751">
        <x:v>35</x:v>
      </x:c>
      <x:c r="I751">
        <x:v>82</x:v>
      </x:c>
      <x:c r="J751">
        <x:v>90</x:v>
      </x:c>
      <x:c r="K751">
        <x:v>95</x:v>
      </x:c>
      <x:c r="L751">
        <x:v>36</x:v>
      </x:c>
      <x:c r="M751">
        <x:v>30</x:v>
      </x:c>
      <x:c r="N751">
        <x:v>45</x:v>
      </x:c>
      <x:c r="O751">
        <x:v>42</x:v>
      </x:c>
      <x:c r="P751">
        <x:v>73</x:v>
      </x:c>
      <x:c r="Q751">
        <x:v>49</x:v>
      </x:c>
      <x:c r="R751">
        <x:v>66</x:v>
      </x:c>
      <x:c r="S751">
        <x:v>66</x:v>
      </x:c>
      <x:c r="T751">
        <x:v>47</x:v>
      </x:c>
      <x:c r="U751">
        <x:v>54</x:v>
      </x:c>
    </x:row>
    <x:row r="752">
      <x:c r="A752" t="s">
        <x:v>1111</x:v>
      </x:c>
      <x:c r="C752" t="s">
        <x:v>331</x:v>
      </x:c>
      <x:c r="D752">
        <x:v>8484309</x:v>
      </x:c>
      <x:c r="E752">
        <x:v>86</x:v>
      </x:c>
      <x:c r="F752">
        <x:v>39</x:v>
      </x:c>
      <x:c r="G752">
        <x:v>88</x:v>
      </x:c>
      <x:c r="H752">
        <x:v>31</x:v>
      </x:c>
      <x:c r="I752">
        <x:v>85</x:v>
      </x:c>
      <x:c r="J752">
        <x:v>74</x:v>
      </x:c>
      <x:c r="K752">
        <x:v>77</x:v>
      </x:c>
      <x:c r="L752">
        <x:v>31</x:v>
      </x:c>
      <x:c r="M752">
        <x:v>30</x:v>
      </x:c>
      <x:c r="N752">
        <x:v>41</x:v>
      </x:c>
      <x:c r="O752">
        <x:v>37</x:v>
      </x:c>
      <x:c r="P752">
        <x:v>66</x:v>
      </x:c>
      <x:c r="Q752">
        <x:v>44</x:v>
      </x:c>
      <x:c r="R752">
        <x:v>72</x:v>
      </x:c>
      <x:c r="S752">
        <x:v>73</x:v>
      </x:c>
      <x:c r="T752">
        <x:v>51</x:v>
      </x:c>
      <x:c r="U752">
        <x:v>54</x:v>
      </x:c>
    </x:row>
    <x:row r="753">
      <x:c r="A753" t="s">
        <x:v>1112</x:v>
      </x:c>
      <x:c r="B753" t="s">
        <x:v>420</x:v>
      </x:c>
      <x:c r="C753" t="s">
        <x:v>319</x:v>
      </x:c>
      <x:c r="D753">
        <x:v>8484136</x:v>
      </x:c>
      <x:c r="E753">
        <x:v>60</x:v>
      </x:c>
      <x:c r="F753">
        <x:v>32</x:v>
      </x:c>
      <x:c r="G753">
        <x:v>88</x:v>
      </x:c>
      <x:c r="H753">
        <x:v>52</x:v>
      </x:c>
      <x:c r="I753">
        <x:v>76</x:v>
      </x:c>
      <x:c r="J753">
        <x:v>82</x:v>
      </x:c>
      <x:c r="K753">
        <x:v>87</x:v>
      </x:c>
      <x:c r="L753">
        <x:v>52</x:v>
      </x:c>
      <x:c r="M753">
        <x:v>78</x:v>
      </x:c>
      <x:c r="N753">
        <x:v>50</x:v>
      </x:c>
      <x:c r="O753">
        <x:v>56</x:v>
      </x:c>
      <x:c r="P753">
        <x:v>63</x:v>
      </x:c>
      <x:c r="Q753">
        <x:v>52</x:v>
      </x:c>
      <x:c r="R753">
        <x:v>70</x:v>
      </x:c>
      <x:c r="S753">
        <x:v>68</x:v>
      </x:c>
      <x:c r="T753">
        <x:v>51</x:v>
      </x:c>
      <x:c r="U753">
        <x:v>54</x:v>
      </x:c>
    </x:row>
    <x:row r="754">
      <x:c r="A754" t="s">
        <x:v>1113</x:v>
      </x:c>
      <x:c r="C754" t="s">
        <x:v>331</x:v>
      </x:c>
      <x:c r="D754">
        <x:v>8482861</x:v>
      </x:c>
      <x:c r="E754">
        <x:v>66</x:v>
      </x:c>
      <x:c r="F754">
        <x:v>41</x:v>
      </x:c>
      <x:c r="G754">
        <x:v>85</x:v>
      </x:c>
      <x:c r="H754">
        <x:v>36</x:v>
      </x:c>
      <x:c r="I754">
        <x:v>84</x:v>
      </x:c>
      <x:c r="J754">
        <x:v>85</x:v>
      </x:c>
      <x:c r="K754">
        <x:v>70</x:v>
      </x:c>
      <x:c r="L754">
        <x:v>38</x:v>
      </x:c>
      <x:c r="M754">
        <x:v>30</x:v>
      </x:c>
      <x:c r="N754">
        <x:v>47</x:v>
      </x:c>
      <x:c r="O754">
        <x:v>45</x:v>
      </x:c>
      <x:c r="P754">
        <x:v>73</x:v>
      </x:c>
      <x:c r="Q754">
        <x:v>54</x:v>
      </x:c>
      <x:c r="R754">
        <x:v>67</x:v>
      </x:c>
      <x:c r="S754">
        <x:v>67</x:v>
      </x:c>
      <x:c r="T754">
        <x:v>51</x:v>
      </x:c>
      <x:c r="U754">
        <x:v>54</x:v>
      </x:c>
    </x:row>
    <x:row r="755">
      <x:c r="A755" t="s">
        <x:v>1114</x:v>
      </x:c>
      <x:c r="B755" t="s">
        <x:v>320</x:v>
      </x:c>
      <x:c r="C755" t="s">
        <x:v>331</x:v>
      </x:c>
      <x:c r="D755">
        <x:v>8480831</x:v>
      </x:c>
      <x:c r="E755">
        <x:v>66</x:v>
      </x:c>
      <x:c r="F755">
        <x:v>78</x:v>
      </x:c>
      <x:c r="G755">
        <x:v>73</x:v>
      </x:c>
      <x:c r="H755">
        <x:v>37</x:v>
      </x:c>
      <x:c r="I755">
        <x:v>84</x:v>
      </x:c>
      <x:c r="J755">
        <x:v>82</x:v>
      </x:c>
      <x:c r="K755">
        <x:v>75</x:v>
      </x:c>
      <x:c r="L755">
        <x:v>38</x:v>
      </x:c>
      <x:c r="M755">
        <x:v>30</x:v>
      </x:c>
      <x:c r="N755">
        <x:v>47</x:v>
      </x:c>
      <x:c r="O755">
        <x:v>45</x:v>
      </x:c>
      <x:c r="P755">
        <x:v>73</x:v>
      </x:c>
      <x:c r="Q755">
        <x:v>51</x:v>
      </x:c>
      <x:c r="R755">
        <x:v>68</x:v>
      </x:c>
      <x:c r="S755">
        <x:v>67</x:v>
      </x:c>
      <x:c r="T755">
        <x:v>51</x:v>
      </x:c>
      <x:c r="U755">
        <x:v>54</x:v>
      </x:c>
    </x:row>
    <x:row r="756">
      <x:c r="A756" t="s">
        <x:v>1115</x:v>
      </x:c>
      <x:c r="C756" t="s">
        <x:v>331</x:v>
      </x:c>
      <x:c r="D756">
        <x:v>8482981</x:v>
      </x:c>
      <x:c r="E756">
        <x:v>81</x:v>
      </x:c>
      <x:c r="F756">
        <x:v>56</x:v>
      </x:c>
      <x:c r="G756">
        <x:v>71</x:v>
      </x:c>
      <x:c r="H756">
        <x:v>33</x:v>
      </x:c>
      <x:c r="I756">
        <x:v>88</x:v>
      </x:c>
      <x:c r="J756">
        <x:v>89</x:v>
      </x:c>
      <x:c r="K756">
        <x:v>93</x:v>
      </x:c>
      <x:c r="L756">
        <x:v>32</x:v>
      </x:c>
      <x:c r="M756">
        <x:v>30</x:v>
      </x:c>
      <x:c r="N756">
        <x:v>40</x:v>
      </x:c>
      <x:c r="O756">
        <x:v>41</x:v>
      </x:c>
      <x:c r="P756">
        <x:v>68</x:v>
      </x:c>
      <x:c r="Q756">
        <x:v>46</x:v>
      </x:c>
      <x:c r="R756">
        <x:v>74</x:v>
      </x:c>
      <x:c r="S756">
        <x:v>73</x:v>
      </x:c>
      <x:c r="T756">
        <x:v>51</x:v>
      </x:c>
      <x:c r="U756">
        <x:v>54</x:v>
      </x:c>
    </x:row>
    <x:row r="757">
      <x:c r="A757" t="s">
        <x:v>1116</x:v>
      </x:c>
      <x:c r="B757" t="s">
        <x:v>345</x:v>
      </x:c>
      <x:c r="C757" t="s">
        <x:v>326</x:v>
      </x:c>
      <x:c r="D757">
        <x:v>8485702</x:v>
      </x:c>
      <x:c r="E757">
        <x:v>60</x:v>
      </x:c>
      <x:c r="F757">
        <x:v>31</x:v>
      </x:c>
      <x:c r="G757">
        <x:v>96</x:v>
      </x:c>
      <x:c r="H757">
        <x:v>52</x:v>
      </x:c>
      <x:c r="I757">
        <x:v>73</x:v>
      </x:c>
      <x:c r="J757">
        <x:v>83</x:v>
      </x:c>
      <x:c r="K757">
        <x:v>70</x:v>
      </x:c>
      <x:c r="L757">
        <x:v>51</x:v>
      </x:c>
      <x:c r="M757">
        <x:v>61</x:v>
      </x:c>
      <x:c r="N757">
        <x:v>54</x:v>
      </x:c>
      <x:c r="O757">
        <x:v>51</x:v>
      </x:c>
      <x:c r="P757">
        <x:v>59</x:v>
      </x:c>
      <x:c r="Q757">
        <x:v>51</x:v>
      </x:c>
      <x:c r="R757">
        <x:v>71</x:v>
      </x:c>
      <x:c r="S757">
        <x:v>71</x:v>
      </x:c>
      <x:c r="T757">
        <x:v>51</x:v>
      </x:c>
      <x:c r="U757">
        <x:v>54</x:v>
      </x:c>
    </x:row>
    <x:row r="758">
      <x:c r="A758" t="s">
        <x:v>1117</x:v>
      </x:c>
      <x:c r="B758" t="s">
        <x:v>370</x:v>
      </x:c>
      <x:c r="C758" t="s">
        <x:v>358</x:v>
      </x:c>
      <x:c r="D758">
        <x:v>8477073</x:v>
      </x:c>
      <x:c r="E758">
        <x:v>66</x:v>
      </x:c>
      <x:c r="F758">
        <x:v>95</x:v>
      </x:c>
      <x:c r="G758">
        <x:v>83</x:v>
      </x:c>
      <x:c r="H758">
        <x:v>46</x:v>
      </x:c>
      <x:c r="I758">
        <x:v>91</x:v>
      </x:c>
      <x:c r="J758">
        <x:v>69</x:v>
      </x:c>
      <x:c r="K758">
        <x:v>41</x:v>
      </x:c>
      <x:c r="L758">
        <x:v>46</x:v>
      </x:c>
      <x:c r="M758">
        <x:v>61</x:v>
      </x:c>
      <x:c r="N758">
        <x:v>49</x:v>
      </x:c>
      <x:c r="O758">
        <x:v>49</x:v>
      </x:c>
      <x:c r="P758">
        <x:v>59</x:v>
      </x:c>
      <x:c r="Q758">
        <x:v>52</x:v>
      </x:c>
      <x:c r="R758">
        <x:v>81</x:v>
      </x:c>
      <x:c r="S758">
        <x:v>74</x:v>
      </x:c>
      <x:c r="T758">
        <x:v>51</x:v>
      </x:c>
      <x:c r="U758">
        <x:v>54</x:v>
      </x:c>
    </x:row>
    <x:row r="759">
      <x:c r="A759" t="s">
        <x:v>1118</x:v>
      </x:c>
      <x:c r="B759" t="s">
        <x:v>393</x:v>
      </x:c>
      <x:c r="C759" t="s">
        <x:v>331</x:v>
      </x:c>
      <x:c r="D759">
        <x:v>8481461</x:v>
      </x:c>
      <x:c r="E759">
        <x:v>76</x:v>
      </x:c>
      <x:c r="F759">
        <x:v>42</x:v>
      </x:c>
      <x:c r="G759">
        <x:v>86</x:v>
      </x:c>
      <x:c r="H759">
        <x:v>35</x:v>
      </x:c>
      <x:c r="I759">
        <x:v>79</x:v>
      </x:c>
      <x:c r="J759">
        <x:v>91</x:v>
      </x:c>
      <x:c r="K759">
        <x:v>95</x:v>
      </x:c>
      <x:c r="L759">
        <x:v>34</x:v>
      </x:c>
      <x:c r="M759">
        <x:v>30</x:v>
      </x:c>
      <x:c r="N759">
        <x:v>46</x:v>
      </x:c>
      <x:c r="O759">
        <x:v>41</x:v>
      </x:c>
      <x:c r="P759">
        <x:v>71</x:v>
      </x:c>
      <x:c r="Q759">
        <x:v>48</x:v>
      </x:c>
      <x:c r="R759">
        <x:v>74</x:v>
      </x:c>
      <x:c r="S759">
        <x:v>73</x:v>
      </x:c>
      <x:c r="T759">
        <x:v>51</x:v>
      </x:c>
      <x:c r="U759">
        <x:v>54</x:v>
      </x:c>
    </x:row>
    <x:row r="760">
      <x:c r="A760" t="s">
        <x:v>1119</x:v>
      </x:c>
      <x:c r="C760" t="s">
        <x:v>331</x:v>
      </x:c>
      <x:c r="D760">
        <x:v>8484188</x:v>
      </x:c>
      <x:c r="E760">
        <x:v>64</x:v>
      </x:c>
      <x:c r="F760">
        <x:v>35</x:v>
      </x:c>
      <x:c r="G760">
        <x:v>84</x:v>
      </x:c>
      <x:c r="H760">
        <x:v>37</x:v>
      </x:c>
      <x:c r="I760">
        <x:v>78</x:v>
      </x:c>
      <x:c r="J760">
        <x:v>83</x:v>
      </x:c>
      <x:c r="K760">
        <x:v>92</x:v>
      </x:c>
      <x:c r="L760">
        <x:v>35</x:v>
      </x:c>
      <x:c r="M760">
        <x:v>30</x:v>
      </x:c>
      <x:c r="N760">
        <x:v>46</x:v>
      </x:c>
      <x:c r="O760">
        <x:v>49</x:v>
      </x:c>
      <x:c r="P760">
        <x:v>70</x:v>
      </x:c>
      <x:c r="Q760">
        <x:v>51</x:v>
      </x:c>
      <x:c r="R760">
        <x:v>66</x:v>
      </x:c>
      <x:c r="S760">
        <x:v>67</x:v>
      </x:c>
      <x:c r="T760">
        <x:v>51</x:v>
      </x:c>
      <x:c r="U760">
        <x:v>54</x:v>
      </x:c>
    </x:row>
    <x:row r="761">
      <x:c r="A761" t="s">
        <x:v>1120</x:v>
      </x:c>
      <x:c r="C761" t="s">
        <x:v>331</x:v>
      </x:c>
      <x:c r="D761">
        <x:v>8477463</x:v>
      </x:c>
      <x:c r="E761">
        <x:v>69</x:v>
      </x:c>
      <x:c r="F761">
        <x:v>41</x:v>
      </x:c>
      <x:c r="G761">
        <x:v>90</x:v>
      </x:c>
      <x:c r="H761">
        <x:v>35</x:v>
      </x:c>
      <x:c r="I761">
        <x:v>84</x:v>
      </x:c>
      <x:c r="J761">
        <x:v>80</x:v>
      </x:c>
      <x:c r="K761">
        <x:v>78</x:v>
      </x:c>
      <x:c r="L761">
        <x:v>36</x:v>
      </x:c>
      <x:c r="M761">
        <x:v>30</x:v>
      </x:c>
      <x:c r="N761">
        <x:v>48</x:v>
      </x:c>
      <x:c r="O761">
        <x:v>45</x:v>
      </x:c>
      <x:c r="P761">
        <x:v>72</x:v>
      </x:c>
      <x:c r="Q761">
        <x:v>54</x:v>
      </x:c>
      <x:c r="R761">
        <x:v>74</x:v>
      </x:c>
      <x:c r="S761">
        <x:v>73</x:v>
      </x:c>
      <x:c r="T761">
        <x:v>51</x:v>
      </x:c>
      <x:c r="U761">
        <x:v>54</x:v>
      </x:c>
    </x:row>
    <x:row r="762">
      <x:c r="A762" t="s">
        <x:v>1121</x:v>
      </x:c>
      <x:c r="B762" t="s">
        <x:v>361</x:v>
      </x:c>
      <x:c r="C762" t="s">
        <x:v>323</x:v>
      </x:c>
      <x:c r="D762">
        <x:v>8479941</x:v>
      </x:c>
      <x:c r="E762">
        <x:v>68</x:v>
      </x:c>
      <x:c r="F762">
        <x:v>34</x:v>
      </x:c>
      <x:c r="G762">
        <x:v>83</x:v>
      </x:c>
      <x:c r="H762">
        <x:v>47</x:v>
      </x:c>
      <x:c r="I762">
        <x:v>74</x:v>
      </x:c>
      <x:c r="J762">
        <x:v>78</x:v>
      </x:c>
      <x:c r="K762">
        <x:v>32</x:v>
      </x:c>
      <x:c r="L762">
        <x:v>48</x:v>
      </x:c>
      <x:c r="M762">
        <x:v>77</x:v>
      </x:c>
      <x:c r="N762">
        <x:v>52</x:v>
      </x:c>
      <x:c r="O762">
        <x:v>53</x:v>
      </x:c>
      <x:c r="P762">
        <x:v>66</x:v>
      </x:c>
      <x:c r="Q762">
        <x:v>55</x:v>
      </x:c>
      <x:c r="R762">
        <x:v>79</x:v>
      </x:c>
      <x:c r="S762">
        <x:v>73</x:v>
      </x:c>
      <x:c r="T762">
        <x:v>54</x:v>
      </x:c>
      <x:c r="U762">
        <x:v>54</x:v>
      </x:c>
    </x:row>
    <x:row r="763">
      <x:c r="A763" t="s">
        <x:v>1122</x:v>
      </x:c>
      <x:c r="B763" t="s">
        <x:v>379</x:v>
      </x:c>
      <x:c r="C763" t="s">
        <x:v>326</x:v>
      </x:c>
      <x:c r="D763">
        <x:v>8483756</x:v>
      </x:c>
      <x:c r="E763">
        <x:v>65</x:v>
      </x:c>
      <x:c r="F763">
        <x:v>34</x:v>
      </x:c>
      <x:c r="G763">
        <x:v>91</x:v>
      </x:c>
      <x:c r="H763">
        <x:v>47</x:v>
      </x:c>
      <x:c r="I763">
        <x:v>77</x:v>
      </x:c>
      <x:c r="J763">
        <x:v>80</x:v>
      </x:c>
      <x:c r="K763">
        <x:v>91</x:v>
      </x:c>
      <x:c r="L763">
        <x:v>48</x:v>
      </x:c>
      <x:c r="M763">
        <x:v>61</x:v>
      </x:c>
      <x:c r="N763">
        <x:v>49</x:v>
      </x:c>
      <x:c r="O763">
        <x:v>46</x:v>
      </x:c>
      <x:c r="P763">
        <x:v>62</x:v>
      </x:c>
      <x:c r="Q763">
        <x:v>51</x:v>
      </x:c>
      <x:c r="R763">
        <x:v>69</x:v>
      </x:c>
      <x:c r="S763">
        <x:v>70</x:v>
      </x:c>
      <x:c r="T763">
        <x:v>54</x:v>
      </x:c>
      <x:c r="U763">
        <x:v>54</x:v>
      </x:c>
    </x:row>
    <x:row r="764">
      <x:c r="A764" t="s">
        <x:v>1123</x:v>
      </x:c>
      <x:c r="B764" t="s">
        <x:v>576</x:v>
      </x:c>
      <x:c r="C764" t="s">
        <x:v>331</x:v>
      </x:c>
      <x:c r="D764">
        <x:v>8484768</x:v>
      </x:c>
      <x:c r="E764">
        <x:v>65</x:v>
      </x:c>
      <x:c r="F764">
        <x:v>31</x:v>
      </x:c>
      <x:c r="G764">
        <x:v>90</x:v>
      </x:c>
      <x:c r="H764">
        <x:v>40</x:v>
      </x:c>
      <x:c r="I764">
        <x:v>74</x:v>
      </x:c>
      <x:c r="J764">
        <x:v>86</x:v>
      </x:c>
      <x:c r="K764">
        <x:v>71</x:v>
      </x:c>
      <x:c r="L764">
        <x:v>38</x:v>
      </x:c>
      <x:c r="M764">
        <x:v>30</x:v>
      </x:c>
      <x:c r="N764">
        <x:v>48</x:v>
      </x:c>
      <x:c r="O764">
        <x:v>49</x:v>
      </x:c>
      <x:c r="P764">
        <x:v>69</x:v>
      </x:c>
      <x:c r="Q764">
        <x:v>51</x:v>
      </x:c>
      <x:c r="R764">
        <x:v>65</x:v>
      </x:c>
      <x:c r="S764">
        <x:v>64</x:v>
      </x:c>
      <x:c r="T764">
        <x:v>51</x:v>
      </x:c>
      <x:c r="U764">
        <x:v>54</x:v>
      </x:c>
    </x:row>
    <x:row r="765">
      <x:c r="A765" t="s">
        <x:v>1124</x:v>
      </x:c>
      <x:c r="C765" t="s">
        <x:v>358</x:v>
      </x:c>
      <x:c r="D765">
        <x:v>8479362</x:v>
      </x:c>
      <x:c r="E765">
        <x:v>76</x:v>
      </x:c>
      <x:c r="F765">
        <x:v>37</x:v>
      </x:c>
      <x:c r="G765">
        <x:v>77</x:v>
      </x:c>
      <x:c r="H765">
        <x:v>42</x:v>
      </x:c>
      <x:c r="I765">
        <x:v>90</x:v>
      </x:c>
      <x:c r="J765">
        <x:v>90</x:v>
      </x:c>
      <x:c r="K765">
        <x:v>93</x:v>
      </x:c>
      <x:c r="L765">
        <x:v>42</x:v>
      </x:c>
      <x:c r="M765">
        <x:v>64</x:v>
      </x:c>
      <x:c r="N765">
        <x:v>49</x:v>
      </x:c>
      <x:c r="O765">
        <x:v>52</x:v>
      </x:c>
      <x:c r="P765">
        <x:v>61</x:v>
      </x:c>
      <x:c r="Q765">
        <x:v>64</x:v>
      </x:c>
      <x:c r="R765">
        <x:v>70</x:v>
      </x:c>
      <x:c r="S765">
        <x:v>71</x:v>
      </x:c>
      <x:c r="T765">
        <x:v>51</x:v>
      </x:c>
      <x:c r="U765">
        <x:v>54</x:v>
      </x:c>
    </x:row>
    <x:row r="766">
      <x:c r="A766" t="s">
        <x:v>1125</x:v>
      </x:c>
      <x:c r="B766" t="s">
        <x:v>340</x:v>
      </x:c>
      <x:c r="C766" t="s">
        <x:v>319</x:v>
      </x:c>
      <x:c r="D766">
        <x:v>8482859</x:v>
      </x:c>
      <x:c r="E766">
        <x:v>78</x:v>
      </x:c>
      <x:c r="F766">
        <x:v>80</x:v>
      </x:c>
      <x:c r="G766">
        <x:v>81</x:v>
      </x:c>
      <x:c r="H766">
        <x:v>47</x:v>
      </x:c>
      <x:c r="I766">
        <x:v>84</x:v>
      </x:c>
      <x:c r="J766">
        <x:v>81</x:v>
      </x:c>
      <x:c r="K766">
        <x:v>88</x:v>
      </x:c>
      <x:c r="L766">
        <x:v>48</x:v>
      </x:c>
      <x:c r="M766">
        <x:v>84</x:v>
      </x:c>
      <x:c r="N766">
        <x:v>49</x:v>
      </x:c>
      <x:c r="O766">
        <x:v>50</x:v>
      </x:c>
      <x:c r="P766">
        <x:v>66</x:v>
      </x:c>
      <x:c r="Q766">
        <x:v>52</x:v>
      </x:c>
      <x:c r="R766">
        <x:v>67</x:v>
      </x:c>
      <x:c r="S766">
        <x:v>65</x:v>
      </x:c>
      <x:c r="T766">
        <x:v>51</x:v>
      </x:c>
      <x:c r="U766">
        <x:v>54</x:v>
      </x:c>
    </x:row>
    <x:row r="767">
      <x:c r="A767" t="s">
        <x:v>1126</x:v>
      </x:c>
      <x:c r="B767" t="s">
        <x:v>584</x:v>
      </x:c>
      <x:c r="C767" t="s">
        <x:v>326</x:v>
      </x:c>
      <x:c r="D767">
        <x:v>8475780</x:v>
      </x:c>
      <x:c r="E767">
        <x:v>74</x:v>
      </x:c>
      <x:c r="F767">
        <x:v>87</x:v>
      </x:c>
      <x:c r="G767">
        <x:v>80</x:v>
      </x:c>
      <x:c r="H767">
        <x:v>46</x:v>
      </x:c>
      <x:c r="I767">
        <x:v>77</x:v>
      </x:c>
      <x:c r="J767">
        <x:v>85</x:v>
      </x:c>
      <x:c r="K767">
        <x:v>90</x:v>
      </x:c>
      <x:c r="L767">
        <x:v>46</x:v>
      </x:c>
      <x:c r="M767">
        <x:v>75</x:v>
      </x:c>
      <x:c r="N767">
        <x:v>48</x:v>
      </x:c>
      <x:c r="O767">
        <x:v>49</x:v>
      </x:c>
      <x:c r="P767">
        <x:v>63</x:v>
      </x:c>
      <x:c r="Q767">
        <x:v>68</x:v>
      </x:c>
      <x:c r="R767">
        <x:v>81</x:v>
      </x:c>
      <x:c r="S767">
        <x:v>75</x:v>
      </x:c>
      <x:c r="T767">
        <x:v>51</x:v>
      </x:c>
      <x:c r="U767">
        <x:v>54</x:v>
      </x:c>
    </x:row>
    <x:row r="768">
      <x:c r="A768" t="s">
        <x:v>1127</x:v>
      </x:c>
      <x:c r="B768" t="s">
        <x:v>324</x:v>
      </x:c>
      <x:c r="C768" t="s">
        <x:v>319</x:v>
      </x:c>
      <x:c r="D768">
        <x:v>8476994</x:v>
      </x:c>
      <x:c r="E768">
        <x:v>63</x:v>
      </x:c>
      <x:c r="F768">
        <x:v>45</x:v>
      </x:c>
      <x:c r="G768">
        <x:v>87</x:v>
      </x:c>
      <x:c r="H768">
        <x:v>49</x:v>
      </x:c>
      <x:c r="I768">
        <x:v>76</x:v>
      </x:c>
      <x:c r="J768">
        <x:v>82</x:v>
      </x:c>
      <x:c r="K768">
        <x:v>80</x:v>
      </x:c>
      <x:c r="L768">
        <x:v>49</x:v>
      </x:c>
      <x:c r="M768">
        <x:v>70</x:v>
      </x:c>
      <x:c r="N768">
        <x:v>52</x:v>
      </x:c>
      <x:c r="O768">
        <x:v>52</x:v>
      </x:c>
      <x:c r="P768">
        <x:v>61</x:v>
      </x:c>
      <x:c r="Q768">
        <x:v>70</x:v>
      </x:c>
      <x:c r="R768">
        <x:v>82</x:v>
      </x:c>
      <x:c r="S768">
        <x:v>73</x:v>
      </x:c>
      <x:c r="T768">
        <x:v>51</x:v>
      </x:c>
      <x:c r="U768">
        <x:v>54</x:v>
      </x:c>
    </x:row>
    <x:row r="769">
      <x:c r="A769" t="s">
        <x:v>1128</x:v>
      </x:c>
      <x:c r="C769" t="s">
        <x:v>358</x:v>
      </x:c>
      <x:c r="D769">
        <x:v>8479393</x:v>
      </x:c>
      <x:c r="E769">
        <x:v>68</x:v>
      </x:c>
      <x:c r="F769">
        <x:v>75</x:v>
      </x:c>
      <x:c r="G769">
        <x:v>81</x:v>
      </x:c>
      <x:c r="H769">
        <x:v>48</x:v>
      </x:c>
      <x:c r="I769">
        <x:v>76</x:v>
      </x:c>
      <x:c r="J769">
        <x:v>80</x:v>
      </x:c>
      <x:c r="K769">
        <x:v>81</x:v>
      </x:c>
      <x:c r="L769">
        <x:v>48</x:v>
      </x:c>
      <x:c r="M769">
        <x:v>71</x:v>
      </x:c>
      <x:c r="N769">
        <x:v>51</x:v>
      </x:c>
      <x:c r="O769">
        <x:v>52</x:v>
      </x:c>
      <x:c r="P769">
        <x:v>63</x:v>
      </x:c>
      <x:c r="Q769">
        <x:v>63</x:v>
      </x:c>
      <x:c r="R769">
        <x:v>74</x:v>
      </x:c>
      <x:c r="S769">
        <x:v>69</x:v>
      </x:c>
      <x:c r="T769">
        <x:v>51</x:v>
      </x:c>
      <x:c r="U769">
        <x:v>54</x:v>
      </x:c>
    </x:row>
    <x:row r="770">
      <x:c r="A770" t="s">
        <x:v>1129</x:v>
      </x:c>
      <x:c r="B770" t="s">
        <x:v>372</x:v>
      </x:c>
      <x:c r="C770" t="s">
        <x:v>333</x:v>
      </x:c>
      <x:c r="D770">
        <x:v>8481535</x:v>
      </x:c>
      <x:c r="E770">
        <x:v>68</x:v>
      </x:c>
      <x:c r="F770">
        <x:v>32</x:v>
      </x:c>
      <x:c r="G770">
        <x:v>90</x:v>
      </x:c>
      <x:c r="H770">
        <x:v>51</x:v>
      </x:c>
      <x:c r="I770">
        <x:v>75</x:v>
      </x:c>
      <x:c r="J770">
        <x:v>82</x:v>
      </x:c>
      <x:c r="K770">
        <x:v>72</x:v>
      </x:c>
      <x:c r="L770">
        <x:v>51</x:v>
      </x:c>
      <x:c r="M770">
        <x:v>69</x:v>
      </x:c>
      <x:c r="N770">
        <x:v>51</x:v>
      </x:c>
      <x:c r="O770">
        <x:v>51</x:v>
      </x:c>
      <x:c r="P770">
        <x:v>60</x:v>
      </x:c>
      <x:c r="Q770">
        <x:v>53</x:v>
      </x:c>
      <x:c r="R770">
        <x:v>72</x:v>
      </x:c>
      <x:c r="S770">
        <x:v>67</x:v>
      </x:c>
      <x:c r="T770">
        <x:v>51</x:v>
      </x:c>
      <x:c r="U770">
        <x:v>54</x:v>
      </x:c>
    </x:row>
    <x:row r="771">
      <x:c r="A771" t="s">
        <x:v>1130</x:v>
      </x:c>
      <x:c r="C771" t="s">
        <x:v>319</x:v>
      </x:c>
      <x:c r="D771">
        <x:v>8481237</x:v>
      </x:c>
      <x:c r="E771">
        <x:v>73</x:v>
      </x:c>
      <x:c r="F771">
        <x:v>72</x:v>
      </x:c>
      <x:c r="G771">
        <x:v>84</x:v>
      </x:c>
      <x:c r="H771">
        <x:v>47</x:v>
      </x:c>
      <x:c r="I771">
        <x:v>76</x:v>
      </x:c>
      <x:c r="J771">
        <x:v>82</x:v>
      </x:c>
      <x:c r="K771">
        <x:v>82</x:v>
      </x:c>
      <x:c r="L771">
        <x:v>48</x:v>
      </x:c>
      <x:c r="M771">
        <x:v>78</x:v>
      </x:c>
      <x:c r="N771">
        <x:v>49</x:v>
      </x:c>
      <x:c r="O771">
        <x:v>49</x:v>
      </x:c>
      <x:c r="P771">
        <x:v>62</x:v>
      </x:c>
      <x:c r="Q771">
        <x:v>52</x:v>
      </x:c>
      <x:c r="R771">
        <x:v>71</x:v>
      </x:c>
      <x:c r="S771">
        <x:v>69</x:v>
      </x:c>
      <x:c r="T771">
        <x:v>51</x:v>
      </x:c>
      <x:c r="U771">
        <x:v>54</x:v>
      </x:c>
    </x:row>
    <x:row r="772">
      <x:c r="A772" t="s">
        <x:v>1131</x:v>
      </x:c>
      <x:c r="B772" t="s">
        <x:v>400</x:v>
      </x:c>
      <x:c r="C772" t="s">
        <x:v>329</x:v>
      </x:c>
      <x:c r="D772">
        <x:v>8478043</x:v>
      </x:c>
      <x:c r="E772">
        <x:v>69</x:v>
      </x:c>
      <x:c r="F772">
        <x:v>40</x:v>
      </x:c>
      <x:c r="G772">
        <x:v>83</x:v>
      </x:c>
      <x:c r="H772">
        <x:v>48</x:v>
      </x:c>
      <x:c r="I772">
        <x:v>82</x:v>
      </x:c>
      <x:c r="J772">
        <x:v>79</x:v>
      </x:c>
      <x:c r="K772">
        <x:v>62</x:v>
      </x:c>
      <x:c r="L772">
        <x:v>47</x:v>
      </x:c>
      <x:c r="M772">
        <x:v>78</x:v>
      </x:c>
      <x:c r="N772">
        <x:v>49</x:v>
      </x:c>
      <x:c r="O772">
        <x:v>50</x:v>
      </x:c>
      <x:c r="P772">
        <x:v>61</x:v>
      </x:c>
      <x:c r="Q772">
        <x:v>52</x:v>
      </x:c>
      <x:c r="R772">
        <x:v>80</x:v>
      </x:c>
      <x:c r="S772">
        <x:v>72</x:v>
      </x:c>
      <x:c r="T772">
        <x:v>51</x:v>
      </x:c>
      <x:c r="U772">
        <x:v>54</x:v>
      </x:c>
    </x:row>
    <x:row r="773">
      <x:c r="A773" t="s">
        <x:v>1132</x:v>
      </x:c>
      <x:c r="C773" t="s">
        <x:v>331</x:v>
      </x:c>
      <x:c r="D773">
        <x:v>8482169</x:v>
      </x:c>
      <x:c r="E773">
        <x:v>78</x:v>
      </x:c>
      <x:c r="F773">
        <x:v>39</x:v>
      </x:c>
      <x:c r="G773">
        <x:v>85</x:v>
      </x:c>
      <x:c r="H773">
        <x:v>34</x:v>
      </x:c>
      <x:c r="I773">
        <x:v>85</x:v>
      </x:c>
      <x:c r="J773">
        <x:v>87</x:v>
      </x:c>
      <x:c r="K773">
        <x:v>89</x:v>
      </x:c>
      <x:c r="L773">
        <x:v>35</x:v>
      </x:c>
      <x:c r="M773">
        <x:v>30</x:v>
      </x:c>
      <x:c r="N773">
        <x:v>42</x:v>
      </x:c>
      <x:c r="O773">
        <x:v>40</x:v>
      </x:c>
      <x:c r="P773">
        <x:v>71</x:v>
      </x:c>
      <x:c r="Q773">
        <x:v>46</x:v>
      </x:c>
      <x:c r="R773">
        <x:v>67</x:v>
      </x:c>
      <x:c r="S773">
        <x:v>67</x:v>
      </x:c>
      <x:c r="T773">
        <x:v>51</x:v>
      </x:c>
      <x:c r="U773">
        <x:v>53</x:v>
      </x:c>
    </x:row>
    <x:row r="774">
      <x:c r="A774" t="s">
        <x:v>1133</x:v>
      </x:c>
      <x:c r="C774" t="s">
        <x:v>331</x:v>
      </x:c>
      <x:c r="D774">
        <x:v>8481820</x:v>
      </x:c>
      <x:c r="E774">
        <x:v>90</x:v>
      </x:c>
      <x:c r="F774">
        <x:v>38</x:v>
      </x:c>
      <x:c r="G774">
        <x:v>84</x:v>
      </x:c>
      <x:c r="H774">
        <x:v>32</x:v>
      </x:c>
      <x:c r="I774">
        <x:v>96</x:v>
      </x:c>
      <x:c r="J774">
        <x:v>74</x:v>
      </x:c>
      <x:c r="K774">
        <x:v>76</x:v>
      </x:c>
      <x:c r="L774">
        <x:v>32</x:v>
      </x:c>
      <x:c r="M774">
        <x:v>30</x:v>
      </x:c>
      <x:c r="N774">
        <x:v>41</x:v>
      </x:c>
      <x:c r="O774">
        <x:v>39</x:v>
      </x:c>
      <x:c r="P774">
        <x:v>68</x:v>
      </x:c>
      <x:c r="Q774">
        <x:v>45</x:v>
      </x:c>
      <x:c r="R774">
        <x:v>68</x:v>
      </x:c>
      <x:c r="S774">
        <x:v>69</x:v>
      </x:c>
      <x:c r="T774">
        <x:v>51</x:v>
      </x:c>
      <x:c r="U774">
        <x:v>53</x:v>
      </x:c>
    </x:row>
    <x:row r="775">
      <x:c r="A775" t="s">
        <x:v>1134</x:v>
      </x:c>
      <x:c r="C775" t="s">
        <x:v>331</x:v>
      </x:c>
      <x:c r="D775">
        <x:v>8481587</x:v>
      </x:c>
      <x:c r="E775">
        <x:v>81</x:v>
      </x:c>
      <x:c r="F775">
        <x:v>33</x:v>
      </x:c>
      <x:c r="G775">
        <x:v>84</x:v>
      </x:c>
      <x:c r="H775">
        <x:v>33</x:v>
      </x:c>
      <x:c r="I775">
        <x:v>87</x:v>
      </x:c>
      <x:c r="J775">
        <x:v>89</x:v>
      </x:c>
      <x:c r="K775">
        <x:v>92</x:v>
      </x:c>
      <x:c r="L775">
        <x:v>34</x:v>
      </x:c>
      <x:c r="M775">
        <x:v>30</x:v>
      </x:c>
      <x:c r="N775">
        <x:v>45</x:v>
      </x:c>
      <x:c r="O775">
        <x:v>41</x:v>
      </x:c>
      <x:c r="P775">
        <x:v>69</x:v>
      </x:c>
      <x:c r="Q775">
        <x:v>48</x:v>
      </x:c>
      <x:c r="R775">
        <x:v>68</x:v>
      </x:c>
      <x:c r="S775">
        <x:v>69</x:v>
      </x:c>
      <x:c r="T775">
        <x:v>51</x:v>
      </x:c>
      <x:c r="U775">
        <x:v>53</x:v>
      </x:c>
    </x:row>
    <x:row r="776">
      <x:c r="A776" t="s">
        <x:v>1135</x:v>
      </x:c>
      <x:c r="C776" t="s">
        <x:v>331</x:v>
      </x:c>
      <x:c r="D776">
        <x:v>8481599</x:v>
      </x:c>
      <x:c r="E776">
        <x:v>68</x:v>
      </x:c>
      <x:c r="F776">
        <x:v>38</x:v>
      </x:c>
      <x:c r="G776">
        <x:v>83</x:v>
      </x:c>
      <x:c r="H776">
        <x:v>37</x:v>
      </x:c>
      <x:c r="I776">
        <x:v>80</x:v>
      </x:c>
      <x:c r="J776">
        <x:v>85</x:v>
      </x:c>
      <x:c r="K776">
        <x:v>89</x:v>
      </x:c>
      <x:c r="L776">
        <x:v>35</x:v>
      </x:c>
      <x:c r="M776">
        <x:v>30</x:v>
      </x:c>
      <x:c r="N776">
        <x:v>49</x:v>
      </x:c>
      <x:c r="O776">
        <x:v>44</x:v>
      </x:c>
      <x:c r="P776">
        <x:v>72</x:v>
      </x:c>
      <x:c r="Q776">
        <x:v>49</x:v>
      </x:c>
      <x:c r="R776">
        <x:v>67</x:v>
      </x:c>
      <x:c r="S776">
        <x:v>67</x:v>
      </x:c>
      <x:c r="T776">
        <x:v>51</x:v>
      </x:c>
      <x:c r="U776">
        <x:v>53</x:v>
      </x:c>
    </x:row>
    <x:row r="777">
      <x:c r="A777" t="s">
        <x:v>1136</x:v>
      </x:c>
      <x:c r="C777" t="s">
        <x:v>331</x:v>
      </x:c>
      <x:c r="D777">
        <x:v>8483472</x:v>
      </x:c>
      <x:c r="E777">
        <x:v>81</x:v>
      </x:c>
      <x:c r="F777">
        <x:v>88</x:v>
      </x:c>
      <x:c r="G777">
        <x:v>73</x:v>
      </x:c>
      <x:c r="H777">
        <x:v>34</x:v>
      </x:c>
      <x:c r="I777">
        <x:v>81</x:v>
      </x:c>
      <x:c r="J777">
        <x:v>88</x:v>
      </x:c>
      <x:c r="K777">
        <x:v>92</x:v>
      </x:c>
      <x:c r="L777">
        <x:v>34</x:v>
      </x:c>
      <x:c r="M777">
        <x:v>30</x:v>
      </x:c>
      <x:c r="N777">
        <x:v>44</x:v>
      </x:c>
      <x:c r="O777">
        <x:v>42</x:v>
      </x:c>
      <x:c r="P777">
        <x:v>70</x:v>
      </x:c>
      <x:c r="Q777">
        <x:v>48</x:v>
      </x:c>
      <x:c r="R777">
        <x:v>66</x:v>
      </x:c>
      <x:c r="S777">
        <x:v>66</x:v>
      </x:c>
      <x:c r="T777">
        <x:v>51</x:v>
      </x:c>
      <x:c r="U777">
        <x:v>53</x:v>
      </x:c>
    </x:row>
    <x:row r="778">
      <x:c r="A778" t="s">
        <x:v>1137</x:v>
      </x:c>
      <x:c r="C778" t="s">
        <x:v>326</x:v>
      </x:c>
      <x:c r="D778">
        <x:v>8484794</x:v>
      </x:c>
      <x:c r="E778">
        <x:v>83</x:v>
      </x:c>
      <x:c r="F778">
        <x:v>37</x:v>
      </x:c>
      <x:c r="G778">
        <x:v>92</x:v>
      </x:c>
      <x:c r="H778">
        <x:v>49</x:v>
      </x:c>
      <x:c r="I778">
        <x:v>79</x:v>
      </x:c>
      <x:c r="J778">
        <x:v>80</x:v>
      </x:c>
      <x:c r="K778">
        <x:v>88</x:v>
      </x:c>
      <x:c r="L778">
        <x:v>48</x:v>
      </x:c>
      <x:c r="M778">
        <x:v>61</x:v>
      </x:c>
      <x:c r="N778">
        <x:v>49</x:v>
      </x:c>
      <x:c r="O778">
        <x:v>48</x:v>
      </x:c>
      <x:c r="P778">
        <x:v>60</x:v>
      </x:c>
      <x:c r="Q778">
        <x:v>51</x:v>
      </x:c>
      <x:c r="R778">
        <x:v>65</x:v>
      </x:c>
      <x:c r="S778">
        <x:v>67</x:v>
      </x:c>
      <x:c r="T778">
        <x:v>51</x:v>
      </x:c>
      <x:c r="U778">
        <x:v>53</x:v>
      </x:c>
    </x:row>
    <x:row r="779">
      <x:c r="A779" t="s">
        <x:v>1138</x:v>
      </x:c>
      <x:c r="C779" t="s">
        <x:v>331</x:v>
      </x:c>
      <x:c r="D779">
        <x:v>8482873</x:v>
      </x:c>
      <x:c r="E779">
        <x:v>76</x:v>
      </x:c>
      <x:c r="F779">
        <x:v>33</x:v>
      </x:c>
      <x:c r="G779">
        <x:v>86</x:v>
      </x:c>
      <x:c r="H779">
        <x:v>35</x:v>
      </x:c>
      <x:c r="I779">
        <x:v>82</x:v>
      </x:c>
      <x:c r="J779">
        <x:v>85</x:v>
      </x:c>
      <x:c r="K779">
        <x:v>88</x:v>
      </x:c>
      <x:c r="L779">
        <x:v>34</x:v>
      </x:c>
      <x:c r="M779">
        <x:v>30</x:v>
      </x:c>
      <x:c r="N779">
        <x:v>47</x:v>
      </x:c>
      <x:c r="O779">
        <x:v>40</x:v>
      </x:c>
      <x:c r="P779">
        <x:v>69</x:v>
      </x:c>
      <x:c r="Q779">
        <x:v>49</x:v>
      </x:c>
      <x:c r="R779">
        <x:v>66</x:v>
      </x:c>
      <x:c r="S779">
        <x:v>65</x:v>
      </x:c>
      <x:c r="T779">
        <x:v>51</x:v>
      </x:c>
      <x:c r="U779">
        <x:v>53</x:v>
      </x:c>
    </x:row>
    <x:row r="780">
      <x:c r="A780" t="s">
        <x:v>1139</x:v>
      </x:c>
      <x:c r="C780" t="s">
        <x:v>339</x:v>
      </x:c>
      <x:c r="D780">
        <x:v>8484197</x:v>
      </x:c>
      <x:c r="E780">
        <x:v>58</x:v>
      </x:c>
      <x:c r="F780">
        <x:v>48</x:v>
      </x:c>
      <x:c r="G780">
        <x:v>89</x:v>
      </x:c>
      <x:c r="H780">
        <x:v>53</x:v>
      </x:c>
      <x:c r="I780">
        <x:v>76</x:v>
      </x:c>
      <x:c r="J780">
        <x:v>82</x:v>
      </x:c>
      <x:c r="K780">
        <x:v>78</x:v>
      </x:c>
      <x:c r="L780">
        <x:v>51</x:v>
      </x:c>
      <x:c r="M780">
        <x:v>81</x:v>
      </x:c>
      <x:c r="N780">
        <x:v>53</x:v>
      </x:c>
      <x:c r="O780">
        <x:v>50</x:v>
      </x:c>
      <x:c r="P780">
        <x:v>61</x:v>
      </x:c>
      <x:c r="Q780">
        <x:v>73</x:v>
      </x:c>
      <x:c r="R780">
        <x:v>66</x:v>
      </x:c>
      <x:c r="S780">
        <x:v>67</x:v>
      </x:c>
      <x:c r="T780">
        <x:v>51</x:v>
      </x:c>
      <x:c r="U780">
        <x:v>53</x:v>
      </x:c>
    </x:row>
    <x:row r="781">
      <x:c r="A781" t="s">
        <x:v>1140</x:v>
      </x:c>
      <x:c r="B781" t="s">
        <x:v>320</x:v>
      </x:c>
      <x:c r="C781" t="s">
        <x:v>358</x:v>
      </x:c>
      <x:c r="D781">
        <x:v>8479383</x:v>
      </x:c>
      <x:c r="E781">
        <x:v>69</x:v>
      </x:c>
      <x:c r="F781">
        <x:v>35</x:v>
      </x:c>
      <x:c r="G781">
        <x:v>85</x:v>
      </x:c>
      <x:c r="H781">
        <x:v>46</x:v>
      </x:c>
      <x:c r="I781">
        <x:v>82</x:v>
      </x:c>
      <x:c r="J781">
        <x:v>82</x:v>
      </x:c>
      <x:c r="K781">
        <x:v>84</x:v>
      </x:c>
      <x:c r="L781">
        <x:v>47</x:v>
      </x:c>
      <x:c r="M781">
        <x:v>71</x:v>
      </x:c>
      <x:c r="N781">
        <x:v>51</x:v>
      </x:c>
      <x:c r="O781">
        <x:v>51</x:v>
      </x:c>
      <x:c r="P781">
        <x:v>65</x:v>
      </x:c>
      <x:c r="Q781">
        <x:v>66</x:v>
      </x:c>
      <x:c r="R781">
        <x:v>70</x:v>
      </x:c>
      <x:c r="S781">
        <x:v>69</x:v>
      </x:c>
      <x:c r="T781">
        <x:v>51</x:v>
      </x:c>
      <x:c r="U781">
        <x:v>53</x:v>
      </x:c>
    </x:row>
    <x:row r="782">
      <x:c r="A782" t="s">
        <x:v>1141</x:v>
      </x:c>
      <x:c r="C782" t="s">
        <x:v>323</x:v>
      </x:c>
      <x:c r="D782">
        <x:v>8482993</x:v>
      </x:c>
      <x:c r="E782">
        <x:v>67</x:v>
      </x:c>
      <x:c r="F782">
        <x:v>69</x:v>
      </x:c>
      <x:c r="G782">
        <x:v>91</x:v>
      </x:c>
      <x:c r="H782">
        <x:v>49</x:v>
      </x:c>
      <x:c r="I782">
        <x:v>74</x:v>
      </x:c>
      <x:c r="J782">
        <x:v>80</x:v>
      </x:c>
      <x:c r="K782">
        <x:v>80</x:v>
      </x:c>
      <x:c r="L782">
        <x:v>48</x:v>
      </x:c>
      <x:c r="M782">
        <x:v>66</x:v>
      </x:c>
      <x:c r="N782">
        <x:v>46</x:v>
      </x:c>
      <x:c r="O782">
        <x:v>54</x:v>
      </x:c>
      <x:c r="P782">
        <x:v>60</x:v>
      </x:c>
      <x:c r="Q782">
        <x:v>55</x:v>
      </x:c>
      <x:c r="R782">
        <x:v>67</x:v>
      </x:c>
      <x:c r="S782">
        <x:v>67</x:v>
      </x:c>
      <x:c r="T782">
        <x:v>51</x:v>
      </x:c>
      <x:c r="U782">
        <x:v>53</x:v>
      </x:c>
    </x:row>
    <x:row r="783">
      <x:c r="A783" t="s">
        <x:v>1142</x:v>
      </x:c>
      <x:c r="C783" t="s">
        <x:v>319</x:v>
      </x:c>
      <x:c r="D783">
        <x:v>8480842</x:v>
      </x:c>
      <x:c r="E783">
        <x:v>55</x:v>
      </x:c>
      <x:c r="F783">
        <x:v>36</x:v>
      </x:c>
      <x:c r="G783">
        <x:v>91</x:v>
      </x:c>
      <x:c r="H783">
        <x:v>49</x:v>
      </x:c>
      <x:c r="I783">
        <x:v>78</x:v>
      </x:c>
      <x:c r="J783">
        <x:v>81</x:v>
      </x:c>
      <x:c r="K783">
        <x:v>35</x:v>
      </x:c>
      <x:c r="L783">
        <x:v>49</x:v>
      </x:c>
      <x:c r="M783">
        <x:v>62</x:v>
      </x:c>
      <x:c r="N783">
        <x:v>51</x:v>
      </x:c>
      <x:c r="O783">
        <x:v>48</x:v>
      </x:c>
      <x:c r="P783">
        <x:v>64</x:v>
      </x:c>
      <x:c r="Q783">
        <x:v>51</x:v>
      </x:c>
      <x:c r="R783">
        <x:v>71</x:v>
      </x:c>
      <x:c r="S783">
        <x:v>71</x:v>
      </x:c>
      <x:c r="T783">
        <x:v>51</x:v>
      </x:c>
      <x:c r="U783">
        <x:v>53</x:v>
      </x:c>
    </x:row>
    <x:row r="784">
      <x:c r="A784" t="s">
        <x:v>1143</x:v>
      </x:c>
      <x:c r="C784" t="s">
        <x:v>331</x:v>
      </x:c>
      <x:c r="D784">
        <x:v>8481003</x:v>
      </x:c>
      <x:c r="E784">
        <x:v>87</x:v>
      </x:c>
      <x:c r="F784">
        <x:v>34</x:v>
      </x:c>
      <x:c r="G784">
        <x:v>71</x:v>
      </x:c>
      <x:c r="H784">
        <x:v>34</x:v>
      </x:c>
      <x:c r="I784">
        <x:v>80</x:v>
      </x:c>
      <x:c r="J784">
        <x:v>84</x:v>
      </x:c>
      <x:c r="K784">
        <x:v>87</x:v>
      </x:c>
      <x:c r="L784">
        <x:v>34</x:v>
      </x:c>
      <x:c r="M784">
        <x:v>30</x:v>
      </x:c>
      <x:c r="N784">
        <x:v>42</x:v>
      </x:c>
      <x:c r="O784">
        <x:v>44</x:v>
      </x:c>
      <x:c r="P784">
        <x:v>62</x:v>
      </x:c>
      <x:c r="Q784">
        <x:v>48</x:v>
      </x:c>
      <x:c r="R784">
        <x:v>70</x:v>
      </x:c>
      <x:c r="S784">
        <x:v>69</x:v>
      </x:c>
      <x:c r="T784">
        <x:v>46</x:v>
      </x:c>
      <x:c r="U784">
        <x:v>53</x:v>
      </x:c>
    </x:row>
    <x:row r="785">
      <x:c r="A785" t="s">
        <x:v>1144</x:v>
      </x:c>
      <x:c r="C785" t="s">
        <x:v>331</x:v>
      </x:c>
      <x:c r="D785">
        <x:v>8482777</x:v>
      </x:c>
      <x:c r="E785">
        <x:v>78</x:v>
      </x:c>
      <x:c r="F785">
        <x:v>37</x:v>
      </x:c>
      <x:c r="G785">
        <x:v>90</x:v>
      </x:c>
      <x:c r="H785">
        <x:v>34</x:v>
      </x:c>
      <x:c r="I785">
        <x:v>88</x:v>
      </x:c>
      <x:c r="J785">
        <x:v>80</x:v>
      </x:c>
      <x:c r="K785">
        <x:v>81</x:v>
      </x:c>
      <x:c r="L785">
        <x:v>33</x:v>
      </x:c>
      <x:c r="M785">
        <x:v>30</x:v>
      </x:c>
      <x:c r="N785">
        <x:v>45</x:v>
      </x:c>
      <x:c r="O785">
        <x:v>41</x:v>
      </x:c>
      <x:c r="P785">
        <x:v>67</x:v>
      </x:c>
      <x:c r="Q785">
        <x:v>48</x:v>
      </x:c>
      <x:c r="R785">
        <x:v>66</x:v>
      </x:c>
      <x:c r="S785">
        <x:v>65</x:v>
      </x:c>
      <x:c r="T785">
        <x:v>51</x:v>
      </x:c>
      <x:c r="U785">
        <x:v>53</x:v>
      </x:c>
    </x:row>
    <x:row r="786">
      <x:c r="A786" t="s">
        <x:v>1145</x:v>
      </x:c>
      <x:c r="C786" t="s">
        <x:v>331</x:v>
      </x:c>
      <x:c r="D786">
        <x:v>8481521</x:v>
      </x:c>
      <x:c r="E786">
        <x:v>78</x:v>
      </x:c>
      <x:c r="F786">
        <x:v>40</x:v>
      </x:c>
      <x:c r="G786">
        <x:v>80</x:v>
      </x:c>
      <x:c r="H786">
        <x:v>33</x:v>
      </x:c>
      <x:c r="I786">
        <x:v>83</x:v>
      </x:c>
      <x:c r="J786">
        <x:v>82</x:v>
      </x:c>
      <x:c r="K786">
        <x:v>83</x:v>
      </x:c>
      <x:c r="L786">
        <x:v>34</x:v>
      </x:c>
      <x:c r="M786">
        <x:v>30</x:v>
      </x:c>
      <x:c r="N786">
        <x:v>48</x:v>
      </x:c>
      <x:c r="O786">
        <x:v>42</x:v>
      </x:c>
      <x:c r="P786">
        <x:v>73</x:v>
      </x:c>
      <x:c r="Q786">
        <x:v>48</x:v>
      </x:c>
      <x:c r="R786">
        <x:v>69</x:v>
      </x:c>
      <x:c r="S786">
        <x:v>68</x:v>
      </x:c>
      <x:c r="T786">
        <x:v>51</x:v>
      </x:c>
      <x:c r="U786">
        <x:v>53</x:v>
      </x:c>
    </x:row>
    <x:row r="787">
      <x:c r="A787" t="s">
        <x:v>1146</x:v>
      </x:c>
      <x:c r="C787" t="s">
        <x:v>331</x:v>
      </x:c>
      <x:c r="D787">
        <x:v>8483448</x:v>
      </x:c>
      <x:c r="E787">
        <x:v>67</x:v>
      </x:c>
      <x:c r="F787">
        <x:v>35</x:v>
      </x:c>
      <x:c r="G787">
        <x:v>87</x:v>
      </x:c>
      <x:c r="H787">
        <x:v>35</x:v>
      </x:c>
      <x:c r="I787">
        <x:v>81</x:v>
      </x:c>
      <x:c r="J787">
        <x:v>82</x:v>
      </x:c>
      <x:c r="K787">
        <x:v>84</x:v>
      </x:c>
      <x:c r="L787">
        <x:v>36</x:v>
      </x:c>
      <x:c r="M787">
        <x:v>30</x:v>
      </x:c>
      <x:c r="N787">
        <x:v>46</x:v>
      </x:c>
      <x:c r="O787">
        <x:v>40</x:v>
      </x:c>
      <x:c r="P787">
        <x:v>71</x:v>
      </x:c>
      <x:c r="Q787">
        <x:v>48</x:v>
      </x:c>
      <x:c r="R787">
        <x:v>66</x:v>
      </x:c>
      <x:c r="S787">
        <x:v>65</x:v>
      </x:c>
      <x:c r="T787">
        <x:v>51</x:v>
      </x:c>
      <x:c r="U787">
        <x:v>53</x:v>
      </x:c>
    </x:row>
    <x:row r="788">
      <x:c r="A788" t="s">
        <x:v>1147</x:v>
      </x:c>
      <x:c r="C788" t="s">
        <x:v>331</x:v>
      </x:c>
      <x:c r="D788">
        <x:v>8483686</x:v>
      </x:c>
      <x:c r="E788">
        <x:v>64</x:v>
      </x:c>
      <x:c r="F788">
        <x:v>36</x:v>
      </x:c>
      <x:c r="G788">
        <x:v>82</x:v>
      </x:c>
      <x:c r="H788">
        <x:v>36</x:v>
      </x:c>
      <x:c r="I788">
        <x:v>79</x:v>
      </x:c>
      <x:c r="J788">
        <x:v>82</x:v>
      </x:c>
      <x:c r="K788">
        <x:v>84</x:v>
      </x:c>
      <x:c r="L788">
        <x:v>36</x:v>
      </x:c>
      <x:c r="M788">
        <x:v>30</x:v>
      </x:c>
      <x:c r="N788">
        <x:v>46</x:v>
      </x:c>
      <x:c r="O788">
        <x:v>45</x:v>
      </x:c>
      <x:c r="P788">
        <x:v>71</x:v>
      </x:c>
      <x:c r="Q788">
        <x:v>55</x:v>
      </x:c>
      <x:c r="R788">
        <x:v>66</x:v>
      </x:c>
      <x:c r="S788">
        <x:v>67</x:v>
      </x:c>
      <x:c r="T788">
        <x:v>51</x:v>
      </x:c>
      <x:c r="U788">
        <x:v>53</x:v>
      </x:c>
    </x:row>
    <x:row r="789">
      <x:c r="A789" t="s">
        <x:v>1148</x:v>
      </x:c>
      <x:c r="C789" t="s">
        <x:v>331</x:v>
      </x:c>
      <x:c r="D789">
        <x:v>8484220</x:v>
      </x:c>
      <x:c r="E789">
        <x:v>74</x:v>
      </x:c>
      <x:c r="F789">
        <x:v>43</x:v>
      </x:c>
      <x:c r="G789">
        <x:v>78</x:v>
      </x:c>
      <x:c r="H789">
        <x:v>34</x:v>
      </x:c>
      <x:c r="I789">
        <x:v>82</x:v>
      </x:c>
      <x:c r="J789">
        <x:v>81</x:v>
      </x:c>
      <x:c r="K789">
        <x:v>85</x:v>
      </x:c>
      <x:c r="L789">
        <x:v>33</x:v>
      </x:c>
      <x:c r="M789">
        <x:v>30</x:v>
      </x:c>
      <x:c r="N789">
        <x:v>45</x:v>
      </x:c>
      <x:c r="O789">
        <x:v>41</x:v>
      </x:c>
      <x:c r="P789">
        <x:v>72</x:v>
      </x:c>
      <x:c r="Q789">
        <x:v>48</x:v>
      </x:c>
      <x:c r="R789">
        <x:v>65</x:v>
      </x:c>
      <x:c r="S789">
        <x:v>66</x:v>
      </x:c>
      <x:c r="T789">
        <x:v>51</x:v>
      </x:c>
      <x:c r="U789">
        <x:v>53</x:v>
      </x:c>
    </x:row>
    <x:row r="790">
      <x:c r="A790" t="s">
        <x:v>1149</x:v>
      </x:c>
      <x:c r="C790" t="s">
        <x:v>339</x:v>
      </x:c>
      <x:c r="D790">
        <x:v>8484180</x:v>
      </x:c>
      <x:c r="E790">
        <x:v>71</x:v>
      </x:c>
      <x:c r="F790">
        <x:v>39</x:v>
      </x:c>
      <x:c r="G790">
        <x:v>93</x:v>
      </x:c>
      <x:c r="H790">
        <x:v>49</x:v>
      </x:c>
      <x:c r="I790">
        <x:v>83</x:v>
      </x:c>
      <x:c r="J790">
        <x:v>80</x:v>
      </x:c>
      <x:c r="K790">
        <x:v>47</x:v>
      </x:c>
      <x:c r="L790">
        <x:v>49</x:v>
      </x:c>
      <x:c r="M790">
        <x:v>70</x:v>
      </x:c>
      <x:c r="N790">
        <x:v>49</x:v>
      </x:c>
      <x:c r="O790">
        <x:v>51</x:v>
      </x:c>
      <x:c r="P790">
        <x:v>63</x:v>
      </x:c>
      <x:c r="Q790">
        <x:v>54</x:v>
      </x:c>
      <x:c r="R790">
        <x:v>65</x:v>
      </x:c>
      <x:c r="S790">
        <x:v>66</x:v>
      </x:c>
      <x:c r="T790">
        <x:v>51</x:v>
      </x:c>
      <x:c r="U790">
        <x:v>53</x:v>
      </x:c>
    </x:row>
    <x:row r="791">
      <x:c r="A791" t="s">
        <x:v>1150</x:v>
      </x:c>
      <x:c r="C791" t="s">
        <x:v>331</x:v>
      </x:c>
      <x:c r="D791">
        <x:v>8479578</x:v>
      </x:c>
      <x:c r="E791">
        <x:v>77</x:v>
      </x:c>
      <x:c r="F791">
        <x:v>81</x:v>
      </x:c>
      <x:c r="G791">
        <x:v>77</x:v>
      </x:c>
      <x:c r="H791">
        <x:v>33</x:v>
      </x:c>
      <x:c r="I791">
        <x:v>78</x:v>
      </x:c>
      <x:c r="J791">
        <x:v>91</x:v>
      </x:c>
      <x:c r="K791">
        <x:v>95</x:v>
      </x:c>
      <x:c r="L791">
        <x:v>32</x:v>
      </x:c>
      <x:c r="M791">
        <x:v>30</x:v>
      </x:c>
      <x:c r="N791">
        <x:v>44</x:v>
      </x:c>
      <x:c r="O791">
        <x:v>40</x:v>
      </x:c>
      <x:c r="P791">
        <x:v>70</x:v>
      </x:c>
      <x:c r="Q791">
        <x:v>47</x:v>
      </x:c>
      <x:c r="R791">
        <x:v>71</x:v>
      </x:c>
      <x:c r="S791">
        <x:v>71</x:v>
      </x:c>
      <x:c r="T791">
        <x:v>51</x:v>
      </x:c>
      <x:c r="U791">
        <x:v>53</x:v>
      </x:c>
    </x:row>
    <x:row r="792">
      <x:c r="A792" t="s">
        <x:v>1151</x:v>
      </x:c>
      <x:c r="C792" t="s">
        <x:v>331</x:v>
      </x:c>
      <x:c r="D792">
        <x:v>8484256</x:v>
      </x:c>
      <x:c r="E792">
        <x:v>70</x:v>
      </x:c>
      <x:c r="F792">
        <x:v>37</x:v>
      </x:c>
      <x:c r="G792">
        <x:v>84</x:v>
      </x:c>
      <x:c r="H792">
        <x:v>34</x:v>
      </x:c>
      <x:c r="I792">
        <x:v>83</x:v>
      </x:c>
      <x:c r="J792">
        <x:v>82</x:v>
      </x:c>
      <x:c r="K792">
        <x:v>84</x:v>
      </x:c>
      <x:c r="L792">
        <x:v>33</x:v>
      </x:c>
      <x:c r="M792">
        <x:v>30</x:v>
      </x:c>
      <x:c r="N792">
        <x:v>44</x:v>
      </x:c>
      <x:c r="O792">
        <x:v>40</x:v>
      </x:c>
      <x:c r="P792">
        <x:v>66</x:v>
      </x:c>
      <x:c r="Q792">
        <x:v>47</x:v>
      </x:c>
      <x:c r="R792">
        <x:v>69</x:v>
      </x:c>
      <x:c r="S792">
        <x:v>68</x:v>
      </x:c>
      <x:c r="T792">
        <x:v>51</x:v>
      </x:c>
      <x:c r="U792">
        <x:v>53</x:v>
      </x:c>
    </x:row>
    <x:row r="793">
      <x:c r="A793" t="s">
        <x:v>1152</x:v>
      </x:c>
      <x:c r="C793" t="s">
        <x:v>331</x:v>
      </x:c>
      <x:c r="D793">
        <x:v>8477085</x:v>
      </x:c>
      <x:c r="E793">
        <x:v>66</x:v>
      </x:c>
      <x:c r="F793">
        <x:v>39</x:v>
      </x:c>
      <x:c r="G793">
        <x:v>83</x:v>
      </x:c>
      <x:c r="H793">
        <x:v>32</x:v>
      </x:c>
      <x:c r="I793">
        <x:v>81</x:v>
      </x:c>
      <x:c r="J793">
        <x:v>89</x:v>
      </x:c>
      <x:c r="K793">
        <x:v>92</x:v>
      </x:c>
      <x:c r="L793">
        <x:v>33</x:v>
      </x:c>
      <x:c r="M793">
        <x:v>30</x:v>
      </x:c>
      <x:c r="N793">
        <x:v>42</x:v>
      </x:c>
      <x:c r="O793">
        <x:v>39</x:v>
      </x:c>
      <x:c r="P793">
        <x:v>66</x:v>
      </x:c>
      <x:c r="Q793">
        <x:v>45</x:v>
      </x:c>
      <x:c r="R793">
        <x:v>76</x:v>
      </x:c>
      <x:c r="S793">
        <x:v>75</x:v>
      </x:c>
      <x:c r="T793">
        <x:v>51</x:v>
      </x:c>
      <x:c r="U793">
        <x:v>53</x:v>
      </x:c>
    </x:row>
    <x:row r="794">
      <x:c r="A794" t="s">
        <x:v>1153</x:v>
      </x:c>
      <x:c r="C794" t="s">
        <x:v>319</x:v>
      </x:c>
      <x:c r="D794">
        <x:v>8478888</x:v>
      </x:c>
      <x:c r="E794">
        <x:v>72</x:v>
      </x:c>
      <x:c r="F794">
        <x:v>37</x:v>
      </x:c>
      <x:c r="G794">
        <x:v>81</x:v>
      </x:c>
      <x:c r="H794">
        <x:v>48</x:v>
      </x:c>
      <x:c r="I794">
        <x:v>77</x:v>
      </x:c>
      <x:c r="J794">
        <x:v>91</x:v>
      </x:c>
      <x:c r="K794">
        <x:v>93</x:v>
      </x:c>
      <x:c r="L794">
        <x:v>49</x:v>
      </x:c>
      <x:c r="M794">
        <x:v>80</x:v>
      </x:c>
      <x:c r="N794">
        <x:v>52</x:v>
      </x:c>
      <x:c r="O794">
        <x:v>45</x:v>
      </x:c>
      <x:c r="P794">
        <x:v>62</x:v>
      </x:c>
      <x:c r="Q794">
        <x:v>71</x:v>
      </x:c>
      <x:c r="R794">
        <x:v>72</x:v>
      </x:c>
      <x:c r="S794">
        <x:v>72</x:v>
      </x:c>
      <x:c r="T794">
        <x:v>51</x:v>
      </x:c>
      <x:c r="U794">
        <x:v>53</x:v>
      </x:c>
    </x:row>
    <x:row r="795">
      <x:c r="A795" t="s">
        <x:v>1154</x:v>
      </x:c>
      <x:c r="B795" t="s">
        <x:v>584</x:v>
      </x:c>
      <x:c r="C795" t="s">
        <x:v>358</x:v>
      </x:c>
      <x:c r="D795">
        <x:v>8480083</x:v>
      </x:c>
      <x:c r="E795">
        <x:v>70</x:v>
      </x:c>
      <x:c r="F795">
        <x:v>36</x:v>
      </x:c>
      <x:c r="G795">
        <x:v>85</x:v>
      </x:c>
      <x:c r="H795">
        <x:v>44</x:v>
      </x:c>
      <x:c r="I795">
        <x:v>76</x:v>
      </x:c>
      <x:c r="J795">
        <x:v>74</x:v>
      </x:c>
      <x:c r="K795">
        <x:v>76</x:v>
      </x:c>
      <x:c r="L795">
        <x:v>44</x:v>
      </x:c>
      <x:c r="M795">
        <x:v>76</x:v>
      </x:c>
      <x:c r="N795">
        <x:v>49</x:v>
      </x:c>
      <x:c r="O795">
        <x:v>40</x:v>
      </x:c>
      <x:c r="P795">
        <x:v>64</x:v>
      </x:c>
      <x:c r="Q795">
        <x:v>65</x:v>
      </x:c>
      <x:c r="R795">
        <x:v>76</x:v>
      </x:c>
      <x:c r="S795">
        <x:v>75</x:v>
      </x:c>
      <x:c r="T795">
        <x:v>51</x:v>
      </x:c>
      <x:c r="U795">
        <x:v>53</x:v>
      </x:c>
    </x:row>
    <x:row r="796">
      <x:c r="A796" t="s">
        <x:v>1155</x:v>
      </x:c>
      <x:c r="C796" t="s">
        <x:v>319</x:v>
      </x:c>
      <x:c r="D796">
        <x:v>8480840</x:v>
      </x:c>
      <x:c r="E796">
        <x:v>59</x:v>
      </x:c>
      <x:c r="F796">
        <x:v>40</x:v>
      </x:c>
      <x:c r="G796">
        <x:v>96</x:v>
      </x:c>
      <x:c r="H796">
        <x:v>48</x:v>
      </x:c>
      <x:c r="I796">
        <x:v>83</x:v>
      </x:c>
      <x:c r="J796">
        <x:v>83</x:v>
      </x:c>
      <x:c r="K796">
        <x:v>89</x:v>
      </x:c>
      <x:c r="L796">
        <x:v>49</x:v>
      </x:c>
      <x:c r="M796">
        <x:v>73</x:v>
      </x:c>
      <x:c r="N796">
        <x:v>50</x:v>
      </x:c>
      <x:c r="O796">
        <x:v>50</x:v>
      </x:c>
      <x:c r="P796">
        <x:v>72</x:v>
      </x:c>
      <x:c r="Q796">
        <x:v>52</x:v>
      </x:c>
      <x:c r="R796">
        <x:v>70</x:v>
      </x:c>
      <x:c r="S796">
        <x:v>68</x:v>
      </x:c>
      <x:c r="T796">
        <x:v>51</x:v>
      </x:c>
      <x:c r="U796">
        <x:v>53</x:v>
      </x:c>
    </x:row>
    <x:row r="797">
      <x:c r="A797" t="s">
        <x:v>1156</x:v>
      </x:c>
      <x:c r="C797" t="s">
        <x:v>319</x:v>
      </x:c>
      <x:c r="D797">
        <x:v>8478446</x:v>
      </x:c>
      <x:c r="E797">
        <x:v>67</x:v>
      </x:c>
      <x:c r="F797">
        <x:v>39</x:v>
      </x:c>
      <x:c r="G797">
        <x:v>78</x:v>
      </x:c>
      <x:c r="H797">
        <x:v>46</x:v>
      </x:c>
      <x:c r="I797">
        <x:v>81</x:v>
      </x:c>
      <x:c r="J797">
        <x:v>93</x:v>
      </x:c>
      <x:c r="K797">
        <x:v>96</x:v>
      </x:c>
      <x:c r="L797">
        <x:v>45</x:v>
      </x:c>
      <x:c r="M797">
        <x:v>81</x:v>
      </x:c>
      <x:c r="N797">
        <x:v>49</x:v>
      </x:c>
      <x:c r="O797">
        <x:v>44</x:v>
      </x:c>
      <x:c r="P797">
        <x:v>67</x:v>
      </x:c>
      <x:c r="Q797">
        <x:v>68</x:v>
      </x:c>
      <x:c r="R797">
        <x:v>71</x:v>
      </x:c>
      <x:c r="S797">
        <x:v>72</x:v>
      </x:c>
      <x:c r="T797">
        <x:v>51</x:v>
      </x:c>
      <x:c r="U797">
        <x:v>53</x:v>
      </x:c>
    </x:row>
    <x:row r="798">
      <x:c r="A798" t="s">
        <x:v>1157</x:v>
      </x:c>
      <x:c r="C798" t="s">
        <x:v>319</x:v>
      </x:c>
      <x:c r="D798">
        <x:v>8480750</x:v>
      </x:c>
      <x:c r="E798">
        <x:v>74</x:v>
      </x:c>
      <x:c r="F798">
        <x:v>37</x:v>
      </x:c>
      <x:c r="G798">
        <x:v>75</x:v>
      </x:c>
      <x:c r="H798">
        <x:v>43</x:v>
      </x:c>
      <x:c r="I798">
        <x:v>79</x:v>
      </x:c>
      <x:c r="J798">
        <x:v>90</x:v>
      </x:c>
      <x:c r="K798">
        <x:v>94</x:v>
      </x:c>
      <x:c r="L798">
        <x:v>43</x:v>
      </x:c>
      <x:c r="M798">
        <x:v>74</x:v>
      </x:c>
      <x:c r="N798">
        <x:v>43</x:v>
      </x:c>
      <x:c r="O798">
        <x:v>45</x:v>
      </x:c>
      <x:c r="P798">
        <x:v>62</x:v>
      </x:c>
      <x:c r="Q798">
        <x:v>64</x:v>
      </x:c>
      <x:c r="R798">
        <x:v>78</x:v>
      </x:c>
      <x:c r="S798">
        <x:v>77</x:v>
      </x:c>
      <x:c r="T798">
        <x:v>51</x:v>
      </x:c>
      <x:c r="U798">
        <x:v>53</x:v>
      </x:c>
    </x:row>
    <x:row r="799">
      <x:c r="A799" t="s">
        <x:v>1158</x:v>
      </x:c>
      <x:c r="C799" t="s">
        <x:v>326</x:v>
      </x:c>
      <x:c r="D799">
        <x:v>8482874</x:v>
      </x:c>
      <x:c r="E799">
        <x:v>97</x:v>
      </x:c>
      <x:c r="F799">
        <x:v>72</x:v>
      </x:c>
      <x:c r="G799">
        <x:v>80</x:v>
      </x:c>
      <x:c r="H799">
        <x:v>47</x:v>
      </x:c>
      <x:c r="I799">
        <x:v>80</x:v>
      </x:c>
      <x:c r="J799">
        <x:v>80</x:v>
      </x:c>
      <x:c r="K799">
        <x:v>83</x:v>
      </x:c>
      <x:c r="L799">
        <x:v>48</x:v>
      </x:c>
      <x:c r="M799">
        <x:v>68</x:v>
      </x:c>
      <x:c r="N799">
        <x:v>47</x:v>
      </x:c>
      <x:c r="O799">
        <x:v>47</x:v>
      </x:c>
      <x:c r="P799">
        <x:v>59</x:v>
      </x:c>
      <x:c r="Q799">
        <x:v>54</x:v>
      </x:c>
      <x:c r="R799">
        <x:v>66</x:v>
      </x:c>
      <x:c r="S799">
        <x:v>67</x:v>
      </x:c>
      <x:c r="T799">
        <x:v>51</x:v>
      </x:c>
      <x:c r="U799">
        <x:v>53</x:v>
      </x:c>
    </x:row>
    <x:row r="800">
      <x:c r="A800" t="s">
        <x:v>1159</x:v>
      </x:c>
      <x:c r="C800" t="s">
        <x:v>339</x:v>
      </x:c>
      <x:c r="D800">
        <x:v>8483669</x:v>
      </x:c>
      <x:c r="E800">
        <x:v>70</x:v>
      </x:c>
      <x:c r="F800">
        <x:v>70</x:v>
      </x:c>
      <x:c r="G800">
        <x:v>95</x:v>
      </x:c>
      <x:c r="H800">
        <x:v>52</x:v>
      </x:c>
      <x:c r="I800">
        <x:v>76</x:v>
      </x:c>
      <x:c r="J800">
        <x:v>81</x:v>
      </x:c>
      <x:c r="K800">
        <x:v>91</x:v>
      </x:c>
      <x:c r="L800">
        <x:v>48</x:v>
      </x:c>
      <x:c r="M800">
        <x:v>68</x:v>
      </x:c>
      <x:c r="N800">
        <x:v>48</x:v>
      </x:c>
      <x:c r="O800">
        <x:v>52</x:v>
      </x:c>
      <x:c r="P800">
        <x:v>62</x:v>
      </x:c>
      <x:c r="Q800">
        <x:v>55</x:v>
      </x:c>
      <x:c r="R800">
        <x:v>65</x:v>
      </x:c>
      <x:c r="S800">
        <x:v>65</x:v>
      </x:c>
      <x:c r="T800">
        <x:v>51</x:v>
      </x:c>
      <x:c r="U800">
        <x:v>53</x:v>
      </x:c>
    </x:row>
    <x:row r="801">
      <x:c r="A801" t="s">
        <x:v>1160</x:v>
      </x:c>
      <x:c r="B801" t="s">
        <x:v>393</x:v>
      </x:c>
      <x:c r="C801" t="s">
        <x:v>326</x:v>
      </x:c>
      <x:c r="D801">
        <x:v>8477473</x:v>
      </x:c>
      <x:c r="E801">
        <x:v>67</x:v>
      </x:c>
      <x:c r="F801">
        <x:v>32</x:v>
      </x:c>
      <x:c r="G801">
        <x:v>84</x:v>
      </x:c>
      <x:c r="H801">
        <x:v>44</x:v>
      </x:c>
      <x:c r="I801">
        <x:v>87</x:v>
      </x:c>
      <x:c r="J801">
        <x:v>91</x:v>
      </x:c>
      <x:c r="K801">
        <x:v>95</x:v>
      </x:c>
      <x:c r="L801">
        <x:v>44</x:v>
      </x:c>
      <x:c r="M801">
        <x:v>72</x:v>
      </x:c>
      <x:c r="N801">
        <x:v>49</x:v>
      </x:c>
      <x:c r="O801">
        <x:v>50</x:v>
      </x:c>
      <x:c r="P801">
        <x:v>66</x:v>
      </x:c>
      <x:c r="Q801">
        <x:v>65</x:v>
      </x:c>
      <x:c r="R801">
        <x:v>74</x:v>
      </x:c>
      <x:c r="S801">
        <x:v>75</x:v>
      </x:c>
      <x:c r="T801">
        <x:v>51</x:v>
      </x:c>
      <x:c r="U801">
        <x:v>53</x:v>
      </x:c>
    </x:row>
    <x:row r="802">
      <x:c r="A802" t="s">
        <x:v>1161</x:v>
      </x:c>
      <x:c r="C802" t="s">
        <x:v>319</x:v>
      </x:c>
      <x:c r="D802">
        <x:v>8481704</x:v>
      </x:c>
      <x:c r="E802">
        <x:v>70</x:v>
      </x:c>
      <x:c r="F802">
        <x:v>45</x:v>
      </x:c>
      <x:c r="G802">
        <x:v>83</x:v>
      </x:c>
      <x:c r="H802">
        <x:v>48</x:v>
      </x:c>
      <x:c r="I802">
        <x:v>83</x:v>
      </x:c>
      <x:c r="J802">
        <x:v>79</x:v>
      </x:c>
      <x:c r="K802">
        <x:v>68</x:v>
      </x:c>
      <x:c r="L802">
        <x:v>49</x:v>
      </x:c>
      <x:c r="M802">
        <x:v>80</x:v>
      </x:c>
      <x:c r="N802">
        <x:v>50</x:v>
      </x:c>
      <x:c r="O802">
        <x:v>52</x:v>
      </x:c>
      <x:c r="P802">
        <x:v>63</x:v>
      </x:c>
      <x:c r="Q802">
        <x:v>55</x:v>
      </x:c>
      <x:c r="R802">
        <x:v>69</x:v>
      </x:c>
      <x:c r="S802">
        <x:v>68</x:v>
      </x:c>
      <x:c r="T802">
        <x:v>51</x:v>
      </x:c>
      <x:c r="U802">
        <x:v>53</x:v>
      </x:c>
    </x:row>
    <x:row r="803">
      <x:c r="A803" t="s">
        <x:v>1162</x:v>
      </x:c>
      <x:c r="C803" t="s">
        <x:v>333</x:v>
      </x:c>
      <x:c r="D803">
        <x:v>8476858</x:v>
      </x:c>
      <x:c r="E803">
        <x:v>77</x:v>
      </x:c>
      <x:c r="F803">
        <x:v>39</x:v>
      </x:c>
      <x:c r="G803">
        <x:v>77</x:v>
      </x:c>
      <x:c r="H803">
        <x:v>42</x:v>
      </x:c>
      <x:c r="I803">
        <x:v>81</x:v>
      </x:c>
      <x:c r="J803">
        <x:v>92</x:v>
      </x:c>
      <x:c r="K803">
        <x:v>96</x:v>
      </x:c>
      <x:c r="L803">
        <x:v>41</x:v>
      </x:c>
      <x:c r="M803">
        <x:v>73</x:v>
      </x:c>
      <x:c r="N803">
        <x:v>51</x:v>
      </x:c>
      <x:c r="O803">
        <x:v>49</x:v>
      </x:c>
      <x:c r="P803">
        <x:v>66</x:v>
      </x:c>
      <x:c r="Q803">
        <x:v>64</x:v>
      </x:c>
      <x:c r="R803">
        <x:v>82</x:v>
      </x:c>
      <x:c r="S803">
        <x:v>75</x:v>
      </x:c>
      <x:c r="T803">
        <x:v>51</x:v>
      </x:c>
      <x:c r="U803">
        <x:v>53</x:v>
      </x:c>
    </x:row>
    <x:row r="804">
      <x:c r="A804" t="s">
        <x:v>1163</x:v>
      </x:c>
      <x:c r="C804" t="s">
        <x:v>331</x:v>
      </x:c>
      <x:c r="D804">
        <x:v>8483482</x:v>
      </x:c>
      <x:c r="E804">
        <x:v>72</x:v>
      </x:c>
      <x:c r="F804">
        <x:v>34</x:v>
      </x:c>
      <x:c r="G804">
        <x:v>86</x:v>
      </x:c>
      <x:c r="H804">
        <x:v>35</x:v>
      </x:c>
      <x:c r="I804">
        <x:v>80</x:v>
      </x:c>
      <x:c r="J804">
        <x:v>89</x:v>
      </x:c>
      <x:c r="K804">
        <x:v>94</x:v>
      </x:c>
      <x:c r="L804">
        <x:v>34</x:v>
      </x:c>
      <x:c r="M804">
        <x:v>30</x:v>
      </x:c>
      <x:c r="N804">
        <x:v>50</x:v>
      </x:c>
      <x:c r="O804">
        <x:v>45</x:v>
      </x:c>
      <x:c r="P804">
        <x:v>72</x:v>
      </x:c>
      <x:c r="Q804">
        <x:v>52</x:v>
      </x:c>
      <x:c r="R804">
        <x:v>65</x:v>
      </x:c>
      <x:c r="S804">
        <x:v>66</x:v>
      </x:c>
      <x:c r="T804">
        <x:v>51</x:v>
      </x:c>
      <x:c r="U804">
        <x:v>53</x:v>
      </x:c>
    </x:row>
    <x:row r="805">
      <x:c r="A805" t="s">
        <x:v>1164</x:v>
      </x:c>
      <x:c r="C805" t="s">
        <x:v>326</x:v>
      </x:c>
      <x:c r="D805">
        <x:v>8482125</x:v>
      </x:c>
      <x:c r="E805">
        <x:v>66</x:v>
      </x:c>
      <x:c r="F805">
        <x:v>32</x:v>
      </x:c>
      <x:c r="G805">
        <x:v>87</x:v>
      </x:c>
      <x:c r="H805">
        <x:v>52</x:v>
      </x:c>
      <x:c r="I805">
        <x:v>75</x:v>
      </x:c>
      <x:c r="J805">
        <x:v>81</x:v>
      </x:c>
      <x:c r="K805">
        <x:v>75</x:v>
      </x:c>
      <x:c r="L805">
        <x:v>51</x:v>
      </x:c>
      <x:c r="M805">
        <x:v>65</x:v>
      </x:c>
      <x:c r="N805">
        <x:v>53</x:v>
      </x:c>
      <x:c r="O805">
        <x:v>53</x:v>
      </x:c>
      <x:c r="P805">
        <x:v>61</x:v>
      </x:c>
      <x:c r="Q805">
        <x:v>67</x:v>
      </x:c>
      <x:c r="R805">
        <x:v>70</x:v>
      </x:c>
      <x:c r="S805">
        <x:v>66</x:v>
      </x:c>
      <x:c r="T805">
        <x:v>51</x:v>
      </x:c>
      <x:c r="U805">
        <x:v>53</x:v>
      </x:c>
    </x:row>
    <x:row r="806">
      <x:c r="A806" t="s">
        <x:v>1165</x:v>
      </x:c>
      <x:c r="B806" t="s">
        <x:v>393</x:v>
      </x:c>
      <x:c r="C806" t="s">
        <x:v>319</x:v>
      </x:c>
      <x:c r="D806">
        <x:v>8481754</x:v>
      </x:c>
      <x:c r="E806">
        <x:v>72</x:v>
      </x:c>
      <x:c r="F806">
        <x:v>37</x:v>
      </x:c>
      <x:c r="G806">
        <x:v>89</x:v>
      </x:c>
      <x:c r="H806">
        <x:v>48</x:v>
      </x:c>
      <x:c r="I806">
        <x:v>79</x:v>
      </x:c>
      <x:c r="J806">
        <x:v>81</x:v>
      </x:c>
      <x:c r="K806">
        <x:v>84</x:v>
      </x:c>
      <x:c r="L806">
        <x:v>47</x:v>
      </x:c>
      <x:c r="M806">
        <x:v>71</x:v>
      </x:c>
      <x:c r="N806">
        <x:v>53</x:v>
      </x:c>
      <x:c r="O806">
        <x:v>51</x:v>
      </x:c>
      <x:c r="P806">
        <x:v>63</x:v>
      </x:c>
      <x:c r="Q806">
        <x:v>52</x:v>
      </x:c>
      <x:c r="R806">
        <x:v>69</x:v>
      </x:c>
      <x:c r="S806">
        <x:v>65</x:v>
      </x:c>
      <x:c r="T806">
        <x:v>51</x:v>
      </x:c>
      <x:c r="U806">
        <x:v>53</x:v>
      </x:c>
    </x:row>
    <x:row r="807">
      <x:c r="A807" t="s">
        <x:v>1166</x:v>
      </x:c>
      <x:c r="C807" t="s">
        <x:v>331</x:v>
      </x:c>
      <x:c r="D807">
        <x:v>8484859</x:v>
      </x:c>
      <x:c r="E807">
        <x:v>84</x:v>
      </x:c>
      <x:c r="F807">
        <x:v>41</x:v>
      </x:c>
      <x:c r="G807">
        <x:v>74</x:v>
      </x:c>
      <x:c r="H807">
        <x:v>33</x:v>
      </x:c>
      <x:c r="I807">
        <x:v>81</x:v>
      </x:c>
      <x:c r="J807">
        <x:v>91</x:v>
      </x:c>
      <x:c r="K807">
        <x:v>95</x:v>
      </x:c>
      <x:c r="L807">
        <x:v>33</x:v>
      </x:c>
      <x:c r="M807">
        <x:v>30</x:v>
      </x:c>
      <x:c r="N807">
        <x:v>42</x:v>
      </x:c>
      <x:c r="O807">
        <x:v>43</x:v>
      </x:c>
      <x:c r="P807">
        <x:v>69</x:v>
      </x:c>
      <x:c r="Q807">
        <x:v>47</x:v>
      </x:c>
      <x:c r="R807">
        <x:v>64</x:v>
      </x:c>
      <x:c r="S807">
        <x:v>65</x:v>
      </x:c>
      <x:c r="T807">
        <x:v>51</x:v>
      </x:c>
      <x:c r="U807">
        <x:v>53</x:v>
      </x:c>
    </x:row>
    <x:row r="808">
      <x:c r="A808" t="s">
        <x:v>1167</x:v>
      </x:c>
      <x:c r="C808" t="s">
        <x:v>339</x:v>
      </x:c>
      <x:c r="D808">
        <x:v>8477460</x:v>
      </x:c>
      <x:c r="E808">
        <x:v>64</x:v>
      </x:c>
      <x:c r="F808">
        <x:v>35</x:v>
      </x:c>
      <x:c r="G808">
        <x:v>82</x:v>
      </x:c>
      <x:c r="H808">
        <x:v>49</x:v>
      </x:c>
      <x:c r="I808">
        <x:v>79</x:v>
      </x:c>
      <x:c r="J808">
        <x:v>83</x:v>
      </x:c>
      <x:c r="K808">
        <x:v>85</x:v>
      </x:c>
      <x:c r="L808">
        <x:v>48</x:v>
      </x:c>
      <x:c r="M808">
        <x:v>85</x:v>
      </x:c>
      <x:c r="N808">
        <x:v>53</x:v>
      </x:c>
      <x:c r="O808">
        <x:v>46</x:v>
      </x:c>
      <x:c r="P808">
        <x:v>58</x:v>
      </x:c>
      <x:c r="Q808">
        <x:v>72</x:v>
      </x:c>
      <x:c r="R808">
        <x:v>74</x:v>
      </x:c>
      <x:c r="S808">
        <x:v>73</x:v>
      </x:c>
      <x:c r="T808">
        <x:v>51</x:v>
      </x:c>
      <x:c r="U808">
        <x:v>53</x:v>
      </x:c>
    </x:row>
    <x:row r="809">
      <x:c r="A809" t="s">
        <x:v>1168</x:v>
      </x:c>
      <x:c r="C809" t="s">
        <x:v>331</x:v>
      </x:c>
      <x:c r="D809">
        <x:v>8484140</x:v>
      </x:c>
      <x:c r="E809">
        <x:v>79</x:v>
      </x:c>
      <x:c r="F809">
        <x:v>39</x:v>
      </x:c>
      <x:c r="G809">
        <x:v>76</x:v>
      </x:c>
      <x:c r="H809">
        <x:v>34</x:v>
      </x:c>
      <x:c r="I809">
        <x:v>81</x:v>
      </x:c>
      <x:c r="J809">
        <x:v>73</x:v>
      </x:c>
      <x:c r="K809">
        <x:v>76</x:v>
      </x:c>
      <x:c r="L809">
        <x:v>33</x:v>
      </x:c>
      <x:c r="M809">
        <x:v>30</x:v>
      </x:c>
      <x:c r="N809">
        <x:v>42</x:v>
      </x:c>
      <x:c r="O809">
        <x:v>42</x:v>
      </x:c>
      <x:c r="P809">
        <x:v>69</x:v>
      </x:c>
      <x:c r="Q809">
        <x:v>47</x:v>
      </x:c>
      <x:c r="R809">
        <x:v>65</x:v>
      </x:c>
      <x:c r="S809">
        <x:v>66</x:v>
      </x:c>
      <x:c r="T809">
        <x:v>51</x:v>
      </x:c>
      <x:c r="U809">
        <x:v>53</x:v>
      </x:c>
    </x:row>
    <x:row r="810">
      <x:c r="A810" t="s">
        <x:v>1169</x:v>
      </x:c>
      <x:c r="C810" t="s">
        <x:v>331</x:v>
      </x:c>
      <x:c r="D810">
        <x:v>8477205</x:v>
      </x:c>
      <x:c r="E810">
        <x:v>83</x:v>
      </x:c>
      <x:c r="F810">
        <x:v>49</x:v>
      </x:c>
      <x:c r="G810">
        <x:v>72</x:v>
      </x:c>
      <x:c r="H810">
        <x:v>30</x:v>
      </x:c>
      <x:c r="I810">
        <x:v>85</x:v>
      </x:c>
      <x:c r="J810">
        <x:v>71</x:v>
      </x:c>
      <x:c r="K810">
        <x:v>74</x:v>
      </x:c>
      <x:c r="L810">
        <x:v>30</x:v>
      </x:c>
      <x:c r="M810">
        <x:v>30</x:v>
      </x:c>
      <x:c r="N810">
        <x:v>40</x:v>
      </x:c>
      <x:c r="O810">
        <x:v>37</x:v>
      </x:c>
      <x:c r="P810">
        <x:v>71</x:v>
      </x:c>
      <x:c r="Q810">
        <x:v>43</x:v>
      </x:c>
      <x:c r="R810">
        <x:v>81</x:v>
      </x:c>
      <x:c r="S810">
        <x:v>77</x:v>
      </x:c>
      <x:c r="T810">
        <x:v>51</x:v>
      </x:c>
      <x:c r="U810">
        <x:v>53</x:v>
      </x:c>
    </x:row>
    <x:row r="811">
      <x:c r="A811" t="s">
        <x:v>1170</x:v>
      </x:c>
      <x:c r="B811" t="s">
        <x:v>481</x:v>
      </x:c>
      <x:c r="C811" t="s">
        <x:v>339</x:v>
      </x:c>
      <x:c r="D811">
        <x:v>8484800</x:v>
      </x:c>
      <x:c r="E811">
        <x:v>56</x:v>
      </x:c>
      <x:c r="F811">
        <x:v>45</x:v>
      </x:c>
      <x:c r="G811">
        <x:v>85</x:v>
      </x:c>
      <x:c r="H811">
        <x:v>53</x:v>
      </x:c>
      <x:c r="I811">
        <x:v>73</x:v>
      </x:c>
      <x:c r="J811">
        <x:v>82</x:v>
      </x:c>
      <x:c r="K811">
        <x:v>82</x:v>
      </x:c>
      <x:c r="L811">
        <x:v>52</x:v>
      </x:c>
      <x:c r="M811">
        <x:v>78</x:v>
      </x:c>
      <x:c r="N811">
        <x:v>51</x:v>
      </x:c>
      <x:c r="O811">
        <x:v>51</x:v>
      </x:c>
      <x:c r="P811">
        <x:v>61</x:v>
      </x:c>
      <x:c r="Q811">
        <x:v>75</x:v>
      </x:c>
      <x:c r="R811">
        <x:v>65</x:v>
      </x:c>
      <x:c r="S811">
        <x:v>66</x:v>
      </x:c>
      <x:c r="T811">
        <x:v>51</x:v>
      </x:c>
      <x:c r="U811">
        <x:v>53</x:v>
      </x:c>
    </x:row>
    <x:row r="812">
      <x:c r="A812" t="s">
        <x:v>1171</x:v>
      </x:c>
      <x:c r="C812" t="s">
        <x:v>331</x:v>
      </x:c>
      <x:c r="D812">
        <x:v>8483684</x:v>
      </x:c>
      <x:c r="E812">
        <x:v>63</x:v>
      </x:c>
      <x:c r="F812">
        <x:v>38</x:v>
      </x:c>
      <x:c r="G812">
        <x:v>83</x:v>
      </x:c>
      <x:c r="H812">
        <x:v>36</x:v>
      </x:c>
      <x:c r="I812">
        <x:v>79</x:v>
      </x:c>
      <x:c r="J812">
        <x:v>92</x:v>
      </x:c>
      <x:c r="K812">
        <x:v>96</x:v>
      </x:c>
      <x:c r="L812">
        <x:v>37</x:v>
      </x:c>
      <x:c r="M812">
        <x:v>30</x:v>
      </x:c>
      <x:c r="N812">
        <x:v>50</x:v>
      </x:c>
      <x:c r="O812">
        <x:v>42</x:v>
      </x:c>
      <x:c r="P812">
        <x:v>66</x:v>
      </x:c>
      <x:c r="Q812">
        <x:v>52</x:v>
      </x:c>
      <x:c r="R812">
        <x:v>66</x:v>
      </x:c>
      <x:c r="S812">
        <x:v>65</x:v>
      </x:c>
      <x:c r="T812">
        <x:v>51</x:v>
      </x:c>
      <x:c r="U812">
        <x:v>53</x:v>
      </x:c>
    </x:row>
    <x:row r="813">
      <x:c r="A813" t="s">
        <x:v>1172</x:v>
      </x:c>
      <x:c r="C813" t="s">
        <x:v>319</x:v>
      </x:c>
      <x:c r="D813">
        <x:v>8479933</x:v>
      </x:c>
      <x:c r="E813">
        <x:v>68</x:v>
      </x:c>
      <x:c r="F813">
        <x:v>37</x:v>
      </x:c>
      <x:c r="G813">
        <x:v>83</x:v>
      </x:c>
      <x:c r="H813">
        <x:v>44</x:v>
      </x:c>
      <x:c r="I813">
        <x:v>76</x:v>
      </x:c>
      <x:c r="J813">
        <x:v>82</x:v>
      </x:c>
      <x:c r="K813">
        <x:v>86</x:v>
      </x:c>
      <x:c r="L813">
        <x:v>45</x:v>
      </x:c>
      <x:c r="M813">
        <x:v>75</x:v>
      </x:c>
      <x:c r="N813">
        <x:v>46</x:v>
      </x:c>
      <x:c r="O813">
        <x:v>46</x:v>
      </x:c>
      <x:c r="P813">
        <x:v>62</x:v>
      </x:c>
      <x:c r="Q813">
        <x:v>67</x:v>
      </x:c>
      <x:c r="R813">
        <x:v>80</x:v>
      </x:c>
      <x:c r="S813">
        <x:v>79</x:v>
      </x:c>
      <x:c r="T813">
        <x:v>51</x:v>
      </x:c>
      <x:c r="U813">
        <x:v>53</x:v>
      </x:c>
    </x:row>
    <x:row r="814">
      <x:c r="A814" t="s">
        <x:v>1173</x:v>
      </x:c>
      <x:c r="C814" t="s">
        <x:v>331</x:v>
      </x:c>
      <x:c r="D814">
        <x:v>8482174</x:v>
      </x:c>
      <x:c r="E814">
        <x:v>74</x:v>
      </x:c>
      <x:c r="F814">
        <x:v>38</x:v>
      </x:c>
      <x:c r="G814">
        <x:v>79</x:v>
      </x:c>
      <x:c r="H814">
        <x:v>36</x:v>
      </x:c>
      <x:c r="I814">
        <x:v>78</x:v>
      </x:c>
      <x:c r="J814">
        <x:v>86</x:v>
      </x:c>
      <x:c r="K814">
        <x:v>89</x:v>
      </x:c>
      <x:c r="L814">
        <x:v>37</x:v>
      </x:c>
      <x:c r="M814">
        <x:v>30</x:v>
      </x:c>
      <x:c r="N814">
        <x:v>49</x:v>
      </x:c>
      <x:c r="O814">
        <x:v>40</x:v>
      </x:c>
      <x:c r="P814">
        <x:v>66</x:v>
      </x:c>
      <x:c r="Q814">
        <x:v>51</x:v>
      </x:c>
      <x:c r="R814">
        <x:v>67</x:v>
      </x:c>
      <x:c r="S814">
        <x:v>68</x:v>
      </x:c>
      <x:c r="T814">
        <x:v>51</x:v>
      </x:c>
      <x:c r="U814">
        <x:v>53</x:v>
      </x:c>
    </x:row>
    <x:row r="815">
      <x:c r="A815" t="s">
        <x:v>1174</x:v>
      </x:c>
      <x:c r="C815" t="s">
        <x:v>331</x:v>
      </x:c>
      <x:c r="D815">
        <x:v>8478465</x:v>
      </x:c>
      <x:c r="E815">
        <x:v>68</x:v>
      </x:c>
      <x:c r="F815">
        <x:v>38</x:v>
      </x:c>
      <x:c r="G815">
        <x:v>87</x:v>
      </x:c>
      <x:c r="H815">
        <x:v>32</x:v>
      </x:c>
      <x:c r="I815">
        <x:v>79</x:v>
      </x:c>
      <x:c r="J815">
        <x:v>75</x:v>
      </x:c>
      <x:c r="K815">
        <x:v>77</x:v>
      </x:c>
      <x:c r="L815">
        <x:v>32</x:v>
      </x:c>
      <x:c r="M815">
        <x:v>30</x:v>
      </x:c>
      <x:c r="N815">
        <x:v>40</x:v>
      </x:c>
      <x:c r="O815">
        <x:v>40</x:v>
      </x:c>
      <x:c r="P815">
        <x:v>71</x:v>
      </x:c>
      <x:c r="Q815">
        <x:v>45</x:v>
      </x:c>
      <x:c r="R815">
        <x:v>71</x:v>
      </x:c>
      <x:c r="S815">
        <x:v>72</x:v>
      </x:c>
      <x:c r="T815">
        <x:v>51</x:v>
      </x:c>
      <x:c r="U815">
        <x:v>53</x:v>
      </x:c>
    </x:row>
    <x:row r="816">
      <x:c r="A816" t="s">
        <x:v>1175</x:v>
      </x:c>
      <x:c r="B816" t="s">
        <x:v>402</x:v>
      </x:c>
      <x:c r="C816" t="s">
        <x:v>339</x:v>
      </x:c>
      <x:c r="D816">
        <x:v>8484999</x:v>
      </x:c>
      <x:c r="E816">
        <x:v>68</x:v>
      </x:c>
      <x:c r="F816">
        <x:v>42</x:v>
      </x:c>
      <x:c r="G816">
        <x:v>82</x:v>
      </x:c>
      <x:c r="H816">
        <x:v>48</x:v>
      </x:c>
      <x:c r="I816">
        <x:v>87</x:v>
      </x:c>
      <x:c r="J816">
        <x:v>92</x:v>
      </x:c>
      <x:c r="K816">
        <x:v>96</x:v>
      </x:c>
      <x:c r="L816">
        <x:v>47</x:v>
      </x:c>
      <x:c r="M816">
        <x:v>81</x:v>
      </x:c>
      <x:c r="N816">
        <x:v>51</x:v>
      </x:c>
      <x:c r="O816">
        <x:v>48</x:v>
      </x:c>
      <x:c r="P816">
        <x:v>62</x:v>
      </x:c>
      <x:c r="Q816">
        <x:v>72</x:v>
      </x:c>
      <x:c r="R816">
        <x:v>64</x:v>
      </x:c>
      <x:c r="S816">
        <x:v>65</x:v>
      </x:c>
      <x:c r="T816">
        <x:v>51</x:v>
      </x:c>
      <x:c r="U816">
        <x:v>53</x:v>
      </x:c>
    </x:row>
    <x:row r="817">
      <x:c r="A817" t="s">
        <x:v>1176</x:v>
      </x:c>
      <x:c r="C817" t="s">
        <x:v>319</x:v>
      </x:c>
      <x:c r="D817">
        <x:v>8479304</x:v>
      </x:c>
      <x:c r="E817">
        <x:v>64</x:v>
      </x:c>
      <x:c r="F817">
        <x:v>35</x:v>
      </x:c>
      <x:c r="G817">
        <x:v>88</x:v>
      </x:c>
      <x:c r="H817">
        <x:v>45</x:v>
      </x:c>
      <x:c r="I817">
        <x:v>77</x:v>
      </x:c>
      <x:c r="J817">
        <x:v>87</x:v>
      </x:c>
      <x:c r="K817">
        <x:v>89</x:v>
      </x:c>
      <x:c r="L817">
        <x:v>46</x:v>
      </x:c>
      <x:c r="M817">
        <x:v>78</x:v>
      </x:c>
      <x:c r="N817">
        <x:v>46</x:v>
      </x:c>
      <x:c r="O817">
        <x:v>44</x:v>
      </x:c>
      <x:c r="P817">
        <x:v>61</x:v>
      </x:c>
      <x:c r="Q817">
        <x:v>66</x:v>
      </x:c>
      <x:c r="R817">
        <x:v>80</x:v>
      </x:c>
      <x:c r="S817">
        <x:v>79</x:v>
      </x:c>
      <x:c r="T817">
        <x:v>51</x:v>
      </x:c>
      <x:c r="U817">
        <x:v>53</x:v>
      </x:c>
    </x:row>
    <x:row r="818">
      <x:c r="A818" t="s">
        <x:v>1177</x:v>
      </x:c>
      <x:c r="C818" t="s">
        <x:v>319</x:v>
      </x:c>
      <x:c r="D818">
        <x:v>8476495</x:v>
      </x:c>
      <x:c r="E818">
        <x:v>62</x:v>
      </x:c>
      <x:c r="F818">
        <x:v>37</x:v>
      </x:c>
      <x:c r="G818">
        <x:v>83</x:v>
      </x:c>
      <x:c r="H818">
        <x:v>46</x:v>
      </x:c>
      <x:c r="I818">
        <x:v>76</x:v>
      </x:c>
      <x:c r="J818">
        <x:v>92</x:v>
      </x:c>
      <x:c r="K818">
        <x:v>95</x:v>
      </x:c>
      <x:c r="L818">
        <x:v>47</x:v>
      </x:c>
      <x:c r="M818">
        <x:v>79</x:v>
      </x:c>
      <x:c r="N818">
        <x:v>52</x:v>
      </x:c>
      <x:c r="O818">
        <x:v>45</x:v>
      </x:c>
      <x:c r="P818">
        <x:v>65</x:v>
      </x:c>
      <x:c r="Q818">
        <x:v>68</x:v>
      </x:c>
      <x:c r="R818">
        <x:v>78</x:v>
      </x:c>
      <x:c r="S818">
        <x:v>77</x:v>
      </x:c>
      <x:c r="T818">
        <x:v>51</x:v>
      </x:c>
      <x:c r="U818">
        <x:v>53</x:v>
      </x:c>
    </x:row>
    <x:row r="819">
      <x:c r="A819" t="s">
        <x:v>1178</x:v>
      </x:c>
      <x:c r="C819" t="s">
        <x:v>326</x:v>
      </x:c>
      <x:c r="D819">
        <x:v>8481534</x:v>
      </x:c>
      <x:c r="E819">
        <x:v>71</x:v>
      </x:c>
      <x:c r="F819">
        <x:v>34</x:v>
      </x:c>
      <x:c r="G819">
        <x:v>88</x:v>
      </x:c>
      <x:c r="H819">
        <x:v>49</x:v>
      </x:c>
      <x:c r="I819">
        <x:v>85</x:v>
      </x:c>
      <x:c r="J819">
        <x:v>82</x:v>
      </x:c>
      <x:c r="K819">
        <x:v>84</x:v>
      </x:c>
      <x:c r="L819">
        <x:v>49</x:v>
      </x:c>
      <x:c r="M819">
        <x:v>63</x:v>
      </x:c>
      <x:c r="N819">
        <x:v>51</x:v>
      </x:c>
      <x:c r="O819">
        <x:v>53</x:v>
      </x:c>
      <x:c r="P819">
        <x:v>61</x:v>
      </x:c>
      <x:c r="Q819">
        <x:v>73</x:v>
      </x:c>
      <x:c r="R819">
        <x:v>69</x:v>
      </x:c>
      <x:c r="S819">
        <x:v>68</x:v>
      </x:c>
      <x:c r="T819">
        <x:v>51</x:v>
      </x:c>
      <x:c r="U819">
        <x:v>53</x:v>
      </x:c>
    </x:row>
    <x:row r="820">
      <x:c r="A820" t="s">
        <x:v>1179</x:v>
      </x:c>
      <x:c r="C820" t="s">
        <x:v>331</x:v>
      </x:c>
      <x:c r="D820">
        <x:v>8477034</x:v>
      </x:c>
      <x:c r="E820">
        <x:v>74</x:v>
      </x:c>
      <x:c r="F820">
        <x:v>40</x:v>
      </x:c>
      <x:c r="G820">
        <x:v>84</x:v>
      </x:c>
      <x:c r="H820">
        <x:v>33</x:v>
      </x:c>
      <x:c r="I820">
        <x:v>89</x:v>
      </x:c>
      <x:c r="J820">
        <x:v>90</x:v>
      </x:c>
      <x:c r="K820">
        <x:v>93</x:v>
      </x:c>
      <x:c r="L820">
        <x:v>33</x:v>
      </x:c>
      <x:c r="M820">
        <x:v>30</x:v>
      </x:c>
      <x:c r="N820">
        <x:v>48</x:v>
      </x:c>
      <x:c r="O820">
        <x:v>44</x:v>
      </x:c>
      <x:c r="P820">
        <x:v>73</x:v>
      </x:c>
      <x:c r="Q820">
        <x:v>46</x:v>
      </x:c>
      <x:c r="R820">
        <x:v>80</x:v>
      </x:c>
      <x:c r="S820">
        <x:v>75</x:v>
      </x:c>
      <x:c r="T820">
        <x:v>51</x:v>
      </x:c>
      <x:c r="U820">
        <x:v>53</x:v>
      </x:c>
    </x:row>
    <x:row r="821">
      <x:c r="A821" t="s">
        <x:v>1180</x:v>
      </x:c>
      <x:c r="C821" t="s">
        <x:v>331</x:v>
      </x:c>
      <x:c r="D821">
        <x:v>8478011</x:v>
      </x:c>
      <x:c r="E821">
        <x:v>73</x:v>
      </x:c>
      <x:c r="F821">
        <x:v>31</x:v>
      </x:c>
      <x:c r="G821">
        <x:v>79</x:v>
      </x:c>
      <x:c r="H821">
        <x:v>34</x:v>
      </x:c>
      <x:c r="I821">
        <x:v>76</x:v>
      </x:c>
      <x:c r="J821">
        <x:v>88</x:v>
      </x:c>
      <x:c r="K821">
        <x:v>92</x:v>
      </x:c>
      <x:c r="L821">
        <x:v>35</x:v>
      </x:c>
      <x:c r="M821">
        <x:v>30</x:v>
      </x:c>
      <x:c r="N821">
        <x:v>48</x:v>
      </x:c>
      <x:c r="O821">
        <x:v>44</x:v>
      </x:c>
      <x:c r="P821">
        <x:v>71</x:v>
      </x:c>
      <x:c r="Q821">
        <x:v>49</x:v>
      </x:c>
      <x:c r="R821">
        <x:v>72</x:v>
      </x:c>
      <x:c r="S821">
        <x:v>71</x:v>
      </x:c>
      <x:c r="T821">
        <x:v>51</x:v>
      </x:c>
      <x:c r="U821">
        <x:v>53</x:v>
      </x:c>
    </x:row>
    <x:row r="822">
      <x:c r="A822" t="s">
        <x:v>1181</x:v>
      </x:c>
      <x:c r="B822" t="s">
        <x:v>481</x:v>
      </x:c>
      <x:c r="C822" t="s">
        <x:v>326</x:v>
      </x:c>
      <x:c r="D822">
        <x:v>8483497</x:v>
      </x:c>
      <x:c r="E822">
        <x:v>64</x:v>
      </x:c>
      <x:c r="F822">
        <x:v>42</x:v>
      </x:c>
      <x:c r="G822">
        <x:v>90</x:v>
      </x:c>
      <x:c r="H822">
        <x:v>51</x:v>
      </x:c>
      <x:c r="I822">
        <x:v>85</x:v>
      </x:c>
      <x:c r="J822">
        <x:v>80</x:v>
      </x:c>
      <x:c r="K822">
        <x:v>86</x:v>
      </x:c>
      <x:c r="L822">
        <x:v>51</x:v>
      </x:c>
      <x:c r="M822">
        <x:v>67</x:v>
      </x:c>
      <x:c r="N822">
        <x:v>50</x:v>
      </x:c>
      <x:c r="O822">
        <x:v>54</x:v>
      </x:c>
      <x:c r="P822">
        <x:v>59</x:v>
      </x:c>
      <x:c r="Q822">
        <x:v>52</x:v>
      </x:c>
      <x:c r="R822">
        <x:v>66</x:v>
      </x:c>
      <x:c r="S822">
        <x:v>65</x:v>
      </x:c>
      <x:c r="T822">
        <x:v>47</x:v>
      </x:c>
      <x:c r="U822">
        <x:v>53</x:v>
      </x:c>
    </x:row>
    <x:row r="823">
      <x:c r="A823" t="s">
        <x:v>1182</x:v>
      </x:c>
      <x:c r="B823" t="s">
        <x:v>584</x:v>
      </x:c>
      <x:c r="C823" t="s">
        <x:v>331</x:v>
      </x:c>
      <x:c r="D823">
        <x:v>8484940</x:v>
      </x:c>
      <x:c r="E823">
        <x:v>74</x:v>
      </x:c>
      <x:c r="F823">
        <x:v>33</x:v>
      </x:c>
      <x:c r="G823">
        <x:v>84</x:v>
      </x:c>
      <x:c r="H823">
        <x:v>32</x:v>
      </x:c>
      <x:c r="I823">
        <x:v>82</x:v>
      </x:c>
      <x:c r="J823">
        <x:v>78</x:v>
      </x:c>
      <x:c r="K823">
        <x:v>81</x:v>
      </x:c>
      <x:c r="L823">
        <x:v>32</x:v>
      </x:c>
      <x:c r="M823">
        <x:v>30</x:v>
      </x:c>
      <x:c r="N823">
        <x:v>41</x:v>
      </x:c>
      <x:c r="O823">
        <x:v>41</x:v>
      </x:c>
      <x:c r="P823">
        <x:v>67</x:v>
      </x:c>
      <x:c r="Q823">
        <x:v>46</x:v>
      </x:c>
      <x:c r="R823">
        <x:v>70</x:v>
      </x:c>
      <x:c r="S823">
        <x:v>70</x:v>
      </x:c>
      <x:c r="T823">
        <x:v>51</x:v>
      </x:c>
      <x:c r="U823">
        <x:v>53</x:v>
      </x:c>
    </x:row>
    <x:row r="824">
      <x:c r="A824" t="s">
        <x:v>1183</x:v>
      </x:c>
      <x:c r="C824" t="s">
        <x:v>358</x:v>
      </x:c>
      <x:c r="D824">
        <x:v>8481077</x:v>
      </x:c>
      <x:c r="E824">
        <x:v>65</x:v>
      </x:c>
      <x:c r="F824">
        <x:v>36</x:v>
      </x:c>
      <x:c r="G824">
        <x:v>94</x:v>
      </x:c>
      <x:c r="H824">
        <x:v>49</x:v>
      </x:c>
      <x:c r="I824">
        <x:v>78</x:v>
      </x:c>
      <x:c r="J824">
        <x:v>83</x:v>
      </x:c>
      <x:c r="K824">
        <x:v>82</x:v>
      </x:c>
      <x:c r="L824">
        <x:v>48</x:v>
      </x:c>
      <x:c r="M824">
        <x:v>61</x:v>
      </x:c>
      <x:c r="N824">
        <x:v>50</x:v>
      </x:c>
      <x:c r="O824">
        <x:v>54</x:v>
      </x:c>
      <x:c r="P824">
        <x:v>62</x:v>
      </x:c>
      <x:c r="Q824">
        <x:v>58</x:v>
      </x:c>
      <x:c r="R824">
        <x:v>70</x:v>
      </x:c>
      <x:c r="S824">
        <x:v>71</x:v>
      </x:c>
      <x:c r="T824">
        <x:v>51</x:v>
      </x:c>
      <x:c r="U824">
        <x:v>53</x:v>
      </x:c>
    </x:row>
    <x:row r="825">
      <x:c r="A825" t="s">
        <x:v>1184</x:v>
      </x:c>
      <x:c r="C825" t="s">
        <x:v>358</x:v>
      </x:c>
      <x:c r="D825">
        <x:v>8481592</x:v>
      </x:c>
      <x:c r="E825">
        <x:v>66</x:v>
      </x:c>
      <x:c r="F825">
        <x:v>35</x:v>
      </x:c>
      <x:c r="G825">
        <x:v>89</x:v>
      </x:c>
      <x:c r="H825">
        <x:v>51</x:v>
      </x:c>
      <x:c r="I825">
        <x:v>74</x:v>
      </x:c>
      <x:c r="J825">
        <x:v>87</x:v>
      </x:c>
      <x:c r="K825">
        <x:v>91</x:v>
      </x:c>
      <x:c r="L825">
        <x:v>52</x:v>
      </x:c>
      <x:c r="M825">
        <x:v>72</x:v>
      </x:c>
      <x:c r="N825">
        <x:v>52</x:v>
      </x:c>
      <x:c r="O825">
        <x:v>52</x:v>
      </x:c>
      <x:c r="P825">
        <x:v>64</x:v>
      </x:c>
      <x:c r="Q825">
        <x:v>74</x:v>
      </x:c>
      <x:c r="R825">
        <x:v>69</x:v>
      </x:c>
      <x:c r="S825">
        <x:v>67</x:v>
      </x:c>
      <x:c r="T825">
        <x:v>47</x:v>
      </x:c>
      <x:c r="U825">
        <x:v>53</x:v>
      </x:c>
    </x:row>
    <x:row r="826">
      <x:c r="A826" t="s">
        <x:v>1185</x:v>
      </x:c>
      <x:c r="C826" t="s">
        <x:v>319</x:v>
      </x:c>
      <x:c r="D826">
        <x:v>8478146</x:v>
      </x:c>
      <x:c r="E826">
        <x:v>66</x:v>
      </x:c>
      <x:c r="F826">
        <x:v>35</x:v>
      </x:c>
      <x:c r="G826">
        <x:v>88</x:v>
      </x:c>
      <x:c r="H826">
        <x:v>45</x:v>
      </x:c>
      <x:c r="I826">
        <x:v>77</x:v>
      </x:c>
      <x:c r="J826">
        <x:v>88</x:v>
      </x:c>
      <x:c r="K826">
        <x:v>93</x:v>
      </x:c>
      <x:c r="L826">
        <x:v>46</x:v>
      </x:c>
      <x:c r="M826">
        <x:v>68</x:v>
      </x:c>
      <x:c r="N826">
        <x:v>49</x:v>
      </x:c>
      <x:c r="O826">
        <x:v>49</x:v>
      </x:c>
      <x:c r="P826">
        <x:v>67</x:v>
      </x:c>
      <x:c r="Q826">
        <x:v>67</x:v>
      </x:c>
      <x:c r="R826">
        <x:v>72</x:v>
      </x:c>
      <x:c r="S826">
        <x:v>71</x:v>
      </x:c>
      <x:c r="T826">
        <x:v>51</x:v>
      </x:c>
      <x:c r="U826">
        <x:v>53</x:v>
      </x:c>
    </x:row>
    <x:row r="827">
      <x:c r="A827" t="s">
        <x:v>1186</x:v>
      </x:c>
      <x:c r="B827" t="s">
        <x:v>400</x:v>
      </x:c>
      <x:c r="C827" t="s">
        <x:v>326</x:v>
      </x:c>
      <x:c r="D827">
        <x:v>8481655</x:v>
      </x:c>
      <x:c r="E827">
        <x:v>68</x:v>
      </x:c>
      <x:c r="F827">
        <x:v>38</x:v>
      </x:c>
      <x:c r="G827">
        <x:v>96</x:v>
      </x:c>
      <x:c r="H827">
        <x:v>48</x:v>
      </x:c>
      <x:c r="I827">
        <x:v>81</x:v>
      </x:c>
      <x:c r="J827">
        <x:v>80</x:v>
      </x:c>
      <x:c r="K827">
        <x:v>61</x:v>
      </x:c>
      <x:c r="L827">
        <x:v>47</x:v>
      </x:c>
      <x:c r="M827">
        <x:v>81</x:v>
      </x:c>
      <x:c r="N827">
        <x:v>50</x:v>
      </x:c>
      <x:c r="O827">
        <x:v>53</x:v>
      </x:c>
      <x:c r="P827">
        <x:v>64</x:v>
      </x:c>
      <x:c r="Q827">
        <x:v>52</x:v>
      </x:c>
      <x:c r="R827">
        <x:v>69</x:v>
      </x:c>
      <x:c r="S827">
        <x:v>67</x:v>
      </x:c>
      <x:c r="T827">
        <x:v>51</x:v>
      </x:c>
      <x:c r="U827">
        <x:v>53</x:v>
      </x:c>
    </x:row>
    <x:row r="828">
      <x:c r="A828" t="s">
        <x:v>1187</x:v>
      </x:c>
      <x:c r="B828" t="s">
        <x:v>372</x:v>
      </x:c>
      <x:c r="C828" t="s">
        <x:v>358</x:v>
      </x:c>
      <x:c r="D828">
        <x:v>8483513</x:v>
      </x:c>
      <x:c r="E828">
        <x:v>78</x:v>
      </x:c>
      <x:c r="F828">
        <x:v>64</x:v>
      </x:c>
      <x:c r="G828">
        <x:v>89</x:v>
      </x:c>
      <x:c r="H828">
        <x:v>47</x:v>
      </x:c>
      <x:c r="I828">
        <x:v>88</x:v>
      </x:c>
      <x:c r="J828">
        <x:v>80</x:v>
      </x:c>
      <x:c r="K828">
        <x:v>93</x:v>
      </x:c>
      <x:c r="L828">
        <x:v>47</x:v>
      </x:c>
      <x:c r="M828">
        <x:v>62</x:v>
      </x:c>
      <x:c r="N828">
        <x:v>47</x:v>
      </x:c>
      <x:c r="O828">
        <x:v>51</x:v>
      </x:c>
      <x:c r="P828">
        <x:v>61</x:v>
      </x:c>
      <x:c r="Q828">
        <x:v>55</x:v>
      </x:c>
      <x:c r="R828">
        <x:v>66</x:v>
      </x:c>
      <x:c r="S828">
        <x:v>67</x:v>
      </x:c>
      <x:c r="T828">
        <x:v>47</x:v>
      </x:c>
      <x:c r="U828">
        <x:v>53</x:v>
      </x:c>
    </x:row>
    <x:row r="829">
      <x:c r="A829" t="s">
        <x:v>1188</x:v>
      </x:c>
      <x:c r="C829" t="s">
        <x:v>331</x:v>
      </x:c>
      <x:c r="D829">
        <x:v>8483429</x:v>
      </x:c>
      <x:c r="E829">
        <x:v>68</x:v>
      </x:c>
      <x:c r="F829">
        <x:v>37</x:v>
      </x:c>
      <x:c r="G829">
        <x:v>85</x:v>
      </x:c>
      <x:c r="H829">
        <x:v>33</x:v>
      </x:c>
      <x:c r="I829">
        <x:v>74</x:v>
      </x:c>
      <x:c r="J829">
        <x:v>76</x:v>
      </x:c>
      <x:c r="K829">
        <x:v>78</x:v>
      </x:c>
      <x:c r="L829">
        <x:v>32</x:v>
      </x:c>
      <x:c r="M829">
        <x:v>30</x:v>
      </x:c>
      <x:c r="N829">
        <x:v>52</x:v>
      </x:c>
      <x:c r="O829">
        <x:v>41</x:v>
      </x:c>
      <x:c r="P829">
        <x:v>69</x:v>
      </x:c>
      <x:c r="Q829">
        <x:v>53</x:v>
      </x:c>
      <x:c r="R829">
        <x:v>66</x:v>
      </x:c>
      <x:c r="S829">
        <x:v>68</x:v>
      </x:c>
      <x:c r="T829">
        <x:v>51</x:v>
      </x:c>
      <x:c r="U829">
        <x:v>53</x:v>
      </x:c>
    </x:row>
    <x:row r="830">
      <x:c r="A830" t="s">
        <x:v>1189</x:v>
      </x:c>
      <x:c r="C830" t="s">
        <x:v>326</x:v>
      </x:c>
      <x:c r="D830">
        <x:v>8485493</x:v>
      </x:c>
      <x:c r="E830">
        <x:v>63</x:v>
      </x:c>
      <x:c r="F830">
        <x:v>38</x:v>
      </x:c>
      <x:c r="G830">
        <x:v>84</x:v>
      </x:c>
      <x:c r="H830">
        <x:v>48</x:v>
      </x:c>
      <x:c r="I830">
        <x:v>80</x:v>
      </x:c>
      <x:c r="J830">
        <x:v>80</x:v>
      </x:c>
      <x:c r="K830">
        <x:v>41</x:v>
      </x:c>
      <x:c r="L830">
        <x:v>48</x:v>
      </x:c>
      <x:c r="M830">
        <x:v>80</x:v>
      </x:c>
      <x:c r="N830">
        <x:v>49</x:v>
      </x:c>
      <x:c r="O830">
        <x:v>53</x:v>
      </x:c>
      <x:c r="P830">
        <x:v>58</x:v>
      </x:c>
      <x:c r="Q830">
        <x:v>68</x:v>
      </x:c>
      <x:c r="R830">
        <x:v>78</x:v>
      </x:c>
      <x:c r="S830">
        <x:v>76</x:v>
      </x:c>
      <x:c r="T830">
        <x:v>51</x:v>
      </x:c>
      <x:c r="U830">
        <x:v>53</x:v>
      </x:c>
    </x:row>
    <x:row r="831">
      <x:c r="A831" t="s">
        <x:v>1190</x:v>
      </x:c>
      <x:c r="B831" t="s">
        <x:v>576</x:v>
      </x:c>
      <x:c r="C831" t="s">
        <x:v>319</x:v>
      </x:c>
      <x:c r="D831">
        <x:v>8480259</x:v>
      </x:c>
      <x:c r="E831">
        <x:v>74</x:v>
      </x:c>
      <x:c r="F831">
        <x:v>43</x:v>
      </x:c>
      <x:c r="G831">
        <x:v>94</x:v>
      </x:c>
      <x:c r="H831">
        <x:v>46</x:v>
      </x:c>
      <x:c r="I831">
        <x:v>77</x:v>
      </x:c>
      <x:c r="J831">
        <x:v>79</x:v>
      </x:c>
      <x:c r="K831">
        <x:v>86</x:v>
      </x:c>
      <x:c r="L831">
        <x:v>47</x:v>
      </x:c>
      <x:c r="M831">
        <x:v>81</x:v>
      </x:c>
      <x:c r="N831">
        <x:v>48</x:v>
      </x:c>
      <x:c r="O831">
        <x:v>49</x:v>
      </x:c>
      <x:c r="P831">
        <x:v>61</x:v>
      </x:c>
      <x:c r="Q831">
        <x:v>52</x:v>
      </x:c>
      <x:c r="R831">
        <x:v>70</x:v>
      </x:c>
      <x:c r="S831">
        <x:v>69</x:v>
      </x:c>
      <x:c r="T831">
        <x:v>51</x:v>
      </x:c>
      <x:c r="U831">
        <x:v>53</x:v>
      </x:c>
    </x:row>
    <x:row r="832">
      <x:c r="A832" t="s">
        <x:v>1191</x:v>
      </x:c>
      <x:c r="C832" t="s">
        <x:v>331</x:v>
      </x:c>
      <x:c r="D832">
        <x:v>8482700</x:v>
      </x:c>
      <x:c r="E832">
        <x:v>75</x:v>
      </x:c>
      <x:c r="F832">
        <x:v>39</x:v>
      </x:c>
      <x:c r="G832">
        <x:v>79</x:v>
      </x:c>
      <x:c r="H832">
        <x:v>35</x:v>
      </x:c>
      <x:c r="I832">
        <x:v>81</x:v>
      </x:c>
      <x:c r="J832">
        <x:v>86</x:v>
      </x:c>
      <x:c r="K832">
        <x:v>89</x:v>
      </x:c>
      <x:c r="L832">
        <x:v>34</x:v>
      </x:c>
      <x:c r="M832">
        <x:v>30</x:v>
      </x:c>
      <x:c r="N832">
        <x:v>49</x:v>
      </x:c>
      <x:c r="O832">
        <x:v>44</x:v>
      </x:c>
      <x:c r="P832">
        <x:v>73</x:v>
      </x:c>
      <x:c r="Q832">
        <x:v>48</x:v>
      </x:c>
      <x:c r="R832">
        <x:v>67</x:v>
      </x:c>
      <x:c r="S832">
        <x:v>64</x:v>
      </x:c>
      <x:c r="T832">
        <x:v>51</x:v>
      </x:c>
      <x:c r="U832">
        <x:v>53</x:v>
      </x:c>
    </x:row>
    <x:row r="833">
      <x:c r="A833" t="s">
        <x:v>1192</x:v>
      </x:c>
      <x:c r="C833" t="s">
        <x:v>319</x:v>
      </x:c>
      <x:c r="D833">
        <x:v>8482896</x:v>
      </x:c>
      <x:c r="E833">
        <x:v>78</x:v>
      </x:c>
      <x:c r="F833">
        <x:v>33</x:v>
      </x:c>
      <x:c r="G833">
        <x:v>96</x:v>
      </x:c>
      <x:c r="H833">
        <x:v>48</x:v>
      </x:c>
      <x:c r="I833">
        <x:v>76</x:v>
      </x:c>
      <x:c r="J833">
        <x:v>82</x:v>
      </x:c>
      <x:c r="K833">
        <x:v>74</x:v>
      </x:c>
      <x:c r="L833">
        <x:v>47</x:v>
      </x:c>
      <x:c r="M833">
        <x:v>83</x:v>
      </x:c>
      <x:c r="N833">
        <x:v>49</x:v>
      </x:c>
      <x:c r="O833">
        <x:v>50</x:v>
      </x:c>
      <x:c r="P833">
        <x:v>66</x:v>
      </x:c>
      <x:c r="Q833">
        <x:v>52</x:v>
      </x:c>
      <x:c r="R833">
        <x:v>67</x:v>
      </x:c>
      <x:c r="S833">
        <x:v>67</x:v>
      </x:c>
      <x:c r="T833">
        <x:v>51</x:v>
      </x:c>
      <x:c r="U833">
        <x:v>53</x:v>
      </x:c>
    </x:row>
    <x:row r="834">
      <x:c r="A834" t="s">
        <x:v>1193</x:v>
      </x:c>
      <x:c r="C834" t="s">
        <x:v>331</x:v>
      </x:c>
      <x:c r="D834">
        <x:v>8479984</x:v>
      </x:c>
      <x:c r="E834">
        <x:v>74</x:v>
      </x:c>
      <x:c r="F834">
        <x:v>40</x:v>
      </x:c>
      <x:c r="G834">
        <x:v>85</x:v>
      </x:c>
      <x:c r="H834">
        <x:v>33</x:v>
      </x:c>
      <x:c r="I834">
        <x:v>87</x:v>
      </x:c>
      <x:c r="J834">
        <x:v>78</x:v>
      </x:c>
      <x:c r="K834">
        <x:v>82</x:v>
      </x:c>
      <x:c r="L834">
        <x:v>33</x:v>
      </x:c>
      <x:c r="M834">
        <x:v>30</x:v>
      </x:c>
      <x:c r="N834">
        <x:v>44</x:v>
      </x:c>
      <x:c r="O834">
        <x:v>41</x:v>
      </x:c>
      <x:c r="P834">
        <x:v>69</x:v>
      </x:c>
      <x:c r="Q834">
        <x:v>47</x:v>
      </x:c>
      <x:c r="R834">
        <x:v>69</x:v>
      </x:c>
      <x:c r="S834">
        <x:v>69</x:v>
      </x:c>
      <x:c r="T834">
        <x:v>51</x:v>
      </x:c>
      <x:c r="U834">
        <x:v>53</x:v>
      </x:c>
    </x:row>
    <x:row r="835">
      <x:c r="A835" t="s">
        <x:v>1194</x:v>
      </x:c>
      <x:c r="C835" t="s">
        <x:v>331</x:v>
      </x:c>
      <x:c r="D835">
        <x:v>8481567</x:v>
      </x:c>
      <x:c r="E835">
        <x:v>71</x:v>
      </x:c>
      <x:c r="F835">
        <x:v>71</x:v>
      </x:c>
      <x:c r="G835">
        <x:v>82</x:v>
      </x:c>
      <x:c r="H835">
        <x:v>35</x:v>
      </x:c>
      <x:c r="I835">
        <x:v>79</x:v>
      </x:c>
      <x:c r="J835">
        <x:v>84</x:v>
      </x:c>
      <x:c r="K835">
        <x:v>85</x:v>
      </x:c>
      <x:c r="L835">
        <x:v>35</x:v>
      </x:c>
      <x:c r="M835">
        <x:v>30</x:v>
      </x:c>
      <x:c r="N835">
        <x:v>51</x:v>
      </x:c>
      <x:c r="O835">
        <x:v>45</x:v>
      </x:c>
      <x:c r="P835">
        <x:v>73</x:v>
      </x:c>
      <x:c r="Q835">
        <x:v>49</x:v>
      </x:c>
      <x:c r="R835">
        <x:v>69</x:v>
      </x:c>
      <x:c r="S835">
        <x:v>65</x:v>
      </x:c>
      <x:c r="T835">
        <x:v>51</x:v>
      </x:c>
      <x:c r="U835">
        <x:v>53</x:v>
      </x:c>
    </x:row>
    <x:row r="836">
      <x:c r="A836" t="s">
        <x:v>1195</x:v>
      </x:c>
      <x:c r="C836" t="s">
        <x:v>331</x:v>
      </x:c>
      <x:c r="D836">
        <x:v>8485509</x:v>
      </x:c>
      <x:c r="E836">
        <x:v>69</x:v>
      </x:c>
      <x:c r="F836">
        <x:v>38</x:v>
      </x:c>
      <x:c r="G836">
        <x:v>82</x:v>
      </x:c>
      <x:c r="H836">
        <x:v>35</x:v>
      </x:c>
      <x:c r="I836">
        <x:v>79</x:v>
      </x:c>
      <x:c r="J836">
        <x:v>80</x:v>
      </x:c>
      <x:c r="K836">
        <x:v>84</x:v>
      </x:c>
      <x:c r="L836">
        <x:v>35</x:v>
      </x:c>
      <x:c r="M836">
        <x:v>30</x:v>
      </x:c>
      <x:c r="N836">
        <x:v>50</x:v>
      </x:c>
      <x:c r="O836">
        <x:v>44</x:v>
      </x:c>
      <x:c r="P836">
        <x:v>66</x:v>
      </x:c>
      <x:c r="Q836">
        <x:v>53</x:v>
      </x:c>
      <x:c r="R836">
        <x:v>70</x:v>
      </x:c>
      <x:c r="S836">
        <x:v>70</x:v>
      </x:c>
      <x:c r="T836">
        <x:v>51</x:v>
      </x:c>
      <x:c r="U836">
        <x:v>53</x:v>
      </x:c>
    </x:row>
    <x:row r="837">
      <x:c r="A837" t="s">
        <x:v>1196</x:v>
      </x:c>
      <x:c r="C837" t="s">
        <x:v>319</x:v>
      </x:c>
      <x:c r="D837">
        <x:v>8482726</x:v>
      </x:c>
      <x:c r="E837">
        <x:v>82</x:v>
      </x:c>
      <x:c r="F837">
        <x:v>88</x:v>
      </x:c>
      <x:c r="G837">
        <x:v>85</x:v>
      </x:c>
      <x:c r="H837">
        <x:v>47</x:v>
      </x:c>
      <x:c r="I837">
        <x:v>91</x:v>
      </x:c>
      <x:c r="J837">
        <x:v>80</x:v>
      </x:c>
      <x:c r="K837">
        <x:v>79</x:v>
      </x:c>
      <x:c r="L837">
        <x:v>48</x:v>
      </x:c>
      <x:c r="M837">
        <x:v>80</x:v>
      </x:c>
      <x:c r="N837">
        <x:v>49</x:v>
      </x:c>
      <x:c r="O837">
        <x:v>52</x:v>
      </x:c>
      <x:c r="P837">
        <x:v>61</x:v>
      </x:c>
      <x:c r="Q837">
        <x:v>52</x:v>
      </x:c>
      <x:c r="R837">
        <x:v>67</x:v>
      </x:c>
      <x:c r="S837">
        <x:v>67</x:v>
      </x:c>
      <x:c r="T837">
        <x:v>51</x:v>
      </x:c>
      <x:c r="U837">
        <x:v>53</x:v>
      </x:c>
    </x:row>
    <x:row r="838">
      <x:c r="A838" t="s">
        <x:v>1197</x:v>
      </x:c>
      <x:c r="B838" t="s">
        <x:v>327</x:v>
      </x:c>
      <x:c r="C838" t="s">
        <x:v>358</x:v>
      </x:c>
      <x:c r="D838">
        <x:v>8479705</x:v>
      </x:c>
      <x:c r="E838">
        <x:v>81</x:v>
      </x:c>
      <x:c r="F838">
        <x:v>93</x:v>
      </x:c>
      <x:c r="G838">
        <x:v>73</x:v>
      </x:c>
      <x:c r="H838">
        <x:v>47</x:v>
      </x:c>
      <x:c r="I838">
        <x:v>83</x:v>
      </x:c>
      <x:c r="J838">
        <x:v>85</x:v>
      </x:c>
      <x:c r="K838">
        <x:v>78</x:v>
      </x:c>
      <x:c r="L838">
        <x:v>48</x:v>
      </x:c>
      <x:c r="M838">
        <x:v>63</x:v>
      </x:c>
      <x:c r="N838">
        <x:v>51</x:v>
      </x:c>
      <x:c r="O838">
        <x:v>50</x:v>
      </x:c>
      <x:c r="P838">
        <x:v>62</x:v>
      </x:c>
      <x:c r="Q838">
        <x:v>55</x:v>
      </x:c>
      <x:c r="R838">
        <x:v>71</x:v>
      </x:c>
      <x:c r="S838">
        <x:v>70</x:v>
      </x:c>
      <x:c r="T838">
        <x:v>51</x:v>
      </x:c>
      <x:c r="U838">
        <x:v>53</x:v>
      </x:c>
    </x:row>
    <x:row r="839">
      <x:c r="A839" t="s">
        <x:v>1198</x:v>
      </x:c>
      <x:c r="C839" t="s">
        <x:v>319</x:v>
      </x:c>
      <x:c r="D839">
        <x:v>8477401</x:v>
      </x:c>
      <x:c r="E839">
        <x:v>75</x:v>
      </x:c>
      <x:c r="F839">
        <x:v>83</x:v>
      </x:c>
      <x:c r="G839">
        <x:v>72</x:v>
      </x:c>
      <x:c r="H839">
        <x:v>43</x:v>
      </x:c>
      <x:c r="I839">
        <x:v>86</x:v>
      </x:c>
      <x:c r="J839">
        <x:v>88</x:v>
      </x:c>
      <x:c r="K839">
        <x:v>93</x:v>
      </x:c>
      <x:c r="L839">
        <x:v>42</x:v>
      </x:c>
      <x:c r="M839">
        <x:v>76</x:v>
      </x:c>
      <x:c r="N839">
        <x:v>48</x:v>
      </x:c>
      <x:c r="O839">
        <x:v>50</x:v>
      </x:c>
      <x:c r="P839">
        <x:v>64</x:v>
      </x:c>
      <x:c r="Q839">
        <x:v>64</x:v>
      </x:c>
      <x:c r="R839">
        <x:v>74</x:v>
      </x:c>
      <x:c r="S839">
        <x:v>74</x:v>
      </x:c>
      <x:c r="T839">
        <x:v>51</x:v>
      </x:c>
      <x:c r="U839">
        <x:v>53</x:v>
      </x:c>
    </x:row>
    <x:row r="840">
      <x:c r="A840" t="s">
        <x:v>1199</x:v>
      </x:c>
      <x:c r="B840" t="s">
        <x:v>427</x:v>
      </x:c>
      <x:c r="C840" t="s">
        <x:v>319</x:v>
      </x:c>
      <x:c r="D840">
        <x:v>8482148</x:v>
      </x:c>
      <x:c r="E840">
        <x:v>62</x:v>
      </x:c>
      <x:c r="F840">
        <x:v>45</x:v>
      </x:c>
      <x:c r="G840">
        <x:v>88</x:v>
      </x:c>
      <x:c r="H840">
        <x:v>51</x:v>
      </x:c>
      <x:c r="I840">
        <x:v>76</x:v>
      </x:c>
      <x:c r="J840">
        <x:v>80</x:v>
      </x:c>
      <x:c r="K840">
        <x:v>89</x:v>
      </x:c>
      <x:c r="L840">
        <x:v>51</x:v>
      </x:c>
      <x:c r="M840">
        <x:v>77</x:v>
      </x:c>
      <x:c r="N840">
        <x:v>52</x:v>
      </x:c>
      <x:c r="O840">
        <x:v>50</x:v>
      </x:c>
      <x:c r="P840">
        <x:v>61</x:v>
      </x:c>
      <x:c r="Q840">
        <x:v>52</x:v>
      </x:c>
      <x:c r="R840">
        <x:v>69</x:v>
      </x:c>
      <x:c r="S840">
        <x:v>67</x:v>
      </x:c>
      <x:c r="T840">
        <x:v>51</x:v>
      </x:c>
      <x:c r="U840">
        <x:v>53</x:v>
      </x:c>
    </x:row>
    <x:row r="841">
      <x:c r="A841" t="s">
        <x:v>1200</x:v>
      </x:c>
      <x:c r="C841" t="s">
        <x:v>329</x:v>
      </x:c>
      <x:c r="D841">
        <x:v>8477406</x:v>
      </x:c>
      <x:c r="E841">
        <x:v>59</x:v>
      </x:c>
      <x:c r="F841">
        <x:v>40</x:v>
      </x:c>
      <x:c r="G841">
        <x:v>83</x:v>
      </x:c>
      <x:c r="H841">
        <x:v>51</x:v>
      </x:c>
      <x:c r="I841">
        <x:v>81</x:v>
      </x:c>
      <x:c r="J841">
        <x:v>83</x:v>
      </x:c>
      <x:c r="K841">
        <x:v>77</x:v>
      </x:c>
      <x:c r="L841">
        <x:v>47</x:v>
      </x:c>
      <x:c r="M841">
        <x:v>70</x:v>
      </x:c>
      <x:c r="N841">
        <x:v>52</x:v>
      </x:c>
      <x:c r="O841">
        <x:v>49</x:v>
      </x:c>
      <x:c r="P841">
        <x:v>67</x:v>
      </x:c>
      <x:c r="Q841">
        <x:v>53</x:v>
      </x:c>
      <x:c r="R841">
        <x:v>85</x:v>
      </x:c>
      <x:c r="S841">
        <x:v>73</x:v>
      </x:c>
      <x:c r="T841">
        <x:v>47</x:v>
      </x:c>
      <x:c r="U841">
        <x:v>53</x:v>
      </x:c>
    </x:row>
    <x:row r="842">
      <x:c r="A842" t="s">
        <x:v>1201</x:v>
      </x:c>
      <x:c r="B842" t="s">
        <x:v>372</x:v>
      </x:c>
      <x:c r="C842" t="s">
        <x:v>326</x:v>
      </x:c>
      <x:c r="D842">
        <x:v>8483465</x:v>
      </x:c>
      <x:c r="E842">
        <x:v>68</x:v>
      </x:c>
      <x:c r="F842">
        <x:v>33</x:v>
      </x:c>
      <x:c r="G842">
        <x:v>94</x:v>
      </x:c>
      <x:c r="H842">
        <x:v>49</x:v>
      </x:c>
      <x:c r="I842">
        <x:v>76</x:v>
      </x:c>
      <x:c r="J842">
        <x:v>81</x:v>
      </x:c>
      <x:c r="K842">
        <x:v>84</x:v>
      </x:c>
      <x:c r="L842">
        <x:v>51</x:v>
      </x:c>
      <x:c r="M842">
        <x:v>64</x:v>
      </x:c>
      <x:c r="N842">
        <x:v>50</x:v>
      </x:c>
      <x:c r="O842">
        <x:v>50</x:v>
      </x:c>
      <x:c r="P842">
        <x:v>63</x:v>
      </x:c>
      <x:c r="Q842">
        <x:v>55</x:v>
      </x:c>
      <x:c r="R842">
        <x:v>65</x:v>
      </x:c>
      <x:c r="S842">
        <x:v>64</x:v>
      </x:c>
      <x:c r="T842">
        <x:v>51</x:v>
      </x:c>
      <x:c r="U842">
        <x:v>53</x:v>
      </x:c>
    </x:row>
    <x:row r="843">
      <x:c r="A843" t="s">
        <x:v>1202</x:v>
      </x:c>
      <x:c r="C843" t="s">
        <x:v>323</x:v>
      </x:c>
      <x:c r="D843">
        <x:v>8484938</x:v>
      </x:c>
      <x:c r="E843">
        <x:v>69</x:v>
      </x:c>
      <x:c r="F843">
        <x:v>41</x:v>
      </x:c>
      <x:c r="G843">
        <x:v>95</x:v>
      </x:c>
      <x:c r="H843">
        <x:v>48</x:v>
      </x:c>
      <x:c r="I843">
        <x:v>83</x:v>
      </x:c>
      <x:c r="J843">
        <x:v>84</x:v>
      </x:c>
      <x:c r="K843">
        <x:v>78</x:v>
      </x:c>
      <x:c r="L843">
        <x:v>48</x:v>
      </x:c>
      <x:c r="M843">
        <x:v>86</x:v>
      </x:c>
      <x:c r="N843">
        <x:v>47</x:v>
      </x:c>
      <x:c r="O843">
        <x:v>50</x:v>
      </x:c>
      <x:c r="P843">
        <x:v>66</x:v>
      </x:c>
      <x:c r="Q843">
        <x:v>56</x:v>
      </x:c>
      <x:c r="R843">
        <x:v>68</x:v>
      </x:c>
      <x:c r="S843">
        <x:v>68</x:v>
      </x:c>
      <x:c r="T843">
        <x:v>51</x:v>
      </x:c>
      <x:c r="U843">
        <x:v>53</x:v>
      </x:c>
    </x:row>
    <x:row r="844">
      <x:c r="A844" t="s">
        <x:v>1203</x:v>
      </x:c>
      <x:c r="C844" t="s">
        <x:v>331</x:v>
      </x:c>
      <x:c r="D844">
        <x:v>8481541</x:v>
      </x:c>
      <x:c r="E844">
        <x:v>72</x:v>
      </x:c>
      <x:c r="F844">
        <x:v>35</x:v>
      </x:c>
      <x:c r="G844">
        <x:v>89</x:v>
      </x:c>
      <x:c r="H844">
        <x:v>35</x:v>
      </x:c>
      <x:c r="I844">
        <x:v>87</x:v>
      </x:c>
      <x:c r="J844">
        <x:v>89</x:v>
      </x:c>
      <x:c r="K844">
        <x:v>93</x:v>
      </x:c>
      <x:c r="L844">
        <x:v>35</x:v>
      </x:c>
      <x:c r="M844">
        <x:v>30</x:v>
      </x:c>
      <x:c r="N844">
        <x:v>50</x:v>
      </x:c>
      <x:c r="O844">
        <x:v>45</x:v>
      </x:c>
      <x:c r="P844">
        <x:v>73</x:v>
      </x:c>
      <x:c r="Q844">
        <x:v>49</x:v>
      </x:c>
      <x:c r="R844">
        <x:v>69</x:v>
      </x:c>
      <x:c r="S844">
        <x:v>68</x:v>
      </x:c>
      <x:c r="T844">
        <x:v>51</x:v>
      </x:c>
      <x:c r="U844">
        <x:v>53</x:v>
      </x:c>
    </x:row>
    <x:row r="845">
      <x:c r="A845" t="s">
        <x:v>1204</x:v>
      </x:c>
      <x:c r="B845" t="s">
        <x:v>584</x:v>
      </x:c>
      <x:c r="C845" t="s">
        <x:v>319</x:v>
      </x:c>
      <x:c r="D845">
        <x:v>8477996</x:v>
      </x:c>
      <x:c r="E845">
        <x:v>70</x:v>
      </x:c>
      <x:c r="F845">
        <x:v>37</x:v>
      </x:c>
      <x:c r="G845">
        <x:v>91</x:v>
      </x:c>
      <x:c r="H845">
        <x:v>47</x:v>
      </x:c>
      <x:c r="I845">
        <x:v>79</x:v>
      </x:c>
      <x:c r="J845">
        <x:v>79</x:v>
      </x:c>
      <x:c r="K845">
        <x:v>45</x:v>
      </x:c>
      <x:c r="L845">
        <x:v>48</x:v>
      </x:c>
      <x:c r="M845">
        <x:v>82</x:v>
      </x:c>
      <x:c r="N845">
        <x:v>49</x:v>
      </x:c>
      <x:c r="O845">
        <x:v>48</x:v>
      </x:c>
      <x:c r="P845">
        <x:v>61</x:v>
      </x:c>
      <x:c r="Q845">
        <x:v>51</x:v>
      </x:c>
      <x:c r="R845">
        <x:v>78</x:v>
      </x:c>
      <x:c r="S845">
        <x:v>77</x:v>
      </x:c>
      <x:c r="T845">
        <x:v>51</x:v>
      </x:c>
      <x:c r="U845">
        <x:v>53</x:v>
      </x:c>
    </x:row>
    <x:row r="846">
      <x:c r="A846" t="s">
        <x:v>1205</x:v>
      </x:c>
      <x:c r="C846" t="s">
        <x:v>331</x:v>
      </x:c>
      <x:c r="D846">
        <x:v>8481367</x:v>
      </x:c>
      <x:c r="E846">
        <x:v>75</x:v>
      </x:c>
      <x:c r="F846">
        <x:v>35</x:v>
      </x:c>
      <x:c r="G846">
        <x:v>66</x:v>
      </x:c>
      <x:c r="H846">
        <x:v>30</x:v>
      </x:c>
      <x:c r="I846">
        <x:v>82</x:v>
      </x:c>
      <x:c r="J846">
        <x:v>76</x:v>
      </x:c>
      <x:c r="K846">
        <x:v>78</x:v>
      </x:c>
      <x:c r="L846">
        <x:v>31</x:v>
      </x:c>
      <x:c r="M846">
        <x:v>30</x:v>
      </x:c>
      <x:c r="N846">
        <x:v>39</x:v>
      </x:c>
      <x:c r="O846">
        <x:v>37</x:v>
      </x:c>
      <x:c r="P846">
        <x:v>66</x:v>
      </x:c>
      <x:c r="Q846">
        <x:v>43</x:v>
      </x:c>
      <x:c r="R846">
        <x:v>76</x:v>
      </x:c>
      <x:c r="S846">
        <x:v>75</x:v>
      </x:c>
      <x:c r="T846">
        <x:v>51</x:v>
      </x:c>
      <x:c r="U846">
        <x:v>53</x:v>
      </x:c>
    </x:row>
    <x:row r="847">
      <x:c r="A847" t="s">
        <x:v>1206</x:v>
      </x:c>
      <x:c r="C847" t="s">
        <x:v>331</x:v>
      </x:c>
      <x:c r="D847">
        <x:v>8482824</x:v>
      </x:c>
      <x:c r="E847">
        <x:v>74</x:v>
      </x:c>
      <x:c r="F847">
        <x:v>57</x:v>
      </x:c>
      <x:c r="G847">
        <x:v>73</x:v>
      </x:c>
      <x:c r="H847">
        <x:v>33</x:v>
      </x:c>
      <x:c r="I847">
        <x:v>83</x:v>
      </x:c>
      <x:c r="J847">
        <x:v>90</x:v>
      </x:c>
      <x:c r="K847">
        <x:v>94</x:v>
      </x:c>
      <x:c r="L847">
        <x:v>34</x:v>
      </x:c>
      <x:c r="M847">
        <x:v>30</x:v>
      </x:c>
      <x:c r="N847">
        <x:v>44</x:v>
      </x:c>
      <x:c r="O847">
        <x:v>41</x:v>
      </x:c>
      <x:c r="P847">
        <x:v>69</x:v>
      </x:c>
      <x:c r="Q847">
        <x:v>47</x:v>
      </x:c>
      <x:c r="R847">
        <x:v>68</x:v>
      </x:c>
      <x:c r="S847">
        <x:v>67</x:v>
      </x:c>
      <x:c r="T847">
        <x:v>51</x:v>
      </x:c>
      <x:c r="U847">
        <x:v>53</x:v>
      </x:c>
    </x:row>
    <x:row r="848">
      <x:c r="A848" t="s">
        <x:v>1207</x:v>
      </x:c>
      <x:c r="C848" t="s">
        <x:v>358</x:v>
      </x:c>
      <x:c r="D848">
        <x:v>8481133</x:v>
      </x:c>
      <x:c r="E848">
        <x:v>76</x:v>
      </x:c>
      <x:c r="F848">
        <x:v>61</x:v>
      </x:c>
      <x:c r="G848">
        <x:v>87</x:v>
      </x:c>
      <x:c r="H848">
        <x:v>48</x:v>
      </x:c>
      <x:c r="I848">
        <x:v>81</x:v>
      </x:c>
      <x:c r="J848">
        <x:v>81</x:v>
      </x:c>
      <x:c r="K848">
        <x:v>80</x:v>
      </x:c>
      <x:c r="L848">
        <x:v>48</x:v>
      </x:c>
      <x:c r="M848">
        <x:v>69</x:v>
      </x:c>
      <x:c r="N848">
        <x:v>50</x:v>
      </x:c>
      <x:c r="O848">
        <x:v>54</x:v>
      </x:c>
      <x:c r="P848">
        <x:v>61</x:v>
      </x:c>
      <x:c r="Q848">
        <x:v>52</x:v>
      </x:c>
      <x:c r="R848">
        <x:v>70</x:v>
      </x:c>
      <x:c r="S848">
        <x:v>68</x:v>
      </x:c>
      <x:c r="T848">
        <x:v>47</x:v>
      </x:c>
      <x:c r="U848">
        <x:v>53</x:v>
      </x:c>
    </x:row>
    <x:row r="849">
      <x:c r="A849" t="s">
        <x:v>1208</x:v>
      </x:c>
      <x:c r="C849" t="s">
        <x:v>326</x:v>
      </x:c>
      <x:c r="D849">
        <x:v>8479423</x:v>
      </x:c>
      <x:c r="E849">
        <x:v>62</x:v>
      </x:c>
      <x:c r="F849">
        <x:v>35</x:v>
      </x:c>
      <x:c r="G849">
        <x:v>92</x:v>
      </x:c>
      <x:c r="H849">
        <x:v>47</x:v>
      </x:c>
      <x:c r="I849">
        <x:v>78</x:v>
      </x:c>
      <x:c r="J849">
        <x:v>88</x:v>
      </x:c>
      <x:c r="K849">
        <x:v>90</x:v>
      </x:c>
      <x:c r="L849">
        <x:v>48</x:v>
      </x:c>
      <x:c r="M849">
        <x:v>70</x:v>
      </x:c>
      <x:c r="N849">
        <x:v>50</x:v>
      </x:c>
      <x:c r="O849">
        <x:v>52</x:v>
      </x:c>
      <x:c r="P849">
        <x:v>61</x:v>
      </x:c>
      <x:c r="Q849">
        <x:v>69</x:v>
      </x:c>
      <x:c r="R849">
        <x:v>70</x:v>
      </x:c>
      <x:c r="S849">
        <x:v>71</x:v>
      </x:c>
      <x:c r="T849">
        <x:v>51</x:v>
      </x:c>
      <x:c r="U849">
        <x:v>53</x:v>
      </x:c>
    </x:row>
    <x:row r="850">
      <x:c r="A850" t="s">
        <x:v>1209</x:v>
      </x:c>
      <x:c r="C850" t="s">
        <x:v>331</x:v>
      </x:c>
      <x:c r="D850">
        <x:v>8484906</x:v>
      </x:c>
      <x:c r="E850">
        <x:v>77</x:v>
      </x:c>
      <x:c r="F850">
        <x:v>38</x:v>
      </x:c>
      <x:c r="G850">
        <x:v>85</x:v>
      </x:c>
      <x:c r="H850">
        <x:v>34</x:v>
      </x:c>
      <x:c r="I850">
        <x:v>79</x:v>
      </x:c>
      <x:c r="J850">
        <x:v>80</x:v>
      </x:c>
      <x:c r="K850">
        <x:v>83</x:v>
      </x:c>
      <x:c r="L850">
        <x:v>35</x:v>
      </x:c>
      <x:c r="M850">
        <x:v>30</x:v>
      </x:c>
      <x:c r="N850">
        <x:v>45</x:v>
      </x:c>
      <x:c r="O850">
        <x:v>40</x:v>
      </x:c>
      <x:c r="P850">
        <x:v>67</x:v>
      </x:c>
      <x:c r="Q850">
        <x:v>47</x:v>
      </x:c>
      <x:c r="R850">
        <x:v>69</x:v>
      </x:c>
      <x:c r="S850">
        <x:v>70</x:v>
      </x:c>
      <x:c r="T850">
        <x:v>51</x:v>
      </x:c>
      <x:c r="U850">
        <x:v>53</x:v>
      </x:c>
    </x:row>
    <x:row r="851">
      <x:c r="A851" t="s">
        <x:v>1210</x:v>
      </x:c>
      <x:c r="C851" t="s">
        <x:v>326</x:v>
      </x:c>
      <x:c r="D851">
        <x:v>8479942</x:v>
      </x:c>
      <x:c r="E851">
        <x:v>63</x:v>
      </x:c>
      <x:c r="F851">
        <x:v>71</x:v>
      </x:c>
      <x:c r="G851">
        <x:v>91</x:v>
      </x:c>
      <x:c r="H851">
        <x:v>47</x:v>
      </x:c>
      <x:c r="I851">
        <x:v>74</x:v>
      </x:c>
      <x:c r="J851">
        <x:v>77</x:v>
      </x:c>
      <x:c r="K851">
        <x:v>82</x:v>
      </x:c>
      <x:c r="L851">
        <x:v>48</x:v>
      </x:c>
      <x:c r="M851">
        <x:v>67</x:v>
      </x:c>
      <x:c r="N851">
        <x:v>48</x:v>
      </x:c>
      <x:c r="O851">
        <x:v>54</x:v>
      </x:c>
      <x:c r="P851">
        <x:v>61</x:v>
      </x:c>
      <x:c r="Q851">
        <x:v>56</x:v>
      </x:c>
      <x:c r="R851">
        <x:v>78</x:v>
      </x:c>
      <x:c r="S851">
        <x:v>79</x:v>
      </x:c>
      <x:c r="T851">
        <x:v>51</x:v>
      </x:c>
      <x:c r="U851">
        <x:v>53</x:v>
      </x:c>
    </x:row>
    <x:row r="852">
      <x:c r="A852" t="s">
        <x:v>1211</x:v>
      </x:c>
      <x:c r="C852" t="s">
        <x:v>331</x:v>
      </x:c>
      <x:c r="D852">
        <x:v>8482091</x:v>
      </x:c>
      <x:c r="E852">
        <x:v>85</x:v>
      </x:c>
      <x:c r="F852">
        <x:v>35</x:v>
      </x:c>
      <x:c r="G852">
        <x:v>85</x:v>
      </x:c>
      <x:c r="H852">
        <x:v>33</x:v>
      </x:c>
      <x:c r="I852">
        <x:v>90</x:v>
      </x:c>
      <x:c r="J852">
        <x:v>77</x:v>
      </x:c>
      <x:c r="K852">
        <x:v>80</x:v>
      </x:c>
      <x:c r="L852">
        <x:v>34</x:v>
      </x:c>
      <x:c r="M852">
        <x:v>30</x:v>
      </x:c>
      <x:c r="N852">
        <x:v>42</x:v>
      </x:c>
      <x:c r="O852">
        <x:v>40</x:v>
      </x:c>
      <x:c r="P852">
        <x:v>69</x:v>
      </x:c>
      <x:c r="Q852">
        <x:v>46</x:v>
      </x:c>
      <x:c r="R852">
        <x:v>67</x:v>
      </x:c>
      <x:c r="S852">
        <x:v>68</x:v>
      </x:c>
      <x:c r="T852">
        <x:v>51</x:v>
      </x:c>
      <x:c r="U852">
        <x:v>53</x:v>
      </x:c>
    </x:row>
    <x:row r="853">
      <x:c r="A853" t="s">
        <x:v>1212</x:v>
      </x:c>
      <x:c r="C853" t="s">
        <x:v>331</x:v>
      </x:c>
      <x:c r="D853">
        <x:v>8475857</x:v>
      </x:c>
      <x:c r="E853">
        <x:v>72</x:v>
      </x:c>
      <x:c r="F853">
        <x:v>39</x:v>
      </x:c>
      <x:c r="G853">
        <x:v>84</x:v>
      </x:c>
      <x:c r="H853">
        <x:v>31</x:v>
      </x:c>
      <x:c r="I853">
        <x:v>85</x:v>
      </x:c>
      <x:c r="J853">
        <x:v>89</x:v>
      </x:c>
      <x:c r="K853">
        <x:v>92</x:v>
      </x:c>
      <x:c r="L853">
        <x:v>32</x:v>
      </x:c>
      <x:c r="M853">
        <x:v>30</x:v>
      </x:c>
      <x:c r="N853">
        <x:v>41</x:v>
      </x:c>
      <x:c r="O853">
        <x:v>39</x:v>
      </x:c>
      <x:c r="P853">
        <x:v>71</x:v>
      </x:c>
      <x:c r="Q853">
        <x:v>45</x:v>
      </x:c>
      <x:c r="R853">
        <x:v>80</x:v>
      </x:c>
      <x:c r="S853">
        <x:v>79</x:v>
      </x:c>
      <x:c r="T853">
        <x:v>51</x:v>
      </x:c>
      <x:c r="U853">
        <x:v>53</x:v>
      </x:c>
    </x:row>
    <x:row r="854">
      <x:c r="A854" t="s">
        <x:v>1213</x:v>
      </x:c>
      <x:c r="B854" t="s">
        <x:v>383</x:v>
      </x:c>
      <x:c r="C854" t="s">
        <x:v>333</x:v>
      </x:c>
      <x:c r="D854">
        <x:v>8482877</x:v>
      </x:c>
      <x:c r="E854">
        <x:v>72</x:v>
      </x:c>
      <x:c r="F854">
        <x:v>69</x:v>
      </x:c>
      <x:c r="G854">
        <x:v>90</x:v>
      </x:c>
      <x:c r="H854">
        <x:v>48</x:v>
      </x:c>
      <x:c r="I854">
        <x:v>88</x:v>
      </x:c>
      <x:c r="J854">
        <x:v>80</x:v>
      </x:c>
      <x:c r="K854">
        <x:v>91</x:v>
      </x:c>
      <x:c r="L854">
        <x:v>49</x:v>
      </x:c>
      <x:c r="M854">
        <x:v>63</x:v>
      </x:c>
      <x:c r="N854">
        <x:v>47</x:v>
      </x:c>
      <x:c r="O854">
        <x:v>51</x:v>
      </x:c>
      <x:c r="P854">
        <x:v>61</x:v>
      </x:c>
      <x:c r="Q854">
        <x:v>54</x:v>
      </x:c>
      <x:c r="R854">
        <x:v>66</x:v>
      </x:c>
      <x:c r="S854">
        <x:v>66</x:v>
      </x:c>
      <x:c r="T854">
        <x:v>51</x:v>
      </x:c>
      <x:c r="U854">
        <x:v>53</x:v>
      </x:c>
    </x:row>
    <x:row r="855">
      <x:c r="A855" t="s">
        <x:v>1214</x:v>
      </x:c>
      <x:c r="C855" t="s">
        <x:v>319</x:v>
      </x:c>
      <x:c r="D855">
        <x:v>8479944</x:v>
      </x:c>
      <x:c r="E855">
        <x:v>80</x:v>
      </x:c>
      <x:c r="F855">
        <x:v>45</x:v>
      </x:c>
      <x:c r="G855">
        <x:v>85</x:v>
      </x:c>
      <x:c r="H855">
        <x:v>48</x:v>
      </x:c>
      <x:c r="I855">
        <x:v>81</x:v>
      </x:c>
      <x:c r="J855">
        <x:v>81</x:v>
      </x:c>
      <x:c r="K855">
        <x:v>80</x:v>
      </x:c>
      <x:c r="L855">
        <x:v>46</x:v>
      </x:c>
      <x:c r="M855">
        <x:v>68</x:v>
      </x:c>
      <x:c r="N855">
        <x:v>51</x:v>
      </x:c>
      <x:c r="O855">
        <x:v>50</x:v>
      </x:c>
      <x:c r="P855">
        <x:v>64</x:v>
      </x:c>
      <x:c r="Q855">
        <x:v>52</x:v>
      </x:c>
      <x:c r="R855">
        <x:v>82</x:v>
      </x:c>
      <x:c r="S855">
        <x:v>72</x:v>
      </x:c>
      <x:c r="T855">
        <x:v>51</x:v>
      </x:c>
      <x:c r="U855">
        <x:v>53</x:v>
      </x:c>
    </x:row>
    <x:row r="856">
      <x:c r="A856" t="s">
        <x:v>1215</x:v>
      </x:c>
      <x:c r="B856" t="s">
        <x:v>584</x:v>
      </x:c>
      <x:c r="C856" t="s">
        <x:v>323</x:v>
      </x:c>
      <x:c r="D856">
        <x:v>8476329</x:v>
      </x:c>
      <x:c r="E856">
        <x:v>60</x:v>
      </x:c>
      <x:c r="F856">
        <x:v>33</x:v>
      </x:c>
      <x:c r="G856">
        <x:v>91</x:v>
      </x:c>
      <x:c r="H856">
        <x:v>48</x:v>
      </x:c>
      <x:c r="I856">
        <x:v>77</x:v>
      </x:c>
      <x:c r="J856">
        <x:v>79</x:v>
      </x:c>
      <x:c r="K856">
        <x:v>81</x:v>
      </x:c>
      <x:c r="L856">
        <x:v>49</x:v>
      </x:c>
      <x:c r="M856">
        <x:v>76</x:v>
      </x:c>
      <x:c r="N856">
        <x:v>52</x:v>
      </x:c>
      <x:c r="O856">
        <x:v>49</x:v>
      </x:c>
      <x:c r="P856">
        <x:v>63</x:v>
      </x:c>
      <x:c r="Q856">
        <x:v>70</x:v>
      </x:c>
      <x:c r="R856">
        <x:v>78</x:v>
      </x:c>
      <x:c r="S856">
        <x:v>79</x:v>
      </x:c>
      <x:c r="T856">
        <x:v>51</x:v>
      </x:c>
      <x:c r="U856">
        <x:v>53</x:v>
      </x:c>
    </x:row>
    <x:row r="857">
      <x:c r="A857" t="s">
        <x:v>1216</x:v>
      </x:c>
      <x:c r="C857" t="s">
        <x:v>331</x:v>
      </x:c>
      <x:c r="D857">
        <x:v>8480467</x:v>
      </x:c>
      <x:c r="E857">
        <x:v>76</x:v>
      </x:c>
      <x:c r="F857">
        <x:v>39</x:v>
      </x:c>
      <x:c r="G857">
        <x:v>79</x:v>
      </x:c>
      <x:c r="H857">
        <x:v>33</x:v>
      </x:c>
      <x:c r="I857">
        <x:v>86</x:v>
      </x:c>
      <x:c r="J857">
        <x:v>81</x:v>
      </x:c>
      <x:c r="K857">
        <x:v>84</x:v>
      </x:c>
      <x:c r="L857">
        <x:v>32</x:v>
      </x:c>
      <x:c r="M857">
        <x:v>30</x:v>
      </x:c>
      <x:c r="N857">
        <x:v>43</x:v>
      </x:c>
      <x:c r="O857">
        <x:v>41</x:v>
      </x:c>
      <x:c r="P857">
        <x:v>64</x:v>
      </x:c>
      <x:c r="Q857">
        <x:v>47</x:v>
      </x:c>
      <x:c r="R857">
        <x:v>71</x:v>
      </x:c>
      <x:c r="S857">
        <x:v>72</x:v>
      </x:c>
      <x:c r="T857">
        <x:v>51</x:v>
      </x:c>
      <x:c r="U857">
        <x:v>53</x:v>
      </x:c>
    </x:row>
    <x:row r="858">
      <x:c r="A858" t="s">
        <x:v>1217</x:v>
      </x:c>
      <x:c r="C858" t="s">
        <x:v>331</x:v>
      </x:c>
      <x:c r="D858">
        <x:v>8483494</x:v>
      </x:c>
      <x:c r="E858">
        <x:v>72</x:v>
      </x:c>
      <x:c r="F858">
        <x:v>41</x:v>
      </x:c>
      <x:c r="G858">
        <x:v>85</x:v>
      </x:c>
      <x:c r="H858">
        <x:v>35</x:v>
      </x:c>
      <x:c r="I858">
        <x:v>76</x:v>
      </x:c>
      <x:c r="J858">
        <x:v>88</x:v>
      </x:c>
      <x:c r="K858">
        <x:v>90</x:v>
      </x:c>
      <x:c r="L858">
        <x:v>34</x:v>
      </x:c>
      <x:c r="M858">
        <x:v>30</x:v>
      </x:c>
      <x:c r="N858">
        <x:v>47</x:v>
      </x:c>
      <x:c r="O858">
        <x:v>43</x:v>
      </x:c>
      <x:c r="P858">
        <x:v>67</x:v>
      </x:c>
      <x:c r="Q858">
        <x:v>51</x:v>
      </x:c>
      <x:c r="R858">
        <x:v>65</x:v>
      </x:c>
      <x:c r="S858">
        <x:v>65</x:v>
      </x:c>
      <x:c r="T858">
        <x:v>51</x:v>
      </x:c>
      <x:c r="U858">
        <x:v>53</x:v>
      </x:c>
    </x:row>
    <x:row r="859">
      <x:c r="A859" t="s">
        <x:v>1218</x:v>
      </x:c>
      <x:c r="C859" t="s">
        <x:v>319</x:v>
      </x:c>
      <x:c r="D859">
        <x:v>8483676</x:v>
      </x:c>
      <x:c r="E859">
        <x:v>63</x:v>
      </x:c>
      <x:c r="F859">
        <x:v>41</x:v>
      </x:c>
      <x:c r="G859">
        <x:v>94</x:v>
      </x:c>
      <x:c r="H859">
        <x:v>48</x:v>
      </x:c>
      <x:c r="I859">
        <x:v>85</x:v>
      </x:c>
      <x:c r="J859">
        <x:v>80</x:v>
      </x:c>
      <x:c r="K859">
        <x:v>82</x:v>
      </x:c>
      <x:c r="L859">
        <x:v>51</x:v>
      </x:c>
      <x:c r="M859">
        <x:v>76</x:v>
      </x:c>
      <x:c r="N859">
        <x:v>51</x:v>
      </x:c>
      <x:c r="O859">
        <x:v>51</x:v>
      </x:c>
      <x:c r="P859">
        <x:v>58</x:v>
      </x:c>
      <x:c r="Q859">
        <x:v>56</x:v>
      </x:c>
      <x:c r="R859">
        <x:v>67</x:v>
      </x:c>
      <x:c r="S859">
        <x:v>67</x:v>
      </x:c>
      <x:c r="T859">
        <x:v>51</x:v>
      </x:c>
      <x:c r="U859">
        <x:v>53</x:v>
      </x:c>
    </x:row>
    <x:row r="860">
      <x:c r="A860" t="s">
        <x:v>1219</x:v>
      </x:c>
      <x:c r="B860" t="s">
        <x:v>584</x:v>
      </x:c>
      <x:c r="C860" t="s">
        <x:v>358</x:v>
      </x:c>
      <x:c r="D860">
        <x:v>8475310</x:v>
      </x:c>
      <x:c r="E860">
        <x:v>77</x:v>
      </x:c>
      <x:c r="F860">
        <x:v>43</x:v>
      </x:c>
      <x:c r="G860">
        <x:v>78</x:v>
      </x:c>
      <x:c r="H860">
        <x:v>42</x:v>
      </x:c>
      <x:c r="I860">
        <x:v>83</x:v>
      </x:c>
      <x:c r="J860">
        <x:v>92</x:v>
      </x:c>
      <x:c r="K860">
        <x:v>96</x:v>
      </x:c>
      <x:c r="L860">
        <x:v>43</x:v>
      </x:c>
      <x:c r="M860">
        <x:v>53</x:v>
      </x:c>
      <x:c r="N860">
        <x:v>43</x:v>
      </x:c>
      <x:c r="O860">
        <x:v>43</x:v>
      </x:c>
      <x:c r="P860">
        <x:v>64</x:v>
      </x:c>
      <x:c r="Q860">
        <x:v>63</x:v>
      </x:c>
      <x:c r="R860">
        <x:v>82</x:v>
      </x:c>
      <x:c r="S860">
        <x:v>76</x:v>
      </x:c>
      <x:c r="T860">
        <x:v>51</x:v>
      </x:c>
      <x:c r="U860">
        <x:v>53</x:v>
      </x:c>
    </x:row>
    <x:row r="861">
      <x:c r="A861" t="s">
        <x:v>1220</x:v>
      </x:c>
      <x:c r="C861" t="s">
        <x:v>358</x:v>
      </x:c>
      <x:c r="D861">
        <x:v>8479368</x:v>
      </x:c>
      <x:c r="E861">
        <x:v>79</x:v>
      </x:c>
      <x:c r="F861">
        <x:v>72</x:v>
      </x:c>
      <x:c r="G861">
        <x:v>89</x:v>
      </x:c>
      <x:c r="H861">
        <x:v>47</x:v>
      </x:c>
      <x:c r="I861">
        <x:v>88</x:v>
      </x:c>
      <x:c r="J861">
        <x:v>79</x:v>
      </x:c>
      <x:c r="K861">
        <x:v>80</x:v>
      </x:c>
      <x:c r="L861">
        <x:v>47</x:v>
      </x:c>
      <x:c r="M861">
        <x:v>62</x:v>
      </x:c>
      <x:c r="N861">
        <x:v>50</x:v>
      </x:c>
      <x:c r="O861">
        <x:v>53</x:v>
      </x:c>
      <x:c r="P861">
        <x:v>60</x:v>
      </x:c>
      <x:c r="Q861">
        <x:v>52</x:v>
      </x:c>
      <x:c r="R861">
        <x:v>73</x:v>
      </x:c>
      <x:c r="S861">
        <x:v>68</x:v>
      </x:c>
      <x:c r="T861">
        <x:v>51</x:v>
      </x:c>
      <x:c r="U861">
        <x:v>53</x:v>
      </x:c>
    </x:row>
    <x:row r="862">
      <x:c r="A862" t="s">
        <x:v>1221</x:v>
      </x:c>
      <x:c r="C862" t="s">
        <x:v>331</x:v>
      </x:c>
      <x:c r="D862">
        <x:v>8484152</x:v>
      </x:c>
      <x:c r="E862">
        <x:v>71</x:v>
      </x:c>
      <x:c r="F862">
        <x:v>38</x:v>
      </x:c>
      <x:c r="G862">
        <x:v>87</x:v>
      </x:c>
      <x:c r="H862">
        <x:v>36</x:v>
      </x:c>
      <x:c r="I862">
        <x:v>75</x:v>
      </x:c>
      <x:c r="J862">
        <x:v>91</x:v>
      </x:c>
      <x:c r="K862">
        <x:v>95</x:v>
      </x:c>
      <x:c r="L862">
        <x:v>35</x:v>
      </x:c>
      <x:c r="M862">
        <x:v>30</x:v>
      </x:c>
      <x:c r="N862">
        <x:v>50</x:v>
      </x:c>
      <x:c r="O862">
        <x:v>43</x:v>
      </x:c>
      <x:c r="P862">
        <x:v>69</x:v>
      </x:c>
      <x:c r="Q862">
        <x:v>52</x:v>
      </x:c>
      <x:c r="R862">
        <x:v>65</x:v>
      </x:c>
      <x:c r="S862">
        <x:v>65</x:v>
      </x:c>
      <x:c r="T862">
        <x:v>51</x:v>
      </x:c>
      <x:c r="U862">
        <x:v>53</x:v>
      </x:c>
    </x:row>
    <x:row r="863">
      <x:c r="A863" t="s">
        <x:v>1222</x:v>
      </x:c>
      <x:c r="B863" t="s">
        <x:v>320</x:v>
      </x:c>
      <x:c r="C863" t="s">
        <x:v>331</x:v>
      </x:c>
      <x:c r="D863">
        <x:v>8477522</x:v>
      </x:c>
      <x:c r="E863">
        <x:v>69</x:v>
      </x:c>
      <x:c r="F863">
        <x:v>43</x:v>
      </x:c>
      <x:c r="G863">
        <x:v>80</x:v>
      </x:c>
      <x:c r="H863">
        <x:v>34</x:v>
      </x:c>
      <x:c r="I863">
        <x:v>76</x:v>
      </x:c>
      <x:c r="J863">
        <x:v>90</x:v>
      </x:c>
      <x:c r="K863">
        <x:v>92</x:v>
      </x:c>
      <x:c r="L863">
        <x:v>33</x:v>
      </x:c>
      <x:c r="M863">
        <x:v>30</x:v>
      </x:c>
      <x:c r="N863">
        <x:v>46</x:v>
      </x:c>
      <x:c r="O863">
        <x:v>40</x:v>
      </x:c>
      <x:c r="P863">
        <x:v>69</x:v>
      </x:c>
      <x:c r="Q863">
        <x:v>48</x:v>
      </x:c>
      <x:c r="R863">
        <x:v>74</x:v>
      </x:c>
      <x:c r="S863">
        <x:v>74</x:v>
      </x:c>
      <x:c r="T863">
        <x:v>51</x:v>
      </x:c>
      <x:c r="U863">
        <x:v>53</x:v>
      </x:c>
    </x:row>
    <x:row r="864">
      <x:c r="A864" t="s">
        <x:v>1223</x:v>
      </x:c>
      <x:c r="C864" t="s">
        <x:v>331</x:v>
      </x:c>
      <x:c r="D864">
        <x:v>8483470</x:v>
      </x:c>
      <x:c r="E864">
        <x:v>71</x:v>
      </x:c>
      <x:c r="F864">
        <x:v>36</x:v>
      </x:c>
      <x:c r="G864">
        <x:v>89</x:v>
      </x:c>
      <x:c r="H864">
        <x:v>36</x:v>
      </x:c>
      <x:c r="I864">
        <x:v>76</x:v>
      </x:c>
      <x:c r="J864">
        <x:v>82</x:v>
      </x:c>
      <x:c r="K864">
        <x:v>85</x:v>
      </x:c>
      <x:c r="L864">
        <x:v>37</x:v>
      </x:c>
      <x:c r="M864">
        <x:v>30</x:v>
      </x:c>
      <x:c r="N864">
        <x:v>47</x:v>
      </x:c>
      <x:c r="O864">
        <x:v>43</x:v>
      </x:c>
      <x:c r="P864">
        <x:v>68</x:v>
      </x:c>
      <x:c r="Q864">
        <x:v>51</x:v>
      </x:c>
      <x:c r="R864">
        <x:v>66</x:v>
      </x:c>
      <x:c r="S864">
        <x:v>67</x:v>
      </x:c>
      <x:c r="T864">
        <x:v>51</x:v>
      </x:c>
      <x:c r="U864">
        <x:v>53</x:v>
      </x:c>
    </x:row>
    <x:row r="865">
      <x:c r="A865" t="s">
        <x:v>1224</x:v>
      </x:c>
      <x:c r="C865" t="s">
        <x:v>331</x:v>
      </x:c>
      <x:c r="D865">
        <x:v>8482251</x:v>
      </x:c>
      <x:c r="E865">
        <x:v>74</x:v>
      </x:c>
      <x:c r="F865">
        <x:v>34</x:v>
      </x:c>
      <x:c r="G865">
        <x:v>78</x:v>
      </x:c>
      <x:c r="H865">
        <x:v>31</x:v>
      </x:c>
      <x:c r="I865">
        <x:v>82</x:v>
      </x:c>
      <x:c r="J865">
        <x:v>81</x:v>
      </x:c>
      <x:c r="K865">
        <x:v>84</x:v>
      </x:c>
      <x:c r="L865">
        <x:v>32</x:v>
      </x:c>
      <x:c r="M865">
        <x:v>30</x:v>
      </x:c>
      <x:c r="N865">
        <x:v>40</x:v>
      </x:c>
      <x:c r="O865">
        <x:v>39</x:v>
      </x:c>
      <x:c r="P865">
        <x:v>68</x:v>
      </x:c>
      <x:c r="Q865">
        <x:v>45</x:v>
      </x:c>
      <x:c r="R865">
        <x:v>71</x:v>
      </x:c>
      <x:c r="S865">
        <x:v>71</x:v>
      </x:c>
      <x:c r="T865">
        <x:v>51</x:v>
      </x:c>
      <x:c r="U865">
        <x:v>53</x:v>
      </x:c>
    </x:row>
    <x:row r="866">
      <x:c r="A866" t="s">
        <x:v>1225</x:v>
      </x:c>
      <x:c r="C866" t="s">
        <x:v>331</x:v>
      </x:c>
      <x:c r="E866">
        <x:v>81</x:v>
      </x:c>
      <x:c r="F866">
        <x:v>36</x:v>
      </x:c>
      <x:c r="G866">
        <x:v>82</x:v>
      </x:c>
      <x:c r="H866">
        <x:v>35</x:v>
      </x:c>
      <x:c r="I866">
        <x:v>78</x:v>
      </x:c>
      <x:c r="J866">
        <x:v>81</x:v>
      </x:c>
      <x:c r="K866">
        <x:v>81</x:v>
      </x:c>
      <x:c r="L866">
        <x:v>36</x:v>
      </x:c>
      <x:c r="M866">
        <x:v>30</x:v>
      </x:c>
      <x:c r="N866">
        <x:v>47</x:v>
      </x:c>
      <x:c r="O866">
        <x:v>40</x:v>
      </x:c>
      <x:c r="P866">
        <x:v>65</x:v>
      </x:c>
      <x:c r="Q866">
        <x:v>49</x:v>
      </x:c>
      <x:c r="R866">
        <x:v>65</x:v>
      </x:c>
      <x:c r="S866">
        <x:v>65</x:v>
      </x:c>
      <x:c r="T866">
        <x:v>51</x:v>
      </x:c>
      <x:c r="U866">
        <x:v>53</x:v>
      </x:c>
    </x:row>
    <x:row r="867">
      <x:c r="A867" t="s">
        <x:v>1226</x:v>
      </x:c>
      <x:c r="C867" t="s">
        <x:v>319</x:v>
      </x:c>
      <x:c r="D867">
        <x:v>8478424</x:v>
      </x:c>
      <x:c r="E867">
        <x:v>79</x:v>
      </x:c>
      <x:c r="F867">
        <x:v>76</x:v>
      </x:c>
      <x:c r="G867">
        <x:v>86</x:v>
      </x:c>
      <x:c r="H867">
        <x:v>48</x:v>
      </x:c>
      <x:c r="I867">
        <x:v>79</x:v>
      </x:c>
      <x:c r="J867">
        <x:v>81</x:v>
      </x:c>
      <x:c r="K867">
        <x:v>75</x:v>
      </x:c>
      <x:c r="L867">
        <x:v>47</x:v>
      </x:c>
      <x:c r="M867">
        <x:v>82</x:v>
      </x:c>
      <x:c r="N867">
        <x:v>50</x:v>
      </x:c>
      <x:c r="O867">
        <x:v>50</x:v>
      </x:c>
      <x:c r="P867">
        <x:v>64</x:v>
      </x:c>
      <x:c r="Q867">
        <x:v>63</x:v>
      </x:c>
      <x:c r="R867">
        <x:v>75</x:v>
      </x:c>
      <x:c r="S867">
        <x:v>71</x:v>
      </x:c>
      <x:c r="T867">
        <x:v>51</x:v>
      </x:c>
      <x:c r="U867">
        <x:v>53</x:v>
      </x:c>
    </x:row>
    <x:row r="868">
      <x:c r="A868" t="s">
        <x:v>1227</x:v>
      </x:c>
      <x:c r="C868" t="s">
        <x:v>331</x:v>
      </x:c>
      <x:c r="D868">
        <x:v>8483467</x:v>
      </x:c>
      <x:c r="E868">
        <x:v>79</x:v>
      </x:c>
      <x:c r="F868">
        <x:v>34</x:v>
      </x:c>
      <x:c r="G868">
        <x:v>92</x:v>
      </x:c>
      <x:c r="H868">
        <x:v>35</x:v>
      </x:c>
      <x:c r="I868">
        <x:v>78</x:v>
      </x:c>
      <x:c r="J868">
        <x:v>83</x:v>
      </x:c>
      <x:c r="K868">
        <x:v>84</x:v>
      </x:c>
      <x:c r="L868">
        <x:v>36</x:v>
      </x:c>
      <x:c r="M868">
        <x:v>30</x:v>
      </x:c>
      <x:c r="N868">
        <x:v>47</x:v>
      </x:c>
      <x:c r="O868">
        <x:v>40</x:v>
      </x:c>
      <x:c r="P868">
        <x:v>64</x:v>
      </x:c>
      <x:c r="Q868">
        <x:v>49</x:v>
      </x:c>
      <x:c r="R868">
        <x:v>65</x:v>
      </x:c>
      <x:c r="S868">
        <x:v>66</x:v>
      </x:c>
      <x:c r="T868">
        <x:v>51</x:v>
      </x:c>
      <x:c r="U868">
        <x:v>53</x:v>
      </x:c>
    </x:row>
    <x:row r="869">
      <x:c r="A869" t="s">
        <x:v>1228</x:v>
      </x:c>
      <x:c r="C869" t="s">
        <x:v>329</x:v>
      </x:c>
      <x:c r="D869">
        <x:v>8483487</x:v>
      </x:c>
      <x:c r="E869">
        <x:v>64</x:v>
      </x:c>
      <x:c r="F869">
        <x:v>37</x:v>
      </x:c>
      <x:c r="G869">
        <x:v>91</x:v>
      </x:c>
      <x:c r="H869">
        <x:v>51</x:v>
      </x:c>
      <x:c r="I869">
        <x:v>79</x:v>
      </x:c>
      <x:c r="J869">
        <x:v>83</x:v>
      </x:c>
      <x:c r="K869">
        <x:v>80</x:v>
      </x:c>
      <x:c r="L869">
        <x:v>51</x:v>
      </x:c>
      <x:c r="M869">
        <x:v>72</x:v>
      </x:c>
      <x:c r="N869">
        <x:v>49</x:v>
      </x:c>
      <x:c r="O869">
        <x:v>51</x:v>
      </x:c>
      <x:c r="P869">
        <x:v>60</x:v>
      </x:c>
      <x:c r="Q869">
        <x:v>56</x:v>
      </x:c>
      <x:c r="R869">
        <x:v>65</x:v>
      </x:c>
      <x:c r="S869">
        <x:v>66</x:v>
      </x:c>
      <x:c r="T869">
        <x:v>51</x:v>
      </x:c>
      <x:c r="U869">
        <x:v>53</x:v>
      </x:c>
    </x:row>
    <x:row r="870">
      <x:c r="A870" t="s">
        <x:v>1229</x:v>
      </x:c>
      <x:c r="B870" t="s">
        <x:v>584</x:v>
      </x:c>
      <x:c r="C870" t="s">
        <x:v>331</x:v>
      </x:c>
      <x:c r="D870">
        <x:v>8480222</x:v>
      </x:c>
      <x:c r="E870">
        <x:v>65</x:v>
      </x:c>
      <x:c r="F870">
        <x:v>35</x:v>
      </x:c>
      <x:c r="G870">
        <x:v>90</x:v>
      </x:c>
      <x:c r="H870">
        <x:v>35</x:v>
      </x:c>
      <x:c r="I870">
        <x:v>76</x:v>
      </x:c>
      <x:c r="J870">
        <x:v>85</x:v>
      </x:c>
      <x:c r="K870">
        <x:v>76</x:v>
      </x:c>
      <x:c r="L870">
        <x:v>35</x:v>
      </x:c>
      <x:c r="M870">
        <x:v>30</x:v>
      </x:c>
      <x:c r="N870">
        <x:v>44</x:v>
      </x:c>
      <x:c r="O870">
        <x:v>42</x:v>
      </x:c>
      <x:c r="P870">
        <x:v>69</x:v>
      </x:c>
      <x:c r="Q870">
        <x:v>45</x:v>
      </x:c>
      <x:c r="R870">
        <x:v>75</x:v>
      </x:c>
      <x:c r="S870">
        <x:v>70</x:v>
      </x:c>
      <x:c r="T870">
        <x:v>51</x:v>
      </x:c>
      <x:c r="U870">
        <x:v>53</x:v>
      </x:c>
    </x:row>
    <x:row r="871">
      <x:c r="A871" t="s">
        <x:v>1230</x:v>
      </x:c>
      <x:c r="C871" t="s">
        <x:v>323</x:v>
      </x:c>
      <x:c r="D871">
        <x:v>8482751</x:v>
      </x:c>
      <x:c r="E871">
        <x:v>67</x:v>
      </x:c>
      <x:c r="F871">
        <x:v>45</x:v>
      </x:c>
      <x:c r="G871">
        <x:v>95</x:v>
      </x:c>
      <x:c r="H871">
        <x:v>49</x:v>
      </x:c>
      <x:c r="I871">
        <x:v>76</x:v>
      </x:c>
      <x:c r="J871">
        <x:v>82</x:v>
      </x:c>
      <x:c r="K871">
        <x:v>87</x:v>
      </x:c>
      <x:c r="L871">
        <x:v>49</x:v>
      </x:c>
      <x:c r="M871">
        <x:v>62</x:v>
      </x:c>
      <x:c r="N871">
        <x:v>53</x:v>
      </x:c>
      <x:c r="O871">
        <x:v>50</x:v>
      </x:c>
      <x:c r="P871">
        <x:v>67</x:v>
      </x:c>
      <x:c r="Q871">
        <x:v>52</x:v>
      </x:c>
      <x:c r="R871">
        <x:v>67</x:v>
      </x:c>
      <x:c r="S871">
        <x:v>65</x:v>
      </x:c>
      <x:c r="T871">
        <x:v>51</x:v>
      </x:c>
      <x:c r="U871">
        <x:v>53</x:v>
      </x:c>
    </x:row>
    <x:row r="872">
      <x:c r="A872" t="s">
        <x:v>1231</x:v>
      </x:c>
      <x:c r="C872" t="s">
        <x:v>331</x:v>
      </x:c>
      <x:c r="D872">
        <x:v>8481110</x:v>
      </x:c>
      <x:c r="E872">
        <x:v>76</x:v>
      </x:c>
      <x:c r="F872">
        <x:v>37</x:v>
      </x:c>
      <x:c r="G872">
        <x:v>88</x:v>
      </x:c>
      <x:c r="H872">
        <x:v>34</x:v>
      </x:c>
      <x:c r="I872">
        <x:v>82</x:v>
      </x:c>
      <x:c r="J872">
        <x:v>83</x:v>
      </x:c>
      <x:c r="K872">
        <x:v>84</x:v>
      </x:c>
      <x:c r="L872">
        <x:v>33</x:v>
      </x:c>
      <x:c r="M872">
        <x:v>30</x:v>
      </x:c>
      <x:c r="N872">
        <x:v>42</x:v>
      </x:c>
      <x:c r="O872">
        <x:v>40</x:v>
      </x:c>
      <x:c r="P872">
        <x:v>64</x:v>
      </x:c>
      <x:c r="Q872">
        <x:v>46</x:v>
      </x:c>
      <x:c r="R872">
        <x:v>71</x:v>
      </x:c>
      <x:c r="S872">
        <x:v>72</x:v>
      </x:c>
      <x:c r="T872">
        <x:v>51</x:v>
      </x:c>
      <x:c r="U872">
        <x:v>53</x:v>
      </x:c>
    </x:row>
    <x:row r="873">
      <x:c r="A873" t="s">
        <x:v>1232</x:v>
      </x:c>
      <x:c r="C873" t="s">
        <x:v>323</x:v>
      </x:c>
      <x:c r="D873">
        <x:v>8477887</x:v>
      </x:c>
      <x:c r="E873">
        <x:v>79</x:v>
      </x:c>
      <x:c r="F873">
        <x:v>39</x:v>
      </x:c>
      <x:c r="G873">
        <x:v>81</x:v>
      </x:c>
      <x:c r="H873">
        <x:v>46</x:v>
      </x:c>
      <x:c r="I873">
        <x:v>83</x:v>
      </x:c>
      <x:c r="J873">
        <x:v>89</x:v>
      </x:c>
      <x:c r="K873">
        <x:v>94</x:v>
      </x:c>
      <x:c r="L873">
        <x:v>47</x:v>
      </x:c>
      <x:c r="M873">
        <x:v>69</x:v>
      </x:c>
      <x:c r="N873">
        <x:v>50</x:v>
      </x:c>
      <x:c r="O873">
        <x:v>48</x:v>
      </x:c>
      <x:c r="P873">
        <x:v>65</x:v>
      </x:c>
      <x:c r="Q873">
        <x:v>69</x:v>
      </x:c>
      <x:c r="R873">
        <x:v>82</x:v>
      </x:c>
      <x:c r="S873">
        <x:v>74</x:v>
      </x:c>
      <x:c r="T873">
        <x:v>51</x:v>
      </x:c>
      <x:c r="U873">
        <x:v>53</x:v>
      </x:c>
    </x:row>
    <x:row r="874">
      <x:c r="A874" t="s">
        <x:v>1233</x:v>
      </x:c>
      <x:c r="C874" t="s">
        <x:v>331</x:v>
      </x:c>
      <x:c r="D874">
        <x:v>8482860</x:v>
      </x:c>
      <x:c r="E874">
        <x:v>75</x:v>
      </x:c>
      <x:c r="F874">
        <x:v>38</x:v>
      </x:c>
      <x:c r="G874">
        <x:v>82</x:v>
      </x:c>
      <x:c r="H874">
        <x:v>34</x:v>
      </x:c>
      <x:c r="I874">
        <x:v>76</x:v>
      </x:c>
      <x:c r="J874">
        <x:v>81</x:v>
      </x:c>
      <x:c r="K874">
        <x:v>84</x:v>
      </x:c>
      <x:c r="L874">
        <x:v>35</x:v>
      </x:c>
      <x:c r="M874">
        <x:v>30</x:v>
      </x:c>
      <x:c r="N874">
        <x:v>44</x:v>
      </x:c>
      <x:c r="O874">
        <x:v>41</x:v>
      </x:c>
      <x:c r="P874">
        <x:v>69</x:v>
      </x:c>
      <x:c r="Q874">
        <x:v>47</x:v>
      </x:c>
      <x:c r="R874">
        <x:v>66</x:v>
      </x:c>
      <x:c r="S874">
        <x:v>67</x:v>
      </x:c>
      <x:c r="T874">
        <x:v>51</x:v>
      </x:c>
      <x:c r="U874">
        <x:v>53</x:v>
      </x:c>
    </x:row>
    <x:row r="875">
      <x:c r="A875" t="s">
        <x:v>1234</x:v>
      </x:c>
      <x:c r="B875" t="s">
        <x:v>584</x:v>
      </x:c>
      <x:c r="C875" t="s">
        <x:v>339</x:v>
      </x:c>
      <x:c r="D875">
        <x:v>8479022</x:v>
      </x:c>
      <x:c r="E875">
        <x:v>67</x:v>
      </x:c>
      <x:c r="F875">
        <x:v>72</x:v>
      </x:c>
      <x:c r="G875">
        <x:v>90</x:v>
      </x:c>
      <x:c r="H875">
        <x:v>49</x:v>
      </x:c>
      <x:c r="I875">
        <x:v>83</x:v>
      </x:c>
      <x:c r="J875">
        <x:v>81</x:v>
      </x:c>
      <x:c r="K875">
        <x:v>74</x:v>
      </x:c>
      <x:c r="L875">
        <x:v>48</x:v>
      </x:c>
      <x:c r="M875">
        <x:v>83</x:v>
      </x:c>
      <x:c r="N875">
        <x:v>51</x:v>
      </x:c>
      <x:c r="O875">
        <x:v>50</x:v>
      </x:c>
      <x:c r="P875">
        <x:v>64</x:v>
      </x:c>
      <x:c r="Q875">
        <x:v>52</x:v>
      </x:c>
      <x:c r="R875">
        <x:v>75</x:v>
      </x:c>
      <x:c r="S875">
        <x:v>68</x:v>
      </x:c>
      <x:c r="T875">
        <x:v>51</x:v>
      </x:c>
      <x:c r="U875">
        <x:v>53</x:v>
      </x:c>
    </x:row>
    <x:row r="876">
      <x:c r="A876" t="s">
        <x:v>1235</x:v>
      </x:c>
      <x:c r="C876" t="s">
        <x:v>326</x:v>
      </x:c>
      <x:c r="D876">
        <x:v>8481560</x:v>
      </x:c>
      <x:c r="E876">
        <x:v>63</x:v>
      </x:c>
      <x:c r="F876">
        <x:v>37</x:v>
      </x:c>
      <x:c r="G876">
        <x:v>86</x:v>
      </x:c>
      <x:c r="H876">
        <x:v>49</x:v>
      </x:c>
      <x:c r="I876">
        <x:v>82</x:v>
      </x:c>
      <x:c r="J876">
        <x:v>83</x:v>
      </x:c>
      <x:c r="K876">
        <x:v>87</x:v>
      </x:c>
      <x:c r="L876">
        <x:v>51</x:v>
      </x:c>
      <x:c r="M876">
        <x:v>65</x:v>
      </x:c>
      <x:c r="N876">
        <x:v>54</x:v>
      </x:c>
      <x:c r="O876">
        <x:v>55</x:v>
      </x:c>
      <x:c r="P876">
        <x:v>61</x:v>
      </x:c>
      <x:c r="Q876">
        <x:v>73</x:v>
      </x:c>
      <x:c r="R876">
        <x:v>70</x:v>
      </x:c>
      <x:c r="S876">
        <x:v>68</x:v>
      </x:c>
      <x:c r="T876">
        <x:v>51</x:v>
      </x:c>
      <x:c r="U876">
        <x:v>53</x:v>
      </x:c>
    </x:row>
    <x:row r="877">
      <x:c r="A877" t="s">
        <x:v>1236</x:v>
      </x:c>
      <x:c r="C877" t="s">
        <x:v>331</x:v>
      </x:c>
      <x:c r="D877">
        <x:v>8483763</x:v>
      </x:c>
      <x:c r="E877">
        <x:v>83</x:v>
      </x:c>
      <x:c r="F877">
        <x:v>38</x:v>
      </x:c>
      <x:c r="G877">
        <x:v>79</x:v>
      </x:c>
      <x:c r="H877">
        <x:v>35</x:v>
      </x:c>
      <x:c r="I877">
        <x:v>85</x:v>
      </x:c>
      <x:c r="J877">
        <x:v>87</x:v>
      </x:c>
      <x:c r="K877">
        <x:v>90</x:v>
      </x:c>
      <x:c r="L877">
        <x:v>35</x:v>
      </x:c>
      <x:c r="M877">
        <x:v>30</x:v>
      </x:c>
      <x:c r="N877">
        <x:v>45</x:v>
      </x:c>
      <x:c r="O877">
        <x:v>43</x:v>
      </x:c>
      <x:c r="P877">
        <x:v>63</x:v>
      </x:c>
      <x:c r="Q877">
        <x:v>49</x:v>
      </x:c>
      <x:c r="R877">
        <x:v>67</x:v>
      </x:c>
      <x:c r="S877">
        <x:v>68</x:v>
      </x:c>
      <x:c r="T877">
        <x:v>51</x:v>
      </x:c>
      <x:c r="U877">
        <x:v>53</x:v>
      </x:c>
    </x:row>
    <x:row r="878">
      <x:c r="A878" t="s">
        <x:v>1237</x:v>
      </x:c>
      <x:c r="C878" t="s">
        <x:v>358</x:v>
      </x:c>
      <x:c r="D878">
        <x:v>8481518</x:v>
      </x:c>
      <x:c r="E878">
        <x:v>74</x:v>
      </x:c>
      <x:c r="F878">
        <x:v>38</x:v>
      </x:c>
      <x:c r="G878">
        <x:v>83</x:v>
      </x:c>
      <x:c r="H878">
        <x:v>47</x:v>
      </x:c>
      <x:c r="I878">
        <x:v>80</x:v>
      </x:c>
      <x:c r="J878">
        <x:v>79</x:v>
      </x:c>
      <x:c r="K878">
        <x:v>84</x:v>
      </x:c>
      <x:c r="L878">
        <x:v>48</x:v>
      </x:c>
      <x:c r="M878">
        <x:v>61</x:v>
      </x:c>
      <x:c r="N878">
        <x:v>49</x:v>
      </x:c>
      <x:c r="O878">
        <x:v>51</x:v>
      </x:c>
      <x:c r="P878">
        <x:v>60</x:v>
      </x:c>
      <x:c r="Q878">
        <x:v>56</x:v>
      </x:c>
      <x:c r="R878">
        <x:v>69</x:v>
      </x:c>
      <x:c r="S878">
        <x:v>68</x:v>
      </x:c>
      <x:c r="T878">
        <x:v>51</x:v>
      </x:c>
      <x:c r="U878">
        <x:v>53</x:v>
      </x:c>
    </x:row>
    <x:row r="879">
      <x:c r="A879" t="s">
        <x:v>1238</x:v>
      </x:c>
      <x:c r="C879" t="s">
        <x:v>331</x:v>
      </x:c>
      <x:c r="D879">
        <x:v>8482399</x:v>
      </x:c>
      <x:c r="E879">
        <x:v>86</x:v>
      </x:c>
      <x:c r="F879">
        <x:v>37</x:v>
      </x:c>
      <x:c r="G879">
        <x:v>76</x:v>
      </x:c>
      <x:c r="H879">
        <x:v>33</x:v>
      </x:c>
      <x:c r="I879">
        <x:v>83</x:v>
      </x:c>
      <x:c r="J879">
        <x:v>89</x:v>
      </x:c>
      <x:c r="K879">
        <x:v>93</x:v>
      </x:c>
      <x:c r="L879">
        <x:v>34</x:v>
      </x:c>
      <x:c r="M879">
        <x:v>30</x:v>
      </x:c>
      <x:c r="N879">
        <x:v>43</x:v>
      </x:c>
      <x:c r="O879">
        <x:v>39</x:v>
      </x:c>
      <x:c r="P879">
        <x:v>67</x:v>
      </x:c>
      <x:c r="Q879">
        <x:v>46</x:v>
      </x:c>
      <x:c r="R879">
        <x:v>72</x:v>
      </x:c>
      <x:c r="S879">
        <x:v>73</x:v>
      </x:c>
      <x:c r="T879">
        <x:v>51</x:v>
      </x:c>
      <x:c r="U879">
        <x:v>53</x:v>
      </x:c>
    </x:row>
    <x:row r="880">
      <x:c r="A880" t="s">
        <x:v>1239</x:v>
      </x:c>
      <x:c r="C880" t="s">
        <x:v>331</x:v>
      </x:c>
      <x:c r="D880">
        <x:v>8480884</x:v>
      </x:c>
      <x:c r="E880">
        <x:v>69</x:v>
      </x:c>
      <x:c r="F880">
        <x:v>35</x:v>
      </x:c>
      <x:c r="G880">
        <x:v>83</x:v>
      </x:c>
      <x:c r="H880">
        <x:v>35</x:v>
      </x:c>
      <x:c r="I880">
        <x:v>75</x:v>
      </x:c>
      <x:c r="J880">
        <x:v>87</x:v>
      </x:c>
      <x:c r="K880">
        <x:v>90</x:v>
      </x:c>
      <x:c r="L880">
        <x:v>35</x:v>
      </x:c>
      <x:c r="M880">
        <x:v>30</x:v>
      </x:c>
      <x:c r="N880">
        <x:v>52</x:v>
      </x:c>
      <x:c r="O880">
        <x:v>44</x:v>
      </x:c>
      <x:c r="P880">
        <x:v>72</x:v>
      </x:c>
      <x:c r="Q880">
        <x:v>51</x:v>
      </x:c>
      <x:c r="R880">
        <x:v>69</x:v>
      </x:c>
      <x:c r="S880">
        <x:v>68</x:v>
      </x:c>
      <x:c r="T880">
        <x:v>47</x:v>
      </x:c>
      <x:c r="U880">
        <x:v>53</x:v>
      </x:c>
    </x:row>
    <x:row r="881">
      <x:c r="A881" t="s">
        <x:v>1240</x:v>
      </x:c>
      <x:c r="C881" t="s">
        <x:v>331</x:v>
      </x:c>
      <x:c r="D881">
        <x:v>8484933</x:v>
      </x:c>
      <x:c r="E881">
        <x:v>79</x:v>
      </x:c>
      <x:c r="F881">
        <x:v>41</x:v>
      </x:c>
      <x:c r="G881">
        <x:v>82</x:v>
      </x:c>
      <x:c r="H881">
        <x:v>34</x:v>
      </x:c>
      <x:c r="I881">
        <x:v>91</x:v>
      </x:c>
      <x:c r="J881">
        <x:v>84</x:v>
      </x:c>
      <x:c r="K881">
        <x:v>87</x:v>
      </x:c>
      <x:c r="L881">
        <x:v>35</x:v>
      </x:c>
      <x:c r="M881">
        <x:v>30</x:v>
      </x:c>
      <x:c r="N881">
        <x:v>43</x:v>
      </x:c>
      <x:c r="O881">
        <x:v>41</x:v>
      </x:c>
      <x:c r="P881">
        <x:v>67</x:v>
      </x:c>
      <x:c r="Q881">
        <x:v>47</x:v>
      </x:c>
      <x:c r="R881">
        <x:v>68</x:v>
      </x:c>
      <x:c r="S881">
        <x:v>68</x:v>
      </x:c>
      <x:c r="T881">
        <x:v>47</x:v>
      </x:c>
      <x:c r="U881">
        <x:v>53</x:v>
      </x:c>
    </x:row>
    <x:row r="882">
      <x:c r="A882" t="s">
        <x:v>1241</x:v>
      </x:c>
      <x:c r="C882" t="s">
        <x:v>329</x:v>
      </x:c>
      <x:c r="D882">
        <x:v>8484203</x:v>
      </x:c>
      <x:c r="E882">
        <x:v>69</x:v>
      </x:c>
      <x:c r="F882">
        <x:v>33</x:v>
      </x:c>
      <x:c r="G882">
        <x:v>90</x:v>
      </x:c>
      <x:c r="H882">
        <x:v>53</x:v>
      </x:c>
      <x:c r="I882">
        <x:v>74</x:v>
      </x:c>
      <x:c r="J882">
        <x:v>82</x:v>
      </x:c>
      <x:c r="K882">
        <x:v>84</x:v>
      </x:c>
      <x:c r="L882">
        <x:v>51</x:v>
      </x:c>
      <x:c r="M882">
        <x:v>64</x:v>
      </x:c>
      <x:c r="N882">
        <x:v>48</x:v>
      </x:c>
      <x:c r="O882">
        <x:v>53</x:v>
      </x:c>
      <x:c r="P882">
        <x:v>59</x:v>
      </x:c>
      <x:c r="Q882">
        <x:v>80</x:v>
      </x:c>
      <x:c r="R882">
        <x:v>66</x:v>
      </x:c>
      <x:c r="S882">
        <x:v>65</x:v>
      </x:c>
      <x:c r="T882">
        <x:v>51</x:v>
      </x:c>
      <x:c r="U882">
        <x:v>53</x:v>
      </x:c>
    </x:row>
    <x:row r="883">
      <x:c r="A883" t="s">
        <x:v>1242</x:v>
      </x:c>
      <x:c r="B883" t="s">
        <x:v>379</x:v>
      </x:c>
      <x:c r="C883" t="s">
        <x:v>319</x:v>
      </x:c>
      <x:c r="D883">
        <x:v>8481532</x:v>
      </x:c>
      <x:c r="E883">
        <x:v>64</x:v>
      </x:c>
      <x:c r="F883">
        <x:v>47</x:v>
      </x:c>
      <x:c r="G883">
        <x:v>92</x:v>
      </x:c>
      <x:c r="H883">
        <x:v>51</x:v>
      </x:c>
      <x:c r="I883">
        <x:v>77</x:v>
      </x:c>
      <x:c r="J883">
        <x:v>82</x:v>
      </x:c>
      <x:c r="K883">
        <x:v>82</x:v>
      </x:c>
      <x:c r="L883">
        <x:v>52</x:v>
      </x:c>
      <x:c r="M883">
        <x:v>84</x:v>
      </x:c>
      <x:c r="N883">
        <x:v>52</x:v>
      </x:c>
      <x:c r="O883">
        <x:v>50</x:v>
      </x:c>
      <x:c r="P883">
        <x:v>62</x:v>
      </x:c>
      <x:c r="Q883">
        <x:v>52</x:v>
      </x:c>
      <x:c r="R883">
        <x:v>69</x:v>
      </x:c>
      <x:c r="S883">
        <x:v>67</x:v>
      </x:c>
      <x:c r="T883">
        <x:v>51</x:v>
      </x:c>
      <x:c r="U883">
        <x:v>53</x:v>
      </x:c>
    </x:row>
    <x:row r="884">
      <x:c r="A884" t="s">
        <x:v>1243</x:v>
      </x:c>
      <x:c r="C884" t="s">
        <x:v>331</x:v>
      </x:c>
      <x:c r="D884">
        <x:v>8484148</x:v>
      </x:c>
      <x:c r="E884">
        <x:v>69</x:v>
      </x:c>
      <x:c r="F884">
        <x:v>38</x:v>
      </x:c>
      <x:c r="G884">
        <x:v>83</x:v>
      </x:c>
      <x:c r="H884">
        <x:v>34</x:v>
      </x:c>
      <x:c r="I884">
        <x:v>79</x:v>
      </x:c>
      <x:c r="J884">
        <x:v>78</x:v>
      </x:c>
      <x:c r="K884">
        <x:v>82</x:v>
      </x:c>
      <x:c r="L884">
        <x:v>33</x:v>
      </x:c>
      <x:c r="M884">
        <x:v>30</x:v>
      </x:c>
      <x:c r="N884">
        <x:v>44</x:v>
      </x:c>
      <x:c r="O884">
        <x:v>42</x:v>
      </x:c>
      <x:c r="P884">
        <x:v>68</x:v>
      </x:c>
      <x:c r="Q884">
        <x:v>48</x:v>
      </x:c>
      <x:c r="R884">
        <x:v>65</x:v>
      </x:c>
      <x:c r="S884">
        <x:v>65</x:v>
      </x:c>
      <x:c r="T884">
        <x:v>51</x:v>
      </x:c>
      <x:c r="U884">
        <x:v>52</x:v>
      </x:c>
    </x:row>
    <x:row r="885">
      <x:c r="A885" t="s">
        <x:v>1244</x:v>
      </x:c>
      <x:c r="C885" t="s">
        <x:v>331</x:v>
      </x:c>
      <x:c r="D885">
        <x:v>8481159</x:v>
      </x:c>
      <x:c r="E885">
        <x:v>75</x:v>
      </x:c>
      <x:c r="F885">
        <x:v>39</x:v>
      </x:c>
      <x:c r="G885">
        <x:v>73</x:v>
      </x:c>
      <x:c r="H885">
        <x:v>32</x:v>
      </x:c>
      <x:c r="I885">
        <x:v>86</x:v>
      </x:c>
      <x:c r="J885">
        <x:v>82</x:v>
      </x:c>
      <x:c r="K885">
        <x:v>83</x:v>
      </x:c>
      <x:c r="L885">
        <x:v>31</x:v>
      </x:c>
      <x:c r="M885">
        <x:v>30</x:v>
      </x:c>
      <x:c r="N885">
        <x:v>43</x:v>
      </x:c>
      <x:c r="O885">
        <x:v>39</x:v>
      </x:c>
      <x:c r="P885">
        <x:v>67</x:v>
      </x:c>
      <x:c r="Q885">
        <x:v>46</x:v>
      </x:c>
      <x:c r="R885">
        <x:v>69</x:v>
      </x:c>
      <x:c r="S885">
        <x:v>68</x:v>
      </x:c>
      <x:c r="T885">
        <x:v>51</x:v>
      </x:c>
      <x:c r="U885">
        <x:v>52</x:v>
      </x:c>
    </x:row>
    <x:row r="886">
      <x:c r="A886" t="s">
        <x:v>1245</x:v>
      </x:c>
      <x:c r="C886" t="s">
        <x:v>326</x:v>
      </x:c>
      <x:c r="D886">
        <x:v>8478040</x:v>
      </x:c>
      <x:c r="E886">
        <x:v>69</x:v>
      </x:c>
      <x:c r="F886">
        <x:v>63</x:v>
      </x:c>
      <x:c r="G886">
        <x:v>89</x:v>
      </x:c>
      <x:c r="H886">
        <x:v>45</x:v>
      </x:c>
      <x:c r="I886">
        <x:v>80</x:v>
      </x:c>
      <x:c r="J886">
        <x:v>93</x:v>
      </x:c>
      <x:c r="K886">
        <x:v>95</x:v>
      </x:c>
      <x:c r="L886">
        <x:v>46</x:v>
      </x:c>
      <x:c r="M886">
        <x:v>60</x:v>
      </x:c>
      <x:c r="N886">
        <x:v>48</x:v>
      </x:c>
      <x:c r="O886">
        <x:v>45</x:v>
      </x:c>
      <x:c r="P886">
        <x:v>61</x:v>
      </x:c>
      <x:c r="Q886">
        <x:v>65</x:v>
      </x:c>
      <x:c r="R886">
        <x:v>72</x:v>
      </x:c>
      <x:c r="S886">
        <x:v>73</x:v>
      </x:c>
      <x:c r="T886">
        <x:v>51</x:v>
      </x:c>
      <x:c r="U886">
        <x:v>52</x:v>
      </x:c>
    </x:row>
    <x:row r="887">
      <x:c r="A887" t="s">
        <x:v>1246</x:v>
      </x:c>
      <x:c r="C887" t="s">
        <x:v>358</x:v>
      </x:c>
      <x:c r="D887">
        <x:v>8484388</x:v>
      </x:c>
      <x:c r="E887">
        <x:v>58</x:v>
      </x:c>
      <x:c r="F887">
        <x:v>43</x:v>
      </x:c>
      <x:c r="G887">
        <x:v>88</x:v>
      </x:c>
      <x:c r="H887">
        <x:v>49</x:v>
      </x:c>
      <x:c r="I887">
        <x:v>85</x:v>
      </x:c>
      <x:c r="J887">
        <x:v>81</x:v>
      </x:c>
      <x:c r="K887">
        <x:v>85</x:v>
      </x:c>
      <x:c r="L887">
        <x:v>49</x:v>
      </x:c>
      <x:c r="M887">
        <x:v>69</x:v>
      </x:c>
      <x:c r="N887">
        <x:v>49</x:v>
      </x:c>
      <x:c r="O887">
        <x:v>50</x:v>
      </x:c>
      <x:c r="P887">
        <x:v>60</x:v>
      </x:c>
      <x:c r="Q887">
        <x:v>51</x:v>
      </x:c>
      <x:c r="R887">
        <x:v>65</x:v>
      </x:c>
      <x:c r="S887">
        <x:v>66</x:v>
      </x:c>
      <x:c r="T887">
        <x:v>51</x:v>
      </x:c>
      <x:c r="U887">
        <x:v>52</x:v>
      </x:c>
    </x:row>
    <x:row r="888">
      <x:c r="A888" t="s">
        <x:v>1247</x:v>
      </x:c>
      <x:c r="C888" t="s">
        <x:v>331</x:v>
      </x:c>
      <x:c r="D888">
        <x:v>8482888</x:v>
      </x:c>
      <x:c r="E888">
        <x:v>84</x:v>
      </x:c>
      <x:c r="F888">
        <x:v>47</x:v>
      </x:c>
      <x:c r="G888">
        <x:v>71</x:v>
      </x:c>
      <x:c r="H888">
        <x:v>33</x:v>
      </x:c>
      <x:c r="I888">
        <x:v>88</x:v>
      </x:c>
      <x:c r="J888">
        <x:v>73</x:v>
      </x:c>
      <x:c r="K888">
        <x:v>76</x:v>
      </x:c>
      <x:c r="L888">
        <x:v>32</x:v>
      </x:c>
      <x:c r="M888">
        <x:v>30</x:v>
      </x:c>
      <x:c r="N888">
        <x:v>42</x:v>
      </x:c>
      <x:c r="O888">
        <x:v>37</x:v>
      </x:c>
      <x:c r="P888">
        <x:v>66</x:v>
      </x:c>
      <x:c r="Q888">
        <x:v>44</x:v>
      </x:c>
      <x:c r="R888">
        <x:v>66</x:v>
      </x:c>
      <x:c r="S888">
        <x:v>66</x:v>
      </x:c>
      <x:c r="T888">
        <x:v>51</x:v>
      </x:c>
      <x:c r="U888">
        <x:v>52</x:v>
      </x:c>
    </x:row>
    <x:row r="889">
      <x:c r="A889" t="s">
        <x:v>1248</x:v>
      </x:c>
      <x:c r="C889" t="s">
        <x:v>319</x:v>
      </x:c>
      <x:c r="D889">
        <x:v>8482785</x:v>
      </x:c>
      <x:c r="E889">
        <x:v>64</x:v>
      </x:c>
      <x:c r="F889">
        <x:v>42</x:v>
      </x:c>
      <x:c r="G889">
        <x:v>91</x:v>
      </x:c>
      <x:c r="H889">
        <x:v>48</x:v>
      </x:c>
      <x:c r="I889">
        <x:v>73</x:v>
      </x:c>
      <x:c r="J889">
        <x:v>87</x:v>
      </x:c>
      <x:c r="K889">
        <x:v>89</x:v>
      </x:c>
      <x:c r="L889">
        <x:v>49</x:v>
      </x:c>
      <x:c r="M889">
        <x:v>83</x:v>
      </x:c>
      <x:c r="N889">
        <x:v>52</x:v>
      </x:c>
      <x:c r="O889">
        <x:v>47</x:v>
      </x:c>
      <x:c r="P889">
        <x:v>62</x:v>
      </x:c>
      <x:c r="Q889">
        <x:v>72</x:v>
      </x:c>
      <x:c r="R889">
        <x:v>66</x:v>
      </x:c>
      <x:c r="S889">
        <x:v>67</x:v>
      </x:c>
      <x:c r="T889">
        <x:v>51</x:v>
      </x:c>
      <x:c r="U889">
        <x:v>52</x:v>
      </x:c>
    </x:row>
    <x:row r="890">
      <x:c r="A890" t="s">
        <x:v>1249</x:v>
      </x:c>
      <x:c r="C890" t="s">
        <x:v>358</x:v>
      </x:c>
      <x:c r="D890">
        <x:v>8483531</x:v>
      </x:c>
      <x:c r="E890">
        <x:v>70</x:v>
      </x:c>
      <x:c r="F890">
        <x:v>74</x:v>
      </x:c>
      <x:c r="G890">
        <x:v>88</x:v>
      </x:c>
      <x:c r="H890">
        <x:v>48</x:v>
      </x:c>
      <x:c r="I890">
        <x:v>80</x:v>
      </x:c>
      <x:c r="J890">
        <x:v>77</x:v>
      </x:c>
      <x:c r="K890">
        <x:v>85</x:v>
      </x:c>
      <x:c r="L890">
        <x:v>48</x:v>
      </x:c>
      <x:c r="M890">
        <x:v>60</x:v>
      </x:c>
      <x:c r="N890">
        <x:v>49</x:v>
      </x:c>
      <x:c r="O890">
        <x:v>50</x:v>
      </x:c>
      <x:c r="P890">
        <x:v>59</x:v>
      </x:c>
      <x:c r="Q890">
        <x:v>56</x:v>
      </x:c>
      <x:c r="R890">
        <x:v>69</x:v>
      </x:c>
      <x:c r="S890">
        <x:v>68</x:v>
      </x:c>
      <x:c r="T890">
        <x:v>51</x:v>
      </x:c>
      <x:c r="U890">
        <x:v>52</x:v>
      </x:c>
    </x:row>
    <x:row r="891">
      <x:c r="A891" t="s">
        <x:v>1250</x:v>
      </x:c>
      <x:c r="C891" t="s">
        <x:v>319</x:v>
      </x:c>
      <x:c r="D891">
        <x:v>8484160</x:v>
      </x:c>
      <x:c r="E891">
        <x:v>55</x:v>
      </x:c>
      <x:c r="F891">
        <x:v>37</x:v>
      </x:c>
      <x:c r="G891">
        <x:v>93</x:v>
      </x:c>
      <x:c r="H891">
        <x:v>49</x:v>
      </x:c>
      <x:c r="I891">
        <x:v>79</x:v>
      </x:c>
      <x:c r="J891">
        <x:v>83</x:v>
      </x:c>
      <x:c r="K891">
        <x:v>77</x:v>
      </x:c>
      <x:c r="L891">
        <x:v>47</x:v>
      </x:c>
      <x:c r="M891">
        <x:v>79</x:v>
      </x:c>
      <x:c r="N891">
        <x:v>50</x:v>
      </x:c>
      <x:c r="O891">
        <x:v>49</x:v>
      </x:c>
      <x:c r="P891">
        <x:v>59</x:v>
      </x:c>
      <x:c r="Q891">
        <x:v>55</x:v>
      </x:c>
      <x:c r="R891">
        <x:v>65</x:v>
      </x:c>
      <x:c r="S891">
        <x:v>66</x:v>
      </x:c>
      <x:c r="T891">
        <x:v>51</x:v>
      </x:c>
      <x:c r="U891">
        <x:v>52</x:v>
      </x:c>
    </x:row>
    <x:row r="892">
      <x:c r="A892" t="s">
        <x:v>1251</x:v>
      </x:c>
      <x:c r="C892" t="s">
        <x:v>358</x:v>
      </x:c>
      <x:c r="D892">
        <x:v>8478881</x:v>
      </x:c>
      <x:c r="E892">
        <x:v>71</x:v>
      </x:c>
      <x:c r="F892">
        <x:v>38</x:v>
      </x:c>
      <x:c r="G892">
        <x:v>78</x:v>
      </x:c>
      <x:c r="H892">
        <x:v>47</x:v>
      </x:c>
      <x:c r="I892">
        <x:v>73</x:v>
      </x:c>
      <x:c r="J892">
        <x:v>88</x:v>
      </x:c>
      <x:c r="K892">
        <x:v>90</x:v>
      </x:c>
      <x:c r="L892">
        <x:v>48</x:v>
      </x:c>
      <x:c r="M892">
        <x:v>71</x:v>
      </x:c>
      <x:c r="N892">
        <x:v>50</x:v>
      </x:c>
      <x:c r="O892">
        <x:v>45</x:v>
      </x:c>
      <x:c r="P892">
        <x:v>62</x:v>
      </x:c>
      <x:c r="Q892">
        <x:v>69</x:v>
      </x:c>
      <x:c r="R892">
        <x:v>72</x:v>
      </x:c>
      <x:c r="S892">
        <x:v>71</x:v>
      </x:c>
      <x:c r="T892">
        <x:v>51</x:v>
      </x:c>
      <x:c r="U892">
        <x:v>52</x:v>
      </x:c>
    </x:row>
    <x:row r="893">
      <x:c r="A893" t="s">
        <x:v>1252</x:v>
      </x:c>
      <x:c r="C893" t="s">
        <x:v>331</x:v>
      </x:c>
      <x:c r="D893">
        <x:v>8484833</x:v>
      </x:c>
      <x:c r="E893">
        <x:v>86</x:v>
      </x:c>
      <x:c r="F893">
        <x:v>40</x:v>
      </x:c>
      <x:c r="G893">
        <x:v>80</x:v>
      </x:c>
      <x:c r="H893">
        <x:v>32</x:v>
      </x:c>
      <x:c r="I893">
        <x:v>88</x:v>
      </x:c>
      <x:c r="J893">
        <x:v>75</x:v>
      </x:c>
      <x:c r="K893">
        <x:v>77</x:v>
      </x:c>
      <x:c r="L893">
        <x:v>32</x:v>
      </x:c>
      <x:c r="M893">
        <x:v>30</x:v>
      </x:c>
      <x:c r="N893">
        <x:v>41</x:v>
      </x:c>
      <x:c r="O893">
        <x:v>37</x:v>
      </x:c>
      <x:c r="P893">
        <x:v>65</x:v>
      </x:c>
      <x:c r="Q893">
        <x:v>44</x:v>
      </x:c>
      <x:c r="R893">
        <x:v>69</x:v>
      </x:c>
      <x:c r="S893">
        <x:v>69</x:v>
      </x:c>
      <x:c r="T893">
        <x:v>51</x:v>
      </x:c>
      <x:c r="U893">
        <x:v>52</x:v>
      </x:c>
    </x:row>
    <x:row r="894">
      <x:c r="A894" t="s">
        <x:v>1253</x:v>
      </x:c>
      <x:c r="C894" t="s">
        <x:v>319</x:v>
      </x:c>
      <x:c r="D894">
        <x:v>8482090</x:v>
      </x:c>
      <x:c r="E894">
        <x:v>71</x:v>
      </x:c>
      <x:c r="F894">
        <x:v>72</x:v>
      </x:c>
      <x:c r="G894">
        <x:v>80</x:v>
      </x:c>
      <x:c r="H894">
        <x:v>47</x:v>
      </x:c>
      <x:c r="I894">
        <x:v>88</x:v>
      </x:c>
      <x:c r="J894">
        <x:v>81</x:v>
      </x:c>
      <x:c r="K894">
        <x:v>76</x:v>
      </x:c>
      <x:c r="L894">
        <x:v>48</x:v>
      </x:c>
      <x:c r="M894">
        <x:v>83</x:v>
      </x:c>
      <x:c r="N894">
        <x:v>48</x:v>
      </x:c>
      <x:c r="O894">
        <x:v>48</x:v>
      </x:c>
      <x:c r="P894">
        <x:v>62</x:v>
      </x:c>
      <x:c r="Q894">
        <x:v>56</x:v>
      </x:c>
      <x:c r="R894">
        <x:v>67</x:v>
      </x:c>
      <x:c r="S894">
        <x:v>68</x:v>
      </x:c>
      <x:c r="T894">
        <x:v>51</x:v>
      </x:c>
      <x:c r="U894">
        <x:v>52</x:v>
      </x:c>
    </x:row>
    <x:row r="895">
      <x:c r="A895" t="s">
        <x:v>1254</x:v>
      </x:c>
      <x:c r="C895" t="s">
        <x:v>331</x:v>
      </x:c>
      <x:c r="D895">
        <x:v>8483590</x:v>
      </x:c>
      <x:c r="E895">
        <x:v>75</x:v>
      </x:c>
      <x:c r="F895">
        <x:v>33</x:v>
      </x:c>
      <x:c r="G895">
        <x:v>72</x:v>
      </x:c>
      <x:c r="H895">
        <x:v>30</x:v>
      </x:c>
      <x:c r="I895">
        <x:v>82</x:v>
      </x:c>
      <x:c r="J895">
        <x:v>76</x:v>
      </x:c>
      <x:c r="K895">
        <x:v>78</x:v>
      </x:c>
      <x:c r="L895">
        <x:v>31</x:v>
      </x:c>
      <x:c r="M895">
        <x:v>30</x:v>
      </x:c>
      <x:c r="N895">
        <x:v>41</x:v>
      </x:c>
      <x:c r="O895">
        <x:v>37</x:v>
      </x:c>
      <x:c r="P895">
        <x:v>65</x:v>
      </x:c>
      <x:c r="Q895">
        <x:v>44</x:v>
      </x:c>
      <x:c r="R895">
        <x:v>69</x:v>
      </x:c>
      <x:c r="S895">
        <x:v>68</x:v>
      </x:c>
      <x:c r="T895">
        <x:v>51</x:v>
      </x:c>
      <x:c r="U895">
        <x:v>52</x:v>
      </x:c>
    </x:row>
    <x:row r="896">
      <x:c r="A896" t="s">
        <x:v>1255</x:v>
      </x:c>
      <x:c r="C896" t="s">
        <x:v>358</x:v>
      </x:c>
      <x:c r="D896">
        <x:v>8482451</x:v>
      </x:c>
      <x:c r="E896">
        <x:v>62</x:v>
      </x:c>
      <x:c r="F896">
        <x:v>31</x:v>
      </x:c>
      <x:c r="G896">
        <x:v>88</x:v>
      </x:c>
      <x:c r="H896">
        <x:v>48</x:v>
      </x:c>
      <x:c r="I896">
        <x:v>76</x:v>
      </x:c>
      <x:c r="J896">
        <x:v>87</x:v>
      </x:c>
      <x:c r="K896">
        <x:v>90</x:v>
      </x:c>
      <x:c r="L896">
        <x:v>49</x:v>
      </x:c>
      <x:c r="M896">
        <x:v>63</x:v>
      </x:c>
      <x:c r="N896">
        <x:v>50</x:v>
      </x:c>
      <x:c r="O896">
        <x:v>54</x:v>
      </x:c>
      <x:c r="P896">
        <x:v>66</x:v>
      </x:c>
      <x:c r="Q896">
        <x:v>70</x:v>
      </x:c>
      <x:c r="R896">
        <x:v>69</x:v>
      </x:c>
      <x:c r="S896">
        <x:v>68</x:v>
      </x:c>
      <x:c r="T896">
        <x:v>51</x:v>
      </x:c>
      <x:c r="U896">
        <x:v>52</x:v>
      </x:c>
    </x:row>
    <x:row r="897">
      <x:c r="A897" t="s">
        <x:v>1256</x:v>
      </x:c>
      <x:c r="C897" t="s">
        <x:v>319</x:v>
      </x:c>
      <x:c r="D897">
        <x:v>8483538</x:v>
      </x:c>
      <x:c r="E897">
        <x:v>61</x:v>
      </x:c>
      <x:c r="F897">
        <x:v>36</x:v>
      </x:c>
      <x:c r="G897">
        <x:v>83</x:v>
      </x:c>
      <x:c r="H897">
        <x:v>44</x:v>
      </x:c>
      <x:c r="I897">
        <x:v>76</x:v>
      </x:c>
      <x:c r="J897">
        <x:v>89</x:v>
      </x:c>
      <x:c r="K897">
        <x:v>92</x:v>
      </x:c>
      <x:c r="L897">
        <x:v>45</x:v>
      </x:c>
      <x:c r="M897">
        <x:v>77</x:v>
      </x:c>
      <x:c r="N897">
        <x:v>45</x:v>
      </x:c>
      <x:c r="O897">
        <x:v>44</x:v>
      </x:c>
      <x:c r="P897">
        <x:v>63</x:v>
      </x:c>
      <x:c r="Q897">
        <x:v>65</x:v>
      </x:c>
      <x:c r="R897">
        <x:v>71</x:v>
      </x:c>
      <x:c r="S897">
        <x:v>72</x:v>
      </x:c>
      <x:c r="T897">
        <x:v>51</x:v>
      </x:c>
      <x:c r="U897">
        <x:v>52</x:v>
      </x:c>
    </x:row>
    <x:row r="898">
      <x:c r="A898" t="s">
        <x:v>1257</x:v>
      </x:c>
      <x:c r="B898" t="s">
        <x:v>584</x:v>
      </x:c>
      <x:c r="C898" t="s">
        <x:v>331</x:v>
      </x:c>
      <x:c r="D898">
        <x:v>8484756</x:v>
      </x:c>
      <x:c r="E898">
        <x:v>77</x:v>
      </x:c>
      <x:c r="F898">
        <x:v>39</x:v>
      </x:c>
      <x:c r="G898">
        <x:v>76</x:v>
      </x:c>
      <x:c r="H898">
        <x:v>32</x:v>
      </x:c>
      <x:c r="I898">
        <x:v>82</x:v>
      </x:c>
      <x:c r="J898">
        <x:v>83</x:v>
      </x:c>
      <x:c r="K898">
        <x:v>87</x:v>
      </x:c>
      <x:c r="L898">
        <x:v>31</x:v>
      </x:c>
      <x:c r="M898">
        <x:v>30</x:v>
      </x:c>
      <x:c r="N898">
        <x:v>42</x:v>
      </x:c>
      <x:c r="O898">
        <x:v>39</x:v>
      </x:c>
      <x:c r="P898">
        <x:v>67</x:v>
      </x:c>
      <x:c r="Q898">
        <x:v>46</x:v>
      </x:c>
      <x:c r="R898">
        <x:v>70</x:v>
      </x:c>
      <x:c r="S898">
        <x:v>69</x:v>
      </x:c>
      <x:c r="T898">
        <x:v>51</x:v>
      </x:c>
      <x:c r="U898">
        <x:v>52</x:v>
      </x:c>
    </x:row>
    <x:row r="899">
      <x:c r="A899" t="s">
        <x:v>1258</x:v>
      </x:c>
      <x:c r="C899" t="s">
        <x:v>339</x:v>
      </x:c>
      <x:c r="D899">
        <x:v>8481720</x:v>
      </x:c>
      <x:c r="E899">
        <x:v>64</x:v>
      </x:c>
      <x:c r="F899">
        <x:v>34</x:v>
      </x:c>
      <x:c r="G899">
        <x:v>91</x:v>
      </x:c>
      <x:c r="H899">
        <x:v>47</x:v>
      </x:c>
      <x:c r="I899">
        <x:v>76</x:v>
      </x:c>
      <x:c r="J899">
        <x:v>86</x:v>
      </x:c>
      <x:c r="K899">
        <x:v>87</x:v>
      </x:c>
      <x:c r="L899">
        <x:v>48</x:v>
      </x:c>
      <x:c r="M899">
        <x:v>71</x:v>
      </x:c>
      <x:c r="N899">
        <x:v>51</x:v>
      </x:c>
      <x:c r="O899">
        <x:v>45</x:v>
      </x:c>
      <x:c r="P899">
        <x:v>60</x:v>
      </x:c>
      <x:c r="Q899">
        <x:v>70</x:v>
      </x:c>
      <x:c r="R899">
        <x:v>69</x:v>
      </x:c>
      <x:c r="S899">
        <x:v>70</x:v>
      </x:c>
      <x:c r="T899">
        <x:v>51</x:v>
      </x:c>
      <x:c r="U899">
        <x:v>52</x:v>
      </x:c>
    </x:row>
    <x:row r="900">
      <x:c r="A900" t="s">
        <x:v>1259</x:v>
      </x:c>
      <x:c r="C900" t="s">
        <x:v>326</x:v>
      </x:c>
      <x:c r="D900">
        <x:v>8479644</x:v>
      </x:c>
      <x:c r="E900">
        <x:v>69</x:v>
      </x:c>
      <x:c r="F900">
        <x:v>36</x:v>
      </x:c>
      <x:c r="G900">
        <x:v>84</x:v>
      </x:c>
      <x:c r="H900">
        <x:v>47</x:v>
      </x:c>
      <x:c r="I900">
        <x:v>82</x:v>
      </x:c>
      <x:c r="J900">
        <x:v>86</x:v>
      </x:c>
      <x:c r="K900">
        <x:v>90</x:v>
      </x:c>
      <x:c r="L900">
        <x:v>47</x:v>
      </x:c>
      <x:c r="M900">
        <x:v>61</x:v>
      </x:c>
      <x:c r="N900">
        <x:v>51</x:v>
      </x:c>
      <x:c r="O900">
        <x:v>45</x:v>
      </x:c>
      <x:c r="P900">
        <x:v>64</x:v>
      </x:c>
      <x:c r="Q900">
        <x:v>70</x:v>
      </x:c>
      <x:c r="R900">
        <x:v>71</x:v>
      </x:c>
      <x:c r="S900">
        <x:v>70</x:v>
      </x:c>
      <x:c r="T900">
        <x:v>51</x:v>
      </x:c>
      <x:c r="U900">
        <x:v>52</x:v>
      </x:c>
    </x:row>
    <x:row r="901">
      <x:c r="A901" t="s">
        <x:v>1260</x:v>
      </x:c>
      <x:c r="C901" t="s">
        <x:v>331</x:v>
      </x:c>
      <x:c r="D901">
        <x:v>8482719</x:v>
      </x:c>
      <x:c r="E901">
        <x:v>68</x:v>
      </x:c>
      <x:c r="F901">
        <x:v>39</x:v>
      </x:c>
      <x:c r="G901">
        <x:v>82</x:v>
      </x:c>
      <x:c r="H901">
        <x:v>35</x:v>
      </x:c>
      <x:c r="I901">
        <x:v>80</x:v>
      </x:c>
      <x:c r="J901">
        <x:v>78</x:v>
      </x:c>
      <x:c r="K901">
        <x:v>81</x:v>
      </x:c>
      <x:c r="L901">
        <x:v>35</x:v>
      </x:c>
      <x:c r="M901">
        <x:v>30</x:v>
      </x:c>
      <x:c r="N901">
        <x:v>45</x:v>
      </x:c>
      <x:c r="O901">
        <x:v>43</x:v>
      </x:c>
      <x:c r="P901">
        <x:v>65</x:v>
      </x:c>
      <x:c r="Q901">
        <x:v>49</x:v>
      </x:c>
      <x:c r="R901">
        <x:v>65</x:v>
      </x:c>
      <x:c r="S901">
        <x:v>65</x:v>
      </x:c>
      <x:c r="T901">
        <x:v>51</x:v>
      </x:c>
      <x:c r="U901">
        <x:v>52</x:v>
      </x:c>
    </x:row>
    <x:row r="902">
      <x:c r="A902" t="s">
        <x:v>1261</x:v>
      </x:c>
      <x:c r="C902" t="s">
        <x:v>339</x:v>
      </x:c>
      <x:c r="D902">
        <x:v>8476425</x:v>
      </x:c>
      <x:c r="E902">
        <x:v>70</x:v>
      </x:c>
      <x:c r="F902">
        <x:v>36</x:v>
      </x:c>
      <x:c r="G902">
        <x:v>72</x:v>
      </x:c>
      <x:c r="H902">
        <x:v>41</x:v>
      </x:c>
      <x:c r="I902">
        <x:v>87</x:v>
      </x:c>
      <x:c r="J902">
        <x:v>77</x:v>
      </x:c>
      <x:c r="K902">
        <x:v>78</x:v>
      </x:c>
      <x:c r="L902">
        <x:v>42</x:v>
      </x:c>
      <x:c r="M902">
        <x:v>76</x:v>
      </x:c>
      <x:c r="N902">
        <x:v>42</x:v>
      </x:c>
      <x:c r="O902">
        <x:v>45</x:v>
      </x:c>
      <x:c r="P902">
        <x:v>58</x:v>
      </x:c>
      <x:c r="Q902">
        <x:v>63</x:v>
      </x:c>
      <x:c r="R902">
        <x:v>78</x:v>
      </x:c>
      <x:c r="S902">
        <x:v>77</x:v>
      </x:c>
      <x:c r="T902">
        <x:v>51</x:v>
      </x:c>
      <x:c r="U902">
        <x:v>52</x:v>
      </x:c>
    </x:row>
    <x:row r="903">
      <x:c r="A903" t="s">
        <x:v>1262</x:v>
      </x:c>
      <x:c r="C903" t="s">
        <x:v>331</x:v>
      </x:c>
      <x:c r="D903">
        <x:v>8484287</x:v>
      </x:c>
      <x:c r="E903">
        <x:v>65</x:v>
      </x:c>
      <x:c r="F903">
        <x:v>35</x:v>
      </x:c>
      <x:c r="G903">
        <x:v>87</x:v>
      </x:c>
      <x:c r="H903">
        <x:v>33</x:v>
      </x:c>
      <x:c r="I903">
        <x:v>79</x:v>
      </x:c>
      <x:c r="J903">
        <x:v>88</x:v>
      </x:c>
      <x:c r="K903">
        <x:v>91</x:v>
      </x:c>
      <x:c r="L903">
        <x:v>32</x:v>
      </x:c>
      <x:c r="M903">
        <x:v>30</x:v>
      </x:c>
      <x:c r="N903">
        <x:v>45</x:v>
      </x:c>
      <x:c r="O903">
        <x:v>41</x:v>
      </x:c>
      <x:c r="P903">
        <x:v>69</x:v>
      </x:c>
      <x:c r="Q903">
        <x:v>48</x:v>
      </x:c>
      <x:c r="R903">
        <x:v>68</x:v>
      </x:c>
      <x:c r="S903">
        <x:v>67</x:v>
      </x:c>
      <x:c r="T903">
        <x:v>51</x:v>
      </x:c>
      <x:c r="U903">
        <x:v>52</x:v>
      </x:c>
    </x:row>
    <x:row r="904">
      <x:c r="A904" t="s">
        <x:v>1263</x:v>
      </x:c>
      <x:c r="C904" t="s">
        <x:v>323</x:v>
      </x:c>
      <x:c r="D904">
        <x:v>8479968</x:v>
      </x:c>
      <x:c r="E904">
        <x:v>75</x:v>
      </x:c>
      <x:c r="F904">
        <x:v>37</x:v>
      </x:c>
      <x:c r="G904">
        <x:v>85</x:v>
      </x:c>
      <x:c r="H904">
        <x:v>44</x:v>
      </x:c>
      <x:c r="I904">
        <x:v>76</x:v>
      </x:c>
      <x:c r="J904">
        <x:v>82</x:v>
      </x:c>
      <x:c r="K904">
        <x:v>85</x:v>
      </x:c>
      <x:c r="L904">
        <x:v>45</x:v>
      </x:c>
      <x:c r="M904">
        <x:v>73</x:v>
      </x:c>
      <x:c r="N904">
        <x:v>50</x:v>
      </x:c>
      <x:c r="O904">
        <x:v>51</x:v>
      </x:c>
      <x:c r="P904">
        <x:v>61</x:v>
      </x:c>
      <x:c r="Q904">
        <x:v>66</x:v>
      </x:c>
      <x:c r="R904">
        <x:v>73</x:v>
      </x:c>
      <x:c r="S904">
        <x:v>73</x:v>
      </x:c>
      <x:c r="T904">
        <x:v>47</x:v>
      </x:c>
      <x:c r="U904">
        <x:v>52</x:v>
      </x:c>
    </x:row>
    <x:row r="905">
      <x:c r="A905" t="s">
        <x:v>1264</x:v>
      </x:c>
      <x:c r="B905" t="s">
        <x:v>584</x:v>
      </x:c>
      <x:c r="C905" t="s">
        <x:v>319</x:v>
      </x:c>
      <x:c r="D905">
        <x:v>8481115</x:v>
      </x:c>
      <x:c r="E905">
        <x:v>69</x:v>
      </x:c>
      <x:c r="F905">
        <x:v>39</x:v>
      </x:c>
      <x:c r="G905">
        <x:v>83</x:v>
      </x:c>
      <x:c r="H905">
        <x:v>42</x:v>
      </x:c>
      <x:c r="I905">
        <x:v>82</x:v>
      </x:c>
      <x:c r="J905">
        <x:v>90</x:v>
      </x:c>
      <x:c r="K905">
        <x:v>92</x:v>
      </x:c>
      <x:c r="L905">
        <x:v>41</x:v>
      </x:c>
      <x:c r="M905">
        <x:v>69</x:v>
      </x:c>
      <x:c r="N905">
        <x:v>46</x:v>
      </x:c>
      <x:c r="O905">
        <x:v>41</x:v>
      </x:c>
      <x:c r="P905">
        <x:v>58</x:v>
      </x:c>
      <x:c r="Q905">
        <x:v>63</x:v>
      </x:c>
      <x:c r="R905">
        <x:v>78</x:v>
      </x:c>
      <x:c r="S905">
        <x:v>78</x:v>
      </x:c>
      <x:c r="T905">
        <x:v>51</x:v>
      </x:c>
      <x:c r="U905">
        <x:v>52</x:v>
      </x:c>
    </x:row>
    <x:row r="906">
      <x:c r="A906" t="s">
        <x:v>1265</x:v>
      </x:c>
      <x:c r="C906" t="s">
        <x:v>331</x:v>
      </x:c>
      <x:c r="D906">
        <x:v>8484262</x:v>
      </x:c>
      <x:c r="E906">
        <x:v>78</x:v>
      </x:c>
      <x:c r="F906">
        <x:v>37</x:v>
      </x:c>
      <x:c r="G906">
        <x:v>74</x:v>
      </x:c>
      <x:c r="H906">
        <x:v>32</x:v>
      </x:c>
      <x:c r="I906">
        <x:v>83</x:v>
      </x:c>
      <x:c r="J906">
        <x:v>88</x:v>
      </x:c>
      <x:c r="K906">
        <x:v>91</x:v>
      </x:c>
      <x:c r="L906">
        <x:v>31</x:v>
      </x:c>
      <x:c r="M906">
        <x:v>30</x:v>
      </x:c>
      <x:c r="N906">
        <x:v>43</x:v>
      </x:c>
      <x:c r="O906">
        <x:v>39</x:v>
      </x:c>
      <x:c r="P906">
        <x:v>67</x:v>
      </x:c>
      <x:c r="Q906">
        <x:v>46</x:v>
      </x:c>
      <x:c r="R906">
        <x:v>69</x:v>
      </x:c>
      <x:c r="S906">
        <x:v>68</x:v>
      </x:c>
      <x:c r="T906">
        <x:v>51</x:v>
      </x:c>
      <x:c r="U906">
        <x:v>52</x:v>
      </x:c>
    </x:row>
    <x:row r="907">
      <x:c r="A907" t="s">
        <x:v>1266</x:v>
      </x:c>
      <x:c r="C907" t="s">
        <x:v>331</x:v>
      </x:c>
      <x:c r="D907">
        <x:v>8475939</x:v>
      </x:c>
      <x:c r="E907">
        <x:v>83</x:v>
      </x:c>
      <x:c r="F907">
        <x:v>43</x:v>
      </x:c>
      <x:c r="G907">
        <x:v>81</x:v>
      </x:c>
      <x:c r="H907">
        <x:v>33</x:v>
      </x:c>
      <x:c r="I907">
        <x:v>87</x:v>
      </x:c>
      <x:c r="J907">
        <x:v>72</x:v>
      </x:c>
      <x:c r="K907">
        <x:v>75</x:v>
      </x:c>
      <x:c r="L907">
        <x:v>34</x:v>
      </x:c>
      <x:c r="M907">
        <x:v>30</x:v>
      </x:c>
      <x:c r="N907">
        <x:v>40</x:v>
      </x:c>
      <x:c r="O907">
        <x:v>43</x:v>
      </x:c>
      <x:c r="P907">
        <x:v>66</x:v>
      </x:c>
      <x:c r="Q907">
        <x:v>46</x:v>
      </x:c>
      <x:c r="R907">
        <x:v>66</x:v>
      </x:c>
      <x:c r="S907">
        <x:v>66</x:v>
      </x:c>
      <x:c r="T907">
        <x:v>51</x:v>
      </x:c>
      <x:c r="U907">
        <x:v>52</x:v>
      </x:c>
    </x:row>
    <x:row r="908">
      <x:c r="A908" t="s">
        <x:v>1267</x:v>
      </x:c>
      <x:c r="C908" t="s">
        <x:v>331</x:v>
      </x:c>
      <x:c r="D908">
        <x:v>8483569</x:v>
      </x:c>
      <x:c r="E908">
        <x:v>76</x:v>
      </x:c>
      <x:c r="F908">
        <x:v>39</x:v>
      </x:c>
      <x:c r="G908">
        <x:v>83</x:v>
      </x:c>
      <x:c r="H908">
        <x:v>33</x:v>
      </x:c>
      <x:c r="I908">
        <x:v>79</x:v>
      </x:c>
      <x:c r="J908">
        <x:v>89</x:v>
      </x:c>
      <x:c r="K908">
        <x:v>91</x:v>
      </x:c>
      <x:c r="L908">
        <x:v>33</x:v>
      </x:c>
      <x:c r="M908">
        <x:v>30</x:v>
      </x:c>
      <x:c r="N908">
        <x:v>44</x:v>
      </x:c>
      <x:c r="O908">
        <x:v>40</x:v>
      </x:c>
      <x:c r="P908">
        <x:v>68</x:v>
      </x:c>
      <x:c r="Q908">
        <x:v>47</x:v>
      </x:c>
      <x:c r="R908">
        <x:v>71</x:v>
      </x:c>
      <x:c r="S908">
        <x:v>70</x:v>
      </x:c>
      <x:c r="T908">
        <x:v>51</x:v>
      </x:c>
      <x:c r="U908">
        <x:v>52</x:v>
      </x:c>
    </x:row>
    <x:row r="909">
      <x:c r="A909" t="s">
        <x:v>1268</x:v>
      </x:c>
      <x:c r="C909" t="s">
        <x:v>319</x:v>
      </x:c>
      <x:c r="D909">
        <x:v>8484901</x:v>
      </x:c>
      <x:c r="E909">
        <x:v>73</x:v>
      </x:c>
      <x:c r="F909">
        <x:v>37</x:v>
      </x:c>
      <x:c r="G909">
        <x:v>94</x:v>
      </x:c>
      <x:c r="H909">
        <x:v>47</x:v>
      </x:c>
      <x:c r="I909">
        <x:v>80</x:v>
      </x:c>
      <x:c r="J909">
        <x:v>81</x:v>
      </x:c>
      <x:c r="K909">
        <x:v>54</x:v>
      </x:c>
      <x:c r="L909">
        <x:v>47</x:v>
      </x:c>
      <x:c r="M909">
        <x:v>80</x:v>
      </x:c>
      <x:c r="N909">
        <x:v>49</x:v>
      </x:c>
      <x:c r="O909">
        <x:v>47</x:v>
      </x:c>
      <x:c r="P909">
        <x:v>67</x:v>
      </x:c>
      <x:c r="Q909">
        <x:v>55</x:v>
      </x:c>
      <x:c r="R909">
        <x:v>67</x:v>
      </x:c>
      <x:c r="S909">
        <x:v>66</x:v>
      </x:c>
      <x:c r="T909">
        <x:v>51</x:v>
      </x:c>
      <x:c r="U909">
        <x:v>52</x:v>
      </x:c>
    </x:row>
    <x:row r="910">
      <x:c r="A910" t="s">
        <x:v>1269</x:v>
      </x:c>
      <x:c r="B910" t="s">
        <x:v>584</x:v>
      </x:c>
      <x:c r="C910" t="s">
        <x:v>358</x:v>
      </x:c>
      <x:c r="E910">
        <x:v>58</x:v>
      </x:c>
      <x:c r="F910">
        <x:v>34</x:v>
      </x:c>
      <x:c r="G910">
        <x:v>85</x:v>
      </x:c>
      <x:c r="H910">
        <x:v>43</x:v>
      </x:c>
      <x:c r="I910">
        <x:v>77</x:v>
      </x:c>
      <x:c r="J910">
        <x:v>85</x:v>
      </x:c>
      <x:c r="K910">
        <x:v>86</x:v>
      </x:c>
      <x:c r="L910">
        <x:v>43</x:v>
      </x:c>
      <x:c r="M910">
        <x:v>71</x:v>
      </x:c>
      <x:c r="N910">
        <x:v>44</x:v>
      </x:c>
      <x:c r="O910">
        <x:v>44</x:v>
      </x:c>
      <x:c r="P910">
        <x:v>59</x:v>
      </x:c>
      <x:c r="Q910">
        <x:v>65</x:v>
      </x:c>
      <x:c r="R910">
        <x:v>87</x:v>
      </x:c>
      <x:c r="S910">
        <x:v>82</x:v>
      </x:c>
      <x:c r="T910">
        <x:v>51</x:v>
      </x:c>
      <x:c r="U910">
        <x:v>52</x:v>
      </x:c>
    </x:row>
    <x:row r="911">
      <x:c r="A911" t="s">
        <x:v>1270</x:v>
      </x:c>
      <x:c r="C911" t="s">
        <x:v>319</x:v>
      </x:c>
      <x:c r="D911">
        <x:v>8477126</x:v>
      </x:c>
      <x:c r="E911">
        <x:v>65</x:v>
      </x:c>
      <x:c r="F911">
        <x:v>35</x:v>
      </x:c>
      <x:c r="G911">
        <x:v>86</x:v>
      </x:c>
      <x:c r="H911">
        <x:v>43</x:v>
      </x:c>
      <x:c r="I911">
        <x:v>81</x:v>
      </x:c>
      <x:c r="J911">
        <x:v>90</x:v>
      </x:c>
      <x:c r="K911">
        <x:v>93</x:v>
      </x:c>
      <x:c r="L911">
        <x:v>42</x:v>
      </x:c>
      <x:c r="M911">
        <x:v>87</x:v>
      </x:c>
      <x:c r="N911">
        <x:v>47</x:v>
      </x:c>
      <x:c r="O911">
        <x:v>46</x:v>
      </x:c>
      <x:c r="P911">
        <x:v>67</x:v>
      </x:c>
      <x:c r="Q911">
        <x:v>63</x:v>
      </x:c>
      <x:c r="R911">
        <x:v>83</x:v>
      </x:c>
      <x:c r="S911">
        <x:v>77</x:v>
      </x:c>
      <x:c r="T911">
        <x:v>51</x:v>
      </x:c>
      <x:c r="U911">
        <x:v>52</x:v>
      </x:c>
    </x:row>
    <x:row r="912">
      <x:c r="A912" t="s">
        <x:v>1271</x:v>
      </x:c>
      <x:c r="B912" t="s">
        <x:v>348</x:v>
      </x:c>
      <x:c r="C912" t="s">
        <x:v>323</x:v>
      </x:c>
      <x:c r="D912">
        <x:v>8483471</x:v>
      </x:c>
      <x:c r="E912">
        <x:v>62</x:v>
      </x:c>
      <x:c r="F912">
        <x:v>33</x:v>
      </x:c>
      <x:c r="G912">
        <x:v>89</x:v>
      </x:c>
      <x:c r="H912">
        <x:v>51</x:v>
      </x:c>
      <x:c r="I912">
        <x:v>77</x:v>
      </x:c>
      <x:c r="J912">
        <x:v>82</x:v>
      </x:c>
      <x:c r="K912">
        <x:v>81</x:v>
      </x:c>
      <x:c r="L912">
        <x:v>48</x:v>
      </x:c>
      <x:c r="M912">
        <x:v>70</x:v>
      </x:c>
      <x:c r="N912">
        <x:v>49</x:v>
      </x:c>
      <x:c r="O912">
        <x:v>51</x:v>
      </x:c>
      <x:c r="P912">
        <x:v>58</x:v>
      </x:c>
      <x:c r="Q912">
        <x:v>56</x:v>
      </x:c>
      <x:c r="R912">
        <x:v>66</x:v>
      </x:c>
      <x:c r="S912">
        <x:v>66</x:v>
      </x:c>
      <x:c r="T912">
        <x:v>51</x:v>
      </x:c>
      <x:c r="U912">
        <x:v>52</x:v>
      </x:c>
    </x:row>
    <x:row r="913">
      <x:c r="A913" t="s">
        <x:v>1272</x:v>
      </x:c>
      <x:c r="C913" t="s">
        <x:v>331</x:v>
      </x:c>
      <x:c r="D913">
        <x:v>8474604</x:v>
      </x:c>
      <x:c r="E913">
        <x:v>66</x:v>
      </x:c>
      <x:c r="F913">
        <x:v>37</x:v>
      </x:c>
      <x:c r="G913">
        <x:v>82</x:v>
      </x:c>
      <x:c r="H913">
        <x:v>31</x:v>
      </x:c>
      <x:c r="I913">
        <x:v>76</x:v>
      </x:c>
      <x:c r="J913">
        <x:v>80</x:v>
      </x:c>
      <x:c r="K913">
        <x:v>81</x:v>
      </x:c>
      <x:c r="L913">
        <x:v>30</x:v>
      </x:c>
      <x:c r="M913">
        <x:v>30</x:v>
      </x:c>
      <x:c r="N913">
        <x:v>40</x:v>
      </x:c>
      <x:c r="O913">
        <x:v>39</x:v>
      </x:c>
      <x:c r="P913">
        <x:v>66</x:v>
      </x:c>
      <x:c r="Q913">
        <x:v>45</x:v>
      </x:c>
      <x:c r="R913">
        <x:v>83</x:v>
      </x:c>
      <x:c r="S913">
        <x:v>76</x:v>
      </x:c>
      <x:c r="T913">
        <x:v>51</x:v>
      </x:c>
      <x:c r="U913">
        <x:v>52</x:v>
      </x:c>
    </x:row>
    <x:row r="914">
      <x:c r="A914" t="s">
        <x:v>1273</x:v>
      </x:c>
      <x:c r="C914" t="s">
        <x:v>329</x:v>
      </x:c>
      <x:c r="D914">
        <x:v>8475413</x:v>
      </x:c>
      <x:c r="E914">
        <x:v>67</x:v>
      </x:c>
      <x:c r="F914">
        <x:v>34</x:v>
      </x:c>
      <x:c r="G914">
        <x:v>93</x:v>
      </x:c>
      <x:c r="H914">
        <x:v>46</x:v>
      </x:c>
      <x:c r="I914">
        <x:v>77</x:v>
      </x:c>
      <x:c r="J914">
        <x:v>80</x:v>
      </x:c>
      <x:c r="K914">
        <x:v>83</x:v>
      </x:c>
      <x:c r="L914">
        <x:v>45</x:v>
      </x:c>
      <x:c r="M914">
        <x:v>86</x:v>
      </x:c>
      <x:c r="N914">
        <x:v>51</x:v>
      </x:c>
      <x:c r="O914">
        <x:v>52</x:v>
      </x:c>
      <x:c r="P914">
        <x:v>63</x:v>
      </x:c>
      <x:c r="Q914">
        <x:v>68</x:v>
      </x:c>
      <x:c r="R914">
        <x:v>82</x:v>
      </x:c>
      <x:c r="S914">
        <x:v>73</x:v>
      </x:c>
      <x:c r="T914">
        <x:v>51</x:v>
      </x:c>
      <x:c r="U914">
        <x:v>52</x:v>
      </x:c>
    </x:row>
    <x:row r="915">
      <x:c r="A915" t="s">
        <x:v>1274</x:v>
      </x:c>
      <x:c r="C915" t="s">
        <x:v>331</x:v>
      </x:c>
      <x:c r="D915">
        <x:v>8484822</x:v>
      </x:c>
      <x:c r="E915">
        <x:v>68</x:v>
      </x:c>
      <x:c r="F915">
        <x:v>39</x:v>
      </x:c>
      <x:c r="G915">
        <x:v>82</x:v>
      </x:c>
      <x:c r="H915">
        <x:v>33</x:v>
      </x:c>
      <x:c r="I915">
        <x:v>81</x:v>
      </x:c>
      <x:c r="J915">
        <x:v>79</x:v>
      </x:c>
      <x:c r="K915">
        <x:v>82</x:v>
      </x:c>
      <x:c r="L915">
        <x:v>33</x:v>
      </x:c>
      <x:c r="M915">
        <x:v>30</x:v>
      </x:c>
      <x:c r="N915">
        <x:v>43</x:v>
      </x:c>
      <x:c r="O915">
        <x:v>43</x:v>
      </x:c>
      <x:c r="P915">
        <x:v>67</x:v>
      </x:c>
      <x:c r="Q915">
        <x:v>48</x:v>
      </x:c>
      <x:c r="R915">
        <x:v>69</x:v>
      </x:c>
      <x:c r="S915">
        <x:v>69</x:v>
      </x:c>
      <x:c r="T915">
        <x:v>51</x:v>
      </x:c>
      <x:c r="U915">
        <x:v>52</x:v>
      </x:c>
    </x:row>
    <x:row r="916">
      <x:c r="A916" t="s">
        <x:v>1275</x:v>
      </x:c>
      <x:c r="C916" t="s">
        <x:v>331</x:v>
      </x:c>
      <x:c r="D916">
        <x:v>8479321</x:v>
      </x:c>
      <x:c r="E916">
        <x:v>75</x:v>
      </x:c>
      <x:c r="F916">
        <x:v>37</x:v>
      </x:c>
      <x:c r="G916">
        <x:v>87</x:v>
      </x:c>
      <x:c r="H916">
        <x:v>32</x:v>
      </x:c>
      <x:c r="I916">
        <x:v>78</x:v>
      </x:c>
      <x:c r="J916">
        <x:v>77</x:v>
      </x:c>
      <x:c r="K916">
        <x:v>79</x:v>
      </x:c>
      <x:c r="L916">
        <x:v>31</x:v>
      </x:c>
      <x:c r="M916">
        <x:v>30</x:v>
      </x:c>
      <x:c r="N916">
        <x:v>40</x:v>
      </x:c>
      <x:c r="O916">
        <x:v>40</x:v>
      </x:c>
      <x:c r="P916">
        <x:v>68</x:v>
      </x:c>
      <x:c r="Q916">
        <x:v>45</x:v>
      </x:c>
      <x:c r="R916">
        <x:v>71</x:v>
      </x:c>
      <x:c r="S916">
        <x:v>71</x:v>
      </x:c>
      <x:c r="T916">
        <x:v>51</x:v>
      </x:c>
      <x:c r="U916">
        <x:v>52</x:v>
      </x:c>
    </x:row>
    <x:row r="917">
      <x:c r="A917" t="s">
        <x:v>1276</x:v>
      </x:c>
      <x:c r="C917" t="s">
        <x:v>358</x:v>
      </x:c>
      <x:c r="D917">
        <x:v>8484803</x:v>
      </x:c>
      <x:c r="E917">
        <x:v>59</x:v>
      </x:c>
      <x:c r="F917">
        <x:v>39</x:v>
      </x:c>
      <x:c r="G917">
        <x:v>84</x:v>
      </x:c>
      <x:c r="H917">
        <x:v>48</x:v>
      </x:c>
      <x:c r="I917">
        <x:v>76</x:v>
      </x:c>
      <x:c r="J917">
        <x:v>78</x:v>
      </x:c>
      <x:c r="K917">
        <x:v>82</x:v>
      </x:c>
      <x:c r="L917">
        <x:v>48</x:v>
      </x:c>
      <x:c r="M917">
        <x:v>77</x:v>
      </x:c>
      <x:c r="N917">
        <x:v>52</x:v>
      </x:c>
      <x:c r="O917">
        <x:v>46</x:v>
      </x:c>
      <x:c r="P917">
        <x:v>58</x:v>
      </x:c>
      <x:c r="Q917">
        <x:v>72</x:v>
      </x:c>
      <x:c r="R917">
        <x:v>64</x:v>
      </x:c>
      <x:c r="S917">
        <x:v>66</x:v>
      </x:c>
      <x:c r="T917">
        <x:v>51</x:v>
      </x:c>
      <x:c r="U917">
        <x:v>52</x:v>
      </x:c>
    </x:row>
    <x:row r="918">
      <x:c r="A918" t="s">
        <x:v>1277</x:v>
      </x:c>
      <x:c r="C918" t="s">
        <x:v>326</x:v>
      </x:c>
      <x:c r="D918">
        <x:v>8482118</x:v>
      </x:c>
      <x:c r="E918">
        <x:v>71</x:v>
      </x:c>
      <x:c r="F918">
        <x:v>32</x:v>
      </x:c>
      <x:c r="G918">
        <x:v>87</x:v>
      </x:c>
      <x:c r="H918">
        <x:v>47</x:v>
      </x:c>
      <x:c r="I918">
        <x:v>83</x:v>
      </x:c>
      <x:c r="J918">
        <x:v>83</x:v>
      </x:c>
      <x:c r="K918">
        <x:v>86</x:v>
      </x:c>
      <x:c r="L918">
        <x:v>48</x:v>
      </x:c>
      <x:c r="M918">
        <x:v>66</x:v>
      </x:c>
      <x:c r="N918">
        <x:v>50</x:v>
      </x:c>
      <x:c r="O918">
        <x:v>53</x:v>
      </x:c>
      <x:c r="P918">
        <x:v>63</x:v>
      </x:c>
      <x:c r="Q918">
        <x:v>70</x:v>
      </x:c>
      <x:c r="R918">
        <x:v>69</x:v>
      </x:c>
      <x:c r="S918">
        <x:v>66</x:v>
      </x:c>
      <x:c r="T918">
        <x:v>51</x:v>
      </x:c>
      <x:c r="U918">
        <x:v>52</x:v>
      </x:c>
    </x:row>
    <x:row r="919">
      <x:c r="A919" t="s">
        <x:v>1278</x:v>
      </x:c>
      <x:c r="C919" t="s">
        <x:v>319</x:v>
      </x:c>
      <x:c r="D919">
        <x:v>8483424</x:v>
      </x:c>
      <x:c r="E919">
        <x:v>69</x:v>
      </x:c>
      <x:c r="F919">
        <x:v>37</x:v>
      </x:c>
      <x:c r="G919">
        <x:v>87</x:v>
      </x:c>
      <x:c r="H919">
        <x:v>49</x:v>
      </x:c>
      <x:c r="I919">
        <x:v>79</x:v>
      </x:c>
      <x:c r="J919">
        <x:v>78</x:v>
      </x:c>
      <x:c r="K919">
        <x:v>90</x:v>
      </x:c>
      <x:c r="L919">
        <x:v>47</x:v>
      </x:c>
      <x:c r="M919">
        <x:v>83</x:v>
      </x:c>
      <x:c r="N919">
        <x:v>49</x:v>
      </x:c>
      <x:c r="O919">
        <x:v>51</x:v>
      </x:c>
      <x:c r="P919">
        <x:v>61</x:v>
      </x:c>
      <x:c r="Q919">
        <x:v>52</x:v>
      </x:c>
      <x:c r="R919">
        <x:v>66</x:v>
      </x:c>
      <x:c r="S919">
        <x:v>66</x:v>
      </x:c>
      <x:c r="T919">
        <x:v>47</x:v>
      </x:c>
      <x:c r="U919">
        <x:v>52</x:v>
      </x:c>
    </x:row>
    <x:row r="920">
      <x:c r="A920" t="s">
        <x:v>1279</x:v>
      </x:c>
      <x:c r="C920" t="s">
        <x:v>358</x:v>
      </x:c>
      <x:c r="D920">
        <x:v>8475766</x:v>
      </x:c>
      <x:c r="E920">
        <x:v>80</x:v>
      </x:c>
      <x:c r="F920">
        <x:v>89</x:v>
      </x:c>
      <x:c r="G920">
        <x:v>71</x:v>
      </x:c>
      <x:c r="H920">
        <x:v>44</x:v>
      </x:c>
      <x:c r="I920">
        <x:v>90</x:v>
      </x:c>
      <x:c r="J920">
        <x:v>83</x:v>
      </x:c>
      <x:c r="K920">
        <x:v>88</x:v>
      </x:c>
      <x:c r="L920">
        <x:v>44</x:v>
      </x:c>
      <x:c r="M920">
        <x:v>62</x:v>
      </x:c>
      <x:c r="N920">
        <x:v>47</x:v>
      </x:c>
      <x:c r="O920">
        <x:v>52</x:v>
      </x:c>
      <x:c r="P920">
        <x:v>64</x:v>
      </x:c>
      <x:c r="Q920">
        <x:v>65</x:v>
      </x:c>
      <x:c r="R920">
        <x:v>86</x:v>
      </x:c>
      <x:c r="S920">
        <x:v>75</x:v>
      </x:c>
      <x:c r="T920">
        <x:v>51</x:v>
      </x:c>
      <x:c r="U920">
        <x:v>52</x:v>
      </x:c>
    </x:row>
    <x:row r="921">
      <x:c r="A921" t="s">
        <x:v>1280</x:v>
      </x:c>
      <x:c r="C921" t="s">
        <x:v>331</x:v>
      </x:c>
      <x:c r="D921">
        <x:v>8483699</x:v>
      </x:c>
      <x:c r="E921">
        <x:v>84</x:v>
      </x:c>
      <x:c r="F921">
        <x:v>42</x:v>
      </x:c>
      <x:c r="G921">
        <x:v>82</x:v>
      </x:c>
      <x:c r="H921">
        <x:v>34</x:v>
      </x:c>
      <x:c r="I921">
        <x:v>75</x:v>
      </x:c>
      <x:c r="J921">
        <x:v>83</x:v>
      </x:c>
      <x:c r="K921">
        <x:v>87</x:v>
      </x:c>
      <x:c r="L921">
        <x:v>35</x:v>
      </x:c>
      <x:c r="M921">
        <x:v>30</x:v>
      </x:c>
      <x:c r="N921">
        <x:v>44</x:v>
      </x:c>
      <x:c r="O921">
        <x:v>39</x:v>
      </x:c>
      <x:c r="P921">
        <x:v>63</x:v>
      </x:c>
      <x:c r="Q921">
        <x:v>46</x:v>
      </x:c>
      <x:c r="R921">
        <x:v>65</x:v>
      </x:c>
      <x:c r="S921">
        <x:v>65</x:v>
      </x:c>
      <x:c r="T921">
        <x:v>51</x:v>
      </x:c>
      <x:c r="U921">
        <x:v>52</x:v>
      </x:c>
    </x:row>
    <x:row r="922">
      <x:c r="A922" t="s">
        <x:v>1281</x:v>
      </x:c>
      <x:c r="C922" t="s">
        <x:v>326</x:v>
      </x:c>
      <x:c r="D922">
        <x:v>8484149</x:v>
      </x:c>
      <x:c r="E922">
        <x:v>60</x:v>
      </x:c>
      <x:c r="F922">
        <x:v>32</x:v>
      </x:c>
      <x:c r="G922">
        <x:v>94</x:v>
      </x:c>
      <x:c r="H922">
        <x:v>51</x:v>
      </x:c>
      <x:c r="I922">
        <x:v>73</x:v>
      </x:c>
      <x:c r="J922">
        <x:v>81</x:v>
      </x:c>
      <x:c r="K922">
        <x:v>84</x:v>
      </x:c>
      <x:c r="L922">
        <x:v>48</x:v>
      </x:c>
      <x:c r="M922">
        <x:v>70</x:v>
      </x:c>
      <x:c r="N922">
        <x:v>49</x:v>
      </x:c>
      <x:c r="O922">
        <x:v>50</x:v>
      </x:c>
      <x:c r="P922">
        <x:v>60</x:v>
      </x:c>
      <x:c r="Q922">
        <x:v>55</x:v>
      </x:c>
      <x:c r="R922">
        <x:v>65</x:v>
      </x:c>
      <x:c r="S922">
        <x:v>64</x:v>
      </x:c>
      <x:c r="T922">
        <x:v>51</x:v>
      </x:c>
      <x:c r="U922">
        <x:v>52</x:v>
      </x:c>
    </x:row>
    <x:row r="923">
      <x:c r="A923" t="s">
        <x:v>1282</x:v>
      </x:c>
      <x:c r="C923" t="s">
        <x:v>331</x:v>
      </x:c>
      <x:c r="D923">
        <x:v>8481679</x:v>
      </x:c>
      <x:c r="E923">
        <x:v>66</x:v>
      </x:c>
      <x:c r="F923">
        <x:v>37</x:v>
      </x:c>
      <x:c r="G923">
        <x:v>85</x:v>
      </x:c>
      <x:c r="H923">
        <x:v>35</x:v>
      </x:c>
      <x:c r="I923">
        <x:v>78</x:v>
      </x:c>
      <x:c r="J923">
        <x:v>81</x:v>
      </x:c>
      <x:c r="K923">
        <x:v>84</x:v>
      </x:c>
      <x:c r="L923">
        <x:v>36</x:v>
      </x:c>
      <x:c r="M923">
        <x:v>30</x:v>
      </x:c>
      <x:c r="N923">
        <x:v>48</x:v>
      </x:c>
      <x:c r="O923">
        <x:v>40</x:v>
      </x:c>
      <x:c r="P923">
        <x:v>64</x:v>
      </x:c>
      <x:c r="Q923">
        <x:v>49</x:v>
      </x:c>
      <x:c r="R923">
        <x:v>68</x:v>
      </x:c>
      <x:c r="S923">
        <x:v>68</x:v>
      </x:c>
      <x:c r="T923">
        <x:v>51</x:v>
      </x:c>
      <x:c r="U923">
        <x:v>52</x:v>
      </x:c>
    </x:row>
    <x:row r="924">
      <x:c r="A924" t="s">
        <x:v>1283</x:v>
      </x:c>
      <x:c r="C924" t="s">
        <x:v>331</x:v>
      </x:c>
      <x:c r="E924">
        <x:v>69</x:v>
      </x:c>
      <x:c r="F924">
        <x:v>41</x:v>
      </x:c>
      <x:c r="G924">
        <x:v>82</x:v>
      </x:c>
      <x:c r="H924">
        <x:v>33</x:v>
      </x:c>
      <x:c r="I924">
        <x:v>82</x:v>
      </x:c>
      <x:c r="J924">
        <x:v>79</x:v>
      </x:c>
      <x:c r="K924">
        <x:v>83</x:v>
      </x:c>
      <x:c r="L924">
        <x:v>34</x:v>
      </x:c>
      <x:c r="M924">
        <x:v>30</x:v>
      </x:c>
      <x:c r="N924">
        <x:v>45</x:v>
      </x:c>
      <x:c r="O924">
        <x:v>41</x:v>
      </x:c>
      <x:c r="P924">
        <x:v>68</x:v>
      </x:c>
      <x:c r="Q924">
        <x:v>47</x:v>
      </x:c>
      <x:c r="R924">
        <x:v>66</x:v>
      </x:c>
      <x:c r="S924">
        <x:v>67</x:v>
      </x:c>
      <x:c r="T924">
        <x:v>51</x:v>
      </x:c>
      <x:c r="U924">
        <x:v>52</x:v>
      </x:c>
    </x:row>
    <x:row r="925">
      <x:c r="A925" t="s">
        <x:v>1284</x:v>
      </x:c>
      <x:c r="C925" t="s">
        <x:v>331</x:v>
      </x:c>
      <x:c r="D925">
        <x:v>8477419</x:v>
      </x:c>
      <x:c r="E925">
        <x:v>85</x:v>
      </x:c>
      <x:c r="F925">
        <x:v>95</x:v>
      </x:c>
      <x:c r="G925">
        <x:v>71</x:v>
      </x:c>
      <x:c r="H925">
        <x:v>32</x:v>
      </x:c>
      <x:c r="I925">
        <x:v>88</x:v>
      </x:c>
      <x:c r="J925">
        <x:v>79</x:v>
      </x:c>
      <x:c r="K925">
        <x:v>81</x:v>
      </x:c>
      <x:c r="L925">
        <x:v>31</x:v>
      </x:c>
      <x:c r="M925">
        <x:v>30</x:v>
      </x:c>
      <x:c r="N925">
        <x:v>40</x:v>
      </x:c>
      <x:c r="O925">
        <x:v>40</x:v>
      </x:c>
      <x:c r="P925">
        <x:v>66</x:v>
      </x:c>
      <x:c r="Q925">
        <x:v>45</x:v>
      </x:c>
      <x:c r="R925">
        <x:v>74</x:v>
      </x:c>
      <x:c r="S925">
        <x:v>74</x:v>
      </x:c>
      <x:c r="T925">
        <x:v>51</x:v>
      </x:c>
      <x:c r="U925">
        <x:v>52</x:v>
      </x:c>
    </x:row>
    <x:row r="926">
      <x:c r="A926" t="s">
        <x:v>1285</x:v>
      </x:c>
      <x:c r="C926" t="s">
        <x:v>326</x:v>
      </x:c>
      <x:c r="D926">
        <x:v>8484177</x:v>
      </x:c>
      <x:c r="E926">
        <x:v>59</x:v>
      </x:c>
      <x:c r="F926">
        <x:v>33</x:v>
      </x:c>
      <x:c r="G926">
        <x:v>84</x:v>
      </x:c>
      <x:c r="H926">
        <x:v>47</x:v>
      </x:c>
      <x:c r="I926">
        <x:v>77</x:v>
      </x:c>
      <x:c r="J926">
        <x:v>81</x:v>
      </x:c>
      <x:c r="K926">
        <x:v>85</x:v>
      </x:c>
      <x:c r="L926">
        <x:v>48</x:v>
      </x:c>
      <x:c r="M926">
        <x:v>62</x:v>
      </x:c>
      <x:c r="N926">
        <x:v>49</x:v>
      </x:c>
      <x:c r="O926">
        <x:v>48</x:v>
      </x:c>
      <x:c r="P926">
        <x:v>60</x:v>
      </x:c>
      <x:c r="Q926">
        <x:v>68</x:v>
      </x:c>
      <x:c r="R926">
        <x:v>66</x:v>
      </x:c>
      <x:c r="S926">
        <x:v>67</x:v>
      </x:c>
      <x:c r="T926">
        <x:v>51</x:v>
      </x:c>
      <x:c r="U926">
        <x:v>52</x:v>
      </x:c>
    </x:row>
    <x:row r="927">
      <x:c r="A927" t="s">
        <x:v>1286</x:v>
      </x:c>
      <x:c r="B927" t="s">
        <x:v>420</x:v>
      </x:c>
      <x:c r="C927" t="s">
        <x:v>326</x:v>
      </x:c>
      <x:c r="D927">
        <x:v>8483476</x:v>
      </x:c>
      <x:c r="E927">
        <x:v>59</x:v>
      </x:c>
      <x:c r="F927">
        <x:v>32</x:v>
      </x:c>
      <x:c r="G927">
        <x:v>94</x:v>
      </x:c>
      <x:c r="H927">
        <x:v>49</x:v>
      </x:c>
      <x:c r="I927">
        <x:v>73</x:v>
      </x:c>
      <x:c r="J927">
        <x:v>80</x:v>
      </x:c>
      <x:c r="K927">
        <x:v>67</x:v>
      </x:c>
      <x:c r="L927">
        <x:v>49</x:v>
      </x:c>
      <x:c r="M927">
        <x:v>61</x:v>
      </x:c>
      <x:c r="N927">
        <x:v>47</x:v>
      </x:c>
      <x:c r="O927">
        <x:v>52</x:v>
      </x:c>
      <x:c r="P927">
        <x:v>57</x:v>
      </x:c>
      <x:c r="Q927">
        <x:v>69</x:v>
      </x:c>
      <x:c r="R927">
        <x:v>66</x:v>
      </x:c>
      <x:c r="S927">
        <x:v>65</x:v>
      </x:c>
      <x:c r="T927">
        <x:v>51</x:v>
      </x:c>
      <x:c r="U927">
        <x:v>52</x:v>
      </x:c>
    </x:row>
    <x:row r="928">
      <x:c r="A928" t="s">
        <x:v>1287</x:v>
      </x:c>
      <x:c r="C928" t="s">
        <x:v>331</x:v>
      </x:c>
      <x:c r="D928">
        <x:v>8482942</x:v>
      </x:c>
      <x:c r="E928">
        <x:v>83</x:v>
      </x:c>
      <x:c r="F928">
        <x:v>43</x:v>
      </x:c>
      <x:c r="G928">
        <x:v>79</x:v>
      </x:c>
      <x:c r="H928">
        <x:v>33</x:v>
      </x:c>
      <x:c r="I928">
        <x:v>83</x:v>
      </x:c>
      <x:c r="J928">
        <x:v>81</x:v>
      </x:c>
      <x:c r="K928">
        <x:v>85</x:v>
      </x:c>
      <x:c r="L928">
        <x:v>34</x:v>
      </x:c>
      <x:c r="M928">
        <x:v>30</x:v>
      </x:c>
      <x:c r="N928">
        <x:v>43</x:v>
      </x:c>
      <x:c r="O928">
        <x:v>39</x:v>
      </x:c>
      <x:c r="P928">
        <x:v>64</x:v>
      </x:c>
      <x:c r="Q928">
        <x:v>46</x:v>
      </x:c>
      <x:c r="R928">
        <x:v>66</x:v>
      </x:c>
      <x:c r="S928">
        <x:v>66</x:v>
      </x:c>
      <x:c r="T928">
        <x:v>51</x:v>
      </x:c>
      <x:c r="U928">
        <x:v>52</x:v>
      </x:c>
    </x:row>
    <x:row r="929">
      <x:c r="A929" t="s">
        <x:v>1288</x:v>
      </x:c>
      <x:c r="C929" t="s">
        <x:v>319</x:v>
      </x:c>
      <x:c r="D929">
        <x:v>8481491</x:v>
      </x:c>
      <x:c r="E929">
        <x:v>68</x:v>
      </x:c>
      <x:c r="F929">
        <x:v>38</x:v>
      </x:c>
      <x:c r="G929">
        <x:v>89</x:v>
      </x:c>
      <x:c r="H929">
        <x:v>47</x:v>
      </x:c>
      <x:c r="I929">
        <x:v>80</x:v>
      </x:c>
      <x:c r="J929">
        <x:v>78</x:v>
      </x:c>
      <x:c r="K929">
        <x:v>75</x:v>
      </x:c>
      <x:c r="L929">
        <x:v>47</x:v>
      </x:c>
      <x:c r="M929">
        <x:v>84</x:v>
      </x:c>
      <x:c r="N929">
        <x:v>46</x:v>
      </x:c>
      <x:c r="O929">
        <x:v>48</x:v>
      </x:c>
      <x:c r="P929">
        <x:v>61</x:v>
      </x:c>
      <x:c r="Q929">
        <x:v>52</x:v>
      </x:c>
      <x:c r="R929">
        <x:v>72</x:v>
      </x:c>
      <x:c r="S929">
        <x:v>67</x:v>
      </x:c>
      <x:c r="T929">
        <x:v>51</x:v>
      </x:c>
      <x:c r="U929">
        <x:v>52</x:v>
      </x:c>
    </x:row>
    <x:row r="930">
      <x:c r="A930" t="s">
        <x:v>1289</x:v>
      </x:c>
      <x:c r="C930" t="s">
        <x:v>331</x:v>
      </x:c>
      <x:c r="D930">
        <x:v>8482923</x:v>
      </x:c>
      <x:c r="E930">
        <x:v>89</x:v>
      </x:c>
      <x:c r="F930">
        <x:v>48</x:v>
      </x:c>
      <x:c r="G930">
        <x:v>71</x:v>
      </x:c>
      <x:c r="H930">
        <x:v>34</x:v>
      </x:c>
      <x:c r="I930">
        <x:v>89</x:v>
      </x:c>
      <x:c r="J930">
        <x:v>78</x:v>
      </x:c>
      <x:c r="K930">
        <x:v>82</x:v>
      </x:c>
      <x:c r="L930">
        <x:v>34</x:v>
      </x:c>
      <x:c r="M930">
        <x:v>30</x:v>
      </x:c>
      <x:c r="N930">
        <x:v>40</x:v>
      </x:c>
      <x:c r="O930">
        <x:v>40</x:v>
      </x:c>
      <x:c r="P930">
        <x:v>65</x:v>
      </x:c>
      <x:c r="Q930">
        <x:v>45</x:v>
      </x:c>
      <x:c r="R930">
        <x:v>66</x:v>
      </x:c>
      <x:c r="S930">
        <x:v>67</x:v>
      </x:c>
      <x:c r="T930">
        <x:v>51</x:v>
      </x:c>
      <x:c r="U930">
        <x:v>52</x:v>
      </x:c>
    </x:row>
    <x:row r="931">
      <x:c r="A931" t="s">
        <x:v>1290</x:v>
      </x:c>
      <x:c r="C931" t="s">
        <x:v>331</x:v>
      </x:c>
      <x:c r="D931">
        <x:v>8479945</x:v>
      </x:c>
      <x:c r="E931">
        <x:v>65</x:v>
      </x:c>
      <x:c r="F931">
        <x:v>40</x:v>
      </x:c>
      <x:c r="G931">
        <x:v>81</x:v>
      </x:c>
      <x:c r="H931">
        <x:v>33</x:v>
      </x:c>
      <x:c r="I931">
        <x:v>82</x:v>
      </x:c>
      <x:c r="J931">
        <x:v>84</x:v>
      </x:c>
      <x:c r="K931">
        <x:v>88</x:v>
      </x:c>
      <x:c r="L931">
        <x:v>34</x:v>
      </x:c>
      <x:c r="M931">
        <x:v>30</x:v>
      </x:c>
      <x:c r="N931">
        <x:v>45</x:v>
      </x:c>
      <x:c r="O931">
        <x:v>41</x:v>
      </x:c>
      <x:c r="P931">
        <x:v>64</x:v>
      </x:c>
      <x:c r="Q931">
        <x:v>48</x:v>
      </x:c>
      <x:c r="R931">
        <x:v>74</x:v>
      </x:c>
      <x:c r="S931">
        <x:v>73</x:v>
      </x:c>
      <x:c r="T931">
        <x:v>51</x:v>
      </x:c>
      <x:c r="U931">
        <x:v>52</x:v>
      </x:c>
    </x:row>
    <x:row r="932">
      <x:c r="A932" t="s">
        <x:v>1291</x:v>
      </x:c>
      <x:c r="C932" t="s">
        <x:v>339</x:v>
      </x:c>
      <x:c r="D932">
        <x:v>8482209</x:v>
      </x:c>
      <x:c r="E932">
        <x:v>74</x:v>
      </x:c>
      <x:c r="F932">
        <x:v>39</x:v>
      </x:c>
      <x:c r="G932">
        <x:v>89</x:v>
      </x:c>
      <x:c r="H932">
        <x:v>48</x:v>
      </x:c>
      <x:c r="I932">
        <x:v>74</x:v>
      </x:c>
      <x:c r="J932">
        <x:v>86</x:v>
      </x:c>
      <x:c r="K932">
        <x:v>88</x:v>
      </x:c>
      <x:c r="L932">
        <x:v>48</x:v>
      </x:c>
      <x:c r="M932">
        <x:v>81</x:v>
      </x:c>
      <x:c r="N932">
        <x:v>51</x:v>
      </x:c>
      <x:c r="O932">
        <x:v>47</x:v>
      </x:c>
      <x:c r="P932">
        <x:v>61</x:v>
      </x:c>
      <x:c r="Q932">
        <x:v>71</x:v>
      </x:c>
      <x:c r="R932">
        <x:v>67</x:v>
      </x:c>
      <x:c r="S932">
        <x:v>66</x:v>
      </x:c>
      <x:c r="T932">
        <x:v>51</x:v>
      </x:c>
      <x:c r="U932">
        <x:v>52</x:v>
      </x:c>
    </x:row>
    <x:row r="933">
      <x:c r="A933" t="s">
        <x:v>1292</x:v>
      </x:c>
      <x:c r="C933" t="s">
        <x:v>331</x:v>
      </x:c>
      <x:c r="D933">
        <x:v>8484115</x:v>
      </x:c>
      <x:c r="E933">
        <x:v>76</x:v>
      </x:c>
      <x:c r="F933">
        <x:v>39</x:v>
      </x:c>
      <x:c r="G933">
        <x:v>91</x:v>
      </x:c>
      <x:c r="H933">
        <x:v>32</x:v>
      </x:c>
      <x:c r="I933">
        <x:v>82</x:v>
      </x:c>
      <x:c r="J933">
        <x:v>78</x:v>
      </x:c>
      <x:c r="K933">
        <x:v>81</x:v>
      </x:c>
      <x:c r="L933">
        <x:v>32</x:v>
      </x:c>
      <x:c r="M933">
        <x:v>30</x:v>
      </x:c>
      <x:c r="N933">
        <x:v>40</x:v>
      </x:c>
      <x:c r="O933">
        <x:v>39</x:v>
      </x:c>
      <x:c r="P933">
        <x:v>64</x:v>
      </x:c>
      <x:c r="Q933">
        <x:v>45</x:v>
      </x:c>
      <x:c r="R933">
        <x:v>69</x:v>
      </x:c>
      <x:c r="S933">
        <x:v>69</x:v>
      </x:c>
      <x:c r="T933">
        <x:v>51</x:v>
      </x:c>
      <x:c r="U933">
        <x:v>52</x:v>
      </x:c>
    </x:row>
    <x:row r="934">
      <x:c r="A934" t="s">
        <x:v>1293</x:v>
      </x:c>
      <x:c r="C934" t="s">
        <x:v>331</x:v>
      </x:c>
      <x:c r="D934">
        <x:v>8480056</x:v>
      </x:c>
      <x:c r="E934">
        <x:v>65</x:v>
      </x:c>
      <x:c r="F934">
        <x:v>35</x:v>
      </x:c>
      <x:c r="G934">
        <x:v>83</x:v>
      </x:c>
      <x:c r="H934">
        <x:v>34</x:v>
      </x:c>
      <x:c r="I934">
        <x:v>77</x:v>
      </x:c>
      <x:c r="J934">
        <x:v>83</x:v>
      </x:c>
      <x:c r="K934">
        <x:v>84</x:v>
      </x:c>
      <x:c r="L934">
        <x:v>34</x:v>
      </x:c>
      <x:c r="M934">
        <x:v>30</x:v>
      </x:c>
      <x:c r="N934">
        <x:v>44</x:v>
      </x:c>
      <x:c r="O934">
        <x:v>41</x:v>
      </x:c>
      <x:c r="P934">
        <x:v>71</x:v>
      </x:c>
      <x:c r="Q934">
        <x:v>48</x:v>
      </x:c>
      <x:c r="R934">
        <x:v>69</x:v>
      </x:c>
      <x:c r="S934">
        <x:v>69</x:v>
      </x:c>
      <x:c r="T934">
        <x:v>51</x:v>
      </x:c>
      <x:c r="U934">
        <x:v>52</x:v>
      </x:c>
    </x:row>
    <x:row r="935">
      <x:c r="A935" t="s">
        <x:v>1294</x:v>
      </x:c>
      <x:c r="C935" t="s">
        <x:v>326</x:v>
      </x:c>
      <x:c r="D935">
        <x:v>8485511</x:v>
      </x:c>
      <x:c r="E935">
        <x:v>60</x:v>
      </x:c>
      <x:c r="F935">
        <x:v>39</x:v>
      </x:c>
      <x:c r="G935">
        <x:v>75</x:v>
      </x:c>
      <x:c r="H935">
        <x:v>48</x:v>
      </x:c>
      <x:c r="I935">
        <x:v>79</x:v>
      </x:c>
      <x:c r="J935">
        <x:v>91</x:v>
      </x:c>
      <x:c r="K935">
        <x:v>95</x:v>
      </x:c>
      <x:c r="L935">
        <x:v>49</x:v>
      </x:c>
      <x:c r="M935">
        <x:v>71</x:v>
      </x:c>
      <x:c r="N935">
        <x:v>48</x:v>
      </x:c>
      <x:c r="O935">
        <x:v>48</x:v>
      </x:c>
      <x:c r="P935">
        <x:v>58</x:v>
      </x:c>
      <x:c r="Q935">
        <x:v>70</x:v>
      </x:c>
      <x:c r="R935">
        <x:v>66</x:v>
      </x:c>
      <x:c r="S935">
        <x:v>65</x:v>
      </x:c>
      <x:c r="T935">
        <x:v>51</x:v>
      </x:c>
      <x:c r="U935">
        <x:v>52</x:v>
      </x:c>
    </x:row>
    <x:row r="936">
      <x:c r="A936" t="s">
        <x:v>1295</x:v>
      </x:c>
      <x:c r="C936" t="s">
        <x:v>358</x:v>
      </x:c>
      <x:c r="D936">
        <x:v>8483455</x:v>
      </x:c>
      <x:c r="E936">
        <x:v>55</x:v>
      </x:c>
      <x:c r="F936">
        <x:v>31</x:v>
      </x:c>
      <x:c r="G936">
        <x:v>84</x:v>
      </x:c>
      <x:c r="H936">
        <x:v>52</x:v>
      </x:c>
      <x:c r="I936">
        <x:v>74</x:v>
      </x:c>
      <x:c r="J936">
        <x:v>79</x:v>
      </x:c>
      <x:c r="K936">
        <x:v>90</x:v>
      </x:c>
      <x:c r="L936">
        <x:v>49</x:v>
      </x:c>
      <x:c r="M936">
        <x:v>61</x:v>
      </x:c>
      <x:c r="N936">
        <x:v>49</x:v>
      </x:c>
      <x:c r="O936">
        <x:v>49</x:v>
      </x:c>
      <x:c r="P936">
        <x:v>56</x:v>
      </x:c>
      <x:c r="Q936">
        <x:v>60</x:v>
      </x:c>
      <x:c r="R936">
        <x:v>66</x:v>
      </x:c>
      <x:c r="S936">
        <x:v>68</x:v>
      </x:c>
      <x:c r="T936">
        <x:v>51</x:v>
      </x:c>
      <x:c r="U936">
        <x:v>52</x:v>
      </x:c>
    </x:row>
    <x:row r="937">
      <x:c r="A937" t="s">
        <x:v>1296</x:v>
      </x:c>
      <x:c r="C937" t="s">
        <x:v>319</x:v>
      </x:c>
      <x:c r="D937">
        <x:v>8481556</x:v>
      </x:c>
      <x:c r="E937">
        <x:v>63</x:v>
      </x:c>
      <x:c r="F937">
        <x:v>71</x:v>
      </x:c>
      <x:c r="G937">
        <x:v>80</x:v>
      </x:c>
      <x:c r="H937">
        <x:v>47</x:v>
      </x:c>
      <x:c r="I937">
        <x:v>88</x:v>
      </x:c>
      <x:c r="J937">
        <x:v>81</x:v>
      </x:c>
      <x:c r="K937">
        <x:v>71</x:v>
      </x:c>
      <x:c r="L937">
        <x:v>47</x:v>
      </x:c>
      <x:c r="M937">
        <x:v>81</x:v>
      </x:c>
      <x:c r="N937">
        <x:v>51</x:v>
      </x:c>
      <x:c r="O937">
        <x:v>51</x:v>
      </x:c>
      <x:c r="P937">
        <x:v>68</x:v>
      </x:c>
      <x:c r="Q937">
        <x:v>52</x:v>
      </x:c>
      <x:c r="R937">
        <x:v>69</x:v>
      </x:c>
      <x:c r="S937">
        <x:v>68</x:v>
      </x:c>
      <x:c r="T937">
        <x:v>51</x:v>
      </x:c>
      <x:c r="U937">
        <x:v>52</x:v>
      </x:c>
    </x:row>
    <x:row r="938">
      <x:c r="A938" t="s">
        <x:v>1297</x:v>
      </x:c>
      <x:c r="C938" t="s">
        <x:v>333</x:v>
      </x:c>
      <x:c r="D938">
        <x:v>8483771</x:v>
      </x:c>
      <x:c r="E938">
        <x:v>72</x:v>
      </x:c>
      <x:c r="F938">
        <x:v>36</x:v>
      </x:c>
      <x:c r="G938">
        <x:v>90</x:v>
      </x:c>
      <x:c r="H938">
        <x:v>48</x:v>
      </x:c>
      <x:c r="I938">
        <x:v>77</x:v>
      </x:c>
      <x:c r="J938">
        <x:v>80</x:v>
      </x:c>
      <x:c r="K938">
        <x:v>86</x:v>
      </x:c>
      <x:c r="L938">
        <x:v>48</x:v>
      </x:c>
      <x:c r="M938">
        <x:v>69</x:v>
      </x:c>
      <x:c r="N938">
        <x:v>47</x:v>
      </x:c>
      <x:c r="O938">
        <x:v>51</x:v>
      </x:c>
      <x:c r="P938">
        <x:v>58</x:v>
      </x:c>
      <x:c r="Q938">
        <x:v>55</x:v>
      </x:c>
      <x:c r="R938">
        <x:v>65</x:v>
      </x:c>
      <x:c r="S938">
        <x:v>65</x:v>
      </x:c>
      <x:c r="T938">
        <x:v>51</x:v>
      </x:c>
      <x:c r="U938">
        <x:v>52</x:v>
      </x:c>
    </x:row>
    <x:row r="939">
      <x:c r="A939" t="s">
        <x:v>1298</x:v>
      </x:c>
      <x:c r="C939" t="s">
        <x:v>331</x:v>
      </x:c>
      <x:c r="D939">
        <x:v>8481486</x:v>
      </x:c>
      <x:c r="E939">
        <x:v>65</x:v>
      </x:c>
      <x:c r="F939">
        <x:v>39</x:v>
      </x:c>
      <x:c r="G939">
        <x:v>80</x:v>
      </x:c>
      <x:c r="H939">
        <x:v>33</x:v>
      </x:c>
      <x:c r="I939">
        <x:v>83</x:v>
      </x:c>
      <x:c r="J939">
        <x:v>90</x:v>
      </x:c>
      <x:c r="K939">
        <x:v>94</x:v>
      </x:c>
      <x:c r="L939">
        <x:v>33</x:v>
      </x:c>
      <x:c r="M939">
        <x:v>30</x:v>
      </x:c>
      <x:c r="N939">
        <x:v>43</x:v>
      </x:c>
      <x:c r="O939">
        <x:v>39</x:v>
      </x:c>
      <x:c r="P939">
        <x:v>69</x:v>
      </x:c>
      <x:c r="Q939">
        <x:v>46</x:v>
      </x:c>
      <x:c r="R939">
        <x:v>73</x:v>
      </x:c>
      <x:c r="S939">
        <x:v>74</x:v>
      </x:c>
      <x:c r="T939">
        <x:v>51</x:v>
      </x:c>
      <x:c r="U939">
        <x:v>52</x:v>
      </x:c>
    </x:row>
    <x:row r="940">
      <x:c r="A940" t="s">
        <x:v>1299</x:v>
      </x:c>
      <x:c r="C940" t="s">
        <x:v>331</x:v>
      </x:c>
      <x:c r="D940">
        <x:v>8483438</x:v>
      </x:c>
      <x:c r="E940">
        <x:v>82</x:v>
      </x:c>
      <x:c r="F940">
        <x:v>44</x:v>
      </x:c>
      <x:c r="G940">
        <x:v>77</x:v>
      </x:c>
      <x:c r="H940">
        <x:v>32</x:v>
      </x:c>
      <x:c r="I940">
        <x:v>78</x:v>
      </x:c>
      <x:c r="J940">
        <x:v>74</x:v>
      </x:c>
      <x:c r="K940">
        <x:v>76</x:v>
      </x:c>
      <x:c r="L940">
        <x:v>33</x:v>
      </x:c>
      <x:c r="M940">
        <x:v>30</x:v>
      </x:c>
      <x:c r="N940">
        <x:v>42</x:v>
      </x:c>
      <x:c r="O940">
        <x:v>40</x:v>
      </x:c>
      <x:c r="P940">
        <x:v>67</x:v>
      </x:c>
      <x:c r="Q940">
        <x:v>46</x:v>
      </x:c>
      <x:c r="R940">
        <x:v>65</x:v>
      </x:c>
      <x:c r="S940">
        <x:v>65</x:v>
      </x:c>
      <x:c r="T940">
        <x:v>51</x:v>
      </x:c>
      <x:c r="U940">
        <x:v>52</x:v>
      </x:c>
    </x:row>
    <x:row r="941">
      <x:c r="A941" t="s">
        <x:v>1300</x:v>
      </x:c>
      <x:c r="C941" t="s">
        <x:v>331</x:v>
      </x:c>
      <x:c r="D941">
        <x:v>8482678</x:v>
      </x:c>
      <x:c r="E941">
        <x:v>72</x:v>
      </x:c>
      <x:c r="F941">
        <x:v>34</x:v>
      </x:c>
      <x:c r="G941">
        <x:v>83</x:v>
      </x:c>
      <x:c r="H941">
        <x:v>33</x:v>
      </x:c>
      <x:c r="I941">
        <x:v>82</x:v>
      </x:c>
      <x:c r="J941">
        <x:v>84</x:v>
      </x:c>
      <x:c r="K941">
        <x:v>88</x:v>
      </x:c>
      <x:c r="L941">
        <x:v>32</x:v>
      </x:c>
      <x:c r="M941">
        <x:v>30</x:v>
      </x:c>
      <x:c r="N941">
        <x:v>44</x:v>
      </x:c>
      <x:c r="O941">
        <x:v>42</x:v>
      </x:c>
      <x:c r="P941">
        <x:v>67</x:v>
      </x:c>
      <x:c r="Q941">
        <x:v>48</x:v>
      </x:c>
      <x:c r="R941">
        <x:v>66</x:v>
      </x:c>
      <x:c r="S941">
        <x:v>67</x:v>
      </x:c>
      <x:c r="T941">
        <x:v>51</x:v>
      </x:c>
      <x:c r="U941">
        <x:v>52</x:v>
      </x:c>
    </x:row>
    <x:row r="942">
      <x:c r="A942" t="s">
        <x:v>1301</x:v>
      </x:c>
      <x:c r="B942" t="s">
        <x:v>584</x:v>
      </x:c>
      <x:c r="C942" t="s">
        <x:v>326</x:v>
      </x:c>
      <x:c r="D942">
        <x:v>8477979</x:v>
      </x:c>
      <x:c r="E942">
        <x:v>70</x:v>
      </x:c>
      <x:c r="F942">
        <x:v>75</x:v>
      </x:c>
      <x:c r="G942">
        <x:v>78</x:v>
      </x:c>
      <x:c r="H942">
        <x:v>45</x:v>
      </x:c>
      <x:c r="I942">
        <x:v>82</x:v>
      </x:c>
      <x:c r="J942">
        <x:v>85</x:v>
      </x:c>
      <x:c r="K942">
        <x:v>89</x:v>
      </x:c>
      <x:c r="L942">
        <x:v>45</x:v>
      </x:c>
      <x:c r="M942">
        <x:v>61</x:v>
      </x:c>
      <x:c r="N942">
        <x:v>53</x:v>
      </x:c>
      <x:c r="O942">
        <x:v>51</x:v>
      </x:c>
      <x:c r="P942">
        <x:v>63</x:v>
      </x:c>
      <x:c r="Q942">
        <x:v>67</x:v>
      </x:c>
      <x:c r="R942">
        <x:v>78</x:v>
      </x:c>
      <x:c r="S942">
        <x:v>72</x:v>
      </x:c>
      <x:c r="T942">
        <x:v>51</x:v>
      </x:c>
      <x:c r="U942">
        <x:v>52</x:v>
      </x:c>
    </x:row>
    <x:row r="943">
      <x:c r="A943" t="s">
        <x:v>1302</x:v>
      </x:c>
      <x:c r="C943" t="s">
        <x:v>331</x:v>
      </x:c>
      <x:c r="D943">
        <x:v>8480874</x:v>
      </x:c>
      <x:c r="E943">
        <x:v>73</x:v>
      </x:c>
      <x:c r="F943">
        <x:v>43</x:v>
      </x:c>
      <x:c r="G943">
        <x:v>82</x:v>
      </x:c>
      <x:c r="H943">
        <x:v>32</x:v>
      </x:c>
      <x:c r="I943">
        <x:v>84</x:v>
      </x:c>
      <x:c r="J943">
        <x:v>84</x:v>
      </x:c>
      <x:c r="K943">
        <x:v>85</x:v>
      </x:c>
      <x:c r="L943">
        <x:v>31</x:v>
      </x:c>
      <x:c r="M943">
        <x:v>30</x:v>
      </x:c>
      <x:c r="N943">
        <x:v>45</x:v>
      </x:c>
      <x:c r="O943">
        <x:v>42</x:v>
      </x:c>
      <x:c r="P943">
        <x:v>73</x:v>
      </x:c>
      <x:c r="Q943">
        <x:v>46</x:v>
      </x:c>
      <x:c r="R943">
        <x:v>69</x:v>
      </x:c>
      <x:c r="S943">
        <x:v>69</x:v>
      </x:c>
      <x:c r="T943">
        <x:v>51</x:v>
      </x:c>
      <x:c r="U943">
        <x:v>52</x:v>
      </x:c>
    </x:row>
    <x:row r="944">
      <x:c r="A944" t="s">
        <x:v>1303</x:v>
      </x:c>
      <x:c r="C944" t="s">
        <x:v>333</x:v>
      </x:c>
      <x:c r="D944">
        <x:v>8482787</x:v>
      </x:c>
      <x:c r="E944">
        <x:v>67</x:v>
      </x:c>
      <x:c r="F944">
        <x:v>32</x:v>
      </x:c>
      <x:c r="G944">
        <x:v>74</x:v>
      </x:c>
      <x:c r="H944">
        <x:v>47</x:v>
      </x:c>
      <x:c r="I944">
        <x:v>76</x:v>
      </x:c>
      <x:c r="J944">
        <x:v>78</x:v>
      </x:c>
      <x:c r="K944">
        <x:v>82</x:v>
      </x:c>
      <x:c r="L944">
        <x:v>48</x:v>
      </x:c>
      <x:c r="M944">
        <x:v>62</x:v>
      </x:c>
      <x:c r="N944">
        <x:v>48</x:v>
      </x:c>
      <x:c r="O944">
        <x:v>48</x:v>
      </x:c>
      <x:c r="P944">
        <x:v>59</x:v>
      </x:c>
      <x:c r="Q944">
        <x:v>56</x:v>
      </x:c>
      <x:c r="R944">
        <x:v>66</x:v>
      </x:c>
      <x:c r="S944">
        <x:v>66</x:v>
      </x:c>
      <x:c r="T944">
        <x:v>51</x:v>
      </x:c>
      <x:c r="U944">
        <x:v>52</x:v>
      </x:c>
    </x:row>
    <x:row r="945">
      <x:c r="A945" t="s">
        <x:v>1304</x:v>
      </x:c>
      <x:c r="C945" t="s">
        <x:v>358</x:v>
      </x:c>
      <x:c r="D945">
        <x:v>8476907</x:v>
      </x:c>
      <x:c r="E945">
        <x:v>67</x:v>
      </x:c>
      <x:c r="F945">
        <x:v>40</x:v>
      </x:c>
      <x:c r="G945">
        <x:v>85</x:v>
      </x:c>
      <x:c r="H945">
        <x:v>42</x:v>
      </x:c>
      <x:c r="I945">
        <x:v>80</x:v>
      </x:c>
      <x:c r="J945">
        <x:v>77</x:v>
      </x:c>
      <x:c r="K945">
        <x:v>79</x:v>
      </x:c>
      <x:c r="L945">
        <x:v>43</x:v>
      </x:c>
      <x:c r="M945">
        <x:v>55</x:v>
      </x:c>
      <x:c r="N945">
        <x:v>48</x:v>
      </x:c>
      <x:c r="O945">
        <x:v>49</x:v>
      </x:c>
      <x:c r="P945">
        <x:v>66</x:v>
      </x:c>
      <x:c r="Q945">
        <x:v>64</x:v>
      </x:c>
      <x:c r="R945">
        <x:v>76</x:v>
      </x:c>
      <x:c r="S945">
        <x:v>75</x:v>
      </x:c>
      <x:c r="T945">
        <x:v>51</x:v>
      </x:c>
      <x:c r="U945">
        <x:v>52</x:v>
      </x:c>
    </x:row>
    <x:row r="946">
      <x:c r="A946" t="s">
        <x:v>1305</x:v>
      </x:c>
      <x:c r="C946" t="s">
        <x:v>331</x:v>
      </x:c>
      <x:c r="D946">
        <x:v>8483521</x:v>
      </x:c>
      <x:c r="E946">
        <x:v>78</x:v>
      </x:c>
      <x:c r="F946">
        <x:v>36</x:v>
      </x:c>
      <x:c r="G946">
        <x:v>86</x:v>
      </x:c>
      <x:c r="H946">
        <x:v>31</x:v>
      </x:c>
      <x:c r="I946">
        <x:v>87</x:v>
      </x:c>
      <x:c r="J946">
        <x:v>84</x:v>
      </x:c>
      <x:c r="K946">
        <x:v>87</x:v>
      </x:c>
      <x:c r="L946">
        <x:v>32</x:v>
      </x:c>
      <x:c r="M946">
        <x:v>30</x:v>
      </x:c>
      <x:c r="N946">
        <x:v>42</x:v>
      </x:c>
      <x:c r="O946">
        <x:v>39</x:v>
      </x:c>
      <x:c r="P946">
        <x:v>67</x:v>
      </x:c>
      <x:c r="Q946">
        <x:v>45</x:v>
      </x:c>
      <x:c r="R946">
        <x:v>66</x:v>
      </x:c>
      <x:c r="S946">
        <x:v>67</x:v>
      </x:c>
      <x:c r="T946">
        <x:v>51</x:v>
      </x:c>
      <x:c r="U946">
        <x:v>52</x:v>
      </x:c>
    </x:row>
    <x:row r="947">
      <x:c r="A947" t="s">
        <x:v>1306</x:v>
      </x:c>
      <x:c r="B947" t="s">
        <x:v>584</x:v>
      </x:c>
      <x:c r="C947" t="s">
        <x:v>326</x:v>
      </x:c>
      <x:c r="D947">
        <x:v>8477392</x:v>
      </x:c>
      <x:c r="E947">
        <x:v>65</x:v>
      </x:c>
      <x:c r="F947">
        <x:v>33</x:v>
      </x:c>
      <x:c r="G947">
        <x:v>92</x:v>
      </x:c>
      <x:c r="H947">
        <x:v>40</x:v>
      </x:c>
      <x:c r="I947">
        <x:v>85</x:v>
      </x:c>
      <x:c r="J947">
        <x:v>84</x:v>
      </x:c>
      <x:c r="K947">
        <x:v>87</x:v>
      </x:c>
      <x:c r="L947">
        <x:v>40</x:v>
      </x:c>
      <x:c r="M947">
        <x:v>64</x:v>
      </x:c>
      <x:c r="N947">
        <x:v>48</x:v>
      </x:c>
      <x:c r="O947">
        <x:v>48</x:v>
      </x:c>
      <x:c r="P947">
        <x:v>61</x:v>
      </x:c>
      <x:c r="Q947">
        <x:v>61</x:v>
      </x:c>
      <x:c r="R947">
        <x:v>80</x:v>
      </x:c>
      <x:c r="S947">
        <x:v>73</x:v>
      </x:c>
      <x:c r="T947">
        <x:v>51</x:v>
      </x:c>
      <x:c r="U947">
        <x:v>52</x:v>
      </x:c>
    </x:row>
    <x:row r="948">
      <x:c r="A948" t="s">
        <x:v>1307</x:v>
      </x:c>
      <x:c r="C948" t="s">
        <x:v>326</x:v>
      </x:c>
      <x:c r="D948">
        <x:v>8482103</x:v>
      </x:c>
      <x:c r="E948">
        <x:v>79</x:v>
      </x:c>
      <x:c r="F948">
        <x:v>72</x:v>
      </x:c>
      <x:c r="G948">
        <x:v>78</x:v>
      </x:c>
      <x:c r="H948">
        <x:v>47</x:v>
      </x:c>
      <x:c r="I948">
        <x:v>75</x:v>
      </x:c>
      <x:c r="J948">
        <x:v>83</x:v>
      </x:c>
      <x:c r="K948">
        <x:v>74</x:v>
      </x:c>
      <x:c r="L948">
        <x:v>48</x:v>
      </x:c>
      <x:c r="M948">
        <x:v>65</x:v>
      </x:c>
      <x:c r="N948">
        <x:v>48</x:v>
      </x:c>
      <x:c r="O948">
        <x:v>46</x:v>
      </x:c>
      <x:c r="P948">
        <x:v>64</x:v>
      </x:c>
      <x:c r="Q948">
        <x:v>74</x:v>
      </x:c>
      <x:c r="R948">
        <x:v>67</x:v>
      </x:c>
      <x:c r="S948">
        <x:v>67</x:v>
      </x:c>
      <x:c r="T948">
        <x:v>51</x:v>
      </x:c>
      <x:c r="U948">
        <x:v>52</x:v>
      </x:c>
    </x:row>
    <x:row r="949">
      <x:c r="A949" t="s">
        <x:v>1308</x:v>
      </x:c>
      <x:c r="C949" t="s">
        <x:v>331</x:v>
      </x:c>
      <x:c r="D949">
        <x:v>8480828</x:v>
      </x:c>
      <x:c r="E949">
        <x:v>67</x:v>
      </x:c>
      <x:c r="F949">
        <x:v>75</x:v>
      </x:c>
      <x:c r="G949">
        <x:v>84</x:v>
      </x:c>
      <x:c r="H949">
        <x:v>34</x:v>
      </x:c>
      <x:c r="I949">
        <x:v>80</x:v>
      </x:c>
      <x:c r="J949">
        <x:v>85</x:v>
      </x:c>
      <x:c r="K949">
        <x:v>88</x:v>
      </x:c>
      <x:c r="L949">
        <x:v>35</x:v>
      </x:c>
      <x:c r="M949">
        <x:v>30</x:v>
      </x:c>
      <x:c r="N949">
        <x:v>47</x:v>
      </x:c>
      <x:c r="O949">
        <x:v>43</x:v>
      </x:c>
      <x:c r="P949">
        <x:v>72</x:v>
      </x:c>
      <x:c r="Q949">
        <x:v>48</x:v>
      </x:c>
      <x:c r="R949">
        <x:v>69</x:v>
      </x:c>
      <x:c r="S949">
        <x:v>69</x:v>
      </x:c>
      <x:c r="T949">
        <x:v>51</x:v>
      </x:c>
      <x:c r="U949">
        <x:v>52</x:v>
      </x:c>
    </x:row>
    <x:row r="950">
      <x:c r="A950" t="s">
        <x:v>1309</x:v>
      </x:c>
      <x:c r="C950" t="s">
        <x:v>331</x:v>
      </x:c>
      <x:c r="D950">
        <x:v>8483766</x:v>
      </x:c>
      <x:c r="E950">
        <x:v>70</x:v>
      </x:c>
      <x:c r="F950">
        <x:v>35</x:v>
      </x:c>
      <x:c r="G950">
        <x:v>90</x:v>
      </x:c>
      <x:c r="H950">
        <x:v>36</x:v>
      </x:c>
      <x:c r="I950">
        <x:v>79</x:v>
      </x:c>
      <x:c r="J950">
        <x:v>87</x:v>
      </x:c>
      <x:c r="K950">
        <x:v>89</x:v>
      </x:c>
      <x:c r="L950">
        <x:v>37</x:v>
      </x:c>
      <x:c r="M950">
        <x:v>30</x:v>
      </x:c>
      <x:c r="N950">
        <x:v>48</x:v>
      </x:c>
      <x:c r="O950">
        <x:v>42</x:v>
      </x:c>
      <x:c r="P950">
        <x:v>64</x:v>
      </x:c>
      <x:c r="Q950">
        <x:v>51</x:v>
      </x:c>
      <x:c r="R950">
        <x:v>66</x:v>
      </x:c>
      <x:c r="S950">
        <x:v>65</x:v>
      </x:c>
      <x:c r="T950">
        <x:v>51</x:v>
      </x:c>
      <x:c r="U950">
        <x:v>52</x:v>
      </x:c>
    </x:row>
    <x:row r="951">
      <x:c r="A951" t="s">
        <x:v>1310</x:v>
      </x:c>
      <x:c r="C951" t="s">
        <x:v>331</x:v>
      </x:c>
      <x:c r="D951">
        <x:v>8483666</x:v>
      </x:c>
      <x:c r="E951">
        <x:v>68</x:v>
      </x:c>
      <x:c r="F951">
        <x:v>36</x:v>
      </x:c>
      <x:c r="G951">
        <x:v>85</x:v>
      </x:c>
      <x:c r="H951">
        <x:v>34</x:v>
      </x:c>
      <x:c r="I951">
        <x:v>78</x:v>
      </x:c>
      <x:c r="J951">
        <x:v>78</x:v>
      </x:c>
      <x:c r="K951">
        <x:v>81</x:v>
      </x:c>
      <x:c r="L951">
        <x:v>34</x:v>
      </x:c>
      <x:c r="M951">
        <x:v>30</x:v>
      </x:c>
      <x:c r="N951">
        <x:v>43</x:v>
      </x:c>
      <x:c r="O951">
        <x:v>41</x:v>
      </x:c>
      <x:c r="P951">
        <x:v>69</x:v>
      </x:c>
      <x:c r="Q951">
        <x:v>47</x:v>
      </x:c>
      <x:c r="R951">
        <x:v>67</x:v>
      </x:c>
      <x:c r="S951">
        <x:v>68</x:v>
      </x:c>
      <x:c r="T951">
        <x:v>51</x:v>
      </x:c>
      <x:c r="U951">
        <x:v>52</x:v>
      </x:c>
    </x:row>
    <x:row r="952">
      <x:c r="A952" t="s">
        <x:v>1311</x:v>
      </x:c>
      <x:c r="C952" t="s">
        <x:v>339</x:v>
      </x:c>
      <x:c r="D952">
        <x:v>8482172</x:v>
      </x:c>
      <x:c r="E952">
        <x:v>69</x:v>
      </x:c>
      <x:c r="F952">
        <x:v>39</x:v>
      </x:c>
      <x:c r="G952">
        <x:v>87</x:v>
      </x:c>
      <x:c r="H952">
        <x:v>48</x:v>
      </x:c>
      <x:c r="I952">
        <x:v>76</x:v>
      </x:c>
      <x:c r="J952">
        <x:v>82</x:v>
      </x:c>
      <x:c r="K952">
        <x:v>80</x:v>
      </x:c>
      <x:c r="L952">
        <x:v>47</x:v>
      </x:c>
      <x:c r="M952">
        <x:v>66</x:v>
      </x:c>
      <x:c r="N952">
        <x:v>50</x:v>
      </x:c>
      <x:c r="O952">
        <x:v>50</x:v>
      </x:c>
      <x:c r="P952">
        <x:v>65</x:v>
      </x:c>
      <x:c r="Q952">
        <x:v>52</x:v>
      </x:c>
      <x:c r="R952">
        <x:v>68</x:v>
      </x:c>
      <x:c r="S952">
        <x:v>65</x:v>
      </x:c>
      <x:c r="T952">
        <x:v>47</x:v>
      </x:c>
      <x:c r="U952">
        <x:v>52</x:v>
      </x:c>
    </x:row>
    <x:row r="953">
      <x:c r="A953" t="s">
        <x:v>1312</x:v>
      </x:c>
      <x:c r="C953" t="s">
        <x:v>331</x:v>
      </x:c>
      <x:c r="D953">
        <x:v>8483764</x:v>
      </x:c>
      <x:c r="E953">
        <x:v>74</x:v>
      </x:c>
      <x:c r="F953">
        <x:v>38</x:v>
      </x:c>
      <x:c r="G953">
        <x:v>86</x:v>
      </x:c>
      <x:c r="H953">
        <x:v>34</x:v>
      </x:c>
      <x:c r="I953">
        <x:v>82</x:v>
      </x:c>
      <x:c r="J953">
        <x:v>78</x:v>
      </x:c>
      <x:c r="K953">
        <x:v>83</x:v>
      </x:c>
      <x:c r="L953">
        <x:v>33</x:v>
      </x:c>
      <x:c r="M953">
        <x:v>30</x:v>
      </x:c>
      <x:c r="N953">
        <x:v>43</x:v>
      </x:c>
      <x:c r="O953">
        <x:v>40</x:v>
      </x:c>
      <x:c r="P953">
        <x:v>67</x:v>
      </x:c>
      <x:c r="Q953">
        <x:v>47</x:v>
      </x:c>
      <x:c r="R953">
        <x:v>66</x:v>
      </x:c>
      <x:c r="S953">
        <x:v>65</x:v>
      </x:c>
      <x:c r="T953">
        <x:v>51</x:v>
      </x:c>
      <x:c r="U953">
        <x:v>52</x:v>
      </x:c>
    </x:row>
    <x:row r="954">
      <x:c r="A954" t="s">
        <x:v>1313</x:v>
      </x:c>
      <x:c r="C954" t="s">
        <x:v>358</x:v>
      </x:c>
      <x:c r="D954">
        <x:v>8482953</x:v>
      </x:c>
      <x:c r="E954">
        <x:v>67</x:v>
      </x:c>
      <x:c r="F954">
        <x:v>35</x:v>
      </x:c>
      <x:c r="G954">
        <x:v>84</x:v>
      </x:c>
      <x:c r="H954">
        <x:v>48</x:v>
      </x:c>
      <x:c r="I954">
        <x:v>78</x:v>
      </x:c>
      <x:c r="J954">
        <x:v>71</x:v>
      </x:c>
      <x:c r="K954">
        <x:v>81</x:v>
      </x:c>
      <x:c r="L954">
        <x:v>46</x:v>
      </x:c>
      <x:c r="M954">
        <x:v>62</x:v>
      </x:c>
      <x:c r="N954">
        <x:v>48</x:v>
      </x:c>
      <x:c r="O954">
        <x:v>48</x:v>
      </x:c>
      <x:c r="P954">
        <x:v>56</x:v>
      </x:c>
      <x:c r="Q954">
        <x:v>51</x:v>
      </x:c>
      <x:c r="R954">
        <x:v>69</x:v>
      </x:c>
      <x:c r="S954">
        <x:v>69</x:v>
      </x:c>
      <x:c r="T954">
        <x:v>51</x:v>
      </x:c>
      <x:c r="U954">
        <x:v>52</x:v>
      </x:c>
    </x:row>
    <x:row r="955">
      <x:c r="A955" t="s">
        <x:v>1314</x:v>
      </x:c>
      <x:c r="B955" t="s">
        <x:v>354</x:v>
      </x:c>
      <x:c r="C955" t="s">
        <x:v>331</x:v>
      </x:c>
      <x:c r="D955">
        <x:v>8481572</x:v>
      </x:c>
      <x:c r="E955">
        <x:v>67</x:v>
      </x:c>
      <x:c r="F955">
        <x:v>35</x:v>
      </x:c>
      <x:c r="G955">
        <x:v>85</x:v>
      </x:c>
      <x:c r="H955">
        <x:v>35</x:v>
      </x:c>
      <x:c r="I955">
        <x:v>76</x:v>
      </x:c>
      <x:c r="J955">
        <x:v>75</x:v>
      </x:c>
      <x:c r="K955">
        <x:v>77</x:v>
      </x:c>
      <x:c r="L955">
        <x:v>34</x:v>
      </x:c>
      <x:c r="M955">
        <x:v>30</x:v>
      </x:c>
      <x:c r="N955">
        <x:v>49</x:v>
      </x:c>
      <x:c r="O955">
        <x:v>43</x:v>
      </x:c>
      <x:c r="P955">
        <x:v>72</x:v>
      </x:c>
      <x:c r="Q955">
        <x:v>51</x:v>
      </x:c>
      <x:c r="R955">
        <x:v>69</x:v>
      </x:c>
      <x:c r="S955">
        <x:v>67</x:v>
      </x:c>
      <x:c r="T955">
        <x:v>51</x:v>
      </x:c>
      <x:c r="U955">
        <x:v>52</x:v>
      </x:c>
    </x:row>
    <x:row r="956">
      <x:c r="A956" t="s">
        <x:v>1315</x:v>
      </x:c>
      <x:c r="C956" t="s">
        <x:v>331</x:v>
      </x:c>
      <x:c r="D956">
        <x:v>8482711</x:v>
      </x:c>
      <x:c r="E956">
        <x:v>74</x:v>
      </x:c>
      <x:c r="F956">
        <x:v>34</x:v>
      </x:c>
      <x:c r="G956">
        <x:v>84</x:v>
      </x:c>
      <x:c r="H956">
        <x:v>33</x:v>
      </x:c>
      <x:c r="I956">
        <x:v>77</x:v>
      </x:c>
      <x:c r="J956">
        <x:v>81</x:v>
      </x:c>
      <x:c r="K956">
        <x:v>82</x:v>
      </x:c>
      <x:c r="L956">
        <x:v>34</x:v>
      </x:c>
      <x:c r="M956">
        <x:v>30</x:v>
      </x:c>
      <x:c r="N956">
        <x:v>43</x:v>
      </x:c>
      <x:c r="O956">
        <x:v>39</x:v>
      </x:c>
      <x:c r="P956">
        <x:v>67</x:v>
      </x:c>
      <x:c r="Q956">
        <x:v>46</x:v>
      </x:c>
      <x:c r="R956">
        <x:v>66</x:v>
      </x:c>
      <x:c r="S956">
        <x:v>65</x:v>
      </x:c>
      <x:c r="T956">
        <x:v>51</x:v>
      </x:c>
      <x:c r="U956">
        <x:v>52</x:v>
      </x:c>
    </x:row>
    <x:row r="957">
      <x:c r="A957" t="s">
        <x:v>1316</x:v>
      </x:c>
      <x:c r="C957" t="s">
        <x:v>358</x:v>
      </x:c>
      <x:c r="E957">
        <x:v>83</x:v>
      </x:c>
      <x:c r="F957">
        <x:v>45</x:v>
      </x:c>
      <x:c r="G957">
        <x:v>72</x:v>
      </x:c>
      <x:c r="H957">
        <x:v>39</x:v>
      </x:c>
      <x:c r="I957">
        <x:v>87</x:v>
      </x:c>
      <x:c r="J957">
        <x:v>86</x:v>
      </x:c>
      <x:c r="K957">
        <x:v>87</x:v>
      </x:c>
      <x:c r="L957">
        <x:v>40</x:v>
      </x:c>
      <x:c r="M957">
        <x:v>67</x:v>
      </x:c>
      <x:c r="N957">
        <x:v>43</x:v>
      </x:c>
      <x:c r="O957">
        <x:v>40</x:v>
      </x:c>
      <x:c r="P957">
        <x:v>68</x:v>
      </x:c>
      <x:c r="Q957">
        <x:v>61</x:v>
      </x:c>
      <x:c r="R957">
        <x:v>82</x:v>
      </x:c>
      <x:c r="S957">
        <x:v>81</x:v>
      </x:c>
      <x:c r="T957">
        <x:v>51</x:v>
      </x:c>
      <x:c r="U957">
        <x:v>52</x:v>
      </x:c>
    </x:row>
    <x:row r="958">
      <x:c r="A958" t="s">
        <x:v>1317</x:v>
      </x:c>
      <x:c r="C958" t="s">
        <x:v>331</x:v>
      </x:c>
      <x:c r="D958">
        <x:v>8481564</x:v>
      </x:c>
      <x:c r="E958">
        <x:v>70</x:v>
      </x:c>
      <x:c r="F958">
        <x:v>36</x:v>
      </x:c>
      <x:c r="G958">
        <x:v>82</x:v>
      </x:c>
      <x:c r="H958">
        <x:v>34</x:v>
      </x:c>
      <x:c r="I958">
        <x:v>79</x:v>
      </x:c>
      <x:c r="J958">
        <x:v>86</x:v>
      </x:c>
      <x:c r="K958">
        <x:v>87</x:v>
      </x:c>
      <x:c r="L958">
        <x:v>33</x:v>
      </x:c>
      <x:c r="M958">
        <x:v>30</x:v>
      </x:c>
      <x:c r="N958">
        <x:v>49</x:v>
      </x:c>
      <x:c r="O958">
        <x:v>44</x:v>
      </x:c>
      <x:c r="P958">
        <x:v>74</x:v>
      </x:c>
      <x:c r="Q958">
        <x:v>47</x:v>
      </x:c>
      <x:c r="R958">
        <x:v>68</x:v>
      </x:c>
      <x:c r="S958">
        <x:v>68</x:v>
      </x:c>
      <x:c r="T958">
        <x:v>51</x:v>
      </x:c>
      <x:c r="U958">
        <x:v>52</x:v>
      </x:c>
    </x:row>
    <x:row r="959">
      <x:c r="A959" t="s">
        <x:v>1318</x:v>
      </x:c>
      <x:c r="C959" t="s">
        <x:v>331</x:v>
      </x:c>
      <x:c r="D959">
        <x:v>8482499</x:v>
      </x:c>
      <x:c r="E959">
        <x:v>68</x:v>
      </x:c>
      <x:c r="F959">
        <x:v>43</x:v>
      </x:c>
      <x:c r="G959">
        <x:v>89</x:v>
      </x:c>
      <x:c r="H959">
        <x:v>35</x:v>
      </x:c>
      <x:c r="I959">
        <x:v>76</x:v>
      </x:c>
      <x:c r="J959">
        <x:v>79</x:v>
      </x:c>
      <x:c r="K959">
        <x:v>80</x:v>
      </x:c>
      <x:c r="L959">
        <x:v>34</x:v>
      </x:c>
      <x:c r="M959">
        <x:v>30</x:v>
      </x:c>
      <x:c r="N959">
        <x:v>46</x:v>
      </x:c>
      <x:c r="O959">
        <x:v>41</x:v>
      </x:c>
      <x:c r="P959">
        <x:v>67</x:v>
      </x:c>
      <x:c r="Q959">
        <x:v>49</x:v>
      </x:c>
      <x:c r="R959">
        <x:v>69</x:v>
      </x:c>
      <x:c r="S959">
        <x:v>68</x:v>
      </x:c>
      <x:c r="T959">
        <x:v>51</x:v>
      </x:c>
      <x:c r="U959">
        <x:v>52</x:v>
      </x:c>
    </x:row>
    <x:row r="960">
      <x:c r="A960" t="s">
        <x:v>1319</x:v>
      </x:c>
      <x:c r="C960" t="s">
        <x:v>331</x:v>
      </x:c>
      <x:c r="D960">
        <x:v>8478481</x:v>
      </x:c>
      <x:c r="E960">
        <x:v>62</x:v>
      </x:c>
      <x:c r="F960">
        <x:v>38</x:v>
      </x:c>
      <x:c r="G960">
        <x:v>86</x:v>
      </x:c>
      <x:c r="H960">
        <x:v>34</x:v>
      </x:c>
      <x:c r="I960">
        <x:v>79</x:v>
      </x:c>
      <x:c r="J960">
        <x:v>77</x:v>
      </x:c>
      <x:c r="K960">
        <x:v>79</x:v>
      </x:c>
      <x:c r="L960">
        <x:v>34</x:v>
      </x:c>
      <x:c r="M960">
        <x:v>30</x:v>
      </x:c>
      <x:c r="N960">
        <x:v>42</x:v>
      </x:c>
      <x:c r="O960">
        <x:v>40</x:v>
      </x:c>
      <x:c r="P960">
        <x:v>69</x:v>
      </x:c>
      <x:c r="Q960">
        <x:v>46</x:v>
      </x:c>
      <x:c r="R960">
        <x:v>71</x:v>
      </x:c>
      <x:c r="S960">
        <x:v>72</x:v>
      </x:c>
      <x:c r="T960">
        <x:v>51</x:v>
      </x:c>
      <x:c r="U960">
        <x:v>52</x:v>
      </x:c>
    </x:row>
    <x:row r="961">
      <x:c r="A961" t="s">
        <x:v>1320</x:v>
      </x:c>
      <x:c r="C961" t="s">
        <x:v>333</x:v>
      </x:c>
      <x:c r="D961">
        <x:v>8479328</x:v>
      </x:c>
      <x:c r="E961">
        <x:v>74</x:v>
      </x:c>
      <x:c r="F961">
        <x:v>42</x:v>
      </x:c>
      <x:c r="G961">
        <x:v>84</x:v>
      </x:c>
      <x:c r="H961">
        <x:v>42</x:v>
      </x:c>
      <x:c r="I961">
        <x:v>89</x:v>
      </x:c>
      <x:c r="J961">
        <x:v>74</x:v>
      </x:c>
      <x:c r="K961">
        <x:v>77</x:v>
      </x:c>
      <x:c r="L961">
        <x:v>42</x:v>
      </x:c>
      <x:c r="M961">
        <x:v>64</x:v>
      </x:c>
      <x:c r="N961">
        <x:v>48</x:v>
      </x:c>
      <x:c r="O961">
        <x:v>50</x:v>
      </x:c>
      <x:c r="P961">
        <x:v>63</x:v>
      </x:c>
      <x:c r="Q961">
        <x:v>63</x:v>
      </x:c>
      <x:c r="R961">
        <x:v>71</x:v>
      </x:c>
      <x:c r="S961">
        <x:v>71</x:v>
      </x:c>
      <x:c r="T961">
        <x:v>51</x:v>
      </x:c>
      <x:c r="U961">
        <x:v>52</x:v>
      </x:c>
    </x:row>
    <x:row r="962">
      <x:c r="A962" t="s">
        <x:v>1321</x:v>
      </x:c>
      <x:c r="C962" t="s">
        <x:v>331</x:v>
      </x:c>
      <x:c r="D962">
        <x:v>8485472</x:v>
      </x:c>
      <x:c r="E962">
        <x:v>85</x:v>
      </x:c>
      <x:c r="F962">
        <x:v>45</x:v>
      </x:c>
      <x:c r="G962">
        <x:v>75</x:v>
      </x:c>
      <x:c r="H962">
        <x:v>32</x:v>
      </x:c>
      <x:c r="I962">
        <x:v>87</x:v>
      </x:c>
      <x:c r="J962">
        <x:v>81</x:v>
      </x:c>
      <x:c r="K962">
        <x:v>85</x:v>
      </x:c>
      <x:c r="L962">
        <x:v>32</x:v>
      </x:c>
      <x:c r="M962">
        <x:v>30</x:v>
      </x:c>
      <x:c r="N962">
        <x:v>42</x:v>
      </x:c>
      <x:c r="O962">
        <x:v>40</x:v>
      </x:c>
      <x:c r="P962">
        <x:v>65</x:v>
      </x:c>
      <x:c r="Q962">
        <x:v>46</x:v>
      </x:c>
      <x:c r="R962">
        <x:v>66</x:v>
      </x:c>
      <x:c r="S962">
        <x:v>67</x:v>
      </x:c>
      <x:c r="T962">
        <x:v>51</x:v>
      </x:c>
      <x:c r="U962">
        <x:v>52</x:v>
      </x:c>
    </x:row>
    <x:row r="963">
      <x:c r="A963" t="s">
        <x:v>1322</x:v>
      </x:c>
      <x:c r="C963" t="s">
        <x:v>329</x:v>
      </x:c>
      <x:c r="D963">
        <x:v>8483567</x:v>
      </x:c>
      <x:c r="E963">
        <x:v>65</x:v>
      </x:c>
      <x:c r="F963">
        <x:v>36</x:v>
      </x:c>
      <x:c r="G963">
        <x:v>85</x:v>
      </x:c>
      <x:c r="H963">
        <x:v>48</x:v>
      </x:c>
      <x:c r="I963">
        <x:v>74</x:v>
      </x:c>
      <x:c r="J963">
        <x:v>91</x:v>
      </x:c>
      <x:c r="K963">
        <x:v>94</x:v>
      </x:c>
      <x:c r="L963">
        <x:v>47</x:v>
      </x:c>
      <x:c r="M963">
        <x:v>78</x:v>
      </x:c>
      <x:c r="N963">
        <x:v>51</x:v>
      </x:c>
      <x:c r="O963">
        <x:v>49</x:v>
      </x:c>
      <x:c r="P963">
        <x:v>59</x:v>
      </x:c>
      <x:c r="Q963">
        <x:v>70</x:v>
      </x:c>
      <x:c r="R963">
        <x:v>69</x:v>
      </x:c>
      <x:c r="S963">
        <x:v>68</x:v>
      </x:c>
      <x:c r="T963">
        <x:v>51</x:v>
      </x:c>
      <x:c r="U963">
        <x:v>52</x:v>
      </x:c>
    </x:row>
    <x:row r="964">
      <x:c r="A964" t="s">
        <x:v>1323</x:v>
      </x:c>
      <x:c r="B964" t="s">
        <x:v>584</x:v>
      </x:c>
      <x:c r="C964" t="s">
        <x:v>319</x:v>
      </x:c>
      <x:c r="D964">
        <x:v>8476391</x:v>
      </x:c>
      <x:c r="E964">
        <x:v>63</x:v>
      </x:c>
      <x:c r="F964">
        <x:v>34</x:v>
      </x:c>
      <x:c r="G964">
        <x:v>81</x:v>
      </x:c>
      <x:c r="H964">
        <x:v>46</x:v>
      </x:c>
      <x:c r="I964">
        <x:v>72</x:v>
      </x:c>
      <x:c r="J964">
        <x:v>89</x:v>
      </x:c>
      <x:c r="K964">
        <x:v>92</x:v>
      </x:c>
      <x:c r="L964">
        <x:v>45</x:v>
      </x:c>
      <x:c r="M964">
        <x:v>84</x:v>
      </x:c>
      <x:c r="N964">
        <x:v>53</x:v>
      </x:c>
      <x:c r="O964">
        <x:v>46</x:v>
      </x:c>
      <x:c r="P964">
        <x:v>65</x:v>
      </x:c>
      <x:c r="Q964">
        <x:v>70</x:v>
      </x:c>
      <x:c r="R964">
        <x:v>80</x:v>
      </x:c>
      <x:c r="S964">
        <x:v>79</x:v>
      </x:c>
      <x:c r="T964">
        <x:v>51</x:v>
      </x:c>
      <x:c r="U964">
        <x:v>52</x:v>
      </x:c>
    </x:row>
    <x:row r="965">
      <x:c r="A965" t="s">
        <x:v>1324</x:v>
      </x:c>
      <x:c r="C965" t="s">
        <x:v>319</x:v>
      </x:c>
      <x:c r="D965">
        <x:v>8480876</x:v>
      </x:c>
      <x:c r="E965">
        <x:v>69</x:v>
      </x:c>
      <x:c r="F965">
        <x:v>95</x:v>
      </x:c>
      <x:c r="G965">
        <x:v>70</x:v>
      </x:c>
      <x:c r="H965">
        <x:v>47</x:v>
      </x:c>
      <x:c r="I965">
        <x:v>95</x:v>
      </x:c>
      <x:c r="J965">
        <x:v>78</x:v>
      </x:c>
      <x:c r="K965">
        <x:v>78</x:v>
      </x:c>
      <x:c r="L965">
        <x:v>46</x:v>
      </x:c>
      <x:c r="M965">
        <x:v>70</x:v>
      </x:c>
      <x:c r="N965">
        <x:v>48</x:v>
      </x:c>
      <x:c r="O965">
        <x:v>47</x:v>
      </x:c>
      <x:c r="P965">
        <x:v>60</x:v>
      </x:c>
      <x:c r="Q965">
        <x:v>55</x:v>
      </x:c>
      <x:c r="R965">
        <x:v>69</x:v>
      </x:c>
      <x:c r="S965">
        <x:v>68</x:v>
      </x:c>
      <x:c r="T965">
        <x:v>51</x:v>
      </x:c>
      <x:c r="U965">
        <x:v>52</x:v>
      </x:c>
    </x:row>
    <x:row r="966">
      <x:c r="A966" t="s">
        <x:v>1325</x:v>
      </x:c>
      <x:c r="C966" t="s">
        <x:v>331</x:v>
      </x:c>
      <x:c r="D966">
        <x:v>8482171</x:v>
      </x:c>
      <x:c r="E966">
        <x:v>79</x:v>
      </x:c>
      <x:c r="F966">
        <x:v>36</x:v>
      </x:c>
      <x:c r="G966">
        <x:v>88</x:v>
      </x:c>
      <x:c r="H966">
        <x:v>34</x:v>
      </x:c>
      <x:c r="I966">
        <x:v>83</x:v>
      </x:c>
      <x:c r="J966">
        <x:v>88</x:v>
      </x:c>
      <x:c r="K966">
        <x:v>91</x:v>
      </x:c>
      <x:c r="L966">
        <x:v>33</x:v>
      </x:c>
      <x:c r="M966">
        <x:v>30</x:v>
      </x:c>
      <x:c r="N966">
        <x:v>44</x:v>
      </x:c>
      <x:c r="O966">
        <x:v>39</x:v>
      </x:c>
      <x:c r="P966">
        <x:v>66</x:v>
      </x:c>
      <x:c r="Q966">
        <x:v>47</x:v>
      </x:c>
      <x:c r="R966">
        <x:v>67</x:v>
      </x:c>
      <x:c r="S966">
        <x:v>66</x:v>
      </x:c>
      <x:c r="T966">
        <x:v>51</x:v>
      </x:c>
      <x:c r="U966">
        <x:v>52</x:v>
      </x:c>
    </x:row>
    <x:row r="967">
      <x:c r="A967" t="s">
        <x:v>1326</x:v>
      </x:c>
      <x:c r="C967" t="s">
        <x:v>331</x:v>
      </x:c>
      <x:c r="D967">
        <x:v>8484464</x:v>
      </x:c>
      <x:c r="E967">
        <x:v>80</x:v>
      </x:c>
      <x:c r="F967">
        <x:v>41</x:v>
      </x:c>
      <x:c r="G967">
        <x:v>83</x:v>
      </x:c>
      <x:c r="H967">
        <x:v>33</x:v>
      </x:c>
      <x:c r="I967">
        <x:v>82</x:v>
      </x:c>
      <x:c r="J967">
        <x:v>88</x:v>
      </x:c>
      <x:c r="K967">
        <x:v>92</x:v>
      </x:c>
      <x:c r="L967">
        <x:v>34</x:v>
      </x:c>
      <x:c r="M967">
        <x:v>30</x:v>
      </x:c>
      <x:c r="N967">
        <x:v>44</x:v>
      </x:c>
      <x:c r="O967">
        <x:v>40</x:v>
      </x:c>
      <x:c r="P967">
        <x:v>67</x:v>
      </x:c>
      <x:c r="Q967">
        <x:v>47</x:v>
      </x:c>
      <x:c r="R967">
        <x:v>65</x:v>
      </x:c>
      <x:c r="S967">
        <x:v>65</x:v>
      </x:c>
      <x:c r="T967">
        <x:v>51</x:v>
      </x:c>
      <x:c r="U967">
        <x:v>52</x:v>
      </x:c>
    </x:row>
    <x:row r="968">
      <x:c r="A968" t="s">
        <x:v>1327</x:v>
      </x:c>
      <x:c r="C968" t="s">
        <x:v>331</x:v>
      </x:c>
      <x:c r="D968">
        <x:v>8481569</x:v>
      </x:c>
      <x:c r="E968">
        <x:v>68</x:v>
      </x:c>
      <x:c r="F968">
        <x:v>39</x:v>
      </x:c>
      <x:c r="G968">
        <x:v>83</x:v>
      </x:c>
      <x:c r="H968">
        <x:v>35</x:v>
      </x:c>
      <x:c r="I968">
        <x:v>77</x:v>
      </x:c>
      <x:c r="J968">
        <x:v>84</x:v>
      </x:c>
      <x:c r="K968">
        <x:v>88</x:v>
      </x:c>
      <x:c r="L968">
        <x:v>36</x:v>
      </x:c>
      <x:c r="M968">
        <x:v>30</x:v>
      </x:c>
      <x:c r="N968">
        <x:v>48</x:v>
      </x:c>
      <x:c r="O968">
        <x:v>41</x:v>
      </x:c>
      <x:c r="P968">
        <x:v>64</x:v>
      </x:c>
      <x:c r="Q968">
        <x:v>49</x:v>
      </x:c>
      <x:c r="R968">
        <x:v>68</x:v>
      </x:c>
      <x:c r="S968">
        <x:v>69</x:v>
      </x:c>
      <x:c r="T968">
        <x:v>51</x:v>
      </x:c>
      <x:c r="U968">
        <x:v>52</x:v>
      </x:c>
    </x:row>
    <x:row r="969">
      <x:c r="A969" t="s">
        <x:v>1328</x:v>
      </x:c>
      <x:c r="C969" t="s">
        <x:v>331</x:v>
      </x:c>
      <x:c r="D969">
        <x:v>8483687</x:v>
      </x:c>
      <x:c r="E969">
        <x:v>78</x:v>
      </x:c>
      <x:c r="F969">
        <x:v>42</x:v>
      </x:c>
      <x:c r="G969">
        <x:v>83</x:v>
      </x:c>
      <x:c r="H969">
        <x:v>33</x:v>
      </x:c>
      <x:c r="I969">
        <x:v>82</x:v>
      </x:c>
      <x:c r="J969">
        <x:v>82</x:v>
      </x:c>
      <x:c r="K969">
        <x:v>85</x:v>
      </x:c>
      <x:c r="L969">
        <x:v>33</x:v>
      </x:c>
      <x:c r="M969">
        <x:v>30</x:v>
      </x:c>
      <x:c r="N969">
        <x:v>42</x:v>
      </x:c>
      <x:c r="O969">
        <x:v>40</x:v>
      </x:c>
      <x:c r="P969">
        <x:v>69</x:v>
      </x:c>
      <x:c r="Q969">
        <x:v>46</x:v>
      </x:c>
      <x:c r="R969">
        <x:v>66</x:v>
      </x:c>
      <x:c r="S969">
        <x:v>67</x:v>
      </x:c>
      <x:c r="T969">
        <x:v>51</x:v>
      </x:c>
      <x:c r="U969">
        <x:v>52</x:v>
      </x:c>
    </x:row>
    <x:row r="970">
      <x:c r="A970" t="s">
        <x:v>1329</x:v>
      </x:c>
      <x:c r="C970" t="s">
        <x:v>331</x:v>
      </x:c>
      <x:c r="D970">
        <x:v>8477972</x:v>
      </x:c>
      <x:c r="E970">
        <x:v>73</x:v>
      </x:c>
      <x:c r="F970">
        <x:v>44</x:v>
      </x:c>
      <x:c r="G970">
        <x:v>88</x:v>
      </x:c>
      <x:c r="H970">
        <x:v>34</x:v>
      </x:c>
      <x:c r="I970">
        <x:v>86</x:v>
      </x:c>
      <x:c r="J970">
        <x:v>74</x:v>
      </x:c>
      <x:c r="K970">
        <x:v>77</x:v>
      </x:c>
      <x:c r="L970">
        <x:v>34</x:v>
      </x:c>
      <x:c r="M970">
        <x:v>30</x:v>
      </x:c>
      <x:c r="N970">
        <x:v>43</x:v>
      </x:c>
      <x:c r="O970">
        <x:v>40</x:v>
      </x:c>
      <x:c r="P970">
        <x:v>66</x:v>
      </x:c>
      <x:c r="Q970">
        <x:v>46</x:v>
      </x:c>
      <x:c r="R970">
        <x:v>72</x:v>
      </x:c>
      <x:c r="S970">
        <x:v>72</x:v>
      </x:c>
      <x:c r="T970">
        <x:v>51</x:v>
      </x:c>
      <x:c r="U970">
        <x:v>52</x:v>
      </x:c>
    </x:row>
    <x:row r="971">
      <x:c r="A971" t="s">
        <x:v>1330</x:v>
      </x:c>
      <x:c r="C971" t="s">
        <x:v>329</x:v>
      </x:c>
      <x:c r="D971">
        <x:v>8482765</x:v>
      </x:c>
      <x:c r="E971">
        <x:v>57</x:v>
      </x:c>
      <x:c r="F971">
        <x:v>31</x:v>
      </x:c>
      <x:c r="G971">
        <x:v>95</x:v>
      </x:c>
      <x:c r="H971">
        <x:v>49</x:v>
      </x:c>
      <x:c r="I971">
        <x:v>75</x:v>
      </x:c>
      <x:c r="J971">
        <x:v>84</x:v>
      </x:c>
      <x:c r="K971">
        <x:v>91</x:v>
      </x:c>
      <x:c r="L971">
        <x:v>51</x:v>
      </x:c>
      <x:c r="M971">
        <x:v>66</x:v>
      </x:c>
      <x:c r="N971">
        <x:v>48</x:v>
      </x:c>
      <x:c r="O971">
        <x:v>52</x:v>
      </x:c>
      <x:c r="P971">
        <x:v>60</x:v>
      </x:c>
      <x:c r="Q971">
        <x:v>57</x:v>
      </x:c>
      <x:c r="R971">
        <x:v>66</x:v>
      </x:c>
      <x:c r="S971">
        <x:v>67</x:v>
      </x:c>
      <x:c r="T971">
        <x:v>51</x:v>
      </x:c>
      <x:c r="U971">
        <x:v>52</x:v>
      </x:c>
    </x:row>
    <x:row r="972">
      <x:c r="A972" t="s">
        <x:v>1331</x:v>
      </x:c>
      <x:c r="C972" t="s">
        <x:v>319</x:v>
      </x:c>
      <x:c r="D972">
        <x:v>8483428</x:v>
      </x:c>
      <x:c r="E972">
        <x:v>68</x:v>
      </x:c>
      <x:c r="F972">
        <x:v>31</x:v>
      </x:c>
      <x:c r="G972">
        <x:v>86</x:v>
      </x:c>
      <x:c r="H972">
        <x:v>47</x:v>
      </x:c>
      <x:c r="I972">
        <x:v>84</x:v>
      </x:c>
      <x:c r="J972">
        <x:v>84</x:v>
      </x:c>
      <x:c r="K972">
        <x:v>88</x:v>
      </x:c>
      <x:c r="L972">
        <x:v>48</x:v>
      </x:c>
      <x:c r="M972">
        <x:v>70</x:v>
      </x:c>
      <x:c r="N972">
        <x:v>50</x:v>
      </x:c>
      <x:c r="O972">
        <x:v>46</x:v>
      </x:c>
      <x:c r="P972">
        <x:v>63</x:v>
      </x:c>
      <x:c r="Q972">
        <x:v>70</x:v>
      </x:c>
      <x:c r="R972">
        <x:v>66</x:v>
      </x:c>
      <x:c r="S972">
        <x:v>66</x:v>
      </x:c>
      <x:c r="T972">
        <x:v>51</x:v>
      </x:c>
      <x:c r="U972">
        <x:v>52</x:v>
      </x:c>
    </x:row>
    <x:row r="973">
      <x:c r="A973" t="s">
        <x:v>1332</x:v>
      </x:c>
      <x:c r="C973" t="s">
        <x:v>333</x:v>
      </x:c>
      <x:c r="D973">
        <x:v>8476924</x:v>
      </x:c>
      <x:c r="E973">
        <x:v>63</x:v>
      </x:c>
      <x:c r="F973">
        <x:v>45</x:v>
      </x:c>
      <x:c r="G973">
        <x:v>77</x:v>
      </x:c>
      <x:c r="H973">
        <x:v>46</x:v>
      </x:c>
      <x:c r="I973">
        <x:v>80</x:v>
      </x:c>
      <x:c r="J973">
        <x:v>88</x:v>
      </x:c>
      <x:c r="K973">
        <x:v>91</x:v>
      </x:c>
      <x:c r="L973">
        <x:v>45</x:v>
      </x:c>
      <x:c r="M973">
        <x:v>65</x:v>
      </x:c>
      <x:c r="N973">
        <x:v>48</x:v>
      </x:c>
      <x:c r="O973">
        <x:v>49</x:v>
      </x:c>
      <x:c r="P973">
        <x:v>62</x:v>
      </x:c>
      <x:c r="Q973">
        <x:v>71</x:v>
      </x:c>
      <x:c r="R973">
        <x:v>78</x:v>
      </x:c>
      <x:c r="S973">
        <x:v>78</x:v>
      </x:c>
      <x:c r="T973">
        <x:v>51</x:v>
      </x:c>
      <x:c r="U973">
        <x:v>52</x:v>
      </x:c>
    </x:row>
    <x:row r="974">
      <x:c r="A974" t="s">
        <x:v>1333</x:v>
      </x:c>
      <x:c r="C974" t="s">
        <x:v>331</x:v>
      </x:c>
      <x:c r="D974">
        <x:v>8478408</x:v>
      </x:c>
      <x:c r="E974">
        <x:v>67</x:v>
      </x:c>
      <x:c r="F974">
        <x:v>35</x:v>
      </x:c>
      <x:c r="G974">
        <x:v>84</x:v>
      </x:c>
      <x:c r="H974">
        <x:v>34</x:v>
      </x:c>
      <x:c r="I974">
        <x:v>80</x:v>
      </x:c>
      <x:c r="J974">
        <x:v>70</x:v>
      </x:c>
      <x:c r="K974">
        <x:v>69</x:v>
      </x:c>
      <x:c r="L974">
        <x:v>34</x:v>
      </x:c>
      <x:c r="M974">
        <x:v>30</x:v>
      </x:c>
      <x:c r="N974">
        <x:v>47</x:v>
      </x:c>
      <x:c r="O974">
        <x:v>44</x:v>
      </x:c>
      <x:c r="P974">
        <x:v>73</x:v>
      </x:c>
      <x:c r="Q974">
        <x:v>46</x:v>
      </x:c>
      <x:c r="R974">
        <x:v>77</x:v>
      </x:c>
      <x:c r="S974">
        <x:v>73</x:v>
      </x:c>
      <x:c r="T974">
        <x:v>51</x:v>
      </x:c>
      <x:c r="U974">
        <x:v>52</x:v>
      </x:c>
    </x:row>
    <x:row r="975">
      <x:c r="A975" t="s">
        <x:v>1334</x:v>
      </x:c>
      <x:c r="B975" t="s">
        <x:v>584</x:v>
      </x:c>
      <x:c r="C975" t="s">
        <x:v>319</x:v>
      </x:c>
      <x:c r="D975">
        <x:v>8478409</x:v>
      </x:c>
      <x:c r="E975">
        <x:v>63</x:v>
      </x:c>
      <x:c r="F975">
        <x:v>37</x:v>
      </x:c>
      <x:c r="G975">
        <x:v>84</x:v>
      </x:c>
      <x:c r="H975">
        <x:v>47</x:v>
      </x:c>
      <x:c r="I975">
        <x:v>75</x:v>
      </x:c>
      <x:c r="J975">
        <x:v>86</x:v>
      </x:c>
      <x:c r="K975">
        <x:v>90</x:v>
      </x:c>
      <x:c r="L975">
        <x:v>46</x:v>
      </x:c>
      <x:c r="M975">
        <x:v>68</x:v>
      </x:c>
      <x:c r="N975">
        <x:v>52</x:v>
      </x:c>
      <x:c r="O975">
        <x:v>51</x:v>
      </x:c>
      <x:c r="P975">
        <x:v>62</x:v>
      </x:c>
      <x:c r="Q975">
        <x:v>69</x:v>
      </x:c>
      <x:c r="R975">
        <x:v>77</x:v>
      </x:c>
      <x:c r="S975">
        <x:v>72</x:v>
      </x:c>
      <x:c r="T975">
        <x:v>40</x:v>
      </x:c>
      <x:c r="U975">
        <x:v>52</x:v>
      </x:c>
    </x:row>
    <x:row r="976">
      <x:c r="A976" t="s">
        <x:v>1335</x:v>
      </x:c>
      <x:c r="C976" t="s">
        <x:v>358</x:v>
      </x:c>
      <x:c r="D976">
        <x:v>8482132</x:v>
      </x:c>
      <x:c r="E976">
        <x:v>68</x:v>
      </x:c>
      <x:c r="F976">
        <x:v>32</x:v>
      </x:c>
      <x:c r="G976">
        <x:v>85</x:v>
      </x:c>
      <x:c r="H976">
        <x:v>48</x:v>
      </x:c>
      <x:c r="I976">
        <x:v>73</x:v>
      </x:c>
      <x:c r="J976">
        <x:v>80</x:v>
      </x:c>
      <x:c r="K976">
        <x:v>79</x:v>
      </x:c>
      <x:c r="L976">
        <x:v>48</x:v>
      </x:c>
      <x:c r="M976">
        <x:v>62</x:v>
      </x:c>
      <x:c r="N976">
        <x:v>49</x:v>
      </x:c>
      <x:c r="O976">
        <x:v>50</x:v>
      </x:c>
      <x:c r="P976">
        <x:v>61</x:v>
      </x:c>
      <x:c r="Q976">
        <x:v>52</x:v>
      </x:c>
      <x:c r="R976">
        <x:v>67</x:v>
      </x:c>
      <x:c r="S976">
        <x:v>67</x:v>
      </x:c>
      <x:c r="T976">
        <x:v>51</x:v>
      </x:c>
      <x:c r="U976">
        <x:v>52</x:v>
      </x:c>
    </x:row>
    <x:row r="977">
      <x:c r="A977" t="s">
        <x:v>1336</x:v>
      </x:c>
      <x:c r="C977" t="s">
        <x:v>319</x:v>
      </x:c>
      <x:c r="D977">
        <x:v>8482623</x:v>
      </x:c>
      <x:c r="E977">
        <x:v>67</x:v>
      </x:c>
      <x:c r="F977">
        <x:v>75</x:v>
      </x:c>
      <x:c r="G977">
        <x:v>78</x:v>
      </x:c>
      <x:c r="H977">
        <x:v>47</x:v>
      </x:c>
      <x:c r="I977">
        <x:v>85</x:v>
      </x:c>
      <x:c r="J977">
        <x:v>81</x:v>
      </x:c>
      <x:c r="K977">
        <x:v>71</x:v>
      </x:c>
      <x:c r="L977">
        <x:v>47</x:v>
      </x:c>
      <x:c r="M977">
        <x:v>82</x:v>
      </x:c>
      <x:c r="N977">
        <x:v>49</x:v>
      </x:c>
      <x:c r="O977">
        <x:v>49</x:v>
      </x:c>
      <x:c r="P977">
        <x:v>62</x:v>
      </x:c>
      <x:c r="Q977">
        <x:v>55</x:v>
      </x:c>
      <x:c r="R977">
        <x:v>70</x:v>
      </x:c>
      <x:c r="S977">
        <x:v>70</x:v>
      </x:c>
      <x:c r="T977">
        <x:v>51</x:v>
      </x:c>
      <x:c r="U977">
        <x:v>52</x:v>
      </x:c>
    </x:row>
    <x:row r="978">
      <x:c r="A978" t="s">
        <x:v>1337</x:v>
      </x:c>
      <x:c r="C978" t="s">
        <x:v>331</x:v>
      </x:c>
      <x:c r="D978">
        <x:v>8483829</x:v>
      </x:c>
      <x:c r="E978">
        <x:v>79</x:v>
      </x:c>
      <x:c r="F978">
        <x:v>34</x:v>
      </x:c>
      <x:c r="G978">
        <x:v>71</x:v>
      </x:c>
      <x:c r="H978">
        <x:v>32</x:v>
      </x:c>
      <x:c r="I978">
        <x:v>82</x:v>
      </x:c>
      <x:c r="J978">
        <x:v>81</x:v>
      </x:c>
      <x:c r="K978">
        <x:v>85</x:v>
      </x:c>
      <x:c r="L978">
        <x:v>32</x:v>
      </x:c>
      <x:c r="M978">
        <x:v>30</x:v>
      </x:c>
      <x:c r="N978">
        <x:v>42</x:v>
      </x:c>
      <x:c r="O978">
        <x:v>40</x:v>
      </x:c>
      <x:c r="P978">
        <x:v>67</x:v>
      </x:c>
      <x:c r="Q978">
        <x:v>46</x:v>
      </x:c>
      <x:c r="R978">
        <x:v>66</x:v>
      </x:c>
      <x:c r="S978">
        <x:v>67</x:v>
      </x:c>
      <x:c r="T978">
        <x:v>51</x:v>
      </x:c>
      <x:c r="U978">
        <x:v>52</x:v>
      </x:c>
    </x:row>
    <x:row r="979">
      <x:c r="A979" t="s">
        <x:v>1338</x:v>
      </x:c>
      <x:c r="C979" t="s">
        <x:v>319</x:v>
      </x:c>
      <x:c r="D979">
        <x:v>8481726</x:v>
      </x:c>
      <x:c r="E979">
        <x:v>73</x:v>
      </x:c>
      <x:c r="F979">
        <x:v>45</x:v>
      </x:c>
      <x:c r="G979">
        <x:v>93</x:v>
      </x:c>
      <x:c r="H979">
        <x:v>46</x:v>
      </x:c>
      <x:c r="I979">
        <x:v>94</x:v>
      </x:c>
      <x:c r="J979">
        <x:v>79</x:v>
      </x:c>
      <x:c r="K979">
        <x:v>67</x:v>
      </x:c>
      <x:c r="L979">
        <x:v>47</x:v>
      </x:c>
      <x:c r="M979">
        <x:v>68</x:v>
      </x:c>
      <x:c r="N979">
        <x:v>49</x:v>
      </x:c>
      <x:c r="O979">
        <x:v>51</x:v>
      </x:c>
      <x:c r="P979">
        <x:v>63</x:v>
      </x:c>
      <x:c r="Q979">
        <x:v>52</x:v>
      </x:c>
      <x:c r="R979">
        <x:v>70</x:v>
      </x:c>
      <x:c r="S979">
        <x:v>68</x:v>
      </x:c>
      <x:c r="T979">
        <x:v>51</x:v>
      </x:c>
      <x:c r="U979">
        <x:v>52</x:v>
      </x:c>
    </x:row>
    <x:row r="980">
      <x:c r="A980" t="s">
        <x:v>1339</x:v>
      </x:c>
      <x:c r="B980" t="s">
        <x:v>348</x:v>
      </x:c>
      <x:c r="C980" t="s">
        <x:v>323</x:v>
      </x:c>
      <x:c r="D980">
        <x:v>8484135</x:v>
      </x:c>
      <x:c r="E980">
        <x:v>70</x:v>
      </x:c>
      <x:c r="F980">
        <x:v>33</x:v>
      </x:c>
      <x:c r="G980">
        <x:v>87</x:v>
      </x:c>
      <x:c r="H980">
        <x:v>48</x:v>
      </x:c>
      <x:c r="I980">
        <x:v>76</x:v>
      </x:c>
      <x:c r="J980">
        <x:v>80</x:v>
      </x:c>
      <x:c r="K980">
        <x:v>86</x:v>
      </x:c>
      <x:c r="L980">
        <x:v>47</x:v>
      </x:c>
      <x:c r="M980">
        <x:v>79</x:v>
      </x:c>
      <x:c r="N980">
        <x:v>48</x:v>
      </x:c>
      <x:c r="O980">
        <x:v>47</x:v>
      </x:c>
      <x:c r="P980">
        <x:v>64</x:v>
      </x:c>
      <x:c r="Q980">
        <x:v>55</x:v>
      </x:c>
      <x:c r="R980">
        <x:v>69</x:v>
      </x:c>
      <x:c r="S980">
        <x:v>70</x:v>
      </x:c>
      <x:c r="T980">
        <x:v>51</x:v>
      </x:c>
      <x:c r="U980">
        <x:v>52</x:v>
      </x:c>
    </x:row>
    <x:row r="981">
      <x:c r="A981" t="s">
        <x:v>1340</x:v>
      </x:c>
      <x:c r="C981" t="s">
        <x:v>331</x:v>
      </x:c>
      <x:c r="D981">
        <x:v>8483712</x:v>
      </x:c>
      <x:c r="E981">
        <x:v>74</x:v>
      </x:c>
      <x:c r="F981">
        <x:v>36</x:v>
      </x:c>
      <x:c r="G981">
        <x:v>86</x:v>
      </x:c>
      <x:c r="H981">
        <x:v>33</x:v>
      </x:c>
      <x:c r="I981">
        <x:v>79</x:v>
      </x:c>
      <x:c r="J981">
        <x:v>76</x:v>
      </x:c>
      <x:c r="K981">
        <x:v>79</x:v>
      </x:c>
      <x:c r="L981">
        <x:v>34</x:v>
      </x:c>
      <x:c r="M981">
        <x:v>30</x:v>
      </x:c>
      <x:c r="N981">
        <x:v>44</x:v>
      </x:c>
      <x:c r="O981">
        <x:v>41</x:v>
      </x:c>
      <x:c r="P981">
        <x:v>68</x:v>
      </x:c>
      <x:c r="Q981">
        <x:v>47</x:v>
      </x:c>
      <x:c r="R981">
        <x:v>65</x:v>
      </x:c>
      <x:c r="S981">
        <x:v>65</x:v>
      </x:c>
      <x:c r="T981">
        <x:v>51</x:v>
      </x:c>
      <x:c r="U981">
        <x:v>52</x:v>
      </x:c>
    </x:row>
    <x:row r="982">
      <x:c r="A982" t="s">
        <x:v>1341</x:v>
      </x:c>
      <x:c r="C982" t="s">
        <x:v>331</x:v>
      </x:c>
      <x:c r="D982">
        <x:v>8483078</x:v>
      </x:c>
      <x:c r="E982">
        <x:v>68</x:v>
      </x:c>
      <x:c r="F982">
        <x:v>39</x:v>
      </x:c>
      <x:c r="G982">
        <x:v>76</x:v>
      </x:c>
      <x:c r="H982">
        <x:v>34</x:v>
      </x:c>
      <x:c r="I982">
        <x:v>79</x:v>
      </x:c>
      <x:c r="J982">
        <x:v>84</x:v>
      </x:c>
      <x:c r="K982">
        <x:v>88</x:v>
      </x:c>
      <x:c r="L982">
        <x:v>34</x:v>
      </x:c>
      <x:c r="M982">
        <x:v>30</x:v>
      </x:c>
      <x:c r="N982">
        <x:v>45</x:v>
      </x:c>
      <x:c r="O982">
        <x:v>41</x:v>
      </x:c>
      <x:c r="P982">
        <x:v>67</x:v>
      </x:c>
      <x:c r="Q982">
        <x:v>48</x:v>
      </x:c>
      <x:c r="R982">
        <x:v>70</x:v>
      </x:c>
      <x:c r="S982">
        <x:v>69</x:v>
      </x:c>
      <x:c r="T982">
        <x:v>51</x:v>
      </x:c>
      <x:c r="U982">
        <x:v>52</x:v>
      </x:c>
    </x:row>
    <x:row r="983">
      <x:c r="A983" t="s">
        <x:v>1342</x:v>
      </x:c>
      <x:c r="C983" t="s">
        <x:v>331</x:v>
      </x:c>
      <x:c r="D983">
        <x:v>8481547</x:v>
      </x:c>
      <x:c r="E983">
        <x:v>75</x:v>
      </x:c>
      <x:c r="F983">
        <x:v>38</x:v>
      </x:c>
      <x:c r="G983">
        <x:v>86</x:v>
      </x:c>
      <x:c r="H983">
        <x:v>32</x:v>
      </x:c>
      <x:c r="I983">
        <x:v>83</x:v>
      </x:c>
      <x:c r="J983">
        <x:v>84</x:v>
      </x:c>
      <x:c r="K983">
        <x:v>86</x:v>
      </x:c>
      <x:c r="L983">
        <x:v>33</x:v>
      </x:c>
      <x:c r="M983">
        <x:v>30</x:v>
      </x:c>
      <x:c r="N983">
        <x:v>42</x:v>
      </x:c>
      <x:c r="O983">
        <x:v>39</x:v>
      </x:c>
      <x:c r="P983">
        <x:v>68</x:v>
      </x:c>
      <x:c r="Q983">
        <x:v>46</x:v>
      </x:c>
      <x:c r="R983">
        <x:v>69</x:v>
      </x:c>
      <x:c r="S983">
        <x:v>68</x:v>
      </x:c>
      <x:c r="T983">
        <x:v>51</x:v>
      </x:c>
      <x:c r="U983">
        <x:v>52</x:v>
      </x:c>
    </x:row>
    <x:row r="984">
      <x:c r="A984" t="s">
        <x:v>1343</x:v>
      </x:c>
      <x:c r="C984" t="s">
        <x:v>331</x:v>
      </x:c>
      <x:c r="D984">
        <x:v>8484534</x:v>
      </x:c>
      <x:c r="E984">
        <x:v>90</x:v>
      </x:c>
      <x:c r="F984">
        <x:v>35</x:v>
      </x:c>
      <x:c r="G984">
        <x:v>70</x:v>
      </x:c>
      <x:c r="H984">
        <x:v>31</x:v>
      </x:c>
      <x:c r="I984">
        <x:v>86</x:v>
      </x:c>
      <x:c r="J984">
        <x:v>77</x:v>
      </x:c>
      <x:c r="K984">
        <x:v>80</x:v>
      </x:c>
      <x:c r="L984">
        <x:v>30</x:v>
      </x:c>
      <x:c r="M984">
        <x:v>30</x:v>
      </x:c>
      <x:c r="N984">
        <x:v>40</x:v>
      </x:c>
      <x:c r="O984">
        <x:v>39</x:v>
      </x:c>
      <x:c r="P984">
        <x:v>65</x:v>
      </x:c>
      <x:c r="Q984">
        <x:v>45</x:v>
      </x:c>
      <x:c r="R984">
        <x:v>66</x:v>
      </x:c>
      <x:c r="S984">
        <x:v>65</x:v>
      </x:c>
      <x:c r="T984">
        <x:v>51</x:v>
      </x:c>
      <x:c r="U984">
        <x:v>52</x:v>
      </x:c>
    </x:row>
    <x:row r="985">
      <x:c r="A985" t="s">
        <x:v>1344</x:v>
      </x:c>
      <x:c r="C985" t="s">
        <x:v>331</x:v>
      </x:c>
      <x:c r="D985">
        <x:v>8485500</x:v>
      </x:c>
      <x:c r="E985">
        <x:v>83</x:v>
      </x:c>
      <x:c r="F985">
        <x:v>39</x:v>
      </x:c>
      <x:c r="G985">
        <x:v>87</x:v>
      </x:c>
      <x:c r="H985">
        <x:v>32</x:v>
      </x:c>
      <x:c r="I985">
        <x:v>85</x:v>
      </x:c>
      <x:c r="J985">
        <x:v>71</x:v>
      </x:c>
      <x:c r="K985">
        <x:v>74</x:v>
      </x:c>
      <x:c r="L985">
        <x:v>32</x:v>
      </x:c>
      <x:c r="M985">
        <x:v>30</x:v>
      </x:c>
      <x:c r="N985">
        <x:v>41</x:v>
      </x:c>
      <x:c r="O985">
        <x:v>39</x:v>
      </x:c>
      <x:c r="P985">
        <x:v>64</x:v>
      </x:c>
      <x:c r="Q985">
        <x:v>45</x:v>
      </x:c>
      <x:c r="R985">
        <x:v>69</x:v>
      </x:c>
      <x:c r="S985">
        <x:v>69</x:v>
      </x:c>
      <x:c r="T985">
        <x:v>51</x:v>
      </x:c>
      <x:c r="U985">
        <x:v>52</x:v>
      </x:c>
    </x:row>
    <x:row r="986">
      <x:c r="A986" t="s">
        <x:v>1345</x:v>
      </x:c>
      <x:c r="C986" t="s">
        <x:v>331</x:v>
      </x:c>
      <x:c r="D986">
        <x:v>8482920</x:v>
      </x:c>
      <x:c r="E986">
        <x:v>67</x:v>
      </x:c>
      <x:c r="F986">
        <x:v>36</x:v>
      </x:c>
      <x:c r="G986">
        <x:v>90</x:v>
      </x:c>
      <x:c r="H986">
        <x:v>34</x:v>
      </x:c>
      <x:c r="I986">
        <x:v>76</x:v>
      </x:c>
      <x:c r="J986">
        <x:v>79</x:v>
      </x:c>
      <x:c r="K986">
        <x:v>83</x:v>
      </x:c>
      <x:c r="L986">
        <x:v>35</x:v>
      </x:c>
      <x:c r="M986">
        <x:v>30</x:v>
      </x:c>
      <x:c r="N986">
        <x:v>43</x:v>
      </x:c>
      <x:c r="O986">
        <x:v>42</x:v>
      </x:c>
      <x:c r="P986">
        <x:v>68</x:v>
      </x:c>
      <x:c r="Q986">
        <x:v>47</x:v>
      </x:c>
      <x:c r="R986">
        <x:v>66</x:v>
      </x:c>
      <x:c r="S986">
        <x:v>65</x:v>
      </x:c>
      <x:c r="T986">
        <x:v>51</x:v>
      </x:c>
      <x:c r="U986">
        <x:v>52</x:v>
      </x:c>
    </x:row>
    <x:row r="987">
      <x:c r="A987" t="s">
        <x:v>1346</x:v>
      </x:c>
      <x:c r="C987" t="s">
        <x:v>331</x:v>
      </x:c>
      <x:c r="D987">
        <x:v>8483430</x:v>
      </x:c>
      <x:c r="E987">
        <x:v>77</x:v>
      </x:c>
      <x:c r="F987">
        <x:v>37</x:v>
      </x:c>
      <x:c r="G987">
        <x:v>88</x:v>
      </x:c>
      <x:c r="H987">
        <x:v>34</x:v>
      </x:c>
      <x:c r="I987">
        <x:v>82</x:v>
      </x:c>
      <x:c r="J987">
        <x:v>85</x:v>
      </x:c>
      <x:c r="K987">
        <x:v>89</x:v>
      </x:c>
      <x:c r="L987">
        <x:v>33</x:v>
      </x:c>
      <x:c r="M987">
        <x:v>30</x:v>
      </x:c>
      <x:c r="N987">
        <x:v>42</x:v>
      </x:c>
      <x:c r="O987">
        <x:v>41</x:v>
      </x:c>
      <x:c r="P987">
        <x:v>69</x:v>
      </x:c>
      <x:c r="Q987">
        <x:v>46</x:v>
      </x:c>
      <x:c r="R987">
        <x:v>65</x:v>
      </x:c>
      <x:c r="S987">
        <x:v>64</x:v>
      </x:c>
      <x:c r="T987">
        <x:v>51</x:v>
      </x:c>
      <x:c r="U987">
        <x:v>52</x:v>
      </x:c>
    </x:row>
    <x:row r="988">
      <x:c r="A988" t="s">
        <x:v>1347</x:v>
      </x:c>
      <x:c r="C988" t="s">
        <x:v>331</x:v>
      </x:c>
      <x:c r="D988">
        <x:v>8484934</x:v>
      </x:c>
      <x:c r="E988">
        <x:v>86</x:v>
      </x:c>
      <x:c r="F988">
        <x:v>35</x:v>
      </x:c>
      <x:c r="G988">
        <x:v>88</x:v>
      </x:c>
      <x:c r="H988">
        <x:v>32</x:v>
      </x:c>
      <x:c r="I988">
        <x:v>89</x:v>
      </x:c>
      <x:c r="J988">
        <x:v>80</x:v>
      </x:c>
      <x:c r="K988">
        <x:v>82</x:v>
      </x:c>
      <x:c r="L988">
        <x:v>31</x:v>
      </x:c>
      <x:c r="M988">
        <x:v>30</x:v>
      </x:c>
      <x:c r="N988">
        <x:v>42</x:v>
      </x:c>
      <x:c r="O988">
        <x:v>40</x:v>
      </x:c>
      <x:c r="P988">
        <x:v>66</x:v>
      </x:c>
      <x:c r="Q988">
        <x:v>46</x:v>
      </x:c>
      <x:c r="R988">
        <x:v>69</x:v>
      </x:c>
      <x:c r="S988">
        <x:v>69</x:v>
      </x:c>
      <x:c r="T988">
        <x:v>51</x:v>
      </x:c>
      <x:c r="U988">
        <x:v>52</x:v>
      </x:c>
    </x:row>
    <x:row r="989">
      <x:c r="A989" t="s">
        <x:v>1348</x:v>
      </x:c>
      <x:c r="B989" t="s">
        <x:v>584</x:v>
      </x:c>
      <x:c r="C989" t="s">
        <x:v>331</x:v>
      </x:c>
      <x:c r="D989">
        <x:v>8480211</x:v>
      </x:c>
      <x:c r="E989">
        <x:v>73</x:v>
      </x:c>
      <x:c r="F989">
        <x:v>38</x:v>
      </x:c>
      <x:c r="G989">
        <x:v>85</x:v>
      </x:c>
      <x:c r="H989">
        <x:v>34</x:v>
      </x:c>
      <x:c r="I989">
        <x:v>83</x:v>
      </x:c>
      <x:c r="J989">
        <x:v>90</x:v>
      </x:c>
      <x:c r="K989">
        <x:v>93</x:v>
      </x:c>
      <x:c r="L989">
        <x:v>35</x:v>
      </x:c>
      <x:c r="M989">
        <x:v>30</x:v>
      </x:c>
      <x:c r="N989">
        <x:v>43</x:v>
      </x:c>
      <x:c r="O989">
        <x:v>42</x:v>
      </x:c>
      <x:c r="P989">
        <x:v>66</x:v>
      </x:c>
      <x:c r="Q989">
        <x:v>48</x:v>
      </x:c>
      <x:c r="R989">
        <x:v>70</x:v>
      </x:c>
      <x:c r="S989">
        <x:v>71</x:v>
      </x:c>
      <x:c r="T989">
        <x:v>51</x:v>
      </x:c>
      <x:c r="U989">
        <x:v>52</x:v>
      </x:c>
    </x:row>
    <x:row r="990">
      <x:c r="A990" t="s">
        <x:v>1349</x:v>
      </x:c>
      <x:c r="C990" t="s">
        <x:v>319</x:v>
      </x:c>
      <x:c r="D990">
        <x:v>8484509</x:v>
      </x:c>
      <x:c r="E990">
        <x:v>65</x:v>
      </x:c>
      <x:c r="F990">
        <x:v>35</x:v>
      </x:c>
      <x:c r="G990">
        <x:v>89</x:v>
      </x:c>
      <x:c r="H990">
        <x:v>48</x:v>
      </x:c>
      <x:c r="I990">
        <x:v>78</x:v>
      </x:c>
      <x:c r="J990">
        <x:v>80</x:v>
      </x:c>
      <x:c r="K990">
        <x:v>84</x:v>
      </x:c>
      <x:c r="L990">
        <x:v>47</x:v>
      </x:c>
      <x:c r="M990">
        <x:v>81</x:v>
      </x:c>
      <x:c r="N990">
        <x:v>48</x:v>
      </x:c>
      <x:c r="O990">
        <x:v>49</x:v>
      </x:c>
      <x:c r="P990">
        <x:v>64</x:v>
      </x:c>
      <x:c r="Q990">
        <x:v>51</x:v>
      </x:c>
      <x:c r="R990">
        <x:v>69</x:v>
      </x:c>
      <x:c r="S990">
        <x:v>68</x:v>
      </x:c>
      <x:c r="T990">
        <x:v>51</x:v>
      </x:c>
      <x:c r="U990">
        <x:v>52</x:v>
      </x:c>
    </x:row>
    <x:row r="991">
      <x:c r="A991" t="s">
        <x:v>1350</x:v>
      </x:c>
      <x:c r="C991" t="s">
        <x:v>331</x:v>
      </x:c>
      <x:c r="D991">
        <x:v>8484777</x:v>
      </x:c>
      <x:c r="E991">
        <x:v>60</x:v>
      </x:c>
      <x:c r="F991">
        <x:v>38</x:v>
      </x:c>
      <x:c r="G991">
        <x:v>88</x:v>
      </x:c>
      <x:c r="H991">
        <x:v>35</x:v>
      </x:c>
      <x:c r="I991">
        <x:v>79</x:v>
      </x:c>
      <x:c r="J991">
        <x:v>75</x:v>
      </x:c>
      <x:c r="K991">
        <x:v>78</x:v>
      </x:c>
      <x:c r="L991">
        <x:v>36</x:v>
      </x:c>
      <x:c r="M991">
        <x:v>30</x:v>
      </x:c>
      <x:c r="N991">
        <x:v>47</x:v>
      </x:c>
      <x:c r="O991">
        <x:v>42</x:v>
      </x:c>
      <x:c r="P991">
        <x:v>65</x:v>
      </x:c>
      <x:c r="Q991">
        <x:v>49</x:v>
      </x:c>
      <x:c r="R991">
        <x:v>64</x:v>
      </x:c>
      <x:c r="S991">
        <x:v>69</x:v>
      </x:c>
      <x:c r="T991">
        <x:v>51</x:v>
      </x:c>
      <x:c r="U991">
        <x:v>52</x:v>
      </x:c>
    </x:row>
    <x:row r="992">
      <x:c r="A992" t="s">
        <x:v>1351</x:v>
      </x:c>
      <x:c r="C992" t="s">
        <x:v>326</x:v>
      </x:c>
      <x:c r="D992">
        <x:v>8483733</x:v>
      </x:c>
      <x:c r="E992">
        <x:v>70</x:v>
      </x:c>
      <x:c r="F992">
        <x:v>79</x:v>
      </x:c>
      <x:c r="G992">
        <x:v>79</x:v>
      </x:c>
      <x:c r="H992">
        <x:v>48</x:v>
      </x:c>
      <x:c r="I992">
        <x:v>80</x:v>
      </x:c>
      <x:c r="J992">
        <x:v>81</x:v>
      </x:c>
      <x:c r="K992">
        <x:v>76</x:v>
      </x:c>
      <x:c r="L992">
        <x:v>47</x:v>
      </x:c>
      <x:c r="M992">
        <x:v>70</x:v>
      </x:c>
      <x:c r="N992">
        <x:v>50</x:v>
      </x:c>
      <x:c r="O992">
        <x:v>49</x:v>
      </x:c>
      <x:c r="P992">
        <x:v>59</x:v>
      </x:c>
      <x:c r="Q992">
        <x:v>51</x:v>
      </x:c>
      <x:c r="R992">
        <x:v>65</x:v>
      </x:c>
      <x:c r="S992">
        <x:v>64</x:v>
      </x:c>
      <x:c r="T992">
        <x:v>51</x:v>
      </x:c>
      <x:c r="U992">
        <x:v>52</x:v>
      </x:c>
    </x:row>
    <x:row r="993">
      <x:c r="A993" t="s">
        <x:v>1352</x:v>
      </x:c>
      <x:c r="C993" t="s">
        <x:v>331</x:v>
      </x:c>
      <x:c r="D993">
        <x:v>8482731</x:v>
      </x:c>
      <x:c r="E993">
        <x:v>75</x:v>
      </x:c>
      <x:c r="F993">
        <x:v>37</x:v>
      </x:c>
      <x:c r="G993">
        <x:v>87</x:v>
      </x:c>
      <x:c r="H993">
        <x:v>33</x:v>
      </x:c>
      <x:c r="I993">
        <x:v>81</x:v>
      </x:c>
      <x:c r="J993">
        <x:v>91</x:v>
      </x:c>
      <x:c r="K993">
        <x:v>93</x:v>
      </x:c>
      <x:c r="L993">
        <x:v>34</x:v>
      </x:c>
      <x:c r="M993">
        <x:v>30</x:v>
      </x:c>
      <x:c r="N993">
        <x:v>43</x:v>
      </x:c>
      <x:c r="O993">
        <x:v>41</x:v>
      </x:c>
      <x:c r="P993">
        <x:v>66</x:v>
      </x:c>
      <x:c r="Q993">
        <x:v>47</x:v>
      </x:c>
      <x:c r="R993">
        <x:v>66</x:v>
      </x:c>
      <x:c r="S993">
        <x:v>65</x:v>
      </x:c>
      <x:c r="T993">
        <x:v>51</x:v>
      </x:c>
      <x:c r="U993">
        <x:v>52</x:v>
      </x:c>
    </x:row>
    <x:row r="994">
      <x:c r="A994" t="s">
        <x:v>1353</x:v>
      </x:c>
      <x:c r="C994" t="s">
        <x:v>358</x:v>
      </x:c>
      <x:c r="D994">
        <x:v>8479543</x:v>
      </x:c>
      <x:c r="E994">
        <x:v>82</x:v>
      </x:c>
      <x:c r="F994">
        <x:v>88</x:v>
      </x:c>
      <x:c r="G994">
        <x:v>75</x:v>
      </x:c>
      <x:c r="H994">
        <x:v>41</x:v>
      </x:c>
      <x:c r="I994">
        <x:v>88</x:v>
      </x:c>
      <x:c r="J994">
        <x:v>75</x:v>
      </x:c>
      <x:c r="K994">
        <x:v>77</x:v>
      </x:c>
      <x:c r="L994">
        <x:v>42</x:v>
      </x:c>
      <x:c r="M994">
        <x:v>64</x:v>
      </x:c>
      <x:c r="N994">
        <x:v>49</x:v>
      </x:c>
      <x:c r="O994">
        <x:v>49</x:v>
      </x:c>
      <x:c r="P994">
        <x:v>61</x:v>
      </x:c>
      <x:c r="Q994">
        <x:v>63</x:v>
      </x:c>
      <x:c r="R994">
        <x:v>73</x:v>
      </x:c>
      <x:c r="S994">
        <x:v>70</x:v>
      </x:c>
      <x:c r="T994">
        <x:v>51</x:v>
      </x:c>
      <x:c r="U994">
        <x:v>52</x:v>
      </x:c>
    </x:row>
    <x:row r="995">
      <x:c r="A995" t="s">
        <x:v>1354</x:v>
      </x:c>
      <x:c r="C995" t="s">
        <x:v>319</x:v>
      </x:c>
      <x:c r="D995">
        <x:v>8482947</x:v>
      </x:c>
      <x:c r="E995">
        <x:v>63</x:v>
      </x:c>
      <x:c r="F995">
        <x:v>36</x:v>
      </x:c>
      <x:c r="G995">
        <x:v>91</x:v>
      </x:c>
      <x:c r="H995">
        <x:v>48</x:v>
      </x:c>
      <x:c r="I995">
        <x:v>78</x:v>
      </x:c>
      <x:c r="J995">
        <x:v>76</x:v>
      </x:c>
      <x:c r="K995">
        <x:v>78</x:v>
      </x:c>
      <x:c r="L995">
        <x:v>48</x:v>
      </x:c>
      <x:c r="M995">
        <x:v>77</x:v>
      </x:c>
      <x:c r="N995">
        <x:v>50</x:v>
      </x:c>
      <x:c r="O995">
        <x:v>47</x:v>
      </x:c>
      <x:c r="P995">
        <x:v>61</x:v>
      </x:c>
      <x:c r="Q995">
        <x:v>51</x:v>
      </x:c>
      <x:c r="R995">
        <x:v>70</x:v>
      </x:c>
      <x:c r="S995">
        <x:v>69</x:v>
      </x:c>
      <x:c r="T995">
        <x:v>51</x:v>
      </x:c>
      <x:c r="U995">
        <x:v>52</x:v>
      </x:c>
    </x:row>
    <x:row r="996">
      <x:c r="A996" t="s">
        <x:v>1355</x:v>
      </x:c>
      <x:c r="C996" t="s">
        <x:v>331</x:v>
      </x:c>
      <x:c r="D996">
        <x:v>8480321</x:v>
      </x:c>
      <x:c r="E996">
        <x:v>77</x:v>
      </x:c>
      <x:c r="F996">
        <x:v>56</x:v>
      </x:c>
      <x:c r="G996">
        <x:v>77</x:v>
      </x:c>
      <x:c r="H996">
        <x:v>32</x:v>
      </x:c>
      <x:c r="I996">
        <x:v>88</x:v>
      </x:c>
      <x:c r="J996">
        <x:v>80</x:v>
      </x:c>
      <x:c r="K996">
        <x:v>83</x:v>
      </x:c>
      <x:c r="L996">
        <x:v>31</x:v>
      </x:c>
      <x:c r="M996">
        <x:v>30</x:v>
      </x:c>
      <x:c r="N996">
        <x:v>40</x:v>
      </x:c>
      <x:c r="O996">
        <x:v>40</x:v>
      </x:c>
      <x:c r="P996">
        <x:v>67</x:v>
      </x:c>
      <x:c r="Q996">
        <x:v>45</x:v>
      </x:c>
      <x:c r="R996">
        <x:v>72</x:v>
      </x:c>
      <x:c r="S996">
        <x:v>73</x:v>
      </x:c>
      <x:c r="T996">
        <x:v>51</x:v>
      </x:c>
      <x:c r="U996">
        <x:v>52</x:v>
      </x:c>
    </x:row>
    <x:row r="997">
      <x:c r="A997" t="s">
        <x:v>1356</x:v>
      </x:c>
      <x:c r="C997" t="s">
        <x:v>358</x:v>
      </x:c>
      <x:c r="D997">
        <x:v>8483491</x:v>
      </x:c>
      <x:c r="E997">
        <x:v>69</x:v>
      </x:c>
      <x:c r="F997">
        <x:v>32</x:v>
      </x:c>
      <x:c r="G997">
        <x:v>92</x:v>
      </x:c>
      <x:c r="H997">
        <x:v>51</x:v>
      </x:c>
      <x:c r="I997">
        <x:v>76</x:v>
      </x:c>
      <x:c r="J997">
        <x:v>78</x:v>
      </x:c>
      <x:c r="K997">
        <x:v>79</x:v>
      </x:c>
      <x:c r="L997">
        <x:v>49</x:v>
      </x:c>
      <x:c r="M997">
        <x:v>62</x:v>
      </x:c>
      <x:c r="N997">
        <x:v>50</x:v>
      </x:c>
      <x:c r="O997">
        <x:v>54</x:v>
      </x:c>
      <x:c r="P997">
        <x:v>61</x:v>
      </x:c>
      <x:c r="Q997">
        <x:v>52</x:v>
      </x:c>
      <x:c r="R997">
        <x:v>66</x:v>
      </x:c>
      <x:c r="S997">
        <x:v>65</x:v>
      </x:c>
      <x:c r="T997">
        <x:v>51</x:v>
      </x:c>
      <x:c r="U997">
        <x:v>52</x:v>
      </x:c>
    </x:row>
    <x:row r="998">
      <x:c r="A998" t="s">
        <x:v>1357</x:v>
      </x:c>
      <x:c r="C998" t="s">
        <x:v>319</x:v>
      </x:c>
      <x:c r="D998">
        <x:v>8483728</x:v>
      </x:c>
      <x:c r="E998">
        <x:v>70</x:v>
      </x:c>
      <x:c r="F998">
        <x:v>34</x:v>
      </x:c>
      <x:c r="G998">
        <x:v>76</x:v>
      </x:c>
      <x:c r="H998">
        <x:v>47</x:v>
      </x:c>
      <x:c r="I998">
        <x:v>78</x:v>
      </x:c>
      <x:c r="J998">
        <x:v>79</x:v>
      </x:c>
      <x:c r="K998">
        <x:v>84</x:v>
      </x:c>
      <x:c r="L998">
        <x:v>47</x:v>
      </x:c>
      <x:c r="M998">
        <x:v>65</x:v>
      </x:c>
      <x:c r="N998">
        <x:v>49</x:v>
      </x:c>
      <x:c r="O998">
        <x:v>47</x:v>
      </x:c>
      <x:c r="P998">
        <x:v>56</x:v>
      </x:c>
      <x:c r="Q998">
        <x:v>55</x:v>
      </x:c>
      <x:c r="R998">
        <x:v>67</x:v>
      </x:c>
      <x:c r="S998">
        <x:v>67</x:v>
      </x:c>
      <x:c r="T998">
        <x:v>51</x:v>
      </x:c>
      <x:c r="U998">
        <x:v>52</x:v>
      </x:c>
    </x:row>
    <x:row r="999">
      <x:c r="A999" t="s">
        <x:v>1358</x:v>
      </x:c>
      <x:c r="C999" t="s">
        <x:v>326</x:v>
      </x:c>
      <x:c r="D999">
        <x:v>8482460</x:v>
      </x:c>
      <x:c r="E999">
        <x:v>84</x:v>
      </x:c>
      <x:c r="F999">
        <x:v>81</x:v>
      </x:c>
      <x:c r="G999">
        <x:v>86</x:v>
      </x:c>
      <x:c r="H999">
        <x:v>46</x:v>
      </x:c>
      <x:c r="I999">
        <x:v>99</x:v>
      </x:c>
      <x:c r="J999">
        <x:v>79</x:v>
      </x:c>
      <x:c r="K999">
        <x:v>57</x:v>
      </x:c>
      <x:c r="L999">
        <x:v>46</x:v>
      </x:c>
      <x:c r="M999">
        <x:v>68</x:v>
      </x:c>
      <x:c r="N999">
        <x:v>48</x:v>
      </x:c>
      <x:c r="O999">
        <x:v>50</x:v>
      </x:c>
      <x:c r="P999">
        <x:v>60</x:v>
      </x:c>
      <x:c r="Q999">
        <x:v>52</x:v>
      </x:c>
      <x:c r="R999">
        <x:v>68</x:v>
      </x:c>
      <x:c r="S999">
        <x:v>67</x:v>
      </x:c>
      <x:c r="T999">
        <x:v>47</x:v>
      </x:c>
      <x:c r="U999">
        <x:v>52</x:v>
      </x:c>
    </x:row>
    <x:row r="1000">
      <x:c r="A1000" t="s">
        <x:v>1359</x:v>
      </x:c>
      <x:c r="C1000" t="s">
        <x:v>331</x:v>
      </x:c>
      <x:c r="D1000">
        <x:v>8476418</x:v>
      </x:c>
      <x:c r="E1000">
        <x:v>64</x:v>
      </x:c>
      <x:c r="F1000">
        <x:v>37</x:v>
      </x:c>
      <x:c r="G1000">
        <x:v>86</x:v>
      </x:c>
      <x:c r="H1000">
        <x:v>34</x:v>
      </x:c>
      <x:c r="I1000">
        <x:v>79</x:v>
      </x:c>
      <x:c r="J1000">
        <x:v>87</x:v>
      </x:c>
      <x:c r="K1000">
        <x:v>88</x:v>
      </x:c>
      <x:c r="L1000">
        <x:v>33</x:v>
      </x:c>
      <x:c r="M1000">
        <x:v>30</x:v>
      </x:c>
      <x:c r="N1000">
        <x:v>44</x:v>
      </x:c>
      <x:c r="O1000">
        <x:v>41</x:v>
      </x:c>
      <x:c r="P1000">
        <x:v>66</x:v>
      </x:c>
      <x:c r="Q1000">
        <x:v>47</x:v>
      </x:c>
      <x:c r="R1000">
        <x:v>78</x:v>
      </x:c>
      <x:c r="S1000">
        <x:v>79</x:v>
      </x:c>
      <x:c r="T1000">
        <x:v>51</x:v>
      </x:c>
      <x:c r="U1000">
        <x:v>52</x:v>
      </x:c>
    </x:row>
    <x:row r="1001">
      <x:c r="A1001" t="s">
        <x:v>1360</x:v>
      </x:c>
      <x:c r="C1001" t="s">
        <x:v>331</x:v>
      </x:c>
      <x:c r="D1001">
        <x:v>8482893</x:v>
      </x:c>
      <x:c r="E1001">
        <x:v>81</x:v>
      </x:c>
      <x:c r="F1001">
        <x:v>38</x:v>
      </x:c>
      <x:c r="G1001">
        <x:v>85</x:v>
      </x:c>
      <x:c r="H1001">
        <x:v>34</x:v>
      </x:c>
      <x:c r="I1001">
        <x:v>89</x:v>
      </x:c>
      <x:c r="J1001">
        <x:v>79</x:v>
      </x:c>
      <x:c r="K1001">
        <x:v>82</x:v>
      </x:c>
      <x:c r="L1001">
        <x:v>35</x:v>
      </x:c>
      <x:c r="M1001">
        <x:v>30</x:v>
      </x:c>
      <x:c r="N1001">
        <x:v>44</x:v>
      </x:c>
      <x:c r="O1001">
        <x:v>37</x:v>
      </x:c>
      <x:c r="P1001">
        <x:v>64</x:v>
      </x:c>
      <x:c r="Q1001">
        <x:v>46</x:v>
      </x:c>
      <x:c r="R1001">
        <x:v>66</x:v>
      </x:c>
      <x:c r="S1001">
        <x:v>65</x:v>
      </x:c>
      <x:c r="T1001">
        <x:v>41</x:v>
      </x:c>
      <x:c r="U1001">
        <x:v>52</x:v>
      </x:c>
    </x:row>
    <x:row r="1002">
      <x:c r="A1002" t="s">
        <x:v>1361</x:v>
      </x:c>
      <x:c r="C1002" t="s">
        <x:v>331</x:v>
      </x:c>
      <x:c r="D1002">
        <x:v>8480887</x:v>
      </x:c>
      <x:c r="E1002">
        <x:v>70</x:v>
      </x:c>
      <x:c r="F1002">
        <x:v>35</x:v>
      </x:c>
      <x:c r="G1002">
        <x:v>89</x:v>
      </x:c>
      <x:c r="H1002">
        <x:v>33</x:v>
      </x:c>
      <x:c r="I1002">
        <x:v>77</x:v>
      </x:c>
      <x:c r="J1002">
        <x:v>74</x:v>
      </x:c>
      <x:c r="K1002">
        <x:v>74</x:v>
      </x:c>
      <x:c r="L1002">
        <x:v>32</x:v>
      </x:c>
      <x:c r="M1002">
        <x:v>30</x:v>
      </x:c>
      <x:c r="N1002">
        <x:v>52</x:v>
      </x:c>
      <x:c r="O1002">
        <x:v>47</x:v>
      </x:c>
      <x:c r="P1002">
        <x:v>73</x:v>
      </x:c>
      <x:c r="Q1002">
        <x:v>47</x:v>
      </x:c>
      <x:c r="R1002">
        <x:v>70</x:v>
      </x:c>
      <x:c r="S1002">
        <x:v>66</x:v>
      </x:c>
      <x:c r="T1002">
        <x:v>51</x:v>
      </x:c>
      <x:c r="U1002">
        <x:v>52</x:v>
      </x:c>
    </x:row>
    <x:row r="1003">
      <x:c r="A1003" t="s">
        <x:v>1362</x:v>
      </x:c>
      <x:c r="C1003" t="s">
        <x:v>358</x:v>
      </x:c>
      <x:c r="D1003">
        <x:v>8482747</x:v>
      </x:c>
      <x:c r="E1003">
        <x:v>75</x:v>
      </x:c>
      <x:c r="F1003">
        <x:v>71</x:v>
      </x:c>
      <x:c r="G1003">
        <x:v>87</x:v>
      </x:c>
      <x:c r="H1003">
        <x:v>48</x:v>
      </x:c>
      <x:c r="I1003">
        <x:v>78</x:v>
      </x:c>
      <x:c r="J1003">
        <x:v>79</x:v>
      </x:c>
      <x:c r="K1003">
        <x:v>79</x:v>
      </x:c>
      <x:c r="L1003">
        <x:v>47</x:v>
      </x:c>
      <x:c r="M1003">
        <x:v>62</x:v>
      </x:c>
      <x:c r="N1003">
        <x:v>50</x:v>
      </x:c>
      <x:c r="O1003">
        <x:v>51</x:v>
      </x:c>
      <x:c r="P1003">
        <x:v>60</x:v>
      </x:c>
      <x:c r="Q1003">
        <x:v>52</x:v>
      </x:c>
      <x:c r="R1003">
        <x:v>67</x:v>
      </x:c>
      <x:c r="S1003">
        <x:v>65</x:v>
      </x:c>
      <x:c r="T1003">
        <x:v>51</x:v>
      </x:c>
      <x:c r="U1003">
        <x:v>52</x:v>
      </x:c>
    </x:row>
    <x:row r="1004">
      <x:c r="A1004" t="s">
        <x:v>1363</x:v>
      </x:c>
      <x:c r="C1004" t="s">
        <x:v>323</x:v>
      </x:c>
      <x:c r="D1004">
        <x:v>8479772</x:v>
      </x:c>
      <x:c r="E1004">
        <x:v>72</x:v>
      </x:c>
      <x:c r="F1004">
        <x:v>81</x:v>
      </x:c>
      <x:c r="G1004">
        <x:v>69</x:v>
      </x:c>
      <x:c r="H1004">
        <x:v>46</x:v>
      </x:c>
      <x:c r="I1004">
        <x:v>92</x:v>
      </x:c>
      <x:c r="J1004">
        <x:v>76</x:v>
      </x:c>
      <x:c r="K1004">
        <x:v>32</x:v>
      </x:c>
      <x:c r="L1004">
        <x:v>47</x:v>
      </x:c>
      <x:c r="M1004">
        <x:v>69</x:v>
      </x:c>
      <x:c r="N1004">
        <x:v>50</x:v>
      </x:c>
      <x:c r="O1004">
        <x:v>51</x:v>
      </x:c>
      <x:c r="P1004">
        <x:v>61</x:v>
      </x:c>
      <x:c r="Q1004">
        <x:v>53</x:v>
      </x:c>
      <x:c r="R1004">
        <x:v>76</x:v>
      </x:c>
      <x:c r="S1004">
        <x:v>71</x:v>
      </x:c>
      <x:c r="T1004">
        <x:v>51</x:v>
      </x:c>
      <x:c r="U1004">
        <x:v>52</x:v>
      </x:c>
    </x:row>
    <x:row r="1005">
      <x:c r="A1005" t="s">
        <x:v>1364</x:v>
      </x:c>
      <x:c r="C1005" t="s">
        <x:v>319</x:v>
      </x:c>
      <x:c r="D1005">
        <x:v>8481543</x:v>
      </x:c>
      <x:c r="E1005">
        <x:v>66</x:v>
      </x:c>
      <x:c r="F1005">
        <x:v>35</x:v>
      </x:c>
      <x:c r="G1005">
        <x:v>86</x:v>
      </x:c>
      <x:c r="H1005">
        <x:v>47</x:v>
      </x:c>
      <x:c r="I1005">
        <x:v>76</x:v>
      </x:c>
      <x:c r="J1005">
        <x:v>84</x:v>
      </x:c>
      <x:c r="K1005">
        <x:v>89</x:v>
      </x:c>
      <x:c r="L1005">
        <x:v>48</x:v>
      </x:c>
      <x:c r="M1005">
        <x:v>81</x:v>
      </x:c>
      <x:c r="N1005">
        <x:v>51</x:v>
      </x:c>
      <x:c r="O1005">
        <x:v>47</x:v>
      </x:c>
      <x:c r="P1005">
        <x:v>59</x:v>
      </x:c>
      <x:c r="Q1005">
        <x:v>70</x:v>
      </x:c>
      <x:c r="R1005">
        <x:v>69</x:v>
      </x:c>
      <x:c r="S1005">
        <x:v>69</x:v>
      </x:c>
      <x:c r="T1005">
        <x:v>51</x:v>
      </x:c>
      <x:c r="U1005">
        <x:v>52</x:v>
      </x:c>
    </x:row>
    <x:row r="1006">
      <x:c r="A1006" t="s">
        <x:v>1365</x:v>
      </x:c>
      <x:c r="C1006" t="s">
        <x:v>319</x:v>
      </x:c>
      <x:c r="D1006">
        <x:v>8476952</x:v>
      </x:c>
      <x:c r="E1006">
        <x:v>68</x:v>
      </x:c>
      <x:c r="F1006">
        <x:v>37</x:v>
      </x:c>
      <x:c r="G1006">
        <x:v>76</x:v>
      </x:c>
      <x:c r="H1006">
        <x:v>46</x:v>
      </x:c>
      <x:c r="I1006">
        <x:v>82</x:v>
      </x:c>
      <x:c r="J1006">
        <x:v>84</x:v>
      </x:c>
      <x:c r="K1006">
        <x:v>87</x:v>
      </x:c>
      <x:c r="L1006">
        <x:v>47</x:v>
      </x:c>
      <x:c r="M1006">
        <x:v>82</x:v>
      </x:c>
      <x:c r="N1006">
        <x:v>51</x:v>
      </x:c>
      <x:c r="O1006">
        <x:v>49</x:v>
      </x:c>
      <x:c r="P1006">
        <x:v>62</x:v>
      </x:c>
      <x:c r="Q1006">
        <x:v>69</x:v>
      </x:c>
      <x:c r="R1006">
        <x:v>76</x:v>
      </x:c>
      <x:c r="S1006">
        <x:v>76</x:v>
      </x:c>
      <x:c r="T1006">
        <x:v>51</x:v>
      </x:c>
      <x:c r="U1006">
        <x:v>52</x:v>
      </x:c>
    </x:row>
    <x:row r="1007">
      <x:c r="A1007" t="s">
        <x:v>1366</x:v>
      </x:c>
      <x:c r="C1007" t="s">
        <x:v>331</x:v>
      </x:c>
      <x:c r="D1007">
        <x:v>8484610</x:v>
      </x:c>
      <x:c r="E1007">
        <x:v>77</x:v>
      </x:c>
      <x:c r="F1007">
        <x:v>43</x:v>
      </x:c>
      <x:c r="G1007">
        <x:v>84</x:v>
      </x:c>
      <x:c r="H1007">
        <x:v>33</x:v>
      </x:c>
      <x:c r="I1007">
        <x:v>76</x:v>
      </x:c>
      <x:c r="J1007">
        <x:v>81</x:v>
      </x:c>
      <x:c r="K1007">
        <x:v>85</x:v>
      </x:c>
      <x:c r="L1007">
        <x:v>34</x:v>
      </x:c>
      <x:c r="M1007">
        <x:v>30</x:v>
      </x:c>
      <x:c r="N1007">
        <x:v>42</x:v>
      </x:c>
      <x:c r="O1007">
        <x:v>40</x:v>
      </x:c>
      <x:c r="P1007">
        <x:v>67</x:v>
      </x:c>
      <x:c r="Q1007">
        <x:v>46</x:v>
      </x:c>
      <x:c r="R1007">
        <x:v>70</x:v>
      </x:c>
      <x:c r="S1007">
        <x:v>69</x:v>
      </x:c>
      <x:c r="T1007">
        <x:v>51</x:v>
      </x:c>
      <x:c r="U1007">
        <x:v>52</x:v>
      </x:c>
    </x:row>
    <x:row r="1008">
      <x:c r="A1008" t="s">
        <x:v>1367</x:v>
      </x:c>
      <x:c r="C1008" t="s">
        <x:v>331</x:v>
      </x:c>
      <x:c r="D1008">
        <x:v>8484163</x:v>
      </x:c>
      <x:c r="E1008">
        <x:v>76</x:v>
      </x:c>
      <x:c r="F1008">
        <x:v>41</x:v>
      </x:c>
      <x:c r="G1008">
        <x:v>80</x:v>
      </x:c>
      <x:c r="H1008">
        <x:v>34</x:v>
      </x:c>
      <x:c r="I1008">
        <x:v>86</x:v>
      </x:c>
      <x:c r="J1008">
        <x:v>79</x:v>
      </x:c>
      <x:c r="K1008">
        <x:v>82</x:v>
      </x:c>
      <x:c r="L1008">
        <x:v>35</x:v>
      </x:c>
      <x:c r="M1008">
        <x:v>30</x:v>
      </x:c>
      <x:c r="N1008">
        <x:v>40</x:v>
      </x:c>
      <x:c r="O1008">
        <x:v>40</x:v>
      </x:c>
      <x:c r="P1008">
        <x:v>69</x:v>
      </x:c>
      <x:c r="Q1008">
        <x:v>45</x:v>
      </x:c>
      <x:c r="R1008">
        <x:v>65</x:v>
      </x:c>
      <x:c r="S1008">
        <x:v>64</x:v>
      </x:c>
      <x:c r="T1008">
        <x:v>51</x:v>
      </x:c>
      <x:c r="U1008">
        <x:v>52</x:v>
      </x:c>
    </x:row>
    <x:row r="1009">
      <x:c r="A1009" t="s">
        <x:v>1368</x:v>
      </x:c>
      <x:c r="B1009" t="s">
        <x:v>584</x:v>
      </x:c>
      <x:c r="C1009" t="s">
        <x:v>331</x:v>
      </x:c>
      <x:c r="D1009">
        <x:v>8483407</x:v>
      </x:c>
      <x:c r="E1009">
        <x:v>76</x:v>
      </x:c>
      <x:c r="F1009">
        <x:v>39</x:v>
      </x:c>
      <x:c r="G1009">
        <x:v>78</x:v>
      </x:c>
      <x:c r="H1009">
        <x:v>34</x:v>
      </x:c>
      <x:c r="I1009">
        <x:v>88</x:v>
      </x:c>
      <x:c r="J1009">
        <x:v>83</x:v>
      </x:c>
      <x:c r="K1009">
        <x:v>85</x:v>
      </x:c>
      <x:c r="L1009">
        <x:v>34</x:v>
      </x:c>
      <x:c r="M1009">
        <x:v>30</x:v>
      </x:c>
      <x:c r="N1009">
        <x:v>41</x:v>
      </x:c>
      <x:c r="O1009">
        <x:v>41</x:v>
      </x:c>
      <x:c r="P1009">
        <x:v>67</x:v>
      </x:c>
      <x:c r="Q1009">
        <x:v>46</x:v>
      </x:c>
      <x:c r="R1009">
        <x:v>69</x:v>
      </x:c>
      <x:c r="S1009">
        <x:v>70</x:v>
      </x:c>
      <x:c r="T1009">
        <x:v>51</x:v>
      </x:c>
      <x:c r="U1009">
        <x:v>52</x:v>
      </x:c>
    </x:row>
    <x:row r="1010">
      <x:c r="A1010" t="s">
        <x:v>1369</x:v>
      </x:c>
      <x:c r="C1010" t="s">
        <x:v>331</x:v>
      </x:c>
      <x:c r="D1010">
        <x:v>8485508</x:v>
      </x:c>
      <x:c r="E1010">
        <x:v>64</x:v>
      </x:c>
      <x:c r="F1010">
        <x:v>38</x:v>
      </x:c>
      <x:c r="G1010">
        <x:v>85</x:v>
      </x:c>
      <x:c r="H1010">
        <x:v>34</x:v>
      </x:c>
      <x:c r="I1010">
        <x:v>80</x:v>
      </x:c>
      <x:c r="J1010">
        <x:v>72</x:v>
      </x:c>
      <x:c r="K1010">
        <x:v>75</x:v>
      </x:c>
      <x:c r="L1010">
        <x:v>35</x:v>
      </x:c>
      <x:c r="M1010">
        <x:v>30</x:v>
      </x:c>
      <x:c r="N1010">
        <x:v>43</x:v>
      </x:c>
      <x:c r="O1010">
        <x:v>42</x:v>
      </x:c>
      <x:c r="P1010">
        <x:v>67</x:v>
      </x:c>
      <x:c r="Q1010">
        <x:v>47</x:v>
      </x:c>
      <x:c r="R1010">
        <x:v>68</x:v>
      </x:c>
      <x:c r="S1010">
        <x:v>68</x:v>
      </x:c>
      <x:c r="T1010">
        <x:v>51</x:v>
      </x:c>
      <x:c r="U1010">
        <x:v>52</x:v>
      </x:c>
    </x:row>
    <x:row r="1011">
      <x:c r="A1011" t="s">
        <x:v>1370</x:v>
      </x:c>
      <x:c r="B1011" t="s">
        <x:v>584</x:v>
      </x:c>
      <x:c r="C1011" t="s">
        <x:v>331</x:v>
      </x:c>
      <x:c r="D1011">
        <x:v>8484814</x:v>
      </x:c>
      <x:c r="E1011">
        <x:v>82</x:v>
      </x:c>
      <x:c r="F1011">
        <x:v>39</x:v>
      </x:c>
      <x:c r="G1011">
        <x:v>92</x:v>
      </x:c>
      <x:c r="H1011">
        <x:v>33</x:v>
      </x:c>
      <x:c r="I1011">
        <x:v>86</x:v>
      </x:c>
      <x:c r="J1011">
        <x:v>72</x:v>
      </x:c>
      <x:c r="K1011">
        <x:v>75</x:v>
      </x:c>
      <x:c r="L1011">
        <x:v>34</x:v>
      </x:c>
      <x:c r="M1011">
        <x:v>30</x:v>
      </x:c>
      <x:c r="N1011">
        <x:v>43</x:v>
      </x:c>
      <x:c r="O1011">
        <x:v>37</x:v>
      </x:c>
      <x:c r="P1011">
        <x:v>66</x:v>
      </x:c>
      <x:c r="Q1011">
        <x:v>45</x:v>
      </x:c>
      <x:c r="R1011">
        <x:v>68</x:v>
      </x:c>
      <x:c r="S1011">
        <x:v>69</x:v>
      </x:c>
      <x:c r="T1011">
        <x:v>51</x:v>
      </x:c>
      <x:c r="U1011">
        <x:v>52</x:v>
      </x:c>
    </x:row>
    <x:row r="1012">
      <x:c r="A1012" t="s">
        <x:v>1371</x:v>
      </x:c>
      <x:c r="C1012" t="s">
        <x:v>331</x:v>
      </x:c>
      <x:c r="D1012">
        <x:v>8482808</x:v>
      </x:c>
      <x:c r="E1012">
        <x:v>86</x:v>
      </x:c>
      <x:c r="F1012">
        <x:v>36</x:v>
      </x:c>
      <x:c r="G1012">
        <x:v>78</x:v>
      </x:c>
      <x:c r="H1012">
        <x:v>33</x:v>
      </x:c>
      <x:c r="I1012">
        <x:v>85</x:v>
      </x:c>
      <x:c r="J1012">
        <x:v>76</x:v>
      </x:c>
      <x:c r="K1012">
        <x:v>78</x:v>
      </x:c>
      <x:c r="L1012">
        <x:v>32</x:v>
      </x:c>
      <x:c r="M1012">
        <x:v>30</x:v>
      </x:c>
      <x:c r="N1012">
        <x:v>43</x:v>
      </x:c>
      <x:c r="O1012">
        <x:v>39</x:v>
      </x:c>
      <x:c r="P1012">
        <x:v>66</x:v>
      </x:c>
      <x:c r="Q1012">
        <x:v>46</x:v>
      </x:c>
      <x:c r="R1012">
        <x:v>66</x:v>
      </x:c>
      <x:c r="S1012">
        <x:v>67</x:v>
      </x:c>
      <x:c r="T1012">
        <x:v>51</x:v>
      </x:c>
      <x:c r="U1012">
        <x:v>52</x:v>
      </x:c>
    </x:row>
    <x:row r="1013">
      <x:c r="A1013" t="s">
        <x:v>1372</x:v>
      </x:c>
      <x:c r="C1013" t="s">
        <x:v>331</x:v>
      </x:c>
      <x:c r="D1013">
        <x:v>8482187</x:v>
      </x:c>
      <x:c r="E1013">
        <x:v>74</x:v>
      </x:c>
      <x:c r="F1013">
        <x:v>37</x:v>
      </x:c>
      <x:c r="G1013">
        <x:v>92</x:v>
      </x:c>
      <x:c r="H1013">
        <x:v>34</x:v>
      </x:c>
      <x:c r="I1013">
        <x:v>79</x:v>
      </x:c>
      <x:c r="J1013">
        <x:v>91</x:v>
      </x:c>
      <x:c r="K1013">
        <x:v>94</x:v>
      </x:c>
      <x:c r="L1013">
        <x:v>33</x:v>
      </x:c>
      <x:c r="M1013">
        <x:v>30</x:v>
      </x:c>
      <x:c r="N1013">
        <x:v>42</x:v>
      </x:c>
      <x:c r="O1013">
        <x:v>42</x:v>
      </x:c>
      <x:c r="P1013">
        <x:v>68</x:v>
      </x:c>
      <x:c r="Q1013">
        <x:v>47</x:v>
      </x:c>
      <x:c r="R1013">
        <x:v>67</x:v>
      </x:c>
      <x:c r="S1013">
        <x:v>67</x:v>
      </x:c>
      <x:c r="T1013">
        <x:v>51</x:v>
      </x:c>
      <x:c r="U1013">
        <x:v>52</x:v>
      </x:c>
    </x:row>
    <x:row r="1014">
      <x:c r="A1014" t="s">
        <x:v>1373</x:v>
      </x:c>
      <x:c r="B1014" t="s">
        <x:v>584</x:v>
      </x:c>
      <x:c r="C1014" t="s">
        <x:v>331</x:v>
      </x:c>
      <x:c r="D1014">
        <x:v>8478981</x:v>
      </x:c>
      <x:c r="E1014">
        <x:v>74</x:v>
      </x:c>
      <x:c r="F1014">
        <x:v>38</x:v>
      </x:c>
      <x:c r="G1014">
        <x:v>77</x:v>
      </x:c>
      <x:c r="H1014">
        <x:v>33</x:v>
      </x:c>
      <x:c r="I1014">
        <x:v>81</x:v>
      </x:c>
      <x:c r="J1014">
        <x:v>81</x:v>
      </x:c>
      <x:c r="K1014">
        <x:v>82</x:v>
      </x:c>
      <x:c r="L1014">
        <x:v>33</x:v>
      </x:c>
      <x:c r="M1014">
        <x:v>30</x:v>
      </x:c>
      <x:c r="N1014">
        <x:v>41</x:v>
      </x:c>
      <x:c r="O1014">
        <x:v>40</x:v>
      </x:c>
      <x:c r="P1014">
        <x:v>67</x:v>
      </x:c>
      <x:c r="Q1014">
        <x:v>46</x:v>
      </x:c>
      <x:c r="R1014">
        <x:v>72</x:v>
      </x:c>
      <x:c r="S1014">
        <x:v>71</x:v>
      </x:c>
      <x:c r="T1014">
        <x:v>51</x:v>
      </x:c>
      <x:c r="U1014">
        <x:v>52</x:v>
      </x:c>
    </x:row>
    <x:row r="1015">
      <x:c r="A1015" t="s">
        <x:v>1374</x:v>
      </x:c>
      <x:c r="C1015" t="s">
        <x:v>331</x:v>
      </x:c>
      <x:c r="D1015">
        <x:v>8482866</x:v>
      </x:c>
      <x:c r="E1015">
        <x:v>74</x:v>
      </x:c>
      <x:c r="F1015">
        <x:v>37</x:v>
      </x:c>
      <x:c r="G1015">
        <x:v>77</x:v>
      </x:c>
      <x:c r="H1015">
        <x:v>34</x:v>
      </x:c>
      <x:c r="I1015">
        <x:v>87</x:v>
      </x:c>
      <x:c r="J1015">
        <x:v>85</x:v>
      </x:c>
      <x:c r="K1015">
        <x:v>86</x:v>
      </x:c>
      <x:c r="L1015">
        <x:v>35</x:v>
      </x:c>
      <x:c r="M1015">
        <x:v>30</x:v>
      </x:c>
      <x:c r="N1015">
        <x:v>44</x:v>
      </x:c>
      <x:c r="O1015">
        <x:v>40</x:v>
      </x:c>
      <x:c r="P1015">
        <x:v>68</x:v>
      </x:c>
      <x:c r="Q1015">
        <x:v>47</x:v>
      </x:c>
      <x:c r="R1015">
        <x:v>67</x:v>
      </x:c>
      <x:c r="S1015">
        <x:v>66</x:v>
      </x:c>
      <x:c r="T1015">
        <x:v>51</x:v>
      </x:c>
      <x:c r="U1015">
        <x:v>52</x:v>
      </x:c>
    </x:row>
    <x:row r="1016">
      <x:c r="A1016" t="s">
        <x:v>1375</x:v>
      </x:c>
      <x:c r="C1016" t="s">
        <x:v>329</x:v>
      </x:c>
      <x:c r="D1016">
        <x:v>8479718</x:v>
      </x:c>
      <x:c r="E1016">
        <x:v>61</x:v>
      </x:c>
      <x:c r="F1016">
        <x:v>36</x:v>
      </x:c>
      <x:c r="G1016">
        <x:v>85</x:v>
      </x:c>
      <x:c r="H1016">
        <x:v>48</x:v>
      </x:c>
      <x:c r="I1016">
        <x:v>75</x:v>
      </x:c>
      <x:c r="J1016">
        <x:v>91</x:v>
      </x:c>
      <x:c r="K1016">
        <x:v>95</x:v>
      </x:c>
      <x:c r="L1016">
        <x:v>49</x:v>
      </x:c>
      <x:c r="M1016">
        <x:v>68</x:v>
      </x:c>
      <x:c r="N1016">
        <x:v>52</x:v>
      </x:c>
      <x:c r="O1016">
        <x:v>46</x:v>
      </x:c>
      <x:c r="P1016">
        <x:v>59</x:v>
      </x:c>
      <x:c r="Q1016">
        <x:v>72</x:v>
      </x:c>
      <x:c r="R1016">
        <x:v>71</x:v>
      </x:c>
      <x:c r="S1016">
        <x:v>72</x:v>
      </x:c>
      <x:c r="T1016">
        <x:v>51</x:v>
      </x:c>
      <x:c r="U1016">
        <x:v>52</x:v>
      </x:c>
    </x:row>
    <x:row r="1017">
      <x:c r="A1017" t="s">
        <x:v>1376</x:v>
      </x:c>
      <x:c r="B1017" t="s">
        <x:v>584</x:v>
      </x:c>
      <x:c r="C1017" t="s">
        <x:v>323</x:v>
      </x:c>
      <x:c r="D1017">
        <x:v>8479514</x:v>
      </x:c>
      <x:c r="E1017">
        <x:v>58</x:v>
      </x:c>
      <x:c r="F1017">
        <x:v>36</x:v>
      </x:c>
      <x:c r="G1017">
        <x:v>84</x:v>
      </x:c>
      <x:c r="H1017">
        <x:v>45</x:v>
      </x:c>
      <x:c r="I1017">
        <x:v>79</x:v>
      </x:c>
      <x:c r="J1017">
        <x:v>86</x:v>
      </x:c>
      <x:c r="K1017">
        <x:v>91</x:v>
      </x:c>
      <x:c r="L1017">
        <x:v>46</x:v>
      </x:c>
      <x:c r="M1017">
        <x:v>78</x:v>
      </x:c>
      <x:c r="N1017">
        <x:v>47</x:v>
      </x:c>
      <x:c r="O1017">
        <x:v>44</x:v>
      </x:c>
      <x:c r="P1017">
        <x:v>62</x:v>
      </x:c>
      <x:c r="Q1017">
        <x:v>67</x:v>
      </x:c>
      <x:c r="R1017">
        <x:v>71</x:v>
      </x:c>
      <x:c r="S1017">
        <x:v>71</x:v>
      </x:c>
      <x:c r="T1017">
        <x:v>51</x:v>
      </x:c>
      <x:c r="U1017">
        <x:v>52</x:v>
      </x:c>
    </x:row>
    <x:row r="1018">
      <x:c r="A1018" t="s">
        <x:v>1377</x:v>
      </x:c>
      <x:c r="B1018" t="s">
        <x:v>361</x:v>
      </x:c>
      <x:c r="C1018" t="s">
        <x:v>326</x:v>
      </x:c>
      <x:c r="D1018">
        <x:v>8480292</x:v>
      </x:c>
      <x:c r="E1018">
        <x:v>73</x:v>
      </x:c>
      <x:c r="F1018">
        <x:v>33</x:v>
      </x:c>
      <x:c r="G1018">
        <x:v>85</x:v>
      </x:c>
      <x:c r="H1018">
        <x:v>40</x:v>
      </x:c>
      <x:c r="I1018">
        <x:v>76</x:v>
      </x:c>
      <x:c r="J1018">
        <x:v>80</x:v>
      </x:c>
      <x:c r="K1018">
        <x:v>84</x:v>
      </x:c>
      <x:c r="L1018">
        <x:v>41</x:v>
      </x:c>
      <x:c r="M1018">
        <x:v>56</x:v>
      </x:c>
      <x:c r="N1018">
        <x:v>48</x:v>
      </x:c>
      <x:c r="O1018">
        <x:v>48</x:v>
      </x:c>
      <x:c r="P1018">
        <x:v>59</x:v>
      </x:c>
      <x:c r="Q1018">
        <x:v>63</x:v>
      </x:c>
      <x:c r="R1018">
        <x:v>71</x:v>
      </x:c>
      <x:c r="S1018">
        <x:v>70</x:v>
      </x:c>
      <x:c r="T1018">
        <x:v>51</x:v>
      </x:c>
      <x:c r="U1018">
        <x:v>52</x:v>
      </x:c>
    </x:row>
    <x:row r="1019">
      <x:c r="A1019" t="s">
        <x:v>1378</x:v>
      </x:c>
      <x:c r="C1019" t="s">
        <x:v>319</x:v>
      </x:c>
      <x:c r="D1019">
        <x:v>8480021</x:v>
      </x:c>
      <x:c r="E1019">
        <x:v>65</x:v>
      </x:c>
      <x:c r="F1019">
        <x:v>33</x:v>
      </x:c>
      <x:c r="G1019">
        <x:v>89</x:v>
      </x:c>
      <x:c r="H1019">
        <x:v>48</x:v>
      </x:c>
      <x:c r="I1019">
        <x:v>76</x:v>
      </x:c>
      <x:c r="J1019">
        <x:v>77</x:v>
      </x:c>
      <x:c r="K1019">
        <x:v>83</x:v>
      </x:c>
      <x:c r="L1019">
        <x:v>47</x:v>
      </x:c>
      <x:c r="M1019">
        <x:v>77</x:v>
      </x:c>
      <x:c r="N1019">
        <x:v>48</x:v>
      </x:c>
      <x:c r="O1019">
        <x:v>49</x:v>
      </x:c>
      <x:c r="P1019">
        <x:v>61</x:v>
      </x:c>
      <x:c r="Q1019">
        <x:v>56</x:v>
      </x:c>
      <x:c r="R1019">
        <x:v>69</x:v>
      </x:c>
      <x:c r="S1019">
        <x:v>70</x:v>
      </x:c>
      <x:c r="T1019">
        <x:v>51</x:v>
      </x:c>
      <x:c r="U1019">
        <x:v>51</x:v>
      </x:c>
    </x:row>
    <x:row r="1020">
      <x:c r="A1020" t="s">
        <x:v>1379</x:v>
      </x:c>
      <x:c r="C1020" t="s">
        <x:v>331</x:v>
      </x:c>
      <x:c r="D1020">
        <x:v>8484146</x:v>
      </x:c>
      <x:c r="E1020">
        <x:v>65</x:v>
      </x:c>
      <x:c r="F1020">
        <x:v>40</x:v>
      </x:c>
      <x:c r="G1020">
        <x:v>80</x:v>
      </x:c>
      <x:c r="H1020">
        <x:v>33</x:v>
      </x:c>
      <x:c r="I1020">
        <x:v>79</x:v>
      </x:c>
      <x:c r="J1020">
        <x:v>84</x:v>
      </x:c>
      <x:c r="K1020">
        <x:v>88</x:v>
      </x:c>
      <x:c r="L1020">
        <x:v>34</x:v>
      </x:c>
      <x:c r="M1020">
        <x:v>30</x:v>
      </x:c>
      <x:c r="N1020">
        <x:v>45</x:v>
      </x:c>
      <x:c r="O1020">
        <x:v>41</x:v>
      </x:c>
      <x:c r="P1020">
        <x:v>64</x:v>
      </x:c>
      <x:c r="Q1020">
        <x:v>48</x:v>
      </x:c>
      <x:c r="R1020">
        <x:v>65</x:v>
      </x:c>
      <x:c r="S1020">
        <x:v>65</x:v>
      </x:c>
      <x:c r="T1020">
        <x:v>51</x:v>
      </x:c>
      <x:c r="U1020">
        <x:v>51</x:v>
      </x:c>
    </x:row>
    <x:row r="1021">
      <x:c r="A1021" t="s">
        <x:v>1380</x:v>
      </x:c>
      <x:c r="C1021" t="s">
        <x:v>358</x:v>
      </x:c>
      <x:c r="D1021">
        <x:v>8482802</x:v>
      </x:c>
      <x:c r="E1021">
        <x:v>58</x:v>
      </x:c>
      <x:c r="F1021">
        <x:v>33</x:v>
      </x:c>
      <x:c r="G1021">
        <x:v>81</x:v>
      </x:c>
      <x:c r="H1021">
        <x:v>46</x:v>
      </x:c>
      <x:c r="I1021">
        <x:v>76</x:v>
      </x:c>
      <x:c r="J1021">
        <x:v>76</x:v>
      </x:c>
      <x:c r="K1021">
        <x:v>78</x:v>
      </x:c>
      <x:c r="L1021">
        <x:v>47</x:v>
      </x:c>
      <x:c r="M1021">
        <x:v>70</x:v>
      </x:c>
      <x:c r="N1021">
        <x:v>45</x:v>
      </x:c>
      <x:c r="O1021">
        <x:v>49</x:v>
      </x:c>
      <x:c r="P1021">
        <x:v>62</x:v>
      </x:c>
      <x:c r="Q1021">
        <x:v>69</x:v>
      </x:c>
      <x:c r="R1021">
        <x:v>67</x:v>
      </x:c>
      <x:c r="S1021">
        <x:v>68</x:v>
      </x:c>
      <x:c r="T1021">
        <x:v>51</x:v>
      </x:c>
      <x:c r="U1021">
        <x:v>51</x:v>
      </x:c>
    </x:row>
    <x:row r="1022">
      <x:c r="A1022" t="s">
        <x:v>1381</x:v>
      </x:c>
      <x:c r="C1022" t="s">
        <x:v>333</x:v>
      </x:c>
      <x:c r="D1022">
        <x:v>8484392</x:v>
      </x:c>
      <x:c r="E1022">
        <x:v>69</x:v>
      </x:c>
      <x:c r="F1022">
        <x:v>42</x:v>
      </x:c>
      <x:c r="G1022">
        <x:v>89</x:v>
      </x:c>
      <x:c r="H1022">
        <x:v>46</x:v>
      </x:c>
      <x:c r="I1022">
        <x:v>74</x:v>
      </x:c>
      <x:c r="J1022">
        <x:v>90</x:v>
      </x:c>
      <x:c r="K1022">
        <x:v>95</x:v>
      </x:c>
      <x:c r="L1022">
        <x:v>46</x:v>
      </x:c>
      <x:c r="M1022">
        <x:v>71</x:v>
      </x:c>
      <x:c r="N1022">
        <x:v>50</x:v>
      </x:c>
      <x:c r="O1022">
        <x:v>45</x:v>
      </x:c>
      <x:c r="P1022">
        <x:v>60</x:v>
      </x:c>
      <x:c r="Q1022">
        <x:v>69</x:v>
      </x:c>
      <x:c r="R1022">
        <x:v>65</x:v>
      </x:c>
      <x:c r="S1022">
        <x:v>65</x:v>
      </x:c>
      <x:c r="T1022">
        <x:v>51</x:v>
      </x:c>
      <x:c r="U1022">
        <x:v>51</x:v>
      </x:c>
    </x:row>
    <x:row r="1023">
      <x:c r="A1023" t="s">
        <x:v>1382</x:v>
      </x:c>
      <x:c r="C1023" t="s">
        <x:v>326</x:v>
      </x:c>
      <x:c r="D1023">
        <x:v>8480245</x:v>
      </x:c>
      <x:c r="E1023">
        <x:v>62</x:v>
      </x:c>
      <x:c r="F1023">
        <x:v>35</x:v>
      </x:c>
      <x:c r="G1023">
        <x:v>86</x:v>
      </x:c>
      <x:c r="H1023">
        <x:v>45</x:v>
      </x:c>
      <x:c r="I1023">
        <x:v>75</x:v>
      </x:c>
      <x:c r="J1023">
        <x:v>80</x:v>
      </x:c>
      <x:c r="K1023">
        <x:v>83</x:v>
      </x:c>
      <x:c r="L1023">
        <x:v>46</x:v>
      </x:c>
      <x:c r="M1023">
        <x:v>70</x:v>
      </x:c>
      <x:c r="N1023">
        <x:v>52</x:v>
      </x:c>
      <x:c r="O1023">
        <x:v>51</x:v>
      </x:c>
      <x:c r="P1023">
        <x:v>61</x:v>
      </x:c>
      <x:c r="Q1023">
        <x:v>68</x:v>
      </x:c>
      <x:c r="R1023">
        <x:v>70</x:v>
      </x:c>
      <x:c r="S1023">
        <x:v>70</x:v>
      </x:c>
      <x:c r="T1023">
        <x:v>51</x:v>
      </x:c>
      <x:c r="U1023">
        <x:v>51</x:v>
      </x:c>
    </x:row>
    <x:row r="1024">
      <x:c r="A1024" t="s">
        <x:v>1383</x:v>
      </x:c>
      <x:c r="B1024" t="s">
        <x:v>350</x:v>
      </x:c>
      <x:c r="C1024" t="s">
        <x:v>326</x:v>
      </x:c>
      <x:c r="D1024">
        <x:v>8482758</x:v>
      </x:c>
      <x:c r="E1024">
        <x:v>55</x:v>
      </x:c>
      <x:c r="F1024">
        <x:v>32</x:v>
      </x:c>
      <x:c r="G1024">
        <x:v>89</x:v>
      </x:c>
      <x:c r="H1024">
        <x:v>51</x:v>
      </x:c>
      <x:c r="I1024">
        <x:v>75</x:v>
      </x:c>
      <x:c r="J1024">
        <x:v>82</x:v>
      </x:c>
      <x:c r="K1024">
        <x:v>89</x:v>
      </x:c>
      <x:c r="L1024">
        <x:v>49</x:v>
      </x:c>
      <x:c r="M1024">
        <x:v>69</x:v>
      </x:c>
      <x:c r="N1024">
        <x:v>48</x:v>
      </x:c>
      <x:c r="O1024">
        <x:v>47</x:v>
      </x:c>
      <x:c r="P1024">
        <x:v>59</x:v>
      </x:c>
      <x:c r="Q1024">
        <x:v>59</x:v>
      </x:c>
      <x:c r="R1024">
        <x:v>66</x:v>
      </x:c>
      <x:c r="S1024">
        <x:v>65</x:v>
      </x:c>
      <x:c r="T1024">
        <x:v>51</x:v>
      </x:c>
      <x:c r="U1024">
        <x:v>51</x:v>
      </x:c>
    </x:row>
    <x:row r="1025">
      <x:c r="A1025" t="s">
        <x:v>1384</x:v>
      </x:c>
      <x:c r="C1025" t="s">
        <x:v>323</x:v>
      </x:c>
      <x:c r="D1025">
        <x:v>8483505</x:v>
      </x:c>
      <x:c r="E1025">
        <x:v>62</x:v>
      </x:c>
      <x:c r="F1025">
        <x:v>35</x:v>
      </x:c>
      <x:c r="G1025">
        <x:v>84</x:v>
      </x:c>
      <x:c r="H1025">
        <x:v>46</x:v>
      </x:c>
      <x:c r="I1025">
        <x:v>75</x:v>
      </x:c>
      <x:c r="J1025">
        <x:v>90</x:v>
      </x:c>
      <x:c r="K1025">
        <x:v>94</x:v>
      </x:c>
      <x:c r="L1025">
        <x:v>47</x:v>
      </x:c>
      <x:c r="M1025">
        <x:v>77</x:v>
      </x:c>
      <x:c r="N1025">
        <x:v>53</x:v>
      </x:c>
      <x:c r="O1025">
        <x:v>54</x:v>
      </x:c>
      <x:c r="P1025">
        <x:v>63</x:v>
      </x:c>
      <x:c r="Q1025">
        <x:v>69</x:v>
      </x:c>
      <x:c r="R1025">
        <x:v>66</x:v>
      </x:c>
      <x:c r="S1025">
        <x:v>64</x:v>
      </x:c>
      <x:c r="T1025">
        <x:v>51</x:v>
      </x:c>
      <x:c r="U1025">
        <x:v>51</x:v>
      </x:c>
    </x:row>
    <x:row r="1026">
      <x:c r="A1026" t="s">
        <x:v>1385</x:v>
      </x:c>
      <x:c r="C1026" t="s">
        <x:v>319</x:v>
      </x:c>
      <x:c r="D1026">
        <x:v>8484214</x:v>
      </x:c>
      <x:c r="E1026">
        <x:v>63</x:v>
      </x:c>
      <x:c r="F1026">
        <x:v>39</x:v>
      </x:c>
      <x:c r="G1026">
        <x:v>78</x:v>
      </x:c>
      <x:c r="H1026">
        <x:v>46</x:v>
      </x:c>
      <x:c r="I1026">
        <x:v>79</x:v>
      </x:c>
      <x:c r="J1026">
        <x:v>91</x:v>
      </x:c>
      <x:c r="K1026">
        <x:v>95</x:v>
      </x:c>
      <x:c r="L1026">
        <x:v>45</x:v>
      </x:c>
      <x:c r="M1026">
        <x:v>65</x:v>
      </x:c>
      <x:c r="N1026">
        <x:v>49</x:v>
      </x:c>
      <x:c r="O1026">
        <x:v>44</x:v>
      </x:c>
      <x:c r="P1026">
        <x:v>63</x:v>
      </x:c>
      <x:c r="Q1026">
        <x:v>68</x:v>
      </x:c>
      <x:c r="R1026">
        <x:v>65</x:v>
      </x:c>
      <x:c r="S1026">
        <x:v>65</x:v>
      </x:c>
      <x:c r="T1026">
        <x:v>51</x:v>
      </x:c>
      <x:c r="U1026">
        <x:v>51</x:v>
      </x:c>
    </x:row>
    <x:row r="1027">
      <x:c r="A1027" t="s">
        <x:v>1386</x:v>
      </x:c>
      <x:c r="C1027" t="s">
        <x:v>331</x:v>
      </x:c>
      <x:c r="D1027">
        <x:v>8480808</x:v>
      </x:c>
      <x:c r="E1027">
        <x:v>72</x:v>
      </x:c>
      <x:c r="F1027">
        <x:v>34</x:v>
      </x:c>
      <x:c r="G1027">
        <x:v>72</x:v>
      </x:c>
      <x:c r="H1027">
        <x:v>33</x:v>
      </x:c>
      <x:c r="I1027">
        <x:v>82</x:v>
      </x:c>
      <x:c r="J1027">
        <x:v>82</x:v>
      </x:c>
      <x:c r="K1027">
        <x:v>84</x:v>
      </x:c>
      <x:c r="L1027">
        <x:v>32</x:v>
      </x:c>
      <x:c r="M1027">
        <x:v>30</x:v>
      </x:c>
      <x:c r="N1027">
        <x:v>42</x:v>
      </x:c>
      <x:c r="O1027">
        <x:v>40</x:v>
      </x:c>
      <x:c r="P1027">
        <x:v>66</x:v>
      </x:c>
      <x:c r="Q1027">
        <x:v>46</x:v>
      </x:c>
      <x:c r="R1027">
        <x:v>69</x:v>
      </x:c>
      <x:c r="S1027">
        <x:v>70</x:v>
      </x:c>
      <x:c r="T1027">
        <x:v>51</x:v>
      </x:c>
      <x:c r="U1027">
        <x:v>51</x:v>
      </x:c>
    </x:row>
    <x:row r="1028">
      <x:c r="A1028" t="s">
        <x:v>1387</x:v>
      </x:c>
      <x:c r="C1028" t="s">
        <x:v>331</x:v>
      </x:c>
      <x:c r="D1028">
        <x:v>8482098</x:v>
      </x:c>
      <x:c r="E1028">
        <x:v>63</x:v>
      </x:c>
      <x:c r="F1028">
        <x:v>40</x:v>
      </x:c>
      <x:c r="G1028">
        <x:v>81</x:v>
      </x:c>
      <x:c r="H1028">
        <x:v>33</x:v>
      </x:c>
      <x:c r="I1028">
        <x:v>79</x:v>
      </x:c>
      <x:c r="J1028">
        <x:v>73</x:v>
      </x:c>
      <x:c r="K1028">
        <x:v>76</x:v>
      </x:c>
      <x:c r="L1028">
        <x:v>32</x:v>
      </x:c>
      <x:c r="M1028">
        <x:v>30</x:v>
      </x:c>
      <x:c r="N1028">
        <x:v>42</x:v>
      </x:c>
      <x:c r="O1028">
        <x:v>40</x:v>
      </x:c>
      <x:c r="P1028">
        <x:v>67</x:v>
      </x:c>
      <x:c r="Q1028">
        <x:v>46</x:v>
      </x:c>
      <x:c r="R1028">
        <x:v>67</x:v>
      </x:c>
      <x:c r="S1028">
        <x:v>66</x:v>
      </x:c>
      <x:c r="T1028">
        <x:v>51</x:v>
      </x:c>
      <x:c r="U1028">
        <x:v>51</x:v>
      </x:c>
    </x:row>
    <x:row r="1029">
      <x:c r="A1029" t="s">
        <x:v>1388</x:v>
      </x:c>
      <x:c r="C1029" t="s">
        <x:v>331</x:v>
      </x:c>
      <x:c r="D1029">
        <x:v>8486178</x:v>
      </x:c>
      <x:c r="E1029">
        <x:v>67</x:v>
      </x:c>
      <x:c r="F1029">
        <x:v>36</x:v>
      </x:c>
      <x:c r="G1029">
        <x:v>91</x:v>
      </x:c>
      <x:c r="H1029">
        <x:v>33</x:v>
      </x:c>
      <x:c r="I1029">
        <x:v>80</x:v>
      </x:c>
      <x:c r="J1029">
        <x:v>68</x:v>
      </x:c>
      <x:c r="K1029">
        <x:v>71</x:v>
      </x:c>
      <x:c r="L1029">
        <x:v>34</x:v>
      </x:c>
      <x:c r="M1029">
        <x:v>30</x:v>
      </x:c>
      <x:c r="N1029">
        <x:v>42</x:v>
      </x:c>
      <x:c r="O1029">
        <x:v>40</x:v>
      </x:c>
      <x:c r="P1029">
        <x:v>66</x:v>
      </x:c>
      <x:c r="Q1029">
        <x:v>46</x:v>
      </x:c>
      <x:c r="R1029">
        <x:v>66</x:v>
      </x:c>
      <x:c r="S1029">
        <x:v>66</x:v>
      </x:c>
      <x:c r="T1029">
        <x:v>51</x:v>
      </x:c>
      <x:c r="U1029">
        <x:v>51</x:v>
      </x:c>
    </x:row>
    <x:row r="1030">
      <x:c r="A1030" t="s">
        <x:v>1389</x:v>
      </x:c>
      <x:c r="C1030" t="s">
        <x:v>331</x:v>
      </x:c>
      <x:c r="D1030">
        <x:v>8480257</x:v>
      </x:c>
      <x:c r="E1030">
        <x:v>62</x:v>
      </x:c>
      <x:c r="F1030">
        <x:v>33</x:v>
      </x:c>
      <x:c r="G1030">
        <x:v>91</x:v>
      </x:c>
      <x:c r="H1030">
        <x:v>32</x:v>
      </x:c>
      <x:c r="I1030">
        <x:v>77</x:v>
      </x:c>
      <x:c r="J1030">
        <x:v>72</x:v>
      </x:c>
      <x:c r="K1030">
        <x:v>73</x:v>
      </x:c>
      <x:c r="L1030">
        <x:v>33</x:v>
      </x:c>
      <x:c r="M1030">
        <x:v>30</x:v>
      </x:c>
      <x:c r="N1030">
        <x:v>43</x:v>
      </x:c>
      <x:c r="O1030">
        <x:v>39</x:v>
      </x:c>
      <x:c r="P1030">
        <x:v>67</x:v>
      </x:c>
      <x:c r="Q1030">
        <x:v>46</x:v>
      </x:c>
      <x:c r="R1030">
        <x:v>70</x:v>
      </x:c>
      <x:c r="S1030">
        <x:v>71</x:v>
      </x:c>
      <x:c r="T1030">
        <x:v>51</x:v>
      </x:c>
      <x:c r="U1030">
        <x:v>51</x:v>
      </x:c>
    </x:row>
    <x:row r="1031">
      <x:c r="A1031" t="s">
        <x:v>1390</x:v>
      </x:c>
      <x:c r="C1031" t="s">
        <x:v>331</x:v>
      </x:c>
      <x:c r="D1031">
        <x:v>8480998</x:v>
      </x:c>
      <x:c r="E1031">
        <x:v>68</x:v>
      </x:c>
      <x:c r="F1031">
        <x:v>33</x:v>
      </x:c>
      <x:c r="G1031">
        <x:v>79</x:v>
      </x:c>
      <x:c r="H1031">
        <x:v>32</x:v>
      </x:c>
      <x:c r="I1031">
        <x:v>79</x:v>
      </x:c>
      <x:c r="J1031">
        <x:v>85</x:v>
      </x:c>
      <x:c r="K1031">
        <x:v>89</x:v>
      </x:c>
      <x:c r="L1031">
        <x:v>32</x:v>
      </x:c>
      <x:c r="M1031">
        <x:v>30</x:v>
      </x:c>
      <x:c r="N1031">
        <x:v>43</x:v>
      </x:c>
      <x:c r="O1031">
        <x:v>39</x:v>
      </x:c>
      <x:c r="P1031">
        <x:v>68</x:v>
      </x:c>
      <x:c r="Q1031">
        <x:v>46</x:v>
      </x:c>
      <x:c r="R1031">
        <x:v>69</x:v>
      </x:c>
      <x:c r="S1031">
        <x:v>69</x:v>
      </x:c>
      <x:c r="T1031">
        <x:v>51</x:v>
      </x:c>
      <x:c r="U1031">
        <x:v>51</x:v>
      </x:c>
    </x:row>
    <x:row r="1032">
      <x:c r="A1032" t="s">
        <x:v>1391</x:v>
      </x:c>
      <x:c r="C1032" t="s">
        <x:v>331</x:v>
      </x:c>
      <x:c r="D1032">
        <x:v>8480075</x:v>
      </x:c>
      <x:c r="E1032">
        <x:v>71</x:v>
      </x:c>
      <x:c r="F1032">
        <x:v>39</x:v>
      </x:c>
      <x:c r="G1032">
        <x:v>83</x:v>
      </x:c>
      <x:c r="H1032">
        <x:v>32</x:v>
      </x:c>
      <x:c r="I1032">
        <x:v>82</x:v>
      </x:c>
      <x:c r="J1032">
        <x:v>84</x:v>
      </x:c>
      <x:c r="K1032">
        <x:v>86</x:v>
      </x:c>
      <x:c r="L1032">
        <x:v>32</x:v>
      </x:c>
      <x:c r="M1032">
        <x:v>30</x:v>
      </x:c>
      <x:c r="N1032">
        <x:v>41</x:v>
      </x:c>
      <x:c r="O1032">
        <x:v>40</x:v>
      </x:c>
      <x:c r="P1032">
        <x:v>69</x:v>
      </x:c>
      <x:c r="Q1032">
        <x:v>45</x:v>
      </x:c>
      <x:c r="R1032">
        <x:v>69</x:v>
      </x:c>
      <x:c r="S1032">
        <x:v>68</x:v>
      </x:c>
      <x:c r="T1032">
        <x:v>51</x:v>
      </x:c>
      <x:c r="U1032">
        <x:v>51</x:v>
      </x:c>
    </x:row>
    <x:row r="1033">
      <x:c r="A1033" t="s">
        <x:v>1392</x:v>
      </x:c>
      <x:c r="C1033" t="s">
        <x:v>331</x:v>
      </x:c>
      <x:c r="D1033">
        <x:v>8479595</x:v>
      </x:c>
      <x:c r="E1033">
        <x:v>64</x:v>
      </x:c>
      <x:c r="F1033">
        <x:v>38</x:v>
      </x:c>
      <x:c r="G1033">
        <x:v>92</x:v>
      </x:c>
      <x:c r="H1033">
        <x:v>33</x:v>
      </x:c>
      <x:c r="I1033">
        <x:v>82</x:v>
      </x:c>
      <x:c r="J1033">
        <x:v>80</x:v>
      </x:c>
      <x:c r="K1033">
        <x:v>82</x:v>
      </x:c>
      <x:c r="L1033">
        <x:v>34</x:v>
      </x:c>
      <x:c r="M1033">
        <x:v>30</x:v>
      </x:c>
      <x:c r="N1033">
        <x:v>42</x:v>
      </x:c>
      <x:c r="O1033">
        <x:v>40</x:v>
      </x:c>
      <x:c r="P1033">
        <x:v>65</x:v>
      </x:c>
      <x:c r="Q1033">
        <x:v>46</x:v>
      </x:c>
      <x:c r="R1033">
        <x:v>72</x:v>
      </x:c>
      <x:c r="S1033">
        <x:v>73</x:v>
      </x:c>
      <x:c r="T1033">
        <x:v>51</x:v>
      </x:c>
      <x:c r="U1033">
        <x:v>51</x:v>
      </x:c>
    </x:row>
    <x:row r="1034">
      <x:c r="A1034" t="s">
        <x:v>1393</x:v>
      </x:c>
      <x:c r="C1034" t="s">
        <x:v>319</x:v>
      </x:c>
      <x:c r="D1034">
        <x:v>8481228</x:v>
      </x:c>
      <x:c r="E1034">
        <x:v>68</x:v>
      </x:c>
      <x:c r="F1034">
        <x:v>39</x:v>
      </x:c>
      <x:c r="G1034">
        <x:v>79</x:v>
      </x:c>
      <x:c r="H1034">
        <x:v>47</x:v>
      </x:c>
      <x:c r="I1034">
        <x:v>80</x:v>
      </x:c>
      <x:c r="J1034">
        <x:v>87</x:v>
      </x:c>
      <x:c r="K1034">
        <x:v>92</x:v>
      </x:c>
      <x:c r="L1034">
        <x:v>48</x:v>
      </x:c>
      <x:c r="M1034">
        <x:v>81</x:v>
      </x:c>
      <x:c r="N1034">
        <x:v>48</x:v>
      </x:c>
      <x:c r="O1034">
        <x:v>43</x:v>
      </x:c>
      <x:c r="P1034">
        <x:v>58</x:v>
      </x:c>
      <x:c r="Q1034">
        <x:v>67</x:v>
      </x:c>
      <x:c r="R1034">
        <x:v>70</x:v>
      </x:c>
      <x:c r="S1034">
        <x:v>69</x:v>
      </x:c>
      <x:c r="T1034">
        <x:v>51</x:v>
      </x:c>
      <x:c r="U1034">
        <x:v>51</x:v>
      </x:c>
    </x:row>
    <x:row r="1035">
      <x:c r="A1035" t="s">
        <x:v>1394</x:v>
      </x:c>
      <x:c r="C1035" t="s">
        <x:v>331</x:v>
      </x:c>
      <x:c r="D1035">
        <x:v>8483427</x:v>
      </x:c>
      <x:c r="E1035">
        <x:v>73</x:v>
      </x:c>
      <x:c r="F1035">
        <x:v>46</x:v>
      </x:c>
      <x:c r="G1035">
        <x:v>84</x:v>
      </x:c>
      <x:c r="H1035">
        <x:v>32</x:v>
      </x:c>
      <x:c r="I1035">
        <x:v>76</x:v>
      </x:c>
      <x:c r="J1035">
        <x:v>82</x:v>
      </x:c>
      <x:c r="K1035">
        <x:v>85</x:v>
      </x:c>
      <x:c r="L1035">
        <x:v>32</x:v>
      </x:c>
      <x:c r="M1035">
        <x:v>30</x:v>
      </x:c>
      <x:c r="N1035">
        <x:v>40</x:v>
      </x:c>
      <x:c r="O1035">
        <x:v>41</x:v>
      </x:c>
      <x:c r="P1035">
        <x:v>66</x:v>
      </x:c>
      <x:c r="Q1035">
        <x:v>45</x:v>
      </x:c>
      <x:c r="R1035">
        <x:v>65</x:v>
      </x:c>
      <x:c r="S1035">
        <x:v>64</x:v>
      </x:c>
      <x:c r="T1035">
        <x:v>51</x:v>
      </x:c>
      <x:c r="U1035">
        <x:v>51</x:v>
      </x:c>
    </x:row>
    <x:row r="1036">
      <x:c r="A1036" t="s">
        <x:v>1395</x:v>
      </x:c>
      <x:c r="C1036" t="s">
        <x:v>331</x:v>
      </x:c>
      <x:c r="D1036">
        <x:v>8482676</x:v>
      </x:c>
      <x:c r="E1036">
        <x:v>62</x:v>
      </x:c>
      <x:c r="F1036">
        <x:v>37</x:v>
      </x:c>
      <x:c r="G1036">
        <x:v>85</x:v>
      </x:c>
      <x:c r="H1036">
        <x:v>34</x:v>
      </x:c>
      <x:c r="I1036">
        <x:v>79</x:v>
      </x:c>
      <x:c r="J1036">
        <x:v>80</x:v>
      </x:c>
      <x:c r="K1036">
        <x:v>84</x:v>
      </x:c>
      <x:c r="L1036">
        <x:v>35</x:v>
      </x:c>
      <x:c r="M1036">
        <x:v>30</x:v>
      </x:c>
      <x:c r="N1036">
        <x:v>45</x:v>
      </x:c>
      <x:c r="O1036">
        <x:v>41</x:v>
      </x:c>
      <x:c r="P1036">
        <x:v>64</x:v>
      </x:c>
      <x:c r="Q1036">
        <x:v>48</x:v>
      </x:c>
      <x:c r="R1036">
        <x:v>65</x:v>
      </x:c>
      <x:c r="S1036">
        <x:v>66</x:v>
      </x:c>
      <x:c r="T1036">
        <x:v>51</x:v>
      </x:c>
      <x:c r="U1036">
        <x:v>51</x:v>
      </x:c>
    </x:row>
    <x:row r="1037">
      <x:c r="A1037" t="s">
        <x:v>1396</x:v>
      </x:c>
      <x:c r="C1037" t="s">
        <x:v>331</x:v>
      </x:c>
      <x:c r="D1037">
        <x:v>8482952</x:v>
      </x:c>
      <x:c r="E1037">
        <x:v>80</x:v>
      </x:c>
      <x:c r="F1037">
        <x:v>39</x:v>
      </x:c>
      <x:c r="G1037">
        <x:v>91</x:v>
      </x:c>
      <x:c r="H1037">
        <x:v>32</x:v>
      </x:c>
      <x:c r="I1037">
        <x:v>81</x:v>
      </x:c>
      <x:c r="J1037">
        <x:v>71</x:v>
      </x:c>
      <x:c r="K1037">
        <x:v>74</x:v>
      </x:c>
      <x:c r="L1037">
        <x:v>31</x:v>
      </x:c>
      <x:c r="M1037">
        <x:v>30</x:v>
      </x:c>
      <x:c r="N1037">
        <x:v>42</x:v>
      </x:c>
      <x:c r="O1037">
        <x:v>38</x:v>
      </x:c>
      <x:c r="P1037">
        <x:v>67</x:v>
      </x:c>
      <x:c r="Q1037">
        <x:v>45</x:v>
      </x:c>
      <x:c r="R1037">
        <x:v>66</x:v>
      </x:c>
      <x:c r="S1037">
        <x:v>65</x:v>
      </x:c>
      <x:c r="T1037">
        <x:v>51</x:v>
      </x:c>
      <x:c r="U1037">
        <x:v>51</x:v>
      </x:c>
    </x:row>
    <x:row r="1038">
      <x:c r="A1038" t="s">
        <x:v>1397</x:v>
      </x:c>
      <x:c r="C1038" t="s">
        <x:v>319</x:v>
      </x:c>
      <x:c r="D1038">
        <x:v>8483481</x:v>
      </x:c>
      <x:c r="E1038">
        <x:v>57</x:v>
      </x:c>
      <x:c r="F1038">
        <x:v>40</x:v>
      </x:c>
      <x:c r="G1038">
        <x:v>86</x:v>
      </x:c>
      <x:c r="H1038">
        <x:v>46</x:v>
      </x:c>
      <x:c r="I1038">
        <x:v>79</x:v>
      </x:c>
      <x:c r="J1038">
        <x:v>70</x:v>
      </x:c>
      <x:c r="K1038">
        <x:v>70</x:v>
      </x:c>
      <x:c r="L1038">
        <x:v>46</x:v>
      </x:c>
      <x:c r="M1038">
        <x:v>71</x:v>
      </x:c>
      <x:c r="N1038">
        <x:v>48</x:v>
      </x:c>
      <x:c r="O1038">
        <x:v>46</x:v>
      </x:c>
      <x:c r="P1038">
        <x:v>57</x:v>
      </x:c>
      <x:c r="Q1038">
        <x:v>68</x:v>
      </x:c>
      <x:c r="R1038">
        <x:v>66</x:v>
      </x:c>
      <x:c r="S1038">
        <x:v>68</x:v>
      </x:c>
      <x:c r="T1038">
        <x:v>51</x:v>
      </x:c>
      <x:c r="U1038">
        <x:v>51</x:v>
      </x:c>
    </x:row>
    <x:row r="1039">
      <x:c r="A1039" t="s">
        <x:v>1398</x:v>
      </x:c>
      <x:c r="C1039" t="s">
        <x:v>331</x:v>
      </x:c>
      <x:c r="D1039">
        <x:v>8483059</x:v>
      </x:c>
      <x:c r="E1039">
        <x:v>74</x:v>
      </x:c>
      <x:c r="F1039">
        <x:v>35</x:v>
      </x:c>
      <x:c r="G1039">
        <x:v>89</x:v>
      </x:c>
      <x:c r="H1039">
        <x:v>33</x:v>
      </x:c>
      <x:c r="I1039">
        <x:v>81</x:v>
      </x:c>
      <x:c r="J1039">
        <x:v>81</x:v>
      </x:c>
      <x:c r="K1039">
        <x:v>84</x:v>
      </x:c>
      <x:c r="L1039">
        <x:v>32</x:v>
      </x:c>
      <x:c r="M1039">
        <x:v>30</x:v>
      </x:c>
      <x:c r="N1039">
        <x:v>42</x:v>
      </x:c>
      <x:c r="O1039">
        <x:v>40</x:v>
      </x:c>
      <x:c r="P1039">
        <x:v>64</x:v>
      </x:c>
      <x:c r="Q1039">
        <x:v>46</x:v>
      </x:c>
      <x:c r="R1039">
        <x:v>67</x:v>
      </x:c>
      <x:c r="S1039">
        <x:v>67</x:v>
      </x:c>
      <x:c r="T1039">
        <x:v>51</x:v>
      </x:c>
      <x:c r="U1039">
        <x:v>51</x:v>
      </x:c>
    </x:row>
    <x:row r="1040">
      <x:c r="A1040" t="s">
        <x:v>1399</x:v>
      </x:c>
      <x:c r="C1040" t="s">
        <x:v>331</x:v>
      </x:c>
      <x:c r="E1040">
        <x:v>77</x:v>
      </x:c>
      <x:c r="F1040">
        <x:v>44</x:v>
      </x:c>
      <x:c r="G1040">
        <x:v>74</x:v>
      </x:c>
      <x:c r="H1040">
        <x:v>31</x:v>
      </x:c>
      <x:c r="I1040">
        <x:v>85</x:v>
      </x:c>
      <x:c r="J1040">
        <x:v>81</x:v>
      </x:c>
      <x:c r="K1040">
        <x:v>87</x:v>
      </x:c>
      <x:c r="L1040">
        <x:v>32</x:v>
      </x:c>
      <x:c r="M1040">
        <x:v>30</x:v>
      </x:c>
      <x:c r="N1040">
        <x:v>40</x:v>
      </x:c>
      <x:c r="O1040">
        <x:v>40</x:v>
      </x:c>
      <x:c r="P1040">
        <x:v>64</x:v>
      </x:c>
      <x:c r="Q1040">
        <x:v>45</x:v>
      </x:c>
      <x:c r="R1040">
        <x:v>66</x:v>
      </x:c>
      <x:c r="S1040">
        <x:v>66</x:v>
      </x:c>
      <x:c r="T1040">
        <x:v>51</x:v>
      </x:c>
      <x:c r="U1040">
        <x:v>51</x:v>
      </x:c>
    </x:row>
    <x:row r="1041">
      <x:c r="A1041" t="s">
        <x:v>1400</x:v>
      </x:c>
      <x:c r="C1041" t="s">
        <x:v>331</x:v>
      </x:c>
      <x:c r="D1041">
        <x:v>8484174</x:v>
      </x:c>
      <x:c r="E1041">
        <x:v>77</x:v>
      </x:c>
      <x:c r="F1041">
        <x:v>44</x:v>
      </x:c>
      <x:c r="G1041">
        <x:v>75</x:v>
      </x:c>
      <x:c r="H1041">
        <x:v>32</x:v>
      </x:c>
      <x:c r="I1041">
        <x:v>83</x:v>
      </x:c>
      <x:c r="J1041">
        <x:v>91</x:v>
      </x:c>
      <x:c r="K1041">
        <x:v>95</x:v>
      </x:c>
      <x:c r="L1041">
        <x:v>31</x:v>
      </x:c>
      <x:c r="M1041">
        <x:v>30</x:v>
      </x:c>
      <x:c r="N1041">
        <x:v>42</x:v>
      </x:c>
      <x:c r="O1041">
        <x:v>39</x:v>
      </x:c>
      <x:c r="P1041">
        <x:v>67</x:v>
      </x:c>
      <x:c r="Q1041">
        <x:v>45</x:v>
      </x:c>
      <x:c r="R1041">
        <x:v>65</x:v>
      </x:c>
      <x:c r="S1041">
        <x:v>66</x:v>
      </x:c>
      <x:c r="T1041">
        <x:v>51</x:v>
      </x:c>
      <x:c r="U1041">
        <x:v>51</x:v>
      </x:c>
    </x:row>
    <x:row r="1042">
      <x:c r="A1042" t="s">
        <x:v>1401</x:v>
      </x:c>
      <x:c r="C1042" t="s">
        <x:v>358</x:v>
      </x:c>
      <x:c r="D1042">
        <x:v>8482631</x:v>
      </x:c>
      <x:c r="E1042">
        <x:v>70</x:v>
      </x:c>
      <x:c r="F1042">
        <x:v>39</x:v>
      </x:c>
      <x:c r="G1042">
        <x:v>89</x:v>
      </x:c>
      <x:c r="H1042">
        <x:v>45</x:v>
      </x:c>
      <x:c r="I1042">
        <x:v>84</x:v>
      </x:c>
      <x:c r="J1042">
        <x:v>85</x:v>
      </x:c>
      <x:c r="K1042">
        <x:v>89</x:v>
      </x:c>
      <x:c r="L1042">
        <x:v>46</x:v>
      </x:c>
      <x:c r="M1042">
        <x:v>73</x:v>
      </x:c>
      <x:c r="N1042">
        <x:v>43</x:v>
      </x:c>
      <x:c r="O1042">
        <x:v>47</x:v>
      </x:c>
      <x:c r="P1042">
        <x:v>62</x:v>
      </x:c>
      <x:c r="Q1042">
        <x:v>65</x:v>
      </x:c>
      <x:c r="R1042">
        <x:v>70</x:v>
      </x:c>
      <x:c r="S1042">
        <x:v>70</x:v>
      </x:c>
      <x:c r="T1042">
        <x:v>51</x:v>
      </x:c>
      <x:c r="U1042">
        <x:v>51</x:v>
      </x:c>
    </x:row>
    <x:row r="1043">
      <x:c r="A1043" t="s">
        <x:v>1402</x:v>
      </x:c>
      <x:c r="C1043" t="s">
        <x:v>331</x:v>
      </x:c>
      <x:c r="D1043">
        <x:v>8484196</x:v>
      </x:c>
      <x:c r="E1043">
        <x:v>64</x:v>
      </x:c>
      <x:c r="F1043">
        <x:v>37</x:v>
      </x:c>
      <x:c r="G1043">
        <x:v>89</x:v>
      </x:c>
      <x:c r="H1043">
        <x:v>33</x:v>
      </x:c>
      <x:c r="I1043">
        <x:v>80</x:v>
      </x:c>
      <x:c r="J1043">
        <x:v>82</x:v>
      </x:c>
      <x:c r="K1043">
        <x:v>86</x:v>
      </x:c>
      <x:c r="L1043">
        <x:v>34</x:v>
      </x:c>
      <x:c r="M1043">
        <x:v>30</x:v>
      </x:c>
      <x:c r="N1043">
        <x:v>45</x:v>
      </x:c>
      <x:c r="O1043">
        <x:v>40</x:v>
      </x:c>
      <x:c r="P1043">
        <x:v>65</x:v>
      </x:c>
      <x:c r="Q1043">
        <x:v>47</x:v>
      </x:c>
      <x:c r="R1043">
        <x:v>65</x:v>
      </x:c>
      <x:c r="S1043">
        <x:v>64</x:v>
      </x:c>
      <x:c r="T1043">
        <x:v>51</x:v>
      </x:c>
      <x:c r="U1043">
        <x:v>51</x:v>
      </x:c>
    </x:row>
    <x:row r="1044">
      <x:c r="A1044" t="s">
        <x:v>1403</x:v>
      </x:c>
      <x:c r="C1044" t="s">
        <x:v>331</x:v>
      </x:c>
      <x:c r="D1044">
        <x:v>8482693</x:v>
      </x:c>
      <x:c r="E1044">
        <x:v>86</x:v>
      </x:c>
      <x:c r="F1044">
        <x:v>40</x:v>
      </x:c>
      <x:c r="G1044">
        <x:v>74</x:v>
      </x:c>
      <x:c r="H1044">
        <x:v>32</x:v>
      </x:c>
      <x:c r="I1044">
        <x:v>89</x:v>
      </x:c>
      <x:c r="J1044">
        <x:v>80</x:v>
      </x:c>
      <x:c r="K1044">
        <x:v>83</x:v>
      </x:c>
      <x:c r="L1044">
        <x:v>33</x:v>
      </x:c>
      <x:c r="M1044">
        <x:v>30</x:v>
      </x:c>
      <x:c r="N1044">
        <x:v>40</x:v>
      </x:c>
      <x:c r="O1044">
        <x:v>38</x:v>
      </x:c>
      <x:c r="P1044">
        <x:v>64</x:v>
      </x:c>
      <x:c r="Q1044">
        <x:v>44</x:v>
      </x:c>
      <x:c r="R1044">
        <x:v>66</x:v>
      </x:c>
      <x:c r="S1044">
        <x:v>65</x:v>
      </x:c>
      <x:c r="T1044">
        <x:v>51</x:v>
      </x:c>
      <x:c r="U1044">
        <x:v>51</x:v>
      </x:c>
    </x:row>
    <x:row r="1045">
      <x:c r="A1045" t="s">
        <x:v>1404</x:v>
      </x:c>
      <x:c r="C1045" t="s">
        <x:v>319</x:v>
      </x:c>
      <x:c r="D1045">
        <x:v>8481019</x:v>
      </x:c>
      <x:c r="E1045">
        <x:v>62</x:v>
      </x:c>
      <x:c r="F1045">
        <x:v>70</x:v>
      </x:c>
      <x:c r="G1045">
        <x:v>90</x:v>
      </x:c>
      <x:c r="H1045">
        <x:v>46</x:v>
      </x:c>
      <x:c r="I1045">
        <x:v>84</x:v>
      </x:c>
      <x:c r="J1045">
        <x:v>78</x:v>
      </x:c>
      <x:c r="K1045">
        <x:v>80</x:v>
      </x:c>
      <x:c r="L1045">
        <x:v>46</x:v>
      </x:c>
      <x:c r="M1045">
        <x:v>84</x:v>
      </x:c>
      <x:c r="N1045">
        <x:v>51</x:v>
      </x:c>
      <x:c r="O1045">
        <x:v>50</x:v>
      </x:c>
      <x:c r="P1045">
        <x:v>64</x:v>
      </x:c>
      <x:c r="Q1045">
        <x:v>68</x:v>
      </x:c>
      <x:c r="R1045">
        <x:v>70</x:v>
      </x:c>
      <x:c r="S1045">
        <x:v>68</x:v>
      </x:c>
      <x:c r="T1045">
        <x:v>51</x:v>
      </x:c>
      <x:c r="U1045">
        <x:v>51</x:v>
      </x:c>
    </x:row>
    <x:row r="1046">
      <x:c r="A1046" t="s">
        <x:v>1405</x:v>
      </x:c>
      <x:c r="C1046" t="s">
        <x:v>358</x:v>
      </x:c>
      <x:c r="D1046">
        <x:v>8481550</x:v>
      </x:c>
      <x:c r="E1046">
        <x:v>67</x:v>
      </x:c>
      <x:c r="F1046">
        <x:v>34</x:v>
      </x:c>
      <x:c r="G1046">
        <x:v>83</x:v>
      </x:c>
      <x:c r="H1046">
        <x:v>45</x:v>
      </x:c>
      <x:c r="I1046">
        <x:v>76</x:v>
      </x:c>
      <x:c r="J1046">
        <x:v>87</x:v>
      </x:c>
      <x:c r="K1046">
        <x:v>91</x:v>
      </x:c>
      <x:c r="L1046">
        <x:v>44</x:v>
      </x:c>
      <x:c r="M1046">
        <x:v>57</x:v>
      </x:c>
      <x:c r="N1046">
        <x:v>48</x:v>
      </x:c>
      <x:c r="O1046">
        <x:v>48</x:v>
      </x:c>
      <x:c r="P1046">
        <x:v>59</x:v>
      </x:c>
      <x:c r="Q1046">
        <x:v>68</x:v>
      </x:c>
      <x:c r="R1046">
        <x:v>68</x:v>
      </x:c>
      <x:c r="S1046">
        <x:v>67</x:v>
      </x:c>
      <x:c r="T1046">
        <x:v>51</x:v>
      </x:c>
      <x:c r="U1046">
        <x:v>51</x:v>
      </x:c>
    </x:row>
    <x:row r="1047">
      <x:c r="A1047" t="s">
        <x:v>1406</x:v>
      </x:c>
      <x:c r="C1047" t="s">
        <x:v>331</x:v>
      </x:c>
      <x:c r="D1047">
        <x:v>8482692</x:v>
      </x:c>
      <x:c r="E1047">
        <x:v>66</x:v>
      </x:c>
      <x:c r="F1047">
        <x:v>39</x:v>
      </x:c>
      <x:c r="G1047">
        <x:v>89</x:v>
      </x:c>
      <x:c r="H1047">
        <x:v>34</x:v>
      </x:c>
      <x:c r="I1047">
        <x:v>78</x:v>
      </x:c>
      <x:c r="J1047">
        <x:v>90</x:v>
      </x:c>
      <x:c r="K1047">
        <x:v>94</x:v>
      </x:c>
      <x:c r="L1047">
        <x:v>33</x:v>
      </x:c>
      <x:c r="M1047">
        <x:v>30</x:v>
      </x:c>
      <x:c r="N1047">
        <x:v>42</x:v>
      </x:c>
      <x:c r="O1047">
        <x:v>41</x:v>
      </x:c>
      <x:c r="P1047">
        <x:v>64</x:v>
      </x:c>
      <x:c r="Q1047">
        <x:v>46</x:v>
      </x:c>
      <x:c r="R1047">
        <x:v>65</x:v>
      </x:c>
      <x:c r="S1047">
        <x:v>65</x:v>
      </x:c>
      <x:c r="T1047">
        <x:v>51</x:v>
      </x:c>
      <x:c r="U1047">
        <x:v>51</x:v>
      </x:c>
    </x:row>
    <x:row r="1048">
      <x:c r="A1048" t="s">
        <x:v>1407</x:v>
      </x:c>
      <x:c r="C1048" t="s">
        <x:v>358</x:v>
      </x:c>
      <x:c r="D1048">
        <x:v>8483395</x:v>
      </x:c>
      <x:c r="E1048">
        <x:v>65</x:v>
      </x:c>
      <x:c r="F1048">
        <x:v>34</x:v>
      </x:c>
      <x:c r="G1048">
        <x:v>85</x:v>
      </x:c>
      <x:c r="H1048">
        <x:v>46</x:v>
      </x:c>
      <x:c r="I1048">
        <x:v>77</x:v>
      </x:c>
      <x:c r="J1048">
        <x:v>79</x:v>
      </x:c>
      <x:c r="K1048">
        <x:v>82</x:v>
      </x:c>
      <x:c r="L1048">
        <x:v>46</x:v>
      </x:c>
      <x:c r="M1048">
        <x:v>65</x:v>
      </x:c>
      <x:c r="N1048">
        <x:v>50</x:v>
      </x:c>
      <x:c r="O1048">
        <x:v>50</x:v>
      </x:c>
      <x:c r="P1048">
        <x:v>60</x:v>
      </x:c>
      <x:c r="Q1048">
        <x:v>52</x:v>
      </x:c>
      <x:c r="R1048">
        <x:v>69</x:v>
      </x:c>
      <x:c r="S1048">
        <x:v>68</x:v>
      </x:c>
      <x:c r="T1048">
        <x:v>51</x:v>
      </x:c>
      <x:c r="U1048">
        <x:v>51</x:v>
      </x:c>
    </x:row>
    <x:row r="1049">
      <x:c r="A1049" t="s">
        <x:v>1408</x:v>
      </x:c>
      <x:c r="C1049" t="s">
        <x:v>319</x:v>
      </x:c>
      <x:c r="D1049">
        <x:v>8480851</x:v>
      </x:c>
      <x:c r="E1049">
        <x:v>71</x:v>
      </x:c>
      <x:c r="F1049">
        <x:v>72</x:v>
      </x:c>
      <x:c r="G1049">
        <x:v>86</x:v>
      </x:c>
      <x:c r="H1049">
        <x:v>45</x:v>
      </x:c>
      <x:c r="I1049">
        <x:v>77</x:v>
      </x:c>
      <x:c r="J1049">
        <x:v>75</x:v>
      </x:c>
      <x:c r="K1049">
        <x:v>76</x:v>
      </x:c>
      <x:c r="L1049">
        <x:v>44</x:v>
      </x:c>
      <x:c r="M1049">
        <x:v>71</x:v>
      </x:c>
      <x:c r="N1049">
        <x:v>49</x:v>
      </x:c>
      <x:c r="O1049">
        <x:v>49</x:v>
      </x:c>
      <x:c r="P1049">
        <x:v>62</x:v>
      </x:c>
      <x:c r="Q1049">
        <x:v>66</x:v>
      </x:c>
      <x:c r="R1049">
        <x:v>70</x:v>
      </x:c>
      <x:c r="S1049">
        <x:v>67</x:v>
      </x:c>
      <x:c r="T1049">
        <x:v>51</x:v>
      </x:c>
      <x:c r="U1049">
        <x:v>51</x:v>
      </x:c>
    </x:row>
    <x:row r="1050">
      <x:c r="A1050" t="s">
        <x:v>1409</x:v>
      </x:c>
      <x:c r="C1050" t="s">
        <x:v>358</x:v>
      </x:c>
      <x:c r="D1050">
        <x:v>8481732</x:v>
      </x:c>
      <x:c r="E1050">
        <x:v>72</x:v>
      </x:c>
      <x:c r="F1050">
        <x:v>73</x:v>
      </x:c>
      <x:c r="G1050">
        <x:v>81</x:v>
      </x:c>
      <x:c r="H1050">
        <x:v>46</x:v>
      </x:c>
      <x:c r="I1050">
        <x:v>84</x:v>
      </x:c>
      <x:c r="J1050">
        <x:v>89</x:v>
      </x:c>
      <x:c r="K1050">
        <x:v>95</x:v>
      </x:c>
      <x:c r="L1050">
        <x:v>46</x:v>
      </x:c>
      <x:c r="M1050">
        <x:v>71</x:v>
      </x:c>
      <x:c r="N1050">
        <x:v>50</x:v>
      </x:c>
      <x:c r="O1050">
        <x:v>51</x:v>
      </x:c>
      <x:c r="P1050">
        <x:v>61</x:v>
      </x:c>
      <x:c r="Q1050">
        <x:v>68</x:v>
      </x:c>
      <x:c r="R1050">
        <x:v>69</x:v>
      </x:c>
      <x:c r="S1050">
        <x:v>68</x:v>
      </x:c>
      <x:c r="T1050">
        <x:v>51</x:v>
      </x:c>
      <x:c r="U1050">
        <x:v>51</x:v>
      </x:c>
    </x:row>
    <x:row r="1051">
      <x:c r="A1051" t="s">
        <x:v>1410</x:v>
      </x:c>
      <x:c r="C1051" t="s">
        <x:v>333</x:v>
      </x:c>
      <x:c r="D1051">
        <x:v>8481827</x:v>
      </x:c>
      <x:c r="E1051">
        <x:v>76</x:v>
      </x:c>
      <x:c r="F1051">
        <x:v>39</x:v>
      </x:c>
      <x:c r="G1051">
        <x:v>76</x:v>
      </x:c>
      <x:c r="H1051">
        <x:v>46</x:v>
      </x:c>
      <x:c r="I1051">
        <x:v>77</x:v>
      </x:c>
      <x:c r="J1051">
        <x:v>84</x:v>
      </x:c>
      <x:c r="K1051">
        <x:v>86</x:v>
      </x:c>
      <x:c r="L1051">
        <x:v>45</x:v>
      </x:c>
      <x:c r="M1051">
        <x:v>64</x:v>
      </x:c>
      <x:c r="N1051">
        <x:v>49</x:v>
      </x:c>
      <x:c r="O1051">
        <x:v>46</x:v>
      </x:c>
      <x:c r="P1051">
        <x:v>58</x:v>
      </x:c>
      <x:c r="Q1051">
        <x:v>69</x:v>
      </x:c>
      <x:c r="R1051">
        <x:v>68</x:v>
      </x:c>
      <x:c r="S1051">
        <x:v>67</x:v>
      </x:c>
      <x:c r="T1051">
        <x:v>51</x:v>
      </x:c>
      <x:c r="U1051">
        <x:v>51</x:v>
      </x:c>
    </x:row>
    <x:row r="1052">
      <x:c r="A1052" t="s">
        <x:v>1411</x:v>
      </x:c>
      <x:c r="C1052" t="s">
        <x:v>326</x:v>
      </x:c>
      <x:c r="D1052">
        <x:v>8482763</x:v>
      </x:c>
      <x:c r="E1052">
        <x:v>60</x:v>
      </x:c>
      <x:c r="F1052">
        <x:v>39</x:v>
      </x:c>
      <x:c r="G1052">
        <x:v>80</x:v>
      </x:c>
      <x:c r="H1052">
        <x:v>46</x:v>
      </x:c>
      <x:c r="I1052">
        <x:v>75</x:v>
      </x:c>
      <x:c r="J1052">
        <x:v>83</x:v>
      </x:c>
      <x:c r="K1052">
        <x:v>86</x:v>
      </x:c>
      <x:c r="L1052">
        <x:v>45</x:v>
      </x:c>
      <x:c r="M1052">
        <x:v>71</x:v>
      </x:c>
      <x:c r="N1052">
        <x:v>50</x:v>
      </x:c>
      <x:c r="O1052">
        <x:v>48</x:v>
      </x:c>
      <x:c r="P1052">
        <x:v>59</x:v>
      </x:c>
      <x:c r="Q1052">
        <x:v>69</x:v>
      </x:c>
      <x:c r="R1052">
        <x:v>67</x:v>
      </x:c>
      <x:c r="S1052">
        <x:v>66</x:v>
      </x:c>
      <x:c r="T1052">
        <x:v>51</x:v>
      </x:c>
      <x:c r="U1052">
        <x:v>51</x:v>
      </x:c>
    </x:row>
    <x:row r="1053">
      <x:c r="A1053" t="s">
        <x:v>1412</x:v>
      </x:c>
      <x:c r="C1053" t="s">
        <x:v>319</x:v>
      </x:c>
      <x:c r="D1053">
        <x:v>8480853</x:v>
      </x:c>
      <x:c r="E1053">
        <x:v>64</x:v>
      </x:c>
      <x:c r="F1053">
        <x:v>34</x:v>
      </x:c>
      <x:c r="G1053">
        <x:v>91</x:v>
      </x:c>
      <x:c r="H1053">
        <x:v>47</x:v>
      </x:c>
      <x:c r="I1053">
        <x:v>79</x:v>
      </x:c>
      <x:c r="J1053">
        <x:v>86</x:v>
      </x:c>
      <x:c r="K1053">
        <x:v>89</x:v>
      </x:c>
      <x:c r="L1053">
        <x:v>48</x:v>
      </x:c>
      <x:c r="M1053">
        <x:v>59</x:v>
      </x:c>
      <x:c r="N1053">
        <x:v>50</x:v>
      </x:c>
      <x:c r="O1053">
        <x:v>51</x:v>
      </x:c>
      <x:c r="P1053">
        <x:v>61</x:v>
      </x:c>
      <x:c r="Q1053">
        <x:v>68</x:v>
      </x:c>
      <x:c r="R1053">
        <x:v>69</x:v>
      </x:c>
      <x:c r="S1053">
        <x:v>69</x:v>
      </x:c>
      <x:c r="T1053">
        <x:v>51</x:v>
      </x:c>
      <x:c r="U1053">
        <x:v>51</x:v>
      </x:c>
    </x:row>
    <x:row r="1054">
      <x:c r="A1054" t="s">
        <x:v>1413</x:v>
      </x:c>
      <x:c r="C1054" t="s">
        <x:v>326</x:v>
      </x:c>
      <x:c r="D1054">
        <x:v>8481703</x:v>
      </x:c>
      <x:c r="E1054">
        <x:v>63</x:v>
      </x:c>
      <x:c r="F1054">
        <x:v>36</x:v>
      </x:c>
      <x:c r="G1054">
        <x:v>89</x:v>
      </x:c>
      <x:c r="H1054">
        <x:v>46</x:v>
      </x:c>
      <x:c r="I1054">
        <x:v>76</x:v>
      </x:c>
      <x:c r="J1054">
        <x:v>82</x:v>
      </x:c>
      <x:c r="K1054">
        <x:v>85</x:v>
      </x:c>
      <x:c r="L1054">
        <x:v>46</x:v>
      </x:c>
      <x:c r="M1054">
        <x:v>60</x:v>
      </x:c>
      <x:c r="N1054">
        <x:v>51</x:v>
      </x:c>
      <x:c r="O1054">
        <x:v>52</x:v>
      </x:c>
      <x:c r="P1054">
        <x:v>63</x:v>
      </x:c>
      <x:c r="Q1054">
        <x:v>69</x:v>
      </x:c>
      <x:c r="R1054">
        <x:v>70</x:v>
      </x:c>
      <x:c r="S1054">
        <x:v>69</x:v>
      </x:c>
      <x:c r="T1054">
        <x:v>51</x:v>
      </x:c>
      <x:c r="U1054">
        <x:v>51</x:v>
      </x:c>
    </x:row>
    <x:row r="1055">
      <x:c r="A1055" t="s">
        <x:v>1414</x:v>
      </x:c>
      <x:c r="C1055" t="s">
        <x:v>329</x:v>
      </x:c>
      <x:c r="D1055">
        <x:v>8477353</x:v>
      </x:c>
      <x:c r="E1055">
        <x:v>68</x:v>
      </x:c>
      <x:c r="F1055">
        <x:v>34</x:v>
      </x:c>
      <x:c r="G1055">
        <x:v>83</x:v>
      </x:c>
      <x:c r="H1055">
        <x:v>40</x:v>
      </x:c>
      <x:c r="I1055">
        <x:v>77</x:v>
      </x:c>
      <x:c r="J1055">
        <x:v>74</x:v>
      </x:c>
      <x:c r="K1055">
        <x:v>74</x:v>
      </x:c>
      <x:c r="L1055">
        <x:v>39</x:v>
      </x:c>
      <x:c r="M1055">
        <x:v>81</x:v>
      </x:c>
      <x:c r="N1055">
        <x:v>47</x:v>
      </x:c>
      <x:c r="O1055">
        <x:v>50</x:v>
      </x:c>
      <x:c r="P1055">
        <x:v>69</x:v>
      </x:c>
      <x:c r="Q1055">
        <x:v>61</x:v>
      </x:c>
      <x:c r="R1055">
        <x:v>79</x:v>
      </x:c>
      <x:c r="S1055">
        <x:v>76</x:v>
      </x:c>
      <x:c r="T1055">
        <x:v>51</x:v>
      </x:c>
      <x:c r="U1055">
        <x:v>51</x:v>
      </x:c>
    </x:row>
    <x:row r="1056">
      <x:c r="A1056" t="s">
        <x:v>1415</x:v>
      </x:c>
      <x:c r="C1056" t="s">
        <x:v>331</x:v>
      </x:c>
      <x:c r="D1056">
        <x:v>8485138</x:v>
      </x:c>
      <x:c r="E1056">
        <x:v>63</x:v>
      </x:c>
      <x:c r="F1056">
        <x:v>40</x:v>
      </x:c>
      <x:c r="G1056">
        <x:v>85</x:v>
      </x:c>
      <x:c r="H1056">
        <x:v>33</x:v>
      </x:c>
      <x:c r="I1056">
        <x:v>86</x:v>
      </x:c>
      <x:c r="J1056">
        <x:v>85</x:v>
      </x:c>
      <x:c r="K1056">
        <x:v>89</x:v>
      </x:c>
      <x:c r="L1056">
        <x:v>32</x:v>
      </x:c>
      <x:c r="M1056">
        <x:v>30</x:v>
      </x:c>
      <x:c r="N1056">
        <x:v>42</x:v>
      </x:c>
      <x:c r="O1056">
        <x:v>40</x:v>
      </x:c>
      <x:c r="P1056">
        <x:v>67</x:v>
      </x:c>
      <x:c r="Q1056">
        <x:v>46</x:v>
      </x:c>
      <x:c r="R1056">
        <x:v>66</x:v>
      </x:c>
      <x:c r="S1056">
        <x:v>65</x:v>
      </x:c>
      <x:c r="T1056">
        <x:v>51</x:v>
      </x:c>
      <x:c r="U1056">
        <x:v>51</x:v>
      </x:c>
    </x:row>
    <x:row r="1057">
      <x:c r="A1057" t="s">
        <x:v>1416</x:v>
      </x:c>
      <x:c r="C1057" t="s">
        <x:v>319</x:v>
      </x:c>
      <x:c r="D1057">
        <x:v>8483695</x:v>
      </x:c>
      <x:c r="E1057">
        <x:v>58</x:v>
      </x:c>
      <x:c r="F1057">
        <x:v>33</x:v>
      </x:c>
      <x:c r="G1057">
        <x:v>86</x:v>
      </x:c>
      <x:c r="H1057">
        <x:v>48</x:v>
      </x:c>
      <x:c r="I1057">
        <x:v>77</x:v>
      </x:c>
      <x:c r="J1057">
        <x:v>81</x:v>
      </x:c>
      <x:c r="K1057">
        <x:v>83</x:v>
      </x:c>
      <x:c r="L1057">
        <x:v>47</x:v>
      </x:c>
      <x:c r="M1057">
        <x:v>79</x:v>
      </x:c>
      <x:c r="N1057">
        <x:v>50</x:v>
      </x:c>
      <x:c r="O1057">
        <x:v>46</x:v>
      </x:c>
      <x:c r="P1057">
        <x:v>59</x:v>
      </x:c>
      <x:c r="Q1057">
        <x:v>71</x:v>
      </x:c>
      <x:c r="R1057">
        <x:v>66</x:v>
      </x:c>
      <x:c r="S1057">
        <x:v>66</x:v>
      </x:c>
      <x:c r="T1057">
        <x:v>51</x:v>
      </x:c>
      <x:c r="U1057">
        <x:v>51</x:v>
      </x:c>
    </x:row>
    <x:row r="1058">
      <x:c r="A1058" t="s">
        <x:v>1417</x:v>
      </x:c>
      <x:c r="C1058" t="s">
        <x:v>331</x:v>
      </x:c>
      <x:c r="D1058">
        <x:v>8482901</x:v>
      </x:c>
      <x:c r="E1058">
        <x:v>72</x:v>
      </x:c>
      <x:c r="F1058">
        <x:v>43</x:v>
      </x:c>
      <x:c r="G1058">
        <x:v>72</x:v>
      </x:c>
      <x:c r="H1058">
        <x:v>32</x:v>
      </x:c>
      <x:c r="I1058">
        <x:v>86</x:v>
      </x:c>
      <x:c r="J1058">
        <x:v>87</x:v>
      </x:c>
      <x:c r="K1058">
        <x:v>93</x:v>
      </x:c>
      <x:c r="L1058">
        <x:v>33</x:v>
      </x:c>
      <x:c r="M1058">
        <x:v>30</x:v>
      </x:c>
      <x:c r="N1058">
        <x:v>41</x:v>
      </x:c>
      <x:c r="O1058">
        <x:v>39</x:v>
      </x:c>
      <x:c r="P1058">
        <x:v>64</x:v>
      </x:c>
      <x:c r="Q1058">
        <x:v>45</x:v>
      </x:c>
      <x:c r="R1058">
        <x:v>66</x:v>
      </x:c>
      <x:c r="S1058">
        <x:v>66</x:v>
      </x:c>
      <x:c r="T1058">
        <x:v>51</x:v>
      </x:c>
      <x:c r="U1058">
        <x:v>51</x:v>
      </x:c>
    </x:row>
    <x:row r="1059">
      <x:c r="A1059" t="s">
        <x:v>1418</x:v>
      </x:c>
      <x:c r="C1059" t="s">
        <x:v>331</x:v>
      </x:c>
      <x:c r="D1059">
        <x:v>8480886</x:v>
      </x:c>
      <x:c r="E1059">
        <x:v>79</x:v>
      </x:c>
      <x:c r="F1059">
        <x:v>39</x:v>
      </x:c>
      <x:c r="G1059">
        <x:v>74</x:v>
      </x:c>
      <x:c r="H1059">
        <x:v>30</x:v>
      </x:c>
      <x:c r="I1059">
        <x:v>84</x:v>
      </x:c>
      <x:c r="J1059">
        <x:v>72</x:v>
      </x:c>
      <x:c r="K1059">
        <x:v>74</x:v>
      </x:c>
      <x:c r="L1059">
        <x:v>31</x:v>
      </x:c>
      <x:c r="M1059">
        <x:v>30</x:v>
      </x:c>
      <x:c r="N1059">
        <x:v>39</x:v>
      </x:c>
      <x:c r="O1059">
        <x:v>38</x:v>
      </x:c>
      <x:c r="P1059">
        <x:v>66</x:v>
      </x:c>
      <x:c r="Q1059">
        <x:v>44</x:v>
      </x:c>
      <x:c r="R1059">
        <x:v>69</x:v>
      </x:c>
      <x:c r="S1059">
        <x:v>70</x:v>
      </x:c>
      <x:c r="T1059">
        <x:v>51</x:v>
      </x:c>
      <x:c r="U1059">
        <x:v>51</x:v>
      </x:c>
    </x:row>
    <x:row r="1060">
      <x:c r="A1060" t="s">
        <x:v>1419</x:v>
      </x:c>
      <x:c r="C1060" t="s">
        <x:v>331</x:v>
      </x:c>
      <x:c r="D1060">
        <x:v>8482686</x:v>
      </x:c>
      <x:c r="E1060">
        <x:v>70</x:v>
      </x:c>
      <x:c r="F1060">
        <x:v>36</x:v>
      </x:c>
      <x:c r="G1060">
        <x:v>86</x:v>
      </x:c>
      <x:c r="H1060">
        <x:v>32</x:v>
      </x:c>
      <x:c r="I1060">
        <x:v>77</x:v>
      </x:c>
      <x:c r="J1060">
        <x:v>83</x:v>
      </x:c>
      <x:c r="K1060">
        <x:v>87</x:v>
      </x:c>
      <x:c r="L1060">
        <x:v>32</x:v>
      </x:c>
      <x:c r="M1060">
        <x:v>30</x:v>
      </x:c>
      <x:c r="N1060">
        <x:v>42</x:v>
      </x:c>
      <x:c r="O1060">
        <x:v>40</x:v>
      </x:c>
      <x:c r="P1060">
        <x:v>66</x:v>
      </x:c>
      <x:c r="Q1060">
        <x:v>46</x:v>
      </x:c>
      <x:c r="R1060">
        <x:v>66</x:v>
      </x:c>
      <x:c r="S1060">
        <x:v>66</x:v>
      </x:c>
      <x:c r="T1060">
        <x:v>51</x:v>
      </x:c>
      <x:c r="U1060">
        <x:v>51</x:v>
      </x:c>
    </x:row>
    <x:row r="1061">
      <x:c r="A1061" t="s">
        <x:v>1420</x:v>
      </x:c>
      <x:c r="C1061" t="s">
        <x:v>339</x:v>
      </x:c>
      <x:c r="D1061">
        <x:v>8482698</x:v>
      </x:c>
      <x:c r="E1061">
        <x:v>71</x:v>
      </x:c>
      <x:c r="F1061">
        <x:v>38</x:v>
      </x:c>
      <x:c r="G1061">
        <x:v>80</x:v>
      </x:c>
      <x:c r="H1061">
        <x:v>46</x:v>
      </x:c>
      <x:c r="I1061">
        <x:v>79</x:v>
      </x:c>
      <x:c r="J1061">
        <x:v>81</x:v>
      </x:c>
      <x:c r="K1061">
        <x:v>83</x:v>
      </x:c>
      <x:c r="L1061">
        <x:v>46</x:v>
      </x:c>
      <x:c r="M1061">
        <x:v>73</x:v>
      </x:c>
      <x:c r="N1061">
        <x:v>48</x:v>
      </x:c>
      <x:c r="O1061">
        <x:v>46</x:v>
      </x:c>
      <x:c r="P1061">
        <x:v>57</x:v>
      </x:c>
      <x:c r="Q1061">
        <x:v>69</x:v>
      </x:c>
      <x:c r="R1061">
        <x:v>67</x:v>
      </x:c>
      <x:c r="S1061">
        <x:v>67</x:v>
      </x:c>
      <x:c r="T1061">
        <x:v>51</x:v>
      </x:c>
      <x:c r="U1061">
        <x:v>51</x:v>
      </x:c>
    </x:row>
    <x:row r="1062">
      <x:c r="A1062" t="s">
        <x:v>1421</x:v>
      </x:c>
      <x:c r="C1062" t="s">
        <x:v>331</x:v>
      </x:c>
      <x:c r="D1062">
        <x:v>8483109</x:v>
      </x:c>
      <x:c r="E1062">
        <x:v>77</x:v>
      </x:c>
      <x:c r="F1062">
        <x:v>39</x:v>
      </x:c>
      <x:c r="G1062">
        <x:v>71</x:v>
      </x:c>
      <x:c r="H1062">
        <x:v>32</x:v>
      </x:c>
      <x:c r="I1062">
        <x:v>79</x:v>
      </x:c>
      <x:c r="J1062">
        <x:v>74</x:v>
      </x:c>
      <x:c r="K1062">
        <x:v>76</x:v>
      </x:c>
      <x:c r="L1062">
        <x:v>32</x:v>
      </x:c>
      <x:c r="M1062">
        <x:v>30</x:v>
      </x:c>
      <x:c r="N1062">
        <x:v>40</x:v>
      </x:c>
      <x:c r="O1062">
        <x:v>37</x:v>
      </x:c>
      <x:c r="P1062">
        <x:v>67</x:v>
      </x:c>
      <x:c r="Q1062">
        <x:v>44</x:v>
      </x:c>
      <x:c r="R1062">
        <x:v>68</x:v>
      </x:c>
      <x:c r="S1062">
        <x:v>67</x:v>
      </x:c>
      <x:c r="T1062">
        <x:v>51</x:v>
      </x:c>
      <x:c r="U1062">
        <x:v>51</x:v>
      </x:c>
    </x:row>
    <x:row r="1063">
      <x:c r="A1063" t="s">
        <x:v>1422</x:v>
      </x:c>
      <x:c r="C1063" t="s">
        <x:v>358</x:v>
      </x:c>
      <x:c r="D1063">
        <x:v>8477631</x:v>
      </x:c>
      <x:c r="E1063">
        <x:v>87</x:v>
      </x:c>
      <x:c r="F1063">
        <x:v>81</x:v>
      </x:c>
      <x:c r="G1063">
        <x:v>71</x:v>
      </x:c>
      <x:c r="H1063">
        <x:v>39</x:v>
      </x:c>
      <x:c r="I1063">
        <x:v>87</x:v>
      </x:c>
      <x:c r="J1063">
        <x:v>77</x:v>
      </x:c>
      <x:c r="K1063">
        <x:v>78</x:v>
      </x:c>
      <x:c r="L1063">
        <x:v>38</x:v>
      </x:c>
      <x:c r="M1063">
        <x:v>59</x:v>
      </x:c>
      <x:c r="N1063">
        <x:v>42</x:v>
      </x:c>
      <x:c r="O1063">
        <x:v>40</x:v>
      </x:c>
      <x:c r="P1063">
        <x:v>63</x:v>
      </x:c>
      <x:c r="Q1063">
        <x:v>60</x:v>
      </x:c>
      <x:c r="R1063">
        <x:v>74</x:v>
      </x:c>
      <x:c r="S1063">
        <x:v>73</x:v>
      </x:c>
      <x:c r="T1063">
        <x:v>51</x:v>
      </x:c>
      <x:c r="U1063">
        <x:v>51</x:v>
      </x:c>
    </x:row>
    <x:row r="1064">
      <x:c r="A1064" t="s">
        <x:v>1423</x:v>
      </x:c>
      <x:c r="C1064" t="s">
        <x:v>331</x:v>
      </x:c>
      <x:c r="D1064">
        <x:v>8480241</x:v>
      </x:c>
      <x:c r="E1064">
        <x:v>74</x:v>
      </x:c>
      <x:c r="F1064">
        <x:v>40</x:v>
      </x:c>
      <x:c r="G1064">
        <x:v>86</x:v>
      </x:c>
      <x:c r="H1064">
        <x:v>33</x:v>
      </x:c>
      <x:c r="I1064">
        <x:v>82</x:v>
      </x:c>
      <x:c r="J1064">
        <x:v>72</x:v>
      </x:c>
      <x:c r="K1064">
        <x:v>75</x:v>
      </x:c>
      <x:c r="L1064">
        <x:v>32</x:v>
      </x:c>
      <x:c r="M1064">
        <x:v>30</x:v>
      </x:c>
      <x:c r="N1064">
        <x:v>42</x:v>
      </x:c>
      <x:c r="O1064">
        <x:v>37</x:v>
      </x:c>
      <x:c r="P1064">
        <x:v>67</x:v>
      </x:c>
      <x:c r="Q1064">
        <x:v>44</x:v>
      </x:c>
      <x:c r="R1064">
        <x:v>69</x:v>
      </x:c>
      <x:c r="S1064">
        <x:v>68</x:v>
      </x:c>
      <x:c r="T1064">
        <x:v>51</x:v>
      </x:c>
      <x:c r="U1064">
        <x:v>51</x:v>
      </x:c>
    </x:row>
    <x:row r="1065">
      <x:c r="A1065" t="s">
        <x:v>1424</x:v>
      </x:c>
      <x:c r="C1065" t="s">
        <x:v>358</x:v>
      </x:c>
      <x:c r="D1065">
        <x:v>8484200</x:v>
      </x:c>
      <x:c r="E1065">
        <x:v>61</x:v>
      </x:c>
      <x:c r="F1065">
        <x:v>42</x:v>
      </x:c>
      <x:c r="G1065">
        <x:v>81</x:v>
      </x:c>
      <x:c r="H1065">
        <x:v>46</x:v>
      </x:c>
      <x:c r="I1065">
        <x:v>83</x:v>
      </x:c>
      <x:c r="J1065">
        <x:v>83</x:v>
      </x:c>
      <x:c r="K1065">
        <x:v>87</x:v>
      </x:c>
      <x:c r="L1065">
        <x:v>45</x:v>
      </x:c>
      <x:c r="M1065">
        <x:v>69</x:v>
      </x:c>
      <x:c r="N1065">
        <x:v>47</x:v>
      </x:c>
      <x:c r="O1065">
        <x:v>46</x:v>
      </x:c>
      <x:c r="P1065">
        <x:v>58</x:v>
      </x:c>
      <x:c r="Q1065">
        <x:v>68</x:v>
      </x:c>
      <x:c r="R1065">
        <x:v>65</x:v>
      </x:c>
      <x:c r="S1065">
        <x:v>64</x:v>
      </x:c>
      <x:c r="T1065">
        <x:v>51</x:v>
      </x:c>
      <x:c r="U1065">
        <x:v>51</x:v>
      </x:c>
    </x:row>
    <x:row r="1066">
      <x:c r="A1066" t="s">
        <x:v>1425</x:v>
      </x:c>
      <x:c r="C1066" t="s">
        <x:v>333</x:v>
      </x:c>
      <x:c r="D1066">
        <x:v>8481712</x:v>
      </x:c>
      <x:c r="E1066">
        <x:v>60</x:v>
      </x:c>
      <x:c r="F1066">
        <x:v>37</x:v>
      </x:c>
      <x:c r="G1066">
        <x:v>88</x:v>
      </x:c>
      <x:c r="H1066">
        <x:v>46</x:v>
      </x:c>
      <x:c r="I1066">
        <x:v>79</x:v>
      </x:c>
      <x:c r="J1066">
        <x:v>87</x:v>
      </x:c>
      <x:c r="K1066">
        <x:v>89</x:v>
      </x:c>
      <x:c r="L1066">
        <x:v>46</x:v>
      </x:c>
      <x:c r="M1066">
        <x:v>71</x:v>
      </x:c>
      <x:c r="N1066">
        <x:v>50</x:v>
      </x:c>
      <x:c r="O1066">
        <x:v>47</x:v>
      </x:c>
      <x:c r="P1066">
        <x:v>59</x:v>
      </x:c>
      <x:c r="Q1066">
        <x:v>71</x:v>
      </x:c>
      <x:c r="R1066">
        <x:v>69</x:v>
      </x:c>
      <x:c r="S1066">
        <x:v>68</x:v>
      </x:c>
      <x:c r="T1066">
        <x:v>51</x:v>
      </x:c>
      <x:c r="U1066">
        <x:v>51</x:v>
      </x:c>
    </x:row>
    <x:row r="1067">
      <x:c r="A1067" t="s">
        <x:v>1426</x:v>
      </x:c>
      <x:c r="C1067" t="s">
        <x:v>358</x:v>
      </x:c>
      <x:c r="D1067">
        <x:v>8477255</x:v>
      </x:c>
      <x:c r="E1067">
        <x:v>71</x:v>
      </x:c>
      <x:c r="F1067">
        <x:v>76</x:v>
      </x:c>
      <x:c r="G1067">
        <x:v>73</x:v>
      </x:c>
      <x:c r="H1067">
        <x:v>39</x:v>
      </x:c>
      <x:c r="I1067">
        <x:v>83</x:v>
      </x:c>
      <x:c r="J1067">
        <x:v>76</x:v>
      </x:c>
      <x:c r="K1067">
        <x:v>78</x:v>
      </x:c>
      <x:c r="L1067">
        <x:v>38</x:v>
      </x:c>
      <x:c r="M1067">
        <x:v>59</x:v>
      </x:c>
      <x:c r="N1067">
        <x:v>40</x:v>
      </x:c>
      <x:c r="O1067">
        <x:v>43</x:v>
      </x:c>
      <x:c r="P1067">
        <x:v>58</x:v>
      </x:c>
      <x:c r="Q1067">
        <x:v>61</x:v>
      </x:c>
      <x:c r="R1067">
        <x:v>80</x:v>
      </x:c>
      <x:c r="S1067">
        <x:v>81</x:v>
      </x:c>
      <x:c r="T1067">
        <x:v>51</x:v>
      </x:c>
      <x:c r="U1067">
        <x:v>51</x:v>
      </x:c>
    </x:row>
    <x:row r="1068">
      <x:c r="A1068" t="s">
        <x:v>1427</x:v>
      </x:c>
      <x:c r="C1068" t="s">
        <x:v>331</x:v>
      </x:c>
      <x:c r="D1068">
        <x:v>8476421</x:v>
      </x:c>
      <x:c r="E1068">
        <x:v>74</x:v>
      </x:c>
      <x:c r="F1068">
        <x:v>45</x:v>
      </x:c>
      <x:c r="G1068">
        <x:v>81</x:v>
      </x:c>
      <x:c r="H1068">
        <x:v>32</x:v>
      </x:c>
      <x:c r="I1068">
        <x:v>82</x:v>
      </x:c>
      <x:c r="J1068">
        <x:v>81</x:v>
      </x:c>
      <x:c r="K1068">
        <x:v>83</x:v>
      </x:c>
      <x:c r="L1068">
        <x:v>32</x:v>
      </x:c>
      <x:c r="M1068">
        <x:v>30</x:v>
      </x:c>
      <x:c r="N1068">
        <x:v>41</x:v>
      </x:c>
      <x:c r="O1068">
        <x:v>37</x:v>
      </x:c>
      <x:c r="P1068">
        <x:v>64</x:v>
      </x:c>
      <x:c r="Q1068">
        <x:v>44</x:v>
      </x:c>
      <x:c r="R1068">
        <x:v>78</x:v>
      </x:c>
      <x:c r="S1068">
        <x:v>77</x:v>
      </x:c>
      <x:c r="T1068">
        <x:v>40</x:v>
      </x:c>
      <x:c r="U1068">
        <x:v>51</x:v>
      </x:c>
    </x:row>
    <x:row r="1069">
      <x:c r="A1069" t="s">
        <x:v>1428</x:v>
      </x:c>
      <x:c r="C1069" t="s">
        <x:v>331</x:v>
      </x:c>
      <x:c r="D1069">
        <x:v>8482922</x:v>
      </x:c>
      <x:c r="E1069">
        <x:v>70</x:v>
      </x:c>
      <x:c r="F1069">
        <x:v>37</x:v>
      </x:c>
      <x:c r="G1069">
        <x:v>91</x:v>
      </x:c>
      <x:c r="H1069">
        <x:v>33</x:v>
      </x:c>
      <x:c r="I1069">
        <x:v>82</x:v>
      </x:c>
      <x:c r="J1069">
        <x:v>88</x:v>
      </x:c>
      <x:c r="K1069">
        <x:v>92</x:v>
      </x:c>
      <x:c r="L1069">
        <x:v>33</x:v>
      </x:c>
      <x:c r="M1069">
        <x:v>30</x:v>
      </x:c>
      <x:c r="N1069">
        <x:v>40</x:v>
      </x:c>
      <x:c r="O1069">
        <x:v>40</x:v>
      </x:c>
      <x:c r="P1069">
        <x:v>68</x:v>
      </x:c>
      <x:c r="Q1069">
        <x:v>45</x:v>
      </x:c>
      <x:c r="R1069">
        <x:v>66</x:v>
      </x:c>
      <x:c r="S1069">
        <x:v>67</x:v>
      </x:c>
      <x:c r="T1069">
        <x:v>51</x:v>
      </x:c>
      <x:c r="U1069">
        <x:v>51</x:v>
      </x:c>
    </x:row>
    <x:row r="1070">
      <x:c r="A1070" t="s">
        <x:v>1429</x:v>
      </x:c>
      <x:c r="C1070" t="s">
        <x:v>331</x:v>
      </x:c>
      <x:c r="D1070">
        <x:v>8481774</x:v>
      </x:c>
      <x:c r="E1070">
        <x:v>73</x:v>
      </x:c>
      <x:c r="F1070">
        <x:v>35</x:v>
      </x:c>
      <x:c r="G1070">
        <x:v>90</x:v>
      </x:c>
      <x:c r="H1070">
        <x:v>32</x:v>
      </x:c>
      <x:c r="I1070">
        <x:v>77</x:v>
      </x:c>
      <x:c r="J1070">
        <x:v>74</x:v>
      </x:c>
      <x:c r="K1070">
        <x:v>77</x:v>
      </x:c>
      <x:c r="L1070">
        <x:v>32</x:v>
      </x:c>
      <x:c r="M1070">
        <x:v>30</x:v>
      </x:c>
      <x:c r="N1070">
        <x:v>40</x:v>
      </x:c>
      <x:c r="O1070">
        <x:v>37</x:v>
      </x:c>
      <x:c r="P1070">
        <x:v>66</x:v>
      </x:c>
      <x:c r="Q1070">
        <x:v>44</x:v>
      </x:c>
      <x:c r="R1070">
        <x:v>68</x:v>
      </x:c>
      <x:c r="S1070">
        <x:v>69</x:v>
      </x:c>
      <x:c r="T1070">
        <x:v>51</x:v>
      </x:c>
      <x:c r="U1070">
        <x:v>51</x:v>
      </x:c>
    </x:row>
    <x:row r="1071">
      <x:c r="A1071" t="s">
        <x:v>1430</x:v>
      </x:c>
      <x:c r="C1071" t="s">
        <x:v>331</x:v>
      </x:c>
      <x:c r="D1071">
        <x:v>8482194</x:v>
      </x:c>
      <x:c r="E1071">
        <x:v>64</x:v>
      </x:c>
      <x:c r="F1071">
        <x:v>40</x:v>
      </x:c>
      <x:c r="G1071">
        <x:v>76</x:v>
      </x:c>
      <x:c r="H1071">
        <x:v>34</x:v>
      </x:c>
      <x:c r="I1071">
        <x:v>79</x:v>
      </x:c>
      <x:c r="J1071">
        <x:v>89</x:v>
      </x:c>
      <x:c r="K1071">
        <x:v>93</x:v>
      </x:c>
      <x:c r="L1071">
        <x:v>33</x:v>
      </x:c>
      <x:c r="M1071">
        <x:v>30</x:v>
      </x:c>
      <x:c r="N1071">
        <x:v>42</x:v>
      </x:c>
      <x:c r="O1071">
        <x:v>42</x:v>
      </x:c>
      <x:c r="P1071">
        <x:v>65</x:v>
      </x:c>
      <x:c r="Q1071">
        <x:v>47</x:v>
      </x:c>
      <x:c r="R1071">
        <x:v>66</x:v>
      </x:c>
      <x:c r="S1071">
        <x:v>66</x:v>
      </x:c>
      <x:c r="T1071">
        <x:v>51</x:v>
      </x:c>
      <x:c r="U1071">
        <x:v>51</x:v>
      </x:c>
    </x:row>
    <x:row r="1072">
      <x:c r="A1072" t="s">
        <x:v>1431</x:v>
      </x:c>
      <x:c r="C1072" t="s">
        <x:v>331</x:v>
      </x:c>
      <x:c r="D1072">
        <x:v>8485457</x:v>
      </x:c>
      <x:c r="E1072">
        <x:v>73</x:v>
      </x:c>
      <x:c r="F1072">
        <x:v>43</x:v>
      </x:c>
      <x:c r="G1072">
        <x:v>77</x:v>
      </x:c>
      <x:c r="H1072">
        <x:v>32</x:v>
      </x:c>
      <x:c r="I1072">
        <x:v>87</x:v>
      </x:c>
      <x:c r="J1072">
        <x:v>74</x:v>
      </x:c>
      <x:c r="K1072">
        <x:v>77</x:v>
      </x:c>
      <x:c r="L1072">
        <x:v>32</x:v>
      </x:c>
      <x:c r="M1072">
        <x:v>30</x:v>
      </x:c>
      <x:c r="N1072">
        <x:v>39</x:v>
      </x:c>
      <x:c r="O1072">
        <x:v>40</x:v>
      </x:c>
      <x:c r="P1072">
        <x:v>65</x:v>
      </x:c>
      <x:c r="Q1072">
        <x:v>45</x:v>
      </x:c>
      <x:c r="R1072">
        <x:v>69</x:v>
      </x:c>
      <x:c r="S1072">
        <x:v>68</x:v>
      </x:c>
      <x:c r="T1072">
        <x:v>51</x:v>
      </x:c>
      <x:c r="U1072">
        <x:v>51</x:v>
      </x:c>
    </x:row>
    <x:row r="1073">
      <x:c r="A1073" t="s">
        <x:v>1432</x:v>
      </x:c>
      <x:c r="C1073" t="s">
        <x:v>331</x:v>
      </x:c>
      <x:c r="D1073">
        <x:v>8484433</x:v>
      </x:c>
      <x:c r="E1073">
        <x:v>63</x:v>
      </x:c>
      <x:c r="F1073">
        <x:v>40</x:v>
      </x:c>
      <x:c r="G1073">
        <x:v>82</x:v>
      </x:c>
      <x:c r="H1073">
        <x:v>34</x:v>
      </x:c>
      <x:c r="I1073">
        <x:v>80</x:v>
      </x:c>
      <x:c r="J1073">
        <x:v>78</x:v>
      </x:c>
      <x:c r="K1073">
        <x:v>81</x:v>
      </x:c>
      <x:c r="L1073">
        <x:v>35</x:v>
      </x:c>
      <x:c r="M1073">
        <x:v>30</x:v>
      </x:c>
      <x:c r="N1073">
        <x:v>42</x:v>
      </x:c>
      <x:c r="O1073">
        <x:v>42</x:v>
      </x:c>
      <x:c r="P1073">
        <x:v>66</x:v>
      </x:c>
      <x:c r="Q1073">
        <x:v>47</x:v>
      </x:c>
      <x:c r="R1073">
        <x:v>65</x:v>
      </x:c>
      <x:c r="S1073">
        <x:v>66</x:v>
      </x:c>
      <x:c r="T1073">
        <x:v>51</x:v>
      </x:c>
      <x:c r="U1073">
        <x:v>51</x:v>
      </x:c>
    </x:row>
    <x:row r="1074">
      <x:c r="A1074" t="s">
        <x:v>1433</x:v>
      </x:c>
      <x:c r="C1074" t="s">
        <x:v>323</x:v>
      </x:c>
      <x:c r="D1074">
        <x:v>8481538</x:v>
      </x:c>
      <x:c r="E1074">
        <x:v>69</x:v>
      </x:c>
      <x:c r="F1074">
        <x:v>33</x:v>
      </x:c>
      <x:c r="G1074">
        <x:v>90</x:v>
      </x:c>
      <x:c r="H1074">
        <x:v>45</x:v>
      </x:c>
      <x:c r="I1074">
        <x:v>85</x:v>
      </x:c>
      <x:c r="J1074">
        <x:v>91</x:v>
      </x:c>
      <x:c r="K1074">
        <x:v>95</x:v>
      </x:c>
      <x:c r="L1074">
        <x:v>44</x:v>
      </x:c>
      <x:c r="M1074">
        <x:v>71</x:v>
      </x:c>
      <x:c r="N1074">
        <x:v>45</x:v>
      </x:c>
      <x:c r="O1074">
        <x:v>45</x:v>
      </x:c>
      <x:c r="P1074">
        <x:v>62</x:v>
      </x:c>
      <x:c r="Q1074">
        <x:v>65</x:v>
      </x:c>
      <x:c r="R1074">
        <x:v>68</x:v>
      </x:c>
      <x:c r="S1074">
        <x:v>68</x:v>
      </x:c>
      <x:c r="T1074">
        <x:v>51</x:v>
      </x:c>
      <x:c r="U1074">
        <x:v>51</x:v>
      </x:c>
    </x:row>
    <x:row r="1075">
      <x:c r="A1075" t="s">
        <x:v>1434</x:v>
      </x:c>
      <x:c r="C1075" t="s">
        <x:v>331</x:v>
      </x:c>
      <x:c r="D1075">
        <x:v>8482804</x:v>
      </x:c>
      <x:c r="E1075">
        <x:v>75</x:v>
      </x:c>
      <x:c r="F1075">
        <x:v>43</x:v>
      </x:c>
      <x:c r="G1075">
        <x:v>73</x:v>
      </x:c>
      <x:c r="H1075">
        <x:v>32</x:v>
      </x:c>
      <x:c r="I1075">
        <x:v>84</x:v>
      </x:c>
      <x:c r="J1075">
        <x:v>75</x:v>
      </x:c>
      <x:c r="K1075">
        <x:v>78</x:v>
      </x:c>
      <x:c r="L1075">
        <x:v>33</x:v>
      </x:c>
      <x:c r="M1075">
        <x:v>30</x:v>
      </x:c>
      <x:c r="N1075">
        <x:v>41</x:v>
      </x:c>
      <x:c r="O1075">
        <x:v>40</x:v>
      </x:c>
      <x:c r="P1075">
        <x:v>67</x:v>
      </x:c>
      <x:c r="Q1075">
        <x:v>45</x:v>
      </x:c>
      <x:c r="R1075">
        <x:v>65</x:v>
      </x:c>
      <x:c r="S1075">
        <x:v>66</x:v>
      </x:c>
      <x:c r="T1075">
        <x:v>51</x:v>
      </x:c>
      <x:c r="U1075">
        <x:v>51</x:v>
      </x:c>
    </x:row>
    <x:row r="1076">
      <x:c r="A1076" t="s">
        <x:v>1435</x:v>
      </x:c>
      <x:c r="C1076" t="s">
        <x:v>331</x:v>
      </x:c>
      <x:c r="D1076">
        <x:v>8484922</x:v>
      </x:c>
      <x:c r="E1076">
        <x:v>81</x:v>
      </x:c>
      <x:c r="F1076">
        <x:v>46</x:v>
      </x:c>
      <x:c r="G1076">
        <x:v>90</x:v>
      </x:c>
      <x:c r="H1076">
        <x:v>32</x:v>
      </x:c>
      <x:c r="I1076">
        <x:v>79</x:v>
      </x:c>
      <x:c r="J1076">
        <x:v>71</x:v>
      </x:c>
      <x:c r="K1076">
        <x:v>72</x:v>
      </x:c>
      <x:c r="L1076">
        <x:v>32</x:v>
      </x:c>
      <x:c r="M1076">
        <x:v>30</x:v>
      </x:c>
      <x:c r="N1076">
        <x:v>39</x:v>
      </x:c>
      <x:c r="O1076">
        <x:v>38</x:v>
      </x:c>
      <x:c r="P1076">
        <x:v>65</x:v>
      </x:c>
      <x:c r="Q1076">
        <x:v>44</x:v>
      </x:c>
      <x:c r="R1076">
        <x:v>69</x:v>
      </x:c>
      <x:c r="S1076">
        <x:v>68</x:v>
      </x:c>
      <x:c r="T1076">
        <x:v>51</x:v>
      </x:c>
      <x:c r="U1076">
        <x:v>51</x:v>
      </x:c>
    </x:row>
    <x:row r="1077">
      <x:c r="A1077" t="s">
        <x:v>1436</x:v>
      </x:c>
      <x:c r="C1077" t="s">
        <x:v>326</x:v>
      </x:c>
      <x:c r="D1077">
        <x:v>8483442</x:v>
      </x:c>
      <x:c r="E1077">
        <x:v>59</x:v>
      </x:c>
      <x:c r="F1077">
        <x:v>39</x:v>
      </x:c>
      <x:c r="G1077">
        <x:v>90</x:v>
      </x:c>
      <x:c r="H1077">
        <x:v>45</x:v>
      </x:c>
      <x:c r="I1077">
        <x:v>73</x:v>
      </x:c>
      <x:c r="J1077">
        <x:v>87</x:v>
      </x:c>
      <x:c r="K1077">
        <x:v>90</x:v>
      </x:c>
      <x:c r="L1077">
        <x:v>45</x:v>
      </x:c>
      <x:c r="M1077">
        <x:v>65</x:v>
      </x:c>
      <x:c r="N1077">
        <x:v>50</x:v>
      </x:c>
      <x:c r="O1077">
        <x:v>45</x:v>
      </x:c>
      <x:c r="P1077">
        <x:v>62</x:v>
      </x:c>
      <x:c r="Q1077">
        <x:v>66</x:v>
      </x:c>
      <x:c r="R1077">
        <x:v>65</x:v>
      </x:c>
      <x:c r="S1077">
        <x:v>64</x:v>
      </x:c>
      <x:c r="T1077">
        <x:v>51</x:v>
      </x:c>
      <x:c r="U1077">
        <x:v>51</x:v>
      </x:c>
    </x:row>
    <x:row r="1078">
      <x:c r="A1078" t="s">
        <x:v>1437</x:v>
      </x:c>
      <x:c r="B1078" t="s">
        <x:v>343</x:v>
      </x:c>
      <x:c r="C1078" t="s">
        <x:v>326</x:v>
      </x:c>
      <x:c r="D1078">
        <x:v>8480789</x:v>
      </x:c>
      <x:c r="E1078">
        <x:v>65</x:v>
      </x:c>
      <x:c r="F1078">
        <x:v>76</x:v>
      </x:c>
      <x:c r="G1078">
        <x:v>81</x:v>
      </x:c>
      <x:c r="H1078">
        <x:v>45</x:v>
      </x:c>
      <x:c r="I1078">
        <x:v>80</x:v>
      </x:c>
      <x:c r="J1078">
        <x:v>83</x:v>
      </x:c>
      <x:c r="K1078">
        <x:v>86</x:v>
      </x:c>
      <x:c r="L1078">
        <x:v>45</x:v>
      </x:c>
      <x:c r="M1078">
        <x:v>65</x:v>
      </x:c>
      <x:c r="N1078">
        <x:v>49</x:v>
      </x:c>
      <x:c r="O1078">
        <x:v>50</x:v>
      </x:c>
      <x:c r="P1078">
        <x:v>63</x:v>
      </x:c>
      <x:c r="Q1078">
        <x:v>67</x:v>
      </x:c>
      <x:c r="R1078">
        <x:v>70</x:v>
      </x:c>
      <x:c r="S1078">
        <x:v>68</x:v>
      </x:c>
      <x:c r="T1078">
        <x:v>51</x:v>
      </x:c>
      <x:c r="U1078">
        <x:v>51</x:v>
      </x:c>
    </x:row>
    <x:row r="1079">
      <x:c r="A1079" t="s">
        <x:v>1438</x:v>
      </x:c>
      <x:c r="C1079" t="s">
        <x:v>323</x:v>
      </x:c>
      <x:c r="D1079">
        <x:v>8468503</x:v>
      </x:c>
      <x:c r="E1079">
        <x:v>70</x:v>
      </x:c>
      <x:c r="F1079">
        <x:v>36</x:v>
      </x:c>
      <x:c r="G1079">
        <x:v>80</x:v>
      </x:c>
      <x:c r="H1079">
        <x:v>46</x:v>
      </x:c>
      <x:c r="I1079">
        <x:v>76</x:v>
      </x:c>
      <x:c r="J1079">
        <x:v>83</x:v>
      </x:c>
      <x:c r="K1079">
        <x:v>84</x:v>
      </x:c>
      <x:c r="L1079">
        <x:v>47</x:v>
      </x:c>
      <x:c r="M1079">
        <x:v>76</x:v>
      </x:c>
      <x:c r="N1079">
        <x:v>47</x:v>
      </x:c>
      <x:c r="O1079">
        <x:v>45</x:v>
      </x:c>
      <x:c r="P1079">
        <x:v>60</x:v>
      </x:c>
      <x:c r="Q1079">
        <x:v>67</x:v>
      </x:c>
      <x:c r="R1079">
        <x:v>70</x:v>
      </x:c>
      <x:c r="S1079">
        <x:v>71</x:v>
      </x:c>
      <x:c r="T1079">
        <x:v>51</x:v>
      </x:c>
      <x:c r="U1079">
        <x:v>51</x:v>
      </x:c>
    </x:row>
    <x:row r="1080">
      <x:c r="A1080" t="s">
        <x:v>1439</x:v>
      </x:c>
      <x:c r="C1080" t="s">
        <x:v>331</x:v>
      </x:c>
      <x:c r="D1080">
        <x:v>8483085</x:v>
      </x:c>
      <x:c r="E1080">
        <x:v>67</x:v>
      </x:c>
      <x:c r="F1080">
        <x:v>41</x:v>
      </x:c>
      <x:c r="G1080">
        <x:v>79</x:v>
      </x:c>
      <x:c r="H1080">
        <x:v>33</x:v>
      </x:c>
      <x:c r="I1080">
        <x:v>83</x:v>
      </x:c>
      <x:c r="J1080">
        <x:v>80</x:v>
      </x:c>
      <x:c r="K1080">
        <x:v>84</x:v>
      </x:c>
      <x:c r="L1080">
        <x:v>34</x:v>
      </x:c>
      <x:c r="M1080">
        <x:v>30</x:v>
      </x:c>
      <x:c r="N1080">
        <x:v>40</x:v>
      </x:c>
      <x:c r="O1080">
        <x:v>39</x:v>
      </x:c>
      <x:c r="P1080">
        <x:v>67</x:v>
      </x:c>
      <x:c r="Q1080">
        <x:v>44</x:v>
      </x:c>
      <x:c r="R1080">
        <x:v>65</x:v>
      </x:c>
      <x:c r="S1080">
        <x:v>65</x:v>
      </x:c>
      <x:c r="T1080">
        <x:v>51</x:v>
      </x:c>
      <x:c r="U1080">
        <x:v>51</x:v>
      </x:c>
    </x:row>
    <x:row r="1081">
      <x:c r="A1081" t="s">
        <x:v>1440</x:v>
      </x:c>
      <x:c r="C1081" t="s">
        <x:v>331</x:v>
      </x:c>
      <x:c r="D1081">
        <x:v>8482096</x:v>
      </x:c>
      <x:c r="E1081">
        <x:v>62</x:v>
      </x:c>
      <x:c r="F1081">
        <x:v>37</x:v>
      </x:c>
      <x:c r="G1081">
        <x:v>79</x:v>
      </x:c>
      <x:c r="H1081">
        <x:v>34</x:v>
      </x:c>
      <x:c r="I1081">
        <x:v>77</x:v>
      </x:c>
      <x:c r="J1081">
        <x:v>73</x:v>
      </x:c>
      <x:c r="K1081">
        <x:v>76</x:v>
      </x:c>
      <x:c r="L1081">
        <x:v>34</x:v>
      </x:c>
      <x:c r="M1081">
        <x:v>30</x:v>
      </x:c>
      <x:c r="N1081">
        <x:v>44</x:v>
      </x:c>
      <x:c r="O1081">
        <x:v>39</x:v>
      </x:c>
      <x:c r="P1081">
        <x:v>66</x:v>
      </x:c>
      <x:c r="Q1081">
        <x:v>46</x:v>
      </x:c>
      <x:c r="R1081">
        <x:v>66</x:v>
      </x:c>
      <x:c r="S1081">
        <x:v>65</x:v>
      </x:c>
      <x:c r="T1081">
        <x:v>51</x:v>
      </x:c>
      <x:c r="U1081">
        <x:v>51</x:v>
      </x:c>
    </x:row>
    <x:row r="1082">
      <x:c r="A1082" t="s">
        <x:v>1441</x:v>
      </x:c>
      <x:c r="C1082" t="s">
        <x:v>319</x:v>
      </x:c>
      <x:c r="D1082">
        <x:v>8483397</x:v>
      </x:c>
      <x:c r="E1082">
        <x:v>68</x:v>
      </x:c>
      <x:c r="F1082">
        <x:v>38</x:v>
      </x:c>
      <x:c r="G1082">
        <x:v>89</x:v>
      </x:c>
      <x:c r="H1082">
        <x:v>45</x:v>
      </x:c>
      <x:c r="I1082">
        <x:v>79</x:v>
      </x:c>
      <x:c r="J1082">
        <x:v>78</x:v>
      </x:c>
      <x:c r="K1082">
        <x:v>80</x:v>
      </x:c>
      <x:c r="L1082">
        <x:v>45</x:v>
      </x:c>
      <x:c r="M1082">
        <x:v>71</x:v>
      </x:c>
      <x:c r="N1082">
        <x:v>48</x:v>
      </x:c>
      <x:c r="O1082">
        <x:v>49</x:v>
      </x:c>
      <x:c r="P1082">
        <x:v>61</x:v>
      </x:c>
      <x:c r="Q1082">
        <x:v>67</x:v>
      </x:c>
      <x:c r="R1082">
        <x:v>70</x:v>
      </x:c>
      <x:c r="S1082">
        <x:v>69</x:v>
      </x:c>
      <x:c r="T1082">
        <x:v>51</x:v>
      </x:c>
      <x:c r="U1082">
        <x:v>51</x:v>
      </x:c>
    </x:row>
    <x:row r="1083">
      <x:c r="A1083" t="s">
        <x:v>1442</x:v>
      </x:c>
      <x:c r="C1083" t="s">
        <x:v>331</x:v>
      </x:c>
      <x:c r="D1083">
        <x:v>8484741</x:v>
      </x:c>
      <x:c r="E1083">
        <x:v>70</x:v>
      </x:c>
      <x:c r="F1083">
        <x:v>39</x:v>
      </x:c>
      <x:c r="G1083">
        <x:v>91</x:v>
      </x:c>
      <x:c r="H1083">
        <x:v>32</x:v>
      </x:c>
      <x:c r="I1083">
        <x:v>76</x:v>
      </x:c>
      <x:c r="J1083">
        <x:v>77</x:v>
      </x:c>
      <x:c r="K1083">
        <x:v>80</x:v>
      </x:c>
      <x:c r="L1083">
        <x:v>32</x:v>
      </x:c>
      <x:c r="M1083">
        <x:v>30</x:v>
      </x:c>
      <x:c r="N1083">
        <x:v>41</x:v>
      </x:c>
      <x:c r="O1083">
        <x:v>40</x:v>
      </x:c>
      <x:c r="P1083">
        <x:v>65</x:v>
      </x:c>
      <x:c r="Q1083">
        <x:v>46</x:v>
      </x:c>
      <x:c r="R1083">
        <x:v>70</x:v>
      </x:c>
      <x:c r="S1083">
        <x:v>70</x:v>
      </x:c>
      <x:c r="T1083">
        <x:v>51</x:v>
      </x:c>
      <x:c r="U1083">
        <x:v>51</x:v>
      </x:c>
    </x:row>
    <x:row r="1084">
      <x:c r="A1084" t="s">
        <x:v>1443</x:v>
      </x:c>
      <x:c r="C1084" t="s">
        <x:v>331</x:v>
      </x:c>
      <x:c r="D1084">
        <x:v>8484202</x:v>
      </x:c>
      <x:c r="E1084">
        <x:v>65</x:v>
      </x:c>
      <x:c r="F1084">
        <x:v>39</x:v>
      </x:c>
      <x:c r="G1084">
        <x:v>81</x:v>
      </x:c>
      <x:c r="H1084">
        <x:v>34</x:v>
      </x:c>
      <x:c r="I1084">
        <x:v>79</x:v>
      </x:c>
      <x:c r="J1084">
        <x:v>81</x:v>
      </x:c>
      <x:c r="K1084">
        <x:v>85</x:v>
      </x:c>
      <x:c r="L1084">
        <x:v>35</x:v>
      </x:c>
      <x:c r="M1084">
        <x:v>30</x:v>
      </x:c>
      <x:c r="N1084">
        <x:v>45</x:v>
      </x:c>
      <x:c r="O1084">
        <x:v>40</x:v>
      </x:c>
      <x:c r="P1084">
        <x:v>65</x:v>
      </x:c>
      <x:c r="Q1084">
        <x:v>47</x:v>
      </x:c>
      <x:c r="R1084">
        <x:v>65</x:v>
      </x:c>
      <x:c r="S1084">
        <x:v>65</x:v>
      </x:c>
      <x:c r="T1084">
        <x:v>51</x:v>
      </x:c>
      <x:c r="U1084">
        <x:v>51</x:v>
      </x:c>
    </x:row>
    <x:row r="1085">
      <x:c r="A1085" t="s">
        <x:v>1444</x:v>
      </x:c>
      <x:c r="C1085" t="s">
        <x:v>331</x:v>
      </x:c>
      <x:c r="D1085">
        <x:v>8481715</x:v>
      </x:c>
      <x:c r="E1085">
        <x:v>71</x:v>
      </x:c>
      <x:c r="F1085">
        <x:v>39</x:v>
      </x:c>
      <x:c r="G1085">
        <x:v>77</x:v>
      </x:c>
      <x:c r="H1085">
        <x:v>33</x:v>
      </x:c>
      <x:c r="I1085">
        <x:v>79</x:v>
      </x:c>
      <x:c r="J1085">
        <x:v>87</x:v>
      </x:c>
      <x:c r="K1085">
        <x:v>89</x:v>
      </x:c>
      <x:c r="L1085">
        <x:v>33</x:v>
      </x:c>
      <x:c r="M1085">
        <x:v>30</x:v>
      </x:c>
      <x:c r="N1085">
        <x:v>43</x:v>
      </x:c>
      <x:c r="O1085">
        <x:v>42</x:v>
      </x:c>
      <x:c r="P1085">
        <x:v>65</x:v>
      </x:c>
      <x:c r="Q1085">
        <x:v>47</x:v>
      </x:c>
      <x:c r="R1085">
        <x:v>68</x:v>
      </x:c>
      <x:c r="S1085">
        <x:v>67</x:v>
      </x:c>
      <x:c r="T1085">
        <x:v>51</x:v>
      </x:c>
      <x:c r="U1085">
        <x:v>51</x:v>
      </x:c>
    </x:row>
    <x:row r="1086">
      <x:c r="A1086" t="s">
        <x:v>1445</x:v>
      </x:c>
      <x:c r="C1086" t="s">
        <x:v>331</x:v>
      </x:c>
      <x:c r="D1086">
        <x:v>8482890</x:v>
      </x:c>
      <x:c r="E1086">
        <x:v>69</x:v>
      </x:c>
      <x:c r="F1086">
        <x:v>34</x:v>
      </x:c>
      <x:c r="G1086">
        <x:v>84</x:v>
      </x:c>
      <x:c r="H1086">
        <x:v>34</x:v>
      </x:c>
      <x:c r="I1086">
        <x:v>78</x:v>
      </x:c>
      <x:c r="J1086">
        <x:v>82</x:v>
      </x:c>
      <x:c r="K1086">
        <x:v>83</x:v>
      </x:c>
      <x:c r="L1086">
        <x:v>35</x:v>
      </x:c>
      <x:c r="M1086">
        <x:v>30</x:v>
      </x:c>
      <x:c r="N1086">
        <x:v>44</x:v>
      </x:c>
      <x:c r="O1086">
        <x:v>42</x:v>
      </x:c>
      <x:c r="P1086">
        <x:v>64</x:v>
      </x:c>
      <x:c r="Q1086">
        <x:v>48</x:v>
      </x:c>
      <x:c r="R1086">
        <x:v>66</x:v>
      </x:c>
      <x:c r="S1086">
        <x:v>66</x:v>
      </x:c>
      <x:c r="T1086">
        <x:v>51</x:v>
      </x:c>
      <x:c r="U1086">
        <x:v>51</x:v>
      </x:c>
    </x:row>
    <x:row r="1087">
      <x:c r="A1087" t="s">
        <x:v>1446</x:v>
      </x:c>
      <x:c r="B1087" t="s">
        <x:v>584</x:v>
      </x:c>
      <x:c r="C1087" t="s">
        <x:v>319</x:v>
      </x:c>
      <x:c r="D1087">
        <x:v>8478912</x:v>
      </x:c>
      <x:c r="E1087">
        <x:v>65</x:v>
      </x:c>
      <x:c r="F1087">
        <x:v>34</x:v>
      </x:c>
      <x:c r="G1087">
        <x:v>85</x:v>
      </x:c>
      <x:c r="H1087">
        <x:v>45</x:v>
      </x:c>
      <x:c r="I1087">
        <x:v>80</x:v>
      </x:c>
      <x:c r="J1087">
        <x:v>91</x:v>
      </x:c>
      <x:c r="K1087">
        <x:v>95</x:v>
      </x:c>
      <x:c r="L1087">
        <x:v>45</x:v>
      </x:c>
      <x:c r="M1087">
        <x:v>62</x:v>
      </x:c>
      <x:c r="N1087">
        <x:v>46</x:v>
      </x:c>
      <x:c r="O1087">
        <x:v>44</x:v>
      </x:c>
      <x:c r="P1087">
        <x:v>63</x:v>
      </x:c>
      <x:c r="Q1087">
        <x:v>66</x:v>
      </x:c>
      <x:c r="R1087">
        <x:v>72</x:v>
      </x:c>
      <x:c r="S1087">
        <x:v>71</x:v>
      </x:c>
      <x:c r="T1087">
        <x:v>51</x:v>
      </x:c>
      <x:c r="U1087">
        <x:v>51</x:v>
      </x:c>
    </x:row>
    <x:row r="1088">
      <x:c r="A1088" t="s">
        <x:v>1447</x:v>
      </x:c>
      <x:c r="C1088" t="s">
        <x:v>331</x:v>
      </x:c>
      <x:c r="D1088">
        <x:v>8485019</x:v>
      </x:c>
      <x:c r="E1088">
        <x:v>69</x:v>
      </x:c>
      <x:c r="F1088">
        <x:v>48</x:v>
      </x:c>
      <x:c r="G1088">
        <x:v>74</x:v>
      </x:c>
      <x:c r="H1088">
        <x:v>33</x:v>
      </x:c>
      <x:c r="I1088">
        <x:v>80</x:v>
      </x:c>
      <x:c r="J1088">
        <x:v>86</x:v>
      </x:c>
      <x:c r="K1088">
        <x:v>90</x:v>
      </x:c>
      <x:c r="L1088">
        <x:v>34</x:v>
      </x:c>
      <x:c r="M1088">
        <x:v>30</x:v>
      </x:c>
      <x:c r="N1088">
        <x:v>43</x:v>
      </x:c>
      <x:c r="O1088">
        <x:v>39</x:v>
      </x:c>
      <x:c r="P1088">
        <x:v>67</x:v>
      </x:c>
      <x:c r="Q1088">
        <x:v>46</x:v>
      </x:c>
      <x:c r="R1088">
        <x:v>65</x:v>
      </x:c>
      <x:c r="S1088">
        <x:v>65</x:v>
      </x:c>
      <x:c r="T1088">
        <x:v>51</x:v>
      </x:c>
      <x:c r="U1088">
        <x:v>51</x:v>
      </x:c>
    </x:row>
    <x:row r="1089">
      <x:c r="A1089" t="s">
        <x:v>1448</x:v>
      </x:c>
      <x:c r="C1089" t="s">
        <x:v>358</x:v>
      </x:c>
      <x:c r="D1089">
        <x:v>8484275</x:v>
      </x:c>
      <x:c r="E1089">
        <x:v>58</x:v>
      </x:c>
      <x:c r="F1089">
        <x:v>34</x:v>
      </x:c>
      <x:c r="G1089">
        <x:v>88</x:v>
      </x:c>
      <x:c r="H1089">
        <x:v>42</x:v>
      </x:c>
      <x:c r="I1089">
        <x:v>82</x:v>
      </x:c>
      <x:c r="J1089">
        <x:v>81</x:v>
      </x:c>
      <x:c r="K1089">
        <x:v>86</x:v>
      </x:c>
      <x:c r="L1089">
        <x:v>43</x:v>
      </x:c>
      <x:c r="M1089">
        <x:v>67</x:v>
      </x:c>
      <x:c r="N1089">
        <x:v>43</x:v>
      </x:c>
      <x:c r="O1089">
        <x:v>44</x:v>
      </x:c>
      <x:c r="P1089">
        <x:v>57</x:v>
      </x:c>
      <x:c r="Q1089">
        <x:v>64</x:v>
      </x:c>
      <x:c r="R1089">
        <x:v>69</x:v>
      </x:c>
      <x:c r="S1089">
        <x:v>69</x:v>
      </x:c>
      <x:c r="T1089">
        <x:v>51</x:v>
      </x:c>
      <x:c r="U1089">
        <x:v>51</x:v>
      </x:c>
    </x:row>
    <x:row r="1090">
      <x:c r="A1090" t="s">
        <x:v>1449</x:v>
      </x:c>
      <x:c r="C1090" t="s">
        <x:v>331</x:v>
      </x:c>
      <x:c r="D1090">
        <x:v>8481570</x:v>
      </x:c>
      <x:c r="E1090">
        <x:v>84</x:v>
      </x:c>
      <x:c r="F1090">
        <x:v>46</x:v>
      </x:c>
      <x:c r="G1090">
        <x:v>84</x:v>
      </x:c>
      <x:c r="H1090">
        <x:v>31</x:v>
      </x:c>
      <x:c r="I1090">
        <x:v>87</x:v>
      </x:c>
      <x:c r="J1090">
        <x:v>79</x:v>
      </x:c>
      <x:c r="K1090">
        <x:v>80</x:v>
      </x:c>
      <x:c r="L1090">
        <x:v>32</x:v>
      </x:c>
      <x:c r="M1090">
        <x:v>30</x:v>
      </x:c>
      <x:c r="N1090">
        <x:v>40</x:v>
      </x:c>
      <x:c r="O1090">
        <x:v>37</x:v>
      </x:c>
      <x:c r="P1090">
        <x:v>66</x:v>
      </x:c>
      <x:c r="Q1090">
        <x:v>44</x:v>
      </x:c>
      <x:c r="R1090">
        <x:v>68</x:v>
      </x:c>
      <x:c r="S1090">
        <x:v>67</x:v>
      </x:c>
      <x:c r="T1090">
        <x:v>51</x:v>
      </x:c>
      <x:c r="U1090">
        <x:v>51</x:v>
      </x:c>
    </x:row>
    <x:row r="1091">
      <x:c r="A1091" t="s">
        <x:v>1450</x:v>
      </x:c>
      <x:c r="C1091" t="s">
        <x:v>331</x:v>
      </x:c>
      <x:c r="D1091">
        <x:v>8484772</x:v>
      </x:c>
      <x:c r="E1091">
        <x:v>69</x:v>
      </x:c>
      <x:c r="F1091">
        <x:v>36</x:v>
      </x:c>
      <x:c r="G1091">
        <x:v>90</x:v>
      </x:c>
      <x:c r="H1091">
        <x:v>33</x:v>
      </x:c>
      <x:c r="I1091">
        <x:v>77</x:v>
      </x:c>
      <x:c r="J1091">
        <x:v>74</x:v>
      </x:c>
      <x:c r="K1091">
        <x:v>77</x:v>
      </x:c>
      <x:c r="L1091">
        <x:v>33</x:v>
      </x:c>
      <x:c r="M1091">
        <x:v>30</x:v>
      </x:c>
      <x:c r="N1091">
        <x:v>43</x:v>
      </x:c>
      <x:c r="O1091">
        <x:v>39</x:v>
      </x:c>
      <x:c r="P1091">
        <x:v>67</x:v>
      </x:c>
      <x:c r="Q1091">
        <x:v>46</x:v>
      </x:c>
      <x:c r="R1091">
        <x:v>64</x:v>
      </x:c>
      <x:c r="S1091">
        <x:v>64</x:v>
      </x:c>
      <x:c r="T1091">
        <x:v>51</x:v>
      </x:c>
      <x:c r="U1091">
        <x:v>51</x:v>
      </x:c>
    </x:row>
    <x:row r="1092">
      <x:c r="A1092" t="s">
        <x:v>1451</x:v>
      </x:c>
      <x:c r="C1092" t="s">
        <x:v>319</x:v>
      </x:c>
      <x:c r="D1092">
        <x:v>8483675</x:v>
      </x:c>
      <x:c r="E1092">
        <x:v>64</x:v>
      </x:c>
      <x:c r="F1092">
        <x:v>38</x:v>
      </x:c>
      <x:c r="G1092">
        <x:v>84</x:v>
      </x:c>
      <x:c r="H1092">
        <x:v>46</x:v>
      </x:c>
      <x:c r="I1092">
        <x:v>82</x:v>
      </x:c>
      <x:c r="J1092">
        <x:v>87</x:v>
      </x:c>
      <x:c r="K1092">
        <x:v>91</x:v>
      </x:c>
      <x:c r="L1092">
        <x:v>47</x:v>
      </x:c>
      <x:c r="M1092">
        <x:v>65</x:v>
      </x:c>
      <x:c r="N1092">
        <x:v>48</x:v>
      </x:c>
      <x:c r="O1092">
        <x:v>44</x:v>
      </x:c>
      <x:c r="P1092">
        <x:v>58</x:v>
      </x:c>
      <x:c r="Q1092">
        <x:v>67</x:v>
      </x:c>
      <x:c r="R1092">
        <x:v>65</x:v>
      </x:c>
      <x:c r="S1092">
        <x:v>65</x:v>
      </x:c>
      <x:c r="T1092">
        <x:v>51</x:v>
      </x:c>
      <x:c r="U1092">
        <x:v>51</x:v>
      </x:c>
    </x:row>
    <x:row r="1093">
      <x:c r="A1093" t="s">
        <x:v>1452</x:v>
      </x:c>
      <x:c r="C1093" t="s">
        <x:v>319</x:v>
      </x:c>
      <x:c r="D1093">
        <x:v>8484406</x:v>
      </x:c>
      <x:c r="E1093">
        <x:v>69</x:v>
      </x:c>
      <x:c r="F1093">
        <x:v>37</x:v>
      </x:c>
      <x:c r="G1093">
        <x:v>86</x:v>
      </x:c>
      <x:c r="H1093">
        <x:v>45</x:v>
      </x:c>
      <x:c r="I1093">
        <x:v>74</x:v>
      </x:c>
      <x:c r="J1093">
        <x:v>88</x:v>
      </x:c>
      <x:c r="K1093">
        <x:v>91</x:v>
      </x:c>
      <x:c r="L1093">
        <x:v>46</x:v>
      </x:c>
      <x:c r="M1093">
        <x:v>82</x:v>
      </x:c>
      <x:c r="N1093">
        <x:v>46</x:v>
      </x:c>
      <x:c r="O1093">
        <x:v>45</x:v>
      </x:c>
      <x:c r="P1093">
        <x:v>66</x:v>
      </x:c>
      <x:c r="Q1093">
        <x:v>67</x:v>
      </x:c>
      <x:c r="R1093">
        <x:v>66</x:v>
      </x:c>
      <x:c r="S1093">
        <x:v>67</x:v>
      </x:c>
      <x:c r="T1093">
        <x:v>51</x:v>
      </x:c>
      <x:c r="U1093">
        <x:v>51</x:v>
      </x:c>
    </x:row>
    <x:row r="1094">
      <x:c r="A1094" t="s">
        <x:v>1453</x:v>
      </x:c>
      <x:c r="C1094" t="s">
        <x:v>319</x:v>
      </x:c>
      <x:c r="D1094">
        <x:v>8482759</x:v>
      </x:c>
      <x:c r="E1094">
        <x:v>63</x:v>
      </x:c>
      <x:c r="F1094">
        <x:v>37</x:v>
      </x:c>
      <x:c r="G1094">
        <x:v>88</x:v>
      </x:c>
      <x:c r="H1094">
        <x:v>47</x:v>
      </x:c>
      <x:c r="I1094">
        <x:v>79</x:v>
      </x:c>
      <x:c r="J1094">
        <x:v>92</x:v>
      </x:c>
      <x:c r="K1094">
        <x:v>96</x:v>
      </x:c>
      <x:c r="L1094">
        <x:v>48</x:v>
      </x:c>
      <x:c r="M1094">
        <x:v>68</x:v>
      </x:c>
      <x:c r="N1094">
        <x:v>51</x:v>
      </x:c>
      <x:c r="O1094">
        <x:v>45</x:v>
      </x:c>
      <x:c r="P1094">
        <x:v>58</x:v>
      </x:c>
      <x:c r="Q1094">
        <x:v>70</x:v>
      </x:c>
      <x:c r="R1094">
        <x:v>65</x:v>
      </x:c>
      <x:c r="S1094">
        <x:v>64</x:v>
      </x:c>
      <x:c r="T1094">
        <x:v>51</x:v>
      </x:c>
      <x:c r="U1094">
        <x:v>51</x:v>
      </x:c>
    </x:row>
    <x:row r="1095">
      <x:c r="A1095" t="s">
        <x:v>1454</x:v>
      </x:c>
      <x:c r="C1095" t="s">
        <x:v>326</x:v>
      </x:c>
      <x:c r="D1095">
        <x:v>8480441</x:v>
      </x:c>
      <x:c r="E1095">
        <x:v>67</x:v>
      </x:c>
      <x:c r="F1095">
        <x:v>35</x:v>
      </x:c>
      <x:c r="G1095">
        <x:v>75</x:v>
      </x:c>
      <x:c r="H1095">
        <x:v>46</x:v>
      </x:c>
      <x:c r="I1095">
        <x:v>74</x:v>
      </x:c>
      <x:c r="J1095">
        <x:v>91</x:v>
      </x:c>
      <x:c r="K1095">
        <x:v>95</x:v>
      </x:c>
      <x:c r="L1095">
        <x:v>46</x:v>
      </x:c>
      <x:c r="M1095">
        <x:v>54</x:v>
      </x:c>
      <x:c r="N1095">
        <x:v>49</x:v>
      </x:c>
      <x:c r="O1095">
        <x:v>50</x:v>
      </x:c>
      <x:c r="P1095">
        <x:v>61</x:v>
      </x:c>
      <x:c r="Q1095">
        <x:v>69</x:v>
      </x:c>
      <x:c r="R1095">
        <x:v>69</x:v>
      </x:c>
      <x:c r="S1095">
        <x:v>70</x:v>
      </x:c>
      <x:c r="T1095">
        <x:v>51</x:v>
      </x:c>
      <x:c r="U1095">
        <x:v>51</x:v>
      </x:c>
    </x:row>
    <x:row r="1096">
      <x:c r="A1096" t="s">
        <x:v>1455</x:v>
      </x:c>
      <x:c r="C1096" t="s">
        <x:v>333</x:v>
      </x:c>
      <x:c r="D1096">
        <x:v>8482682</x:v>
      </x:c>
      <x:c r="E1096">
        <x:v>61</x:v>
      </x:c>
      <x:c r="F1096">
        <x:v>35</x:v>
      </x:c>
      <x:c r="G1096">
        <x:v>87</x:v>
      </x:c>
      <x:c r="H1096">
        <x:v>47</x:v>
      </x:c>
      <x:c r="I1096">
        <x:v>78</x:v>
      </x:c>
      <x:c r="J1096">
        <x:v>88</x:v>
      </x:c>
      <x:c r="K1096">
        <x:v>93</x:v>
      </x:c>
      <x:c r="L1096">
        <x:v>48</x:v>
      </x:c>
      <x:c r="M1096">
        <x:v>73</x:v>
      </x:c>
      <x:c r="N1096">
        <x:v>50</x:v>
      </x:c>
      <x:c r="O1096">
        <x:v>45</x:v>
      </x:c>
      <x:c r="P1096">
        <x:v>61</x:v>
      </x:c>
      <x:c r="Q1096">
        <x:v>70</x:v>
      </x:c>
      <x:c r="R1096">
        <x:v>66</x:v>
      </x:c>
      <x:c r="S1096">
        <x:v>66</x:v>
      </x:c>
      <x:c r="T1096">
        <x:v>51</x:v>
      </x:c>
      <x:c r="U1096">
        <x:v>51</x:v>
      </x:c>
    </x:row>
    <x:row r="1097">
      <x:c r="A1097" t="s">
        <x:v>1456</x:v>
      </x:c>
      <x:c r="C1097" t="s">
        <x:v>323</x:v>
      </x:c>
      <x:c r="D1097">
        <x:v>8484797</x:v>
      </x:c>
      <x:c r="E1097">
        <x:v>72</x:v>
      </x:c>
      <x:c r="F1097">
        <x:v>37</x:v>
      </x:c>
      <x:c r="G1097">
        <x:v>88</x:v>
      </x:c>
      <x:c r="H1097">
        <x:v>45</x:v>
      </x:c>
      <x:c r="I1097">
        <x:v>77</x:v>
      </x:c>
      <x:c r="J1097">
        <x:v>91</x:v>
      </x:c>
      <x:c r="K1097">
        <x:v>95</x:v>
      </x:c>
      <x:c r="L1097">
        <x:v>44</x:v>
      </x:c>
      <x:c r="M1097">
        <x:v>80</x:v>
      </x:c>
      <x:c r="N1097">
        <x:v>51</x:v>
      </x:c>
      <x:c r="O1097">
        <x:v>45</x:v>
      </x:c>
      <x:c r="P1097">
        <x:v>58</x:v>
      </x:c>
      <x:c r="Q1097">
        <x:v>66</x:v>
      </x:c>
      <x:c r="R1097">
        <x:v>64</x:v>
      </x:c>
      <x:c r="S1097">
        <x:v>65</x:v>
      </x:c>
      <x:c r="T1097">
        <x:v>51</x:v>
      </x:c>
      <x:c r="U1097">
        <x:v>51</x:v>
      </x:c>
    </x:row>
    <x:row r="1098">
      <x:c r="A1098" t="s">
        <x:v>1457</x:v>
      </x:c>
      <x:c r="C1098" t="s">
        <x:v>358</x:v>
      </x:c>
      <x:c r="D1098">
        <x:v>8482766</x:v>
      </x:c>
      <x:c r="E1098">
        <x:v>58</x:v>
      </x:c>
      <x:c r="F1098">
        <x:v>35</x:v>
      </x:c>
      <x:c r="G1098">
        <x:v>83</x:v>
      </x:c>
      <x:c r="H1098">
        <x:v>47</x:v>
      </x:c>
      <x:c r="I1098">
        <x:v>79</x:v>
      </x:c>
      <x:c r="J1098">
        <x:v>91</x:v>
      </x:c>
      <x:c r="K1098">
        <x:v>94</x:v>
      </x:c>
      <x:c r="L1098">
        <x:v>48</x:v>
      </x:c>
      <x:c r="M1098">
        <x:v>72</x:v>
      </x:c>
      <x:c r="N1098">
        <x:v>51</x:v>
      </x:c>
      <x:c r="O1098">
        <x:v>43</x:v>
      </x:c>
      <x:c r="P1098">
        <x:v>60</x:v>
      </x:c>
      <x:c r="Q1098">
        <x:v>68</x:v>
      </x:c>
      <x:c r="R1098">
        <x:v>66</x:v>
      </x:c>
      <x:c r="S1098">
        <x:v>66</x:v>
      </x:c>
      <x:c r="T1098">
        <x:v>51</x:v>
      </x:c>
      <x:c r="U1098">
        <x:v>51</x:v>
      </x:c>
    </x:row>
    <x:row r="1099">
      <x:c r="A1099" t="s">
        <x:v>1458</x:v>
      </x:c>
      <x:c r="C1099" t="s">
        <x:v>331</x:v>
      </x:c>
      <x:c r="D1099">
        <x:v>8483546</x:v>
      </x:c>
      <x:c r="E1099">
        <x:v>67</x:v>
      </x:c>
      <x:c r="F1099">
        <x:v>39</x:v>
      </x:c>
      <x:c r="G1099">
        <x:v>74</x:v>
      </x:c>
      <x:c r="H1099">
        <x:v>33</x:v>
      </x:c>
      <x:c r="I1099">
        <x:v>79</x:v>
      </x:c>
      <x:c r="J1099">
        <x:v>79</x:v>
      </x:c>
      <x:c r="K1099">
        <x:v>79</x:v>
      </x:c>
      <x:c r="L1099">
        <x:v>33</x:v>
      </x:c>
      <x:c r="M1099">
        <x:v>30</x:v>
      </x:c>
      <x:c r="N1099">
        <x:v>44</x:v>
      </x:c>
      <x:c r="O1099">
        <x:v>38</x:v>
      </x:c>
      <x:c r="P1099">
        <x:v>63</x:v>
      </x:c>
      <x:c r="Q1099">
        <x:v>46</x:v>
      </x:c>
      <x:c r="R1099">
        <x:v>70</x:v>
      </x:c>
      <x:c r="S1099">
        <x:v>69</x:v>
      </x:c>
      <x:c r="T1099">
        <x:v>51</x:v>
      </x:c>
      <x:c r="U1099">
        <x:v>51</x:v>
      </x:c>
    </x:row>
    <x:row r="1100">
      <x:c r="A1100" t="s">
        <x:v>1459</x:v>
      </x:c>
      <x:c r="C1100" t="s">
        <x:v>331</x:v>
      </x:c>
      <x:c r="D1100">
        <x:v>8483732</x:v>
      </x:c>
      <x:c r="E1100">
        <x:v>77</x:v>
      </x:c>
      <x:c r="F1100">
        <x:v>38</x:v>
      </x:c>
      <x:c r="G1100">
        <x:v>77</x:v>
      </x:c>
      <x:c r="H1100">
        <x:v>32</x:v>
      </x:c>
      <x:c r="I1100">
        <x:v>79</x:v>
      </x:c>
      <x:c r="J1100">
        <x:v>85</x:v>
      </x:c>
      <x:c r="K1100">
        <x:v>86</x:v>
      </x:c>
      <x:c r="L1100">
        <x:v>32</x:v>
      </x:c>
      <x:c r="M1100">
        <x:v>30</x:v>
      </x:c>
      <x:c r="N1100">
        <x:v>41</x:v>
      </x:c>
      <x:c r="O1100">
        <x:v>40</x:v>
      </x:c>
      <x:c r="P1100">
        <x:v>66</x:v>
      </x:c>
      <x:c r="Q1100">
        <x:v>45</x:v>
      </x:c>
      <x:c r="R1100">
        <x:v>65</x:v>
      </x:c>
      <x:c r="S1100">
        <x:v>66</x:v>
      </x:c>
      <x:c r="T1100">
        <x:v>51</x:v>
      </x:c>
      <x:c r="U1100">
        <x:v>51</x:v>
      </x:c>
    </x:row>
    <x:row r="1101">
      <x:c r="A1101" t="s">
        <x:v>1460</x:v>
      </x:c>
      <x:c r="C1101" t="s">
        <x:v>331</x:v>
      </x:c>
      <x:c r="D1101">
        <x:v>8485468</x:v>
      </x:c>
      <x:c r="E1101">
        <x:v>72</x:v>
      </x:c>
      <x:c r="F1101">
        <x:v>34</x:v>
      </x:c>
      <x:c r="G1101">
        <x:v>83</x:v>
      </x:c>
      <x:c r="H1101">
        <x:v>34</x:v>
      </x:c>
      <x:c r="I1101">
        <x:v>79</x:v>
      </x:c>
      <x:c r="J1101">
        <x:v>84</x:v>
      </x:c>
      <x:c r="K1101">
        <x:v>91</x:v>
      </x:c>
      <x:c r="L1101">
        <x:v>33</x:v>
      </x:c>
      <x:c r="M1101">
        <x:v>30</x:v>
      </x:c>
      <x:c r="N1101">
        <x:v>43</x:v>
      </x:c>
      <x:c r="O1101">
        <x:v>40</x:v>
      </x:c>
      <x:c r="P1101">
        <x:v>65</x:v>
      </x:c>
      <x:c r="Q1101">
        <x:v>47</x:v>
      </x:c>
      <x:c r="R1101">
        <x:v>67</x:v>
      </x:c>
      <x:c r="S1101">
        <x:v>66</x:v>
      </x:c>
      <x:c r="T1101">
        <x:v>51</x:v>
      </x:c>
      <x:c r="U1101">
        <x:v>51</x:v>
      </x:c>
    </x:row>
    <x:row r="1102">
      <x:c r="A1102" t="s">
        <x:v>1461</x:v>
      </x:c>
      <x:c r="C1102" t="s">
        <x:v>331</x:v>
      </x:c>
      <x:c r="D1102">
        <x:v>8482453</x:v>
      </x:c>
      <x:c r="E1102">
        <x:v>79</x:v>
      </x:c>
      <x:c r="F1102">
        <x:v>43</x:v>
      </x:c>
      <x:c r="G1102">
        <x:v>86</x:v>
      </x:c>
      <x:c r="H1102">
        <x:v>32</x:v>
      </x:c>
      <x:c r="I1102">
        <x:v>82</x:v>
      </x:c>
      <x:c r="J1102">
        <x:v>78</x:v>
      </x:c>
      <x:c r="K1102">
        <x:v>80</x:v>
      </x:c>
      <x:c r="L1102">
        <x:v>31</x:v>
      </x:c>
      <x:c r="M1102">
        <x:v>30</x:v>
      </x:c>
      <x:c r="N1102">
        <x:v>40</x:v>
      </x:c>
      <x:c r="O1102">
        <x:v>38</x:v>
      </x:c>
      <x:c r="P1102">
        <x:v>68</x:v>
      </x:c>
      <x:c r="Q1102">
        <x:v>44</x:v>
      </x:c>
      <x:c r="R1102">
        <x:v>67</x:v>
      </x:c>
      <x:c r="S1102">
        <x:v>68</x:v>
      </x:c>
      <x:c r="T1102">
        <x:v>45</x:v>
      </x:c>
      <x:c r="U1102">
        <x:v>51</x:v>
      </x:c>
    </x:row>
    <x:row r="1103">
      <x:c r="A1103" t="s">
        <x:v>1462</x:v>
      </x:c>
      <x:c r="C1103" t="s">
        <x:v>331</x:v>
      </x:c>
      <x:c r="D1103">
        <x:v>8482143</x:v>
      </x:c>
      <x:c r="E1103">
        <x:v>78</x:v>
      </x:c>
      <x:c r="F1103">
        <x:v>40</x:v>
      </x:c>
      <x:c r="G1103">
        <x:v>88</x:v>
      </x:c>
      <x:c r="H1103">
        <x:v>31</x:v>
      </x:c>
      <x:c r="I1103">
        <x:v>77</x:v>
      </x:c>
      <x:c r="J1103">
        <x:v>79</x:v>
      </x:c>
      <x:c r="K1103">
        <x:v>79</x:v>
      </x:c>
      <x:c r="L1103">
        <x:v>30</x:v>
      </x:c>
      <x:c r="M1103">
        <x:v>30</x:v>
      </x:c>
      <x:c r="N1103">
        <x:v>41</x:v>
      </x:c>
      <x:c r="O1103">
        <x:v>37</x:v>
      </x:c>
      <x:c r="P1103">
        <x:v>69</x:v>
      </x:c>
      <x:c r="Q1103">
        <x:v>44</x:v>
      </x:c>
      <x:c r="R1103">
        <x:v>67</x:v>
      </x:c>
      <x:c r="S1103">
        <x:v>68</x:v>
      </x:c>
      <x:c r="T1103">
        <x:v>51</x:v>
      </x:c>
      <x:c r="U1103">
        <x:v>51</x:v>
      </x:c>
    </x:row>
    <x:row r="1104">
      <x:c r="A1104" t="s">
        <x:v>1463</x:v>
      </x:c>
      <x:c r="C1104" t="s">
        <x:v>331</x:v>
      </x:c>
      <x:c r="D1104">
        <x:v>8485484</x:v>
      </x:c>
      <x:c r="E1104">
        <x:v>69</x:v>
      </x:c>
      <x:c r="F1104">
        <x:v>37</x:v>
      </x:c>
      <x:c r="G1104">
        <x:v>85</x:v>
      </x:c>
      <x:c r="H1104">
        <x:v>34</x:v>
      </x:c>
      <x:c r="I1104">
        <x:v>78</x:v>
      </x:c>
      <x:c r="J1104">
        <x:v>86</x:v>
      </x:c>
      <x:c r="K1104">
        <x:v>90</x:v>
      </x:c>
      <x:c r="L1104">
        <x:v>35</x:v>
      </x:c>
      <x:c r="M1104">
        <x:v>30</x:v>
      </x:c>
      <x:c r="N1104">
        <x:v>43</x:v>
      </x:c>
      <x:c r="O1104">
        <x:v>41</x:v>
      </x:c>
      <x:c r="P1104">
        <x:v>65</x:v>
      </x:c>
      <x:c r="Q1104">
        <x:v>47</x:v>
      </x:c>
      <x:c r="R1104">
        <x:v>66</x:v>
      </x:c>
      <x:c r="S1104">
        <x:v>67</x:v>
      </x:c>
      <x:c r="T1104">
        <x:v>51</x:v>
      </x:c>
      <x:c r="U1104">
        <x:v>51</x:v>
      </x:c>
    </x:row>
    <x:row r="1105">
      <x:c r="A1105" t="s">
        <x:v>1464</x:v>
      </x:c>
      <x:c r="C1105" t="s">
        <x:v>331</x:v>
      </x:c>
      <x:c r="D1105">
        <x:v>8483745</x:v>
      </x:c>
      <x:c r="E1105">
        <x:v>75</x:v>
      </x:c>
      <x:c r="F1105">
        <x:v>43</x:v>
      </x:c>
      <x:c r="G1105">
        <x:v>81</x:v>
      </x:c>
      <x:c r="H1105">
        <x:v>33</x:v>
      </x:c>
      <x:c r="I1105">
        <x:v>78</x:v>
      </x:c>
      <x:c r="J1105">
        <x:v>81</x:v>
      </x:c>
      <x:c r="K1105">
        <x:v>83</x:v>
      </x:c>
      <x:c r="L1105">
        <x:v>33</x:v>
      </x:c>
      <x:c r="M1105">
        <x:v>30</x:v>
      </x:c>
      <x:c r="N1105">
        <x:v>42</x:v>
      </x:c>
      <x:c r="O1105">
        <x:v>40</x:v>
      </x:c>
      <x:c r="P1105">
        <x:v>66</x:v>
      </x:c>
      <x:c r="Q1105">
        <x:v>46</x:v>
      </x:c>
      <x:c r="R1105">
        <x:v>65</x:v>
      </x:c>
      <x:c r="S1105">
        <x:v>64</x:v>
      </x:c>
      <x:c r="T1105">
        <x:v>51</x:v>
      </x:c>
      <x:c r="U1105">
        <x:v>51</x:v>
      </x:c>
    </x:row>
    <x:row r="1106">
      <x:c r="A1106" t="s">
        <x:v>1465</x:v>
      </x:c>
      <x:c r="C1106" t="s">
        <x:v>319</x:v>
      </x:c>
      <x:c r="D1106">
        <x:v>8480252</x:v>
      </x:c>
      <x:c r="E1106">
        <x:v>60</x:v>
      </x:c>
      <x:c r="F1106">
        <x:v>81</x:v>
      </x:c>
      <x:c r="G1106">
        <x:v>81</x:v>
      </x:c>
      <x:c r="H1106">
        <x:v>46</x:v>
      </x:c>
      <x:c r="I1106">
        <x:v>74</x:v>
      </x:c>
      <x:c r="J1106">
        <x:v>89</x:v>
      </x:c>
      <x:c r="K1106">
        <x:v>92</x:v>
      </x:c>
      <x:c r="L1106">
        <x:v>45</x:v>
      </x:c>
      <x:c r="M1106">
        <x:v>83</x:v>
      </x:c>
      <x:c r="N1106">
        <x:v>50</x:v>
      </x:c>
      <x:c r="O1106">
        <x:v>51</x:v>
      </x:c>
      <x:c r="P1106">
        <x:v>60</x:v>
      </x:c>
      <x:c r="Q1106">
        <x:v>69</x:v>
      </x:c>
      <x:c r="R1106">
        <x:v>69</x:v>
      </x:c>
      <x:c r="S1106">
        <x:v>68</x:v>
      </x:c>
      <x:c r="T1106">
        <x:v>51</x:v>
      </x:c>
      <x:c r="U1106">
        <x:v>51</x:v>
      </x:c>
    </x:row>
    <x:row r="1107">
      <x:c r="A1107" t="s">
        <x:v>1466</x:v>
      </x:c>
      <x:c r="C1107" t="s">
        <x:v>319</x:v>
      </x:c>
      <x:c r="D1107">
        <x:v>8485539</x:v>
      </x:c>
      <x:c r="E1107">
        <x:v>62</x:v>
      </x:c>
      <x:c r="F1107">
        <x:v>40</x:v>
      </x:c>
      <x:c r="G1107">
        <x:v>82</x:v>
      </x:c>
      <x:c r="H1107">
        <x:v>45</x:v>
      </x:c>
      <x:c r="I1107">
        <x:v>81</x:v>
      </x:c>
      <x:c r="J1107">
        <x:v>78</x:v>
      </x:c>
      <x:c r="K1107">
        <x:v>82</x:v>
      </x:c>
      <x:c r="L1107">
        <x:v>45</x:v>
      </x:c>
      <x:c r="M1107">
        <x:v>57</x:v>
      </x:c>
      <x:c r="N1107">
        <x:v>48</x:v>
      </x:c>
      <x:c r="O1107">
        <x:v>45</x:v>
      </x:c>
      <x:c r="P1107">
        <x:v>61</x:v>
      </x:c>
      <x:c r="Q1107">
        <x:v>68</x:v>
      </x:c>
      <x:c r="R1107">
        <x:v>69</x:v>
      </x:c>
      <x:c r="S1107">
        <x:v>69</x:v>
      </x:c>
      <x:c r="T1107">
        <x:v>51</x:v>
      </x:c>
      <x:c r="U1107">
        <x:v>51</x:v>
      </x:c>
    </x:row>
    <x:row r="1108">
      <x:c r="A1108" t="s">
        <x:v>1467</x:v>
      </x:c>
      <x:c r="C1108" t="s">
        <x:v>326</x:v>
      </x:c>
      <x:c r="D1108">
        <x:v>8479656</x:v>
      </x:c>
      <x:c r="E1108">
        <x:v>60</x:v>
      </x:c>
      <x:c r="F1108">
        <x:v>38</x:v>
      </x:c>
      <x:c r="G1108">
        <x:v>85</x:v>
      </x:c>
      <x:c r="H1108">
        <x:v>46</x:v>
      </x:c>
      <x:c r="I1108">
        <x:v>77</x:v>
      </x:c>
      <x:c r="J1108">
        <x:v>89</x:v>
      </x:c>
      <x:c r="K1108">
        <x:v>92</x:v>
      </x:c>
      <x:c r="L1108">
        <x:v>46</x:v>
      </x:c>
      <x:c r="M1108">
        <x:v>58</x:v>
      </x:c>
      <x:c r="N1108">
        <x:v>47</x:v>
      </x:c>
      <x:c r="O1108">
        <x:v>46</x:v>
      </x:c>
      <x:c r="P1108">
        <x:v>57</x:v>
      </x:c>
      <x:c r="Q1108">
        <x:v>68</x:v>
      </x:c>
      <x:c r="R1108">
        <x:v>71</x:v>
      </x:c>
      <x:c r="S1108">
        <x:v>72</x:v>
      </x:c>
      <x:c r="T1108">
        <x:v>51</x:v>
      </x:c>
      <x:c r="U1108">
        <x:v>51</x:v>
      </x:c>
    </x:row>
    <x:row r="1109">
      <x:c r="A1109" t="s">
        <x:v>1468</x:v>
      </x:c>
      <x:c r="C1109" t="s">
        <x:v>331</x:v>
      </x:c>
      <x:c r="D1109">
        <x:v>8482683</x:v>
      </x:c>
      <x:c r="E1109">
        <x:v>68</x:v>
      </x:c>
      <x:c r="F1109">
        <x:v>41</x:v>
      </x:c>
      <x:c r="G1109">
        <x:v>76</x:v>
      </x:c>
      <x:c r="H1109">
        <x:v>33</x:v>
      </x:c>
      <x:c r="I1109">
        <x:v>80</x:v>
      </x:c>
      <x:c r="J1109">
        <x:v>79</x:v>
      </x:c>
      <x:c r="K1109">
        <x:v>83</x:v>
      </x:c>
      <x:c r="L1109">
        <x:v>33</x:v>
      </x:c>
      <x:c r="M1109">
        <x:v>30</x:v>
      </x:c>
      <x:c r="N1109">
        <x:v>42</x:v>
      </x:c>
      <x:c r="O1109">
        <x:v>40</x:v>
      </x:c>
      <x:c r="P1109">
        <x:v>66</x:v>
      </x:c>
      <x:c r="Q1109">
        <x:v>46</x:v>
      </x:c>
      <x:c r="R1109">
        <x:v>66</x:v>
      </x:c>
      <x:c r="S1109">
        <x:v>66</x:v>
      </x:c>
      <x:c r="T1109">
        <x:v>51</x:v>
      </x:c>
      <x:c r="U1109">
        <x:v>51</x:v>
      </x:c>
    </x:row>
    <x:row r="1110">
      <x:c r="A1110" t="s">
        <x:v>1469</x:v>
      </x:c>
      <x:c r="B1110" t="s">
        <x:v>576</x:v>
      </x:c>
      <x:c r="C1110" t="s">
        <x:v>319</x:v>
      </x:c>
      <x:c r="D1110">
        <x:v>8486056</x:v>
      </x:c>
      <x:c r="E1110">
        <x:v>60</x:v>
      </x:c>
      <x:c r="F1110">
        <x:v>32</x:v>
      </x:c>
      <x:c r="G1110">
        <x:v>78</x:v>
      </x:c>
      <x:c r="H1110">
        <x:v>45</x:v>
      </x:c>
      <x:c r="I1110">
        <x:v>84</x:v>
      </x:c>
      <x:c r="J1110">
        <x:v>78</x:v>
      </x:c>
      <x:c r="K1110">
        <x:v>40</x:v>
      </x:c>
      <x:c r="L1110">
        <x:v>46</x:v>
      </x:c>
      <x:c r="M1110">
        <x:v>72</x:v>
      </x:c>
      <x:c r="N1110">
        <x:v>45</x:v>
      </x:c>
      <x:c r="O1110">
        <x:v>47</x:v>
      </x:c>
      <x:c r="P1110">
        <x:v>59</x:v>
      </x:c>
      <x:c r="Q1110">
        <x:v>54</x:v>
      </x:c>
      <x:c r="R1110">
        <x:v>67</x:v>
      </x:c>
      <x:c r="S1110">
        <x:v>66</x:v>
      </x:c>
      <x:c r="T1110">
        <x:v>51</x:v>
      </x:c>
      <x:c r="U1110">
        <x:v>51</x:v>
      </x:c>
    </x:row>
    <x:row r="1111">
      <x:c r="A1111" t="s">
        <x:v>1470</x:v>
      </x:c>
      <x:c r="C1111" t="s">
        <x:v>331</x:v>
      </x:c>
      <x:c r="D1111">
        <x:v>8483435</x:v>
      </x:c>
      <x:c r="E1111">
        <x:v>72</x:v>
      </x:c>
      <x:c r="F1111">
        <x:v>39</x:v>
      </x:c>
      <x:c r="G1111">
        <x:v>75</x:v>
      </x:c>
      <x:c r="H1111">
        <x:v>34</x:v>
      </x:c>
      <x:c r="I1111">
        <x:v>80</x:v>
      </x:c>
      <x:c r="J1111">
        <x:v>86</x:v>
      </x:c>
      <x:c r="K1111">
        <x:v>89</x:v>
      </x:c>
      <x:c r="L1111">
        <x:v>33</x:v>
      </x:c>
      <x:c r="M1111">
        <x:v>30</x:v>
      </x:c>
      <x:c r="N1111">
        <x:v>43</x:v>
      </x:c>
      <x:c r="O1111">
        <x:v>40</x:v>
      </x:c>
      <x:c r="P1111">
        <x:v>65</x:v>
      </x:c>
      <x:c r="Q1111">
        <x:v>47</x:v>
      </x:c>
      <x:c r="R1111">
        <x:v>67</x:v>
      </x:c>
      <x:c r="S1111">
        <x:v>67</x:v>
      </x:c>
      <x:c r="T1111">
        <x:v>51</x:v>
      </x:c>
      <x:c r="U1111">
        <x:v>51</x:v>
      </x:c>
    </x:row>
    <x:row r="1112">
      <x:c r="A1112" t="s">
        <x:v>1471</x:v>
      </x:c>
      <x:c r="B1112" t="s">
        <x:v>436</x:v>
      </x:c>
      <x:c r="C1112" t="s">
        <x:v>323</x:v>
      </x:c>
      <x:c r="D1112">
        <x:v>8485251</x:v>
      </x:c>
      <x:c r="E1112">
        <x:v>66</x:v>
      </x:c>
      <x:c r="F1112">
        <x:v>38</x:v>
      </x:c>
      <x:c r="G1112">
        <x:v>81</x:v>
      </x:c>
      <x:c r="H1112">
        <x:v>46</x:v>
      </x:c>
      <x:c r="I1112">
        <x:v>82</x:v>
      </x:c>
      <x:c r="J1112">
        <x:v>91</x:v>
      </x:c>
      <x:c r="K1112">
        <x:v>95</x:v>
      </x:c>
      <x:c r="L1112">
        <x:v>46</x:v>
      </x:c>
      <x:c r="M1112">
        <x:v>74</x:v>
      </x:c>
      <x:c r="N1112">
        <x:v>48</x:v>
      </x:c>
      <x:c r="O1112">
        <x:v>45</x:v>
      </x:c>
      <x:c r="P1112">
        <x:v>64</x:v>
      </x:c>
      <x:c r="Q1112">
        <x:v>68</x:v>
      </x:c>
      <x:c r="R1112">
        <x:v>66</x:v>
      </x:c>
      <x:c r="S1112">
        <x:v>67</x:v>
      </x:c>
      <x:c r="T1112">
        <x:v>51</x:v>
      </x:c>
      <x:c r="U1112">
        <x:v>51</x:v>
      </x:c>
    </x:row>
    <x:row r="1113">
      <x:c r="A1113" t="s">
        <x:v>1472</x:v>
      </x:c>
      <x:c r="C1113" t="s">
        <x:v>331</x:v>
      </x:c>
      <x:c r="D1113">
        <x:v>8482801</x:v>
      </x:c>
      <x:c r="E1113">
        <x:v>69</x:v>
      </x:c>
      <x:c r="F1113">
        <x:v>36</x:v>
      </x:c>
      <x:c r="G1113">
        <x:v>77</x:v>
      </x:c>
      <x:c r="H1113">
        <x:v>32</x:v>
      </x:c>
      <x:c r="I1113">
        <x:v>81</x:v>
      </x:c>
      <x:c r="J1113">
        <x:v>76</x:v>
      </x:c>
      <x:c r="K1113">
        <x:v>79</x:v>
      </x:c>
      <x:c r="L1113">
        <x:v>31</x:v>
      </x:c>
      <x:c r="M1113">
        <x:v>30</x:v>
      </x:c>
      <x:c r="N1113">
        <x:v>41</x:v>
      </x:c>
      <x:c r="O1113">
        <x:v>39</x:v>
      </x:c>
      <x:c r="P1113">
        <x:v>67</x:v>
      </x:c>
      <x:c r="Q1113">
        <x:v>45</x:v>
      </x:c>
      <x:c r="R1113">
        <x:v>67</x:v>
      </x:c>
      <x:c r="S1113">
        <x:v>66</x:v>
      </x:c>
      <x:c r="T1113">
        <x:v>51</x:v>
      </x:c>
      <x:c r="U1113">
        <x:v>51</x:v>
      </x:c>
    </x:row>
    <x:row r="1114">
      <x:c r="A1114" t="s">
        <x:v>1473</x:v>
      </x:c>
      <x:c r="C1114" t="s">
        <x:v>319</x:v>
      </x:c>
      <x:c r="D1114">
        <x:v>8484168</x:v>
      </x:c>
      <x:c r="E1114">
        <x:v>59</x:v>
      </x:c>
      <x:c r="F1114">
        <x:v>31</x:v>
      </x:c>
      <x:c r="G1114">
        <x:v>91</x:v>
      </x:c>
      <x:c r="H1114">
        <x:v>48</x:v>
      </x:c>
      <x:c r="I1114">
        <x:v>74</x:v>
      </x:c>
      <x:c r="J1114">
        <x:v>77</x:v>
      </x:c>
      <x:c r="K1114">
        <x:v>79</x:v>
      </x:c>
      <x:c r="L1114">
        <x:v>47</x:v>
      </x:c>
      <x:c r="M1114">
        <x:v>80</x:v>
      </x:c>
      <x:c r="N1114">
        <x:v>50</x:v>
      </x:c>
      <x:c r="O1114">
        <x:v>47</x:v>
      </x:c>
      <x:c r="P1114">
        <x:v>59</x:v>
      </x:c>
      <x:c r="Q1114">
        <x:v>51</x:v>
      </x:c>
      <x:c r="R1114">
        <x:v>65</x:v>
      </x:c>
      <x:c r="S1114">
        <x:v>66</x:v>
      </x:c>
      <x:c r="T1114">
        <x:v>51</x:v>
      </x:c>
      <x:c r="U1114">
        <x:v>51</x:v>
      </x:c>
    </x:row>
    <x:row r="1115">
      <x:c r="A1115" t="s">
        <x:v>1474</x:v>
      </x:c>
      <x:c r="C1115" t="s">
        <x:v>331</x:v>
      </x:c>
      <x:c r="D1115">
        <x:v>8482806</x:v>
      </x:c>
      <x:c r="E1115">
        <x:v>73</x:v>
      </x:c>
      <x:c r="F1115">
        <x:v>37</x:v>
      </x:c>
      <x:c r="G1115">
        <x:v>80</x:v>
      </x:c>
      <x:c r="H1115">
        <x:v>33</x:v>
      </x:c>
      <x:c r="I1115">
        <x:v>78</x:v>
      </x:c>
      <x:c r="J1115">
        <x:v>87</x:v>
      </x:c>
      <x:c r="K1115">
        <x:v>89</x:v>
      </x:c>
      <x:c r="L1115">
        <x:v>32</x:v>
      </x:c>
      <x:c r="M1115">
        <x:v>30</x:v>
      </x:c>
      <x:c r="N1115">
        <x:v>42</x:v>
      </x:c>
      <x:c r="O1115">
        <x:v>42</x:v>
      </x:c>
      <x:c r="P1115">
        <x:v>65</x:v>
      </x:c>
      <x:c r="Q1115">
        <x:v>47</x:v>
      </x:c>
      <x:c r="R1115">
        <x:v>67</x:v>
      </x:c>
      <x:c r="S1115">
        <x:v>66</x:v>
      </x:c>
      <x:c r="T1115">
        <x:v>51</x:v>
      </x:c>
      <x:c r="U1115">
        <x:v>51</x:v>
      </x:c>
    </x:row>
    <x:row r="1116">
      <x:c r="A1116" t="s">
        <x:v>1475</x:v>
      </x:c>
      <x:c r="C1116" t="s">
        <x:v>331</x:v>
      </x:c>
      <x:c r="D1116">
        <x:v>8478937</x:v>
      </x:c>
      <x:c r="E1116">
        <x:v>73</x:v>
      </x:c>
      <x:c r="F1116">
        <x:v>42</x:v>
      </x:c>
      <x:c r="G1116">
        <x:v>74</x:v>
      </x:c>
      <x:c r="H1116">
        <x:v>32</x:v>
      </x:c>
      <x:c r="I1116">
        <x:v>78</x:v>
      </x:c>
      <x:c r="J1116">
        <x:v>82</x:v>
      </x:c>
      <x:c r="K1116">
        <x:v>85</x:v>
      </x:c>
      <x:c r="L1116">
        <x:v>33</x:v>
      </x:c>
      <x:c r="M1116">
        <x:v>30</x:v>
      </x:c>
      <x:c r="N1116">
        <x:v>41</x:v>
      </x:c>
      <x:c r="O1116">
        <x:v>40</x:v>
      </x:c>
      <x:c r="P1116">
        <x:v>66</x:v>
      </x:c>
      <x:c r="Q1116">
        <x:v>46</x:v>
      </x:c>
      <x:c r="R1116">
        <x:v>71</x:v>
      </x:c>
      <x:c r="S1116">
        <x:v>72</x:v>
      </x:c>
      <x:c r="T1116">
        <x:v>51</x:v>
      </x:c>
      <x:c r="U1116">
        <x:v>51</x:v>
      </x:c>
    </x:row>
    <x:row r="1117">
      <x:c r="A1117" t="s">
        <x:v>1476</x:v>
      </x:c>
      <x:c r="C1117" t="s">
        <x:v>331</x:v>
      </x:c>
      <x:c r="D1117">
        <x:v>8485499</x:v>
      </x:c>
      <x:c r="E1117">
        <x:v>70</x:v>
      </x:c>
      <x:c r="F1117">
        <x:v>36</x:v>
      </x:c>
      <x:c r="G1117">
        <x:v>80</x:v>
      </x:c>
      <x:c r="H1117">
        <x:v>31</x:v>
      </x:c>
      <x:c r="I1117">
        <x:v>78</x:v>
      </x:c>
      <x:c r="J1117">
        <x:v>69</x:v>
      </x:c>
      <x:c r="K1117">
        <x:v>72</x:v>
      </x:c>
      <x:c r="L1117">
        <x:v>32</x:v>
      </x:c>
      <x:c r="M1117">
        <x:v>30</x:v>
      </x:c>
      <x:c r="N1117">
        <x:v>40</x:v>
      </x:c>
      <x:c r="O1117">
        <x:v>38</x:v>
      </x:c>
      <x:c r="P1117">
        <x:v>62</x:v>
      </x:c>
      <x:c r="Q1117">
        <x:v>44</x:v>
      </x:c>
      <x:c r="R1117">
        <x:v>69</x:v>
      </x:c>
      <x:c r="S1117">
        <x:v>69</x:v>
      </x:c>
      <x:c r="T1117">
        <x:v>51</x:v>
      </x:c>
      <x:c r="U1117">
        <x:v>51</x:v>
      </x:c>
    </x:row>
    <x:row r="1118">
      <x:c r="A1118" t="s">
        <x:v>1477</x:v>
      </x:c>
      <x:c r="B1118" t="s">
        <x:v>584</x:v>
      </x:c>
      <x:c r="C1118" t="s">
        <x:v>331</x:v>
      </x:c>
      <x:c r="D1118">
        <x:v>8474100</x:v>
      </x:c>
      <x:c r="E1118">
        <x:v>75</x:v>
      </x:c>
      <x:c r="F1118">
        <x:v>44</x:v>
      </x:c>
      <x:c r="G1118">
        <x:v>74</x:v>
      </x:c>
      <x:c r="H1118">
        <x:v>32</x:v>
      </x:c>
      <x:c r="I1118">
        <x:v>86</x:v>
      </x:c>
      <x:c r="J1118">
        <x:v>73</x:v>
      </x:c>
      <x:c r="K1118">
        <x:v>76</x:v>
      </x:c>
      <x:c r="L1118">
        <x:v>32</x:v>
      </x:c>
      <x:c r="M1118">
        <x:v>30</x:v>
      </x:c>
      <x:c r="N1118">
        <x:v>40</x:v>
      </x:c>
      <x:c r="O1118">
        <x:v>37</x:v>
      </x:c>
      <x:c r="P1118">
        <x:v>64</x:v>
      </x:c>
      <x:c r="Q1118">
        <x:v>44</x:v>
      </x:c>
      <x:c r="R1118">
        <x:v>69</x:v>
      </x:c>
      <x:c r="S1118">
        <x:v>68</x:v>
      </x:c>
      <x:c r="T1118">
        <x:v>51</x:v>
      </x:c>
      <x:c r="U1118">
        <x:v>51</x:v>
      </x:c>
    </x:row>
    <x:row r="1119">
      <x:c r="A1119" t="s">
        <x:v>1478</x:v>
      </x:c>
      <x:c r="C1119" t="s">
        <x:v>358</x:v>
      </x:c>
      <x:c r="D1119">
        <x:v>8482167</x:v>
      </x:c>
      <x:c r="E1119">
        <x:v>69</x:v>
      </x:c>
      <x:c r="F1119">
        <x:v>34</x:v>
      </x:c>
      <x:c r="G1119">
        <x:v>85</x:v>
      </x:c>
      <x:c r="H1119">
        <x:v>46</x:v>
      </x:c>
      <x:c r="I1119">
        <x:v>82</x:v>
      </x:c>
      <x:c r="J1119">
        <x:v>87</x:v>
      </x:c>
      <x:c r="K1119">
        <x:v>90</x:v>
      </x:c>
      <x:c r="L1119">
        <x:v>45</x:v>
      </x:c>
      <x:c r="M1119">
        <x:v>67</x:v>
      </x:c>
      <x:c r="N1119">
        <x:v>47</x:v>
      </x:c>
      <x:c r="O1119">
        <x:v>45</x:v>
      </x:c>
      <x:c r="P1119">
        <x:v>60</x:v>
      </x:c>
      <x:c r="Q1119">
        <x:v>67</x:v>
      </x:c>
      <x:c r="R1119">
        <x:v>67</x:v>
      </x:c>
      <x:c r="S1119">
        <x:v>68</x:v>
      </x:c>
      <x:c r="T1119">
        <x:v>51</x:v>
      </x:c>
      <x:c r="U1119">
        <x:v>51</x:v>
      </x:c>
    </x:row>
    <x:row r="1120">
      <x:c r="A1120" t="s">
        <x:v>1479</x:v>
      </x:c>
      <x:c r="C1120" t="s">
        <x:v>358</x:v>
      </x:c>
      <x:c r="D1120">
        <x:v>8484280</x:v>
      </x:c>
      <x:c r="E1120">
        <x:v>58</x:v>
      </x:c>
      <x:c r="F1120">
        <x:v>36</x:v>
      </x:c>
      <x:c r="G1120">
        <x:v>86</x:v>
      </x:c>
      <x:c r="H1120">
        <x:v>43</x:v>
      </x:c>
      <x:c r="I1120">
        <x:v>82</x:v>
      </x:c>
      <x:c r="J1120">
        <x:v>84</x:v>
      </x:c>
      <x:c r="K1120">
        <x:v>86</x:v>
      </x:c>
      <x:c r="L1120">
        <x:v>43</x:v>
      </x:c>
      <x:c r="M1120">
        <x:v>62</x:v>
      </x:c>
      <x:c r="N1120">
        <x:v>43</x:v>
      </x:c>
      <x:c r="O1120">
        <x:v>45</x:v>
      </x:c>
      <x:c r="P1120">
        <x:v>57</x:v>
      </x:c>
      <x:c r="Q1120">
        <x:v>64</x:v>
      </x:c>
      <x:c r="R1120">
        <x:v>70</x:v>
      </x:c>
      <x:c r="S1120">
        <x:v>71</x:v>
      </x:c>
      <x:c r="T1120">
        <x:v>51</x:v>
      </x:c>
      <x:c r="U1120">
        <x:v>51</x:v>
      </x:c>
    </x:row>
    <x:row r="1121">
      <x:c r="A1121" t="s">
        <x:v>1480</x:v>
      </x:c>
      <x:c r="C1121" t="s">
        <x:v>331</x:v>
      </x:c>
      <x:c r="E1121">
        <x:v>70</x:v>
      </x:c>
      <x:c r="F1121">
        <x:v>36</x:v>
      </x:c>
      <x:c r="G1121">
        <x:v>88</x:v>
      </x:c>
      <x:c r="H1121">
        <x:v>31</x:v>
      </x:c>
      <x:c r="I1121">
        <x:v>82</x:v>
      </x:c>
      <x:c r="J1121">
        <x:v>84</x:v>
      </x:c>
      <x:c r="K1121">
        <x:v>86</x:v>
      </x:c>
      <x:c r="L1121">
        <x:v>32</x:v>
      </x:c>
      <x:c r="M1121">
        <x:v>30</x:v>
      </x:c>
      <x:c r="N1121">
        <x:v>39</x:v>
      </x:c>
      <x:c r="O1121">
        <x:v>39</x:v>
      </x:c>
      <x:c r="P1121">
        <x:v>68</x:v>
      </x:c>
      <x:c r="Q1121">
        <x:v>44</x:v>
      </x:c>
      <x:c r="R1121">
        <x:v>66</x:v>
      </x:c>
      <x:c r="S1121">
        <x:v>67</x:v>
      </x:c>
      <x:c r="T1121">
        <x:v>51</x:v>
      </x:c>
      <x:c r="U1121">
        <x:v>51</x:v>
      </x:c>
    </x:row>
    <x:row r="1122">
      <x:c r="A1122" t="s">
        <x:v>1481</x:v>
      </x:c>
      <x:c r="C1122" t="s">
        <x:v>331</x:v>
      </x:c>
      <x:c r="D1122">
        <x:v>8484139</x:v>
      </x:c>
      <x:c r="E1122">
        <x:v>68</x:v>
      </x:c>
      <x:c r="F1122">
        <x:v>38</x:v>
      </x:c>
      <x:c r="G1122">
        <x:v>83</x:v>
      </x:c>
      <x:c r="H1122">
        <x:v>33</x:v>
      </x:c>
      <x:c r="I1122">
        <x:v>79</x:v>
      </x:c>
      <x:c r="J1122">
        <x:v>77</x:v>
      </x:c>
      <x:c r="K1122">
        <x:v>80</x:v>
      </x:c>
      <x:c r="L1122">
        <x:v>34</x:v>
      </x:c>
      <x:c r="M1122">
        <x:v>30</x:v>
      </x:c>
      <x:c r="N1122">
        <x:v>42</x:v>
      </x:c>
      <x:c r="O1122">
        <x:v>40</x:v>
      </x:c>
      <x:c r="P1122">
        <x:v>64</x:v>
      </x:c>
      <x:c r="Q1122">
        <x:v>46</x:v>
      </x:c>
      <x:c r="R1122">
        <x:v>65</x:v>
      </x:c>
      <x:c r="S1122">
        <x:v>65</x:v>
      </x:c>
      <x:c r="T1122">
        <x:v>51</x:v>
      </x:c>
      <x:c r="U1122">
        <x:v>51</x:v>
      </x:c>
    </x:row>
    <x:row r="1123">
      <x:c r="A1123" t="s">
        <x:v>1482</x:v>
      </x:c>
      <x:c r="C1123" t="s">
        <x:v>358</x:v>
      </x:c>
      <x:c r="D1123">
        <x:v>8478147</x:v>
      </x:c>
      <x:c r="E1123">
        <x:v>77</x:v>
      </x:c>
      <x:c r="F1123">
        <x:v>91</x:v>
      </x:c>
      <x:c r="G1123">
        <x:v>70</x:v>
      </x:c>
      <x:c r="H1123">
        <x:v>39</x:v>
      </x:c>
      <x:c r="I1123">
        <x:v>88</x:v>
      </x:c>
      <x:c r="J1123">
        <x:v>84</x:v>
      </x:c>
      <x:c r="K1123">
        <x:v>89</x:v>
      </x:c>
      <x:c r="L1123">
        <x:v>38</x:v>
      </x:c>
      <x:c r="M1123">
        <x:v>67</x:v>
      </x:c>
      <x:c r="N1123">
        <x:v>47</x:v>
      </x:c>
      <x:c r="O1123">
        <x:v>48</x:v>
      </x:c>
      <x:c r="P1123">
        <x:v>60</x:v>
      </x:c>
      <x:c r="Q1123">
        <x:v>60</x:v>
      </x:c>
      <x:c r="R1123">
        <x:v>72</x:v>
      </x:c>
      <x:c r="S1123">
        <x:v>72</x:v>
      </x:c>
      <x:c r="T1123">
        <x:v>51</x:v>
      </x:c>
      <x:c r="U1123">
        <x:v>51</x:v>
      </x:c>
    </x:row>
    <x:row r="1124">
      <x:c r="A1124" t="s">
        <x:v>1483</x:v>
      </x:c>
      <x:c r="C1124" t="s">
        <x:v>329</x:v>
      </x:c>
      <x:c r="D1124">
        <x:v>8479994</x:v>
      </x:c>
      <x:c r="E1124">
        <x:v>74</x:v>
      </x:c>
      <x:c r="F1124">
        <x:v>35</x:v>
      </x:c>
      <x:c r="G1124">
        <x:v>82</x:v>
      </x:c>
      <x:c r="H1124">
        <x:v>44</x:v>
      </x:c>
      <x:c r="I1124">
        <x:v>77</x:v>
      </x:c>
      <x:c r="J1124">
        <x:v>89</x:v>
      </x:c>
      <x:c r="K1124">
        <x:v>94</x:v>
      </x:c>
      <x:c r="L1124">
        <x:v>45</x:v>
      </x:c>
      <x:c r="M1124">
        <x:v>74</x:v>
      </x:c>
      <x:c r="N1124">
        <x:v>50</x:v>
      </x:c>
      <x:c r="O1124">
        <x:v>49</x:v>
      </x:c>
      <x:c r="P1124">
        <x:v>65</x:v>
      </x:c>
      <x:c r="Q1124">
        <x:v>65</x:v>
      </x:c>
      <x:c r="R1124">
        <x:v>69</x:v>
      </x:c>
      <x:c r="S1124">
        <x:v>69</x:v>
      </x:c>
      <x:c r="T1124">
        <x:v>51</x:v>
      </x:c>
      <x:c r="U1124">
        <x:v>51</x:v>
      </x:c>
    </x:row>
    <x:row r="1125">
      <x:c r="A1125" t="s">
        <x:v>1484</x:v>
      </x:c>
      <x:c r="C1125" t="s">
        <x:v>331</x:v>
      </x:c>
      <x:c r="D1125">
        <x:v>8483760</x:v>
      </x:c>
      <x:c r="E1125">
        <x:v>81</x:v>
      </x:c>
      <x:c r="F1125">
        <x:v>40</x:v>
      </x:c>
      <x:c r="G1125">
        <x:v>75</x:v>
      </x:c>
      <x:c r="H1125">
        <x:v>31</x:v>
      </x:c>
      <x:c r="I1125">
        <x:v>85</x:v>
      </x:c>
      <x:c r="J1125">
        <x:v>88</x:v>
      </x:c>
      <x:c r="K1125">
        <x:v>91</x:v>
      </x:c>
      <x:c r="L1125">
        <x:v>32</x:v>
      </x:c>
      <x:c r="M1125">
        <x:v>30</x:v>
      </x:c>
      <x:c r="N1125">
        <x:v>41</x:v>
      </x:c>
      <x:c r="O1125">
        <x:v>38</x:v>
      </x:c>
      <x:c r="P1125">
        <x:v>65</x:v>
      </x:c>
      <x:c r="Q1125">
        <x:v>44</x:v>
      </x:c>
      <x:c r="R1125">
        <x:v>67</x:v>
      </x:c>
      <x:c r="S1125">
        <x:v>66</x:v>
      </x:c>
      <x:c r="T1125">
        <x:v>51</x:v>
      </x:c>
      <x:c r="U1125">
        <x:v>51</x:v>
      </x:c>
    </x:row>
    <x:row r="1126">
      <x:c r="A1126" t="s">
        <x:v>1485</x:v>
      </x:c>
      <x:c r="C1126" t="s">
        <x:v>333</x:v>
      </x:c>
      <x:c r="D1126">
        <x:v>8482160</x:v>
      </x:c>
      <x:c r="E1126">
        <x:v>65</x:v>
      </x:c>
      <x:c r="F1126">
        <x:v>37</x:v>
      </x:c>
      <x:c r="G1126">
        <x:v>92</x:v>
      </x:c>
      <x:c r="H1126">
        <x:v>45</x:v>
      </x:c>
      <x:c r="I1126">
        <x:v>78</x:v>
      </x:c>
      <x:c r="J1126">
        <x:v>93</x:v>
      </x:c>
      <x:c r="K1126">
        <x:v>96</x:v>
      </x:c>
      <x:c r="L1126">
        <x:v>44</x:v>
      </x:c>
      <x:c r="M1126">
        <x:v>76</x:v>
      </x:c>
      <x:c r="N1126">
        <x:v>47</x:v>
      </x:c>
      <x:c r="O1126">
        <x:v>46</x:v>
      </x:c>
      <x:c r="P1126">
        <x:v>62</x:v>
      </x:c>
      <x:c r="Q1126">
        <x:v>68</x:v>
      </x:c>
      <x:c r="R1126">
        <x:v>67</x:v>
      </x:c>
      <x:c r="S1126">
        <x:v>66</x:v>
      </x:c>
      <x:c r="T1126">
        <x:v>51</x:v>
      </x:c>
      <x:c r="U1126">
        <x:v>51</x:v>
      </x:c>
    </x:row>
    <x:row r="1127">
      <x:c r="A1127" t="s">
        <x:v>1486</x:v>
      </x:c>
      <x:c r="C1127" t="s">
        <x:v>319</x:v>
      </x:c>
      <x:c r="D1127">
        <x:v>8482673</x:v>
      </x:c>
      <x:c r="E1127">
        <x:v>62</x:v>
      </x:c>
      <x:c r="F1127">
        <x:v>37</x:v>
      </x:c>
      <x:c r="G1127">
        <x:v>86</x:v>
      </x:c>
      <x:c r="H1127">
        <x:v>47</x:v>
      </x:c>
      <x:c r="I1127">
        <x:v>77</x:v>
      </x:c>
      <x:c r="J1127">
        <x:v>91</x:v>
      </x:c>
      <x:c r="K1127">
        <x:v>95</x:v>
      </x:c>
      <x:c r="L1127">
        <x:v>48</x:v>
      </x:c>
      <x:c r="M1127">
        <x:v>80</x:v>
      </x:c>
      <x:c r="N1127">
        <x:v>48</x:v>
      </x:c>
      <x:c r="O1127">
        <x:v>46</x:v>
      </x:c>
      <x:c r="P1127">
        <x:v>60</x:v>
      </x:c>
      <x:c r="Q1127">
        <x:v>68</x:v>
      </x:c>
      <x:c r="R1127">
        <x:v>67</x:v>
      </x:c>
      <x:c r="S1127">
        <x:v>67</x:v>
      </x:c>
      <x:c r="T1127">
        <x:v>51</x:v>
      </x:c>
      <x:c r="U1127">
        <x:v>51</x:v>
      </x:c>
    </x:row>
    <x:row r="1128">
      <x:c r="A1128" t="s">
        <x:v>1487</x:v>
      </x:c>
      <x:c r="C1128" t="s">
        <x:v>331</x:v>
      </x:c>
      <x:c r="D1128">
        <x:v>8484781</x:v>
      </x:c>
      <x:c r="E1128">
        <x:v>72</x:v>
      </x:c>
      <x:c r="F1128">
        <x:v>40</x:v>
      </x:c>
      <x:c r="G1128">
        <x:v>90</x:v>
      </x:c>
      <x:c r="H1128">
        <x:v>33</x:v>
      </x:c>
      <x:c r="I1128">
        <x:v>79</x:v>
      </x:c>
      <x:c r="J1128">
        <x:v>88</x:v>
      </x:c>
      <x:c r="K1128">
        <x:v>92</x:v>
      </x:c>
      <x:c r="L1128">
        <x:v>34</x:v>
      </x:c>
      <x:c r="M1128">
        <x:v>30</x:v>
      </x:c>
      <x:c r="N1128">
        <x:v>41</x:v>
      </x:c>
      <x:c r="O1128">
        <x:v>41</x:v>
      </x:c>
      <x:c r="P1128">
        <x:v>67</x:v>
      </x:c>
      <x:c r="Q1128">
        <x:v>46</x:v>
      </x:c>
      <x:c r="R1128">
        <x:v>64</x:v>
      </x:c>
      <x:c r="S1128">
        <x:v>69</x:v>
      </x:c>
      <x:c r="T1128">
        <x:v>51</x:v>
      </x:c>
      <x:c r="U1128">
        <x:v>51</x:v>
      </x:c>
    </x:row>
    <x:row r="1129">
      <x:c r="A1129" t="s">
        <x:v>1488</x:v>
      </x:c>
      <x:c r="C1129" t="s">
        <x:v>331</x:v>
      </x:c>
      <x:c r="D1129">
        <x:v>8482839</x:v>
      </x:c>
      <x:c r="E1129">
        <x:v>70</x:v>
      </x:c>
      <x:c r="F1129">
        <x:v>38</x:v>
      </x:c>
      <x:c r="G1129">
        <x:v>82</x:v>
      </x:c>
      <x:c r="H1129">
        <x:v>34</x:v>
      </x:c>
      <x:c r="I1129">
        <x:v>82</x:v>
      </x:c>
      <x:c r="J1129">
        <x:v>87</x:v>
      </x:c>
      <x:c r="K1129">
        <x:v>90</x:v>
      </x:c>
      <x:c r="L1129">
        <x:v>34</x:v>
      </x:c>
      <x:c r="M1129">
        <x:v>30</x:v>
      </x:c>
      <x:c r="N1129">
        <x:v>41</x:v>
      </x:c>
      <x:c r="O1129">
        <x:v>39</x:v>
      </x:c>
      <x:c r="P1129">
        <x:v>66</x:v>
      </x:c>
      <x:c r="Q1129">
        <x:v>45</x:v>
      </x:c>
      <x:c r="R1129">
        <x:v>69</x:v>
      </x:c>
      <x:c r="S1129">
        <x:v>68</x:v>
      </x:c>
      <x:c r="T1129">
        <x:v>51</x:v>
      </x:c>
      <x:c r="U1129">
        <x:v>51</x:v>
      </x:c>
    </x:row>
    <x:row r="1130">
      <x:c r="A1130" t="s">
        <x:v>1489</x:v>
      </x:c>
      <x:c r="C1130" t="s">
        <x:v>331</x:v>
      </x:c>
      <x:c r="D1130">
        <x:v>8482781</x:v>
      </x:c>
      <x:c r="E1130">
        <x:v>68</x:v>
      </x:c>
      <x:c r="F1130">
        <x:v>36</x:v>
      </x:c>
      <x:c r="G1130">
        <x:v>83</x:v>
      </x:c>
      <x:c r="H1130">
        <x:v>34</x:v>
      </x:c>
      <x:c r="I1130">
        <x:v>81</x:v>
      </x:c>
      <x:c r="J1130">
        <x:v>91</x:v>
      </x:c>
      <x:c r="K1130">
        <x:v>95</x:v>
      </x:c>
      <x:c r="L1130">
        <x:v>34</x:v>
      </x:c>
      <x:c r="M1130">
        <x:v>30</x:v>
      </x:c>
      <x:c r="N1130">
        <x:v>42</x:v>
      </x:c>
      <x:c r="O1130">
        <x:v>41</x:v>
      </x:c>
      <x:c r="P1130">
        <x:v>67</x:v>
      </x:c>
      <x:c r="Q1130">
        <x:v>47</x:v>
      </x:c>
      <x:c r="R1130">
        <x:v>66</x:v>
      </x:c>
      <x:c r="S1130">
        <x:v>65</x:v>
      </x:c>
      <x:c r="T1130">
        <x:v>51</x:v>
      </x:c>
      <x:c r="U1130">
        <x:v>51</x:v>
      </x:c>
    </x:row>
    <x:row r="1131">
      <x:c r="A1131" t="s">
        <x:v>1490</x:v>
      </x:c>
      <x:c r="C1131" t="s">
        <x:v>319</x:v>
      </x:c>
      <x:c r="D1131">
        <x:v>8483463</x:v>
      </x:c>
      <x:c r="E1131">
        <x:v>58</x:v>
      </x:c>
      <x:c r="F1131">
        <x:v>41</x:v>
      </x:c>
      <x:c r="G1131">
        <x:v>92</x:v>
      </x:c>
      <x:c r="H1131">
        <x:v>45</x:v>
      </x:c>
      <x:c r="I1131">
        <x:v>81</x:v>
      </x:c>
      <x:c r="J1131">
        <x:v>89</x:v>
      </x:c>
      <x:c r="K1131">
        <x:v>93</x:v>
      </x:c>
      <x:c r="L1131">
        <x:v>46</x:v>
      </x:c>
      <x:c r="M1131">
        <x:v>78</x:v>
      </x:c>
      <x:c r="N1131">
        <x:v>47</x:v>
      </x:c>
      <x:c r="O1131">
        <x:v>45</x:v>
      </x:c>
      <x:c r="P1131">
        <x:v>62</x:v>
      </x:c>
      <x:c r="Q1131">
        <x:v>67</x:v>
      </x:c>
      <x:c r="R1131">
        <x:v>67</x:v>
      </x:c>
      <x:c r="S1131">
        <x:v>67</x:v>
      </x:c>
      <x:c r="T1131">
        <x:v>51</x:v>
      </x:c>
      <x:c r="U1131">
        <x:v>51</x:v>
      </x:c>
    </x:row>
    <x:row r="1132">
      <x:c r="A1132" t="s">
        <x:v>1491</x:v>
      </x:c>
      <x:c r="C1132" t="s">
        <x:v>319</x:v>
      </x:c>
      <x:c r="D1132">
        <x:v>8484238</x:v>
      </x:c>
      <x:c r="E1132">
        <x:v>74</x:v>
      </x:c>
      <x:c r="F1132">
        <x:v>32</x:v>
      </x:c>
      <x:c r="G1132">
        <x:v>88</x:v>
      </x:c>
      <x:c r="H1132">
        <x:v>45</x:v>
      </x:c>
      <x:c r="I1132">
        <x:v>82</x:v>
      </x:c>
      <x:c r="J1132">
        <x:v>87</x:v>
      </x:c>
      <x:c r="K1132">
        <x:v>91</x:v>
      </x:c>
      <x:c r="L1132">
        <x:v>44</x:v>
      </x:c>
      <x:c r="M1132">
        <x:v>75</x:v>
      </x:c>
      <x:c r="N1132">
        <x:v>47</x:v>
      </x:c>
      <x:c r="O1132">
        <x:v>42</x:v>
      </x:c>
      <x:c r="P1132">
        <x:v>61</x:v>
      </x:c>
      <x:c r="Q1132">
        <x:v>65</x:v>
      </x:c>
      <x:c r="R1132">
        <x:v>66</x:v>
      </x:c>
      <x:c r="S1132">
        <x:v>76</x:v>
      </x:c>
      <x:c r="T1132">
        <x:v>51</x:v>
      </x:c>
      <x:c r="U1132">
        <x:v>51</x:v>
      </x:c>
    </x:row>
    <x:row r="1133">
      <x:c r="A1133" t="s">
        <x:v>1492</x:v>
      </x:c>
      <x:c r="C1133" t="s">
        <x:v>331</x:v>
      </x:c>
      <x:c r="D1133">
        <x:v>8482916</x:v>
      </x:c>
      <x:c r="E1133">
        <x:v>75</x:v>
      </x:c>
      <x:c r="F1133">
        <x:v>40</x:v>
      </x:c>
      <x:c r="G1133">
        <x:v>81</x:v>
      </x:c>
      <x:c r="H1133">
        <x:v>33</x:v>
      </x:c>
      <x:c r="I1133">
        <x:v>84</x:v>
      </x:c>
      <x:c r="J1133">
        <x:v>88</x:v>
      </x:c>
      <x:c r="K1133">
        <x:v>90</x:v>
      </x:c>
      <x:c r="L1133">
        <x:v>34</x:v>
      </x:c>
      <x:c r="M1133">
        <x:v>30</x:v>
      </x:c>
      <x:c r="N1133">
        <x:v>43</x:v>
      </x:c>
      <x:c r="O1133">
        <x:v>41</x:v>
      </x:c>
      <x:c r="P1133">
        <x:v>62</x:v>
      </x:c>
      <x:c r="Q1133">
        <x:v>47</x:v>
      </x:c>
      <x:c r="R1133">
        <x:v>66</x:v>
      </x:c>
      <x:c r="S1133">
        <x:v>66</x:v>
      </x:c>
      <x:c r="T1133">
        <x:v>51</x:v>
      </x:c>
      <x:c r="U1133">
        <x:v>51</x:v>
      </x:c>
    </x:row>
    <x:row r="1134">
      <x:c r="A1134" t="s">
        <x:v>1493</x:v>
      </x:c>
      <x:c r="C1134" t="s">
        <x:v>319</x:v>
      </x:c>
      <x:c r="D1134">
        <x:v>8482663</x:v>
      </x:c>
      <x:c r="E1134">
        <x:v>64</x:v>
      </x:c>
      <x:c r="F1134">
        <x:v>32</x:v>
      </x:c>
      <x:c r="G1134">
        <x:v>84</x:v>
      </x:c>
      <x:c r="H1134">
        <x:v>46</x:v>
      </x:c>
      <x:c r="I1134">
        <x:v>74</x:v>
      </x:c>
      <x:c r="J1134">
        <x:v>90</x:v>
      </x:c>
      <x:c r="K1134">
        <x:v>95</x:v>
      </x:c>
      <x:c r="L1134">
        <x:v>46</x:v>
      </x:c>
      <x:c r="M1134">
        <x:v>82</x:v>
      </x:c>
      <x:c r="N1134">
        <x:v>46</x:v>
      </x:c>
      <x:c r="O1134">
        <x:v>47</x:v>
      </x:c>
      <x:c r="P1134">
        <x:v>58</x:v>
      </x:c>
      <x:c r="Q1134">
        <x:v>68</x:v>
      </x:c>
      <x:c r="R1134">
        <x:v>66</x:v>
      </x:c>
      <x:c r="S1134">
        <x:v>65</x:v>
      </x:c>
      <x:c r="T1134">
        <x:v>51</x:v>
      </x:c>
      <x:c r="U1134">
        <x:v>51</x:v>
      </x:c>
    </x:row>
    <x:row r="1135">
      <x:c r="A1135" t="s">
        <x:v>1494</x:v>
      </x:c>
      <x:c r="C1135" t="s">
        <x:v>331</x:v>
      </x:c>
      <x:c r="D1135">
        <x:v>8483498</x:v>
      </x:c>
      <x:c r="E1135">
        <x:v>73</x:v>
      </x:c>
      <x:c r="F1135">
        <x:v>45</x:v>
      </x:c>
      <x:c r="G1135">
        <x:v>92</x:v>
      </x:c>
      <x:c r="H1135">
        <x:v>31</x:v>
      </x:c>
      <x:c r="I1135">
        <x:v>78</x:v>
      </x:c>
      <x:c r="J1135">
        <x:v>78</x:v>
      </x:c>
      <x:c r="K1135">
        <x:v>79</x:v>
      </x:c>
      <x:c r="L1135">
        <x:v>32</x:v>
      </x:c>
      <x:c r="M1135">
        <x:v>30</x:v>
      </x:c>
      <x:c r="N1135">
        <x:v>40</x:v>
      </x:c>
      <x:c r="O1135">
        <x:v>40</x:v>
      </x:c>
      <x:c r="P1135">
        <x:v>67</x:v>
      </x:c>
      <x:c r="Q1135">
        <x:v>45</x:v>
      </x:c>
      <x:c r="R1135">
        <x:v>65</x:v>
      </x:c>
      <x:c r="S1135">
        <x:v>64</x:v>
      </x:c>
      <x:c r="T1135">
        <x:v>51</x:v>
      </x:c>
      <x:c r="U1135">
        <x:v>51</x:v>
      </x:c>
    </x:row>
    <x:row r="1136">
      <x:c r="A1136" t="s">
        <x:v>1495</x:v>
      </x:c>
      <x:c r="C1136" t="s">
        <x:v>331</x:v>
      </x:c>
      <x:c r="D1136">
        <x:v>8486157</x:v>
      </x:c>
      <x:c r="E1136">
        <x:v>67</x:v>
      </x:c>
      <x:c r="F1136">
        <x:v>32</x:v>
      </x:c>
      <x:c r="G1136">
        <x:v>92</x:v>
      </x:c>
      <x:c r="H1136">
        <x:v>32</x:v>
      </x:c>
      <x:c r="I1136">
        <x:v>80</x:v>
      </x:c>
      <x:c r="J1136">
        <x:v>69</x:v>
      </x:c>
      <x:c r="K1136">
        <x:v>72</x:v>
      </x:c>
      <x:c r="L1136">
        <x:v>33</x:v>
      </x:c>
      <x:c r="M1136">
        <x:v>30</x:v>
      </x:c>
      <x:c r="N1136">
        <x:v>41</x:v>
      </x:c>
      <x:c r="O1136">
        <x:v>40</x:v>
      </x:c>
      <x:c r="P1136">
        <x:v>67</x:v>
      </x:c>
      <x:c r="Q1136">
        <x:v>45</x:v>
      </x:c>
      <x:c r="R1136">
        <x:v>66</x:v>
      </x:c>
      <x:c r="S1136">
        <x:v>66</x:v>
      </x:c>
      <x:c r="T1136">
        <x:v>51</x:v>
      </x:c>
      <x:c r="U1136">
        <x:v>51</x:v>
      </x:c>
    </x:row>
    <x:row r="1137">
      <x:c r="A1137" t="s">
        <x:v>1496</x:v>
      </x:c>
      <x:c r="C1137" t="s">
        <x:v>319</x:v>
      </x:c>
      <x:c r="D1137">
        <x:v>8483012</x:v>
      </x:c>
      <x:c r="E1137">
        <x:v>61</x:v>
      </x:c>
      <x:c r="F1137">
        <x:v>34</x:v>
      </x:c>
      <x:c r="G1137">
        <x:v>85</x:v>
      </x:c>
      <x:c r="H1137">
        <x:v>46</x:v>
      </x:c>
      <x:c r="I1137">
        <x:v>77</x:v>
      </x:c>
      <x:c r="J1137">
        <x:v>91</x:v>
      </x:c>
      <x:c r="K1137">
        <x:v>93</x:v>
      </x:c>
      <x:c r="L1137">
        <x:v>45</x:v>
      </x:c>
      <x:c r="M1137">
        <x:v>76</x:v>
      </x:c>
      <x:c r="N1137">
        <x:v>49</x:v>
      </x:c>
      <x:c r="O1137">
        <x:v>47</x:v>
      </x:c>
      <x:c r="P1137">
        <x:v>60</x:v>
      </x:c>
      <x:c r="Q1137">
        <x:v>70</x:v>
      </x:c>
      <x:c r="R1137">
        <x:v>67</x:v>
      </x:c>
      <x:c r="S1137">
        <x:v>67</x:v>
      </x:c>
      <x:c r="T1137">
        <x:v>51</x:v>
      </x:c>
      <x:c r="U1137">
        <x:v>51</x:v>
      </x:c>
    </x:row>
    <x:row r="1138">
      <x:c r="A1138" t="s">
        <x:v>1497</x:v>
      </x:c>
      <x:c r="C1138" t="s">
        <x:v>319</x:v>
      </x:c>
      <x:c r="D1138">
        <x:v>8479547</x:v>
      </x:c>
      <x:c r="E1138">
        <x:v>58</x:v>
      </x:c>
      <x:c r="F1138">
        <x:v>31</x:v>
      </x:c>
      <x:c r="G1138">
        <x:v>90</x:v>
      </x:c>
      <x:c r="H1138">
        <x:v>47</x:v>
      </x:c>
      <x:c r="I1138">
        <x:v>73</x:v>
      </x:c>
      <x:c r="J1138">
        <x:v>90</x:v>
      </x:c>
      <x:c r="K1138">
        <x:v>94</x:v>
      </x:c>
      <x:c r="L1138">
        <x:v>47</x:v>
      </x:c>
      <x:c r="M1138">
        <x:v>70</x:v>
      </x:c>
      <x:c r="N1138">
        <x:v>51</x:v>
      </x:c>
      <x:c r="O1138">
        <x:v>47</x:v>
      </x:c>
      <x:c r="P1138">
        <x:v>62</x:v>
      </x:c>
      <x:c r="Q1138">
        <x:v>69</x:v>
      </x:c>
      <x:c r="R1138">
        <x:v>70</x:v>
      </x:c>
      <x:c r="S1138">
        <x:v>69</x:v>
      </x:c>
      <x:c r="T1138">
        <x:v>51</x:v>
      </x:c>
      <x:c r="U1138">
        <x:v>51</x:v>
      </x:c>
    </x:row>
    <x:row r="1139">
      <x:c r="A1139" t="s">
        <x:v>1498</x:v>
      </x:c>
      <x:c r="C1139" t="s">
        <x:v>326</x:v>
      </x:c>
      <x:c r="D1139">
        <x:v>8482749</x:v>
      </x:c>
      <x:c r="E1139">
        <x:v>65</x:v>
      </x:c>
      <x:c r="F1139">
        <x:v>37</x:v>
      </x:c>
      <x:c r="G1139">
        <x:v>84</x:v>
      </x:c>
      <x:c r="H1139">
        <x:v>46</x:v>
      </x:c>
      <x:c r="I1139">
        <x:v>76</x:v>
      </x:c>
      <x:c r="J1139">
        <x:v>82</x:v>
      </x:c>
      <x:c r="K1139">
        <x:v>85</x:v>
      </x:c>
      <x:c r="L1139">
        <x:v>47</x:v>
      </x:c>
      <x:c r="M1139">
        <x:v>65</x:v>
      </x:c>
      <x:c r="N1139">
        <x:v>51</x:v>
      </x:c>
      <x:c r="O1139">
        <x:v>52</x:v>
      </x:c>
      <x:c r="P1139">
        <x:v>62</x:v>
      </x:c>
      <x:c r="Q1139">
        <x:v>69</x:v>
      </x:c>
      <x:c r="R1139">
        <x:v>67</x:v>
      </x:c>
      <x:c r="S1139">
        <x:v>64</x:v>
      </x:c>
      <x:c r="T1139">
        <x:v>51</x:v>
      </x:c>
      <x:c r="U1139">
        <x:v>51</x:v>
      </x:c>
    </x:row>
    <x:row r="1140">
      <x:c r="A1140" t="s">
        <x:v>1499</x:v>
      </x:c>
      <x:c r="C1140" t="s">
        <x:v>339</x:v>
      </x:c>
      <x:c r="D1140">
        <x:v>8482081</x:v>
      </x:c>
      <x:c r="E1140">
        <x:v>59</x:v>
      </x:c>
      <x:c r="F1140">
        <x:v>32</x:v>
      </x:c>
      <x:c r="G1140">
        <x:v>89</x:v>
      </x:c>
      <x:c r="H1140">
        <x:v>46</x:v>
      </x:c>
      <x:c r="I1140">
        <x:v>76</x:v>
      </x:c>
      <x:c r="J1140">
        <x:v>91</x:v>
      </x:c>
      <x:c r="K1140">
        <x:v>95</x:v>
      </x:c>
      <x:c r="L1140">
        <x:v>45</x:v>
      </x:c>
      <x:c r="M1140">
        <x:v>79</x:v>
      </x:c>
      <x:c r="N1140">
        <x:v>49</x:v>
      </x:c>
      <x:c r="O1140">
        <x:v>45</x:v>
      </x:c>
      <x:c r="P1140">
        <x:v>58</x:v>
      </x:c>
      <x:c r="Q1140">
        <x:v>69</x:v>
      </x:c>
      <x:c r="R1140">
        <x:v>68</x:v>
      </x:c>
      <x:c r="S1140">
        <x:v>67</x:v>
      </x:c>
      <x:c r="T1140">
        <x:v>51</x:v>
      </x:c>
      <x:c r="U1140">
        <x:v>51</x:v>
      </x:c>
    </x:row>
    <x:row r="1141">
      <x:c r="A1141" t="s">
        <x:v>1500</x:v>
      </x:c>
      <x:c r="C1141" t="s">
        <x:v>358</x:v>
      </x:c>
      <x:c r="D1141">
        <x:v>8481683</x:v>
      </x:c>
      <x:c r="E1141">
        <x:v>65</x:v>
      </x:c>
      <x:c r="F1141">
        <x:v>35</x:v>
      </x:c>
      <x:c r="G1141">
        <x:v>85</x:v>
      </x:c>
      <x:c r="H1141">
        <x:v>45</x:v>
      </x:c>
      <x:c r="I1141">
        <x:v>83</x:v>
      </x:c>
      <x:c r="J1141">
        <x:v>83</x:v>
      </x:c>
      <x:c r="K1141">
        <x:v>87</x:v>
      </x:c>
      <x:c r="L1141">
        <x:v>45</x:v>
      </x:c>
      <x:c r="M1141">
        <x:v>60</x:v>
      </x:c>
      <x:c r="N1141">
        <x:v>45</x:v>
      </x:c>
      <x:c r="O1141">
        <x:v>46</x:v>
      </x:c>
      <x:c r="P1141">
        <x:v>59</x:v>
      </x:c>
      <x:c r="Q1141">
        <x:v>67</x:v>
      </x:c>
      <x:c r="R1141">
        <x:v>69</x:v>
      </x:c>
      <x:c r="S1141">
        <x:v>70</x:v>
      </x:c>
      <x:c r="T1141">
        <x:v>51</x:v>
      </x:c>
      <x:c r="U1141">
        <x:v>51</x:v>
      </x:c>
    </x:row>
    <x:row r="1142">
      <x:c r="A1142" t="s">
        <x:v>1501</x:v>
      </x:c>
      <x:c r="C1142" t="s">
        <x:v>331</x:v>
      </x:c>
      <x:c r="D1142">
        <x:v>8486118</x:v>
      </x:c>
      <x:c r="E1142">
        <x:v>73</x:v>
      </x:c>
      <x:c r="F1142">
        <x:v>55</x:v>
      </x:c>
      <x:c r="G1142">
        <x:v>69</x:v>
      </x:c>
      <x:c r="H1142">
        <x:v>34</x:v>
      </x:c>
      <x:c r="I1142">
        <x:v>84</x:v>
      </x:c>
      <x:c r="J1142">
        <x:v>71</x:v>
      </x:c>
      <x:c r="K1142">
        <x:v>74</x:v>
      </x:c>
      <x:c r="L1142">
        <x:v>33</x:v>
      </x:c>
      <x:c r="M1142">
        <x:v>30</x:v>
      </x:c>
      <x:c r="N1142">
        <x:v>42</x:v>
      </x:c>
      <x:c r="O1142">
        <x:v>41</x:v>
      </x:c>
      <x:c r="P1142">
        <x:v>64</x:v>
      </x:c>
      <x:c r="Q1142">
        <x:v>46</x:v>
      </x:c>
      <x:c r="R1142">
        <x:v>66</x:v>
      </x:c>
      <x:c r="S1142">
        <x:v>66</x:v>
      </x:c>
      <x:c r="T1142">
        <x:v>51</x:v>
      </x:c>
      <x:c r="U1142">
        <x:v>51</x:v>
      </x:c>
    </x:row>
    <x:row r="1143">
      <x:c r="A1143" t="s">
        <x:v>1502</x:v>
      </x:c>
      <x:c r="C1143" t="s">
        <x:v>331</x:v>
      </x:c>
      <x:c r="D1143">
        <x:v>8482478</x:v>
      </x:c>
      <x:c r="E1143">
        <x:v>77</x:v>
      </x:c>
      <x:c r="F1143">
        <x:v>34</x:v>
      </x:c>
      <x:c r="G1143">
        <x:v>82</x:v>
      </x:c>
      <x:c r="H1143">
        <x:v>31</x:v>
      </x:c>
      <x:c r="I1143">
        <x:v>79</x:v>
      </x:c>
      <x:c r="J1143">
        <x:v>82</x:v>
      </x:c>
      <x:c r="K1143">
        <x:v>84</x:v>
      </x:c>
      <x:c r="L1143">
        <x:v>32</x:v>
      </x:c>
      <x:c r="M1143">
        <x:v>30</x:v>
      </x:c>
      <x:c r="N1143">
        <x:v>41</x:v>
      </x:c>
      <x:c r="O1143">
        <x:v>39</x:v>
      </x:c>
      <x:c r="P1143">
        <x:v>64</x:v>
      </x:c>
      <x:c r="Q1143">
        <x:v>45</x:v>
      </x:c>
      <x:c r="R1143">
        <x:v>67</x:v>
      </x:c>
      <x:c r="S1143">
        <x:v>66</x:v>
      </x:c>
      <x:c r="T1143">
        <x:v>51</x:v>
      </x:c>
      <x:c r="U1143">
        <x:v>51</x:v>
      </x:c>
    </x:row>
    <x:row r="1144">
      <x:c r="A1144" t="s">
        <x:v>1503</x:v>
      </x:c>
      <x:c r="C1144" t="s">
        <x:v>326</x:v>
      </x:c>
      <x:c r="D1144">
        <x:v>8482652</x:v>
      </x:c>
      <x:c r="E1144">
        <x:v>73</x:v>
      </x:c>
      <x:c r="F1144">
        <x:v>35</x:v>
      </x:c>
      <x:c r="G1144">
        <x:v>89</x:v>
      </x:c>
      <x:c r="H1144">
        <x:v>44</x:v>
      </x:c>
      <x:c r="I1144">
        <x:v>83</x:v>
      </x:c>
      <x:c r="J1144">
        <x:v>84</x:v>
      </x:c>
      <x:c r="K1144">
        <x:v>88</x:v>
      </x:c>
      <x:c r="L1144">
        <x:v>45</x:v>
      </x:c>
      <x:c r="M1144">
        <x:v>62</x:v>
      </x:c>
      <x:c r="N1144">
        <x:v>50</x:v>
      </x:c>
      <x:c r="O1144">
        <x:v>52</x:v>
      </x:c>
      <x:c r="P1144">
        <x:v>62</x:v>
      </x:c>
      <x:c r="Q1144">
        <x:v>66</x:v>
      </x:c>
      <x:c r="R1144">
        <x:v>75</x:v>
      </x:c>
      <x:c r="S1144">
        <x:v>71</x:v>
      </x:c>
      <x:c r="T1144">
        <x:v>51</x:v>
      </x:c>
      <x:c r="U1144">
        <x:v>51</x:v>
      </x:c>
    </x:row>
    <x:row r="1145">
      <x:c r="A1145" t="s">
        <x:v>1504</x:v>
      </x:c>
      <x:c r="C1145" t="s">
        <x:v>331</x:v>
      </x:c>
      <x:c r="D1145">
        <x:v>8481745</x:v>
      </x:c>
      <x:c r="E1145">
        <x:v>69</x:v>
      </x:c>
      <x:c r="F1145">
        <x:v>41</x:v>
      </x:c>
      <x:c r="G1145">
        <x:v>76</x:v>
      </x:c>
      <x:c r="H1145">
        <x:v>32</x:v>
      </x:c>
      <x:c r="I1145">
        <x:v>80</x:v>
      </x:c>
      <x:c r="J1145">
        <x:v>76</x:v>
      </x:c>
      <x:c r="K1145">
        <x:v>79</x:v>
      </x:c>
      <x:c r="L1145">
        <x:v>31</x:v>
      </x:c>
      <x:c r="M1145">
        <x:v>30</x:v>
      </x:c>
      <x:c r="N1145">
        <x:v>42</x:v>
      </x:c>
      <x:c r="O1145">
        <x:v>39</x:v>
      </x:c>
      <x:c r="P1145">
        <x:v>65</x:v>
      </x:c>
      <x:c r="Q1145">
        <x:v>45</x:v>
      </x:c>
      <x:c r="R1145">
        <x:v>67</x:v>
      </x:c>
      <x:c r="S1145">
        <x:v>68</x:v>
      </x:c>
      <x:c r="T1145">
        <x:v>51</x:v>
      </x:c>
      <x:c r="U1145">
        <x:v>51</x:v>
      </x:c>
    </x:row>
    <x:row r="1146">
      <x:c r="A1146" t="s">
        <x:v>1505</x:v>
      </x:c>
      <x:c r="C1146" t="s">
        <x:v>319</x:v>
      </x:c>
      <x:c r="D1146">
        <x:v>8482496</x:v>
      </x:c>
      <x:c r="E1146">
        <x:v>65</x:v>
      </x:c>
      <x:c r="F1146">
        <x:v>35</x:v>
      </x:c>
      <x:c r="G1146">
        <x:v>89</x:v>
      </x:c>
      <x:c r="H1146">
        <x:v>45</x:v>
      </x:c>
      <x:c r="I1146">
        <x:v>77</x:v>
      </x:c>
      <x:c r="J1146">
        <x:v>81</x:v>
      </x:c>
      <x:c r="K1146">
        <x:v>84</x:v>
      </x:c>
      <x:c r="L1146">
        <x:v>44</x:v>
      </x:c>
      <x:c r="M1146">
        <x:v>71</x:v>
      </x:c>
      <x:c r="N1146">
        <x:v>53</x:v>
      </x:c>
      <x:c r="O1146">
        <x:v>51</x:v>
      </x:c>
      <x:c r="P1146">
        <x:v>62</x:v>
      </x:c>
      <x:c r="Q1146">
        <x:v>67</x:v>
      </x:c>
      <x:c r="R1146">
        <x:v>70</x:v>
      </x:c>
      <x:c r="S1146">
        <x:v>68</x:v>
      </x:c>
      <x:c r="T1146">
        <x:v>51</x:v>
      </x:c>
      <x:c r="U1146">
        <x:v>51</x:v>
      </x:c>
    </x:row>
    <x:row r="1147">
      <x:c r="A1147" t="s">
        <x:v>1506</x:v>
      </x:c>
      <x:c r="C1147" t="s">
        <x:v>319</x:v>
      </x:c>
      <x:c r="D1147">
        <x:v>8481576</x:v>
      </x:c>
      <x:c r="E1147">
        <x:v>62</x:v>
      </x:c>
      <x:c r="F1147">
        <x:v>37</x:v>
      </x:c>
      <x:c r="G1147">
        <x:v>85</x:v>
      </x:c>
      <x:c r="H1147">
        <x:v>46</x:v>
      </x:c>
      <x:c r="I1147">
        <x:v>76</x:v>
      </x:c>
      <x:c r="J1147">
        <x:v>89</x:v>
      </x:c>
      <x:c r="K1147">
        <x:v>91</x:v>
      </x:c>
      <x:c r="L1147">
        <x:v>47</x:v>
      </x:c>
      <x:c r="M1147">
        <x:v>84</x:v>
      </x:c>
      <x:c r="N1147">
        <x:v>50</x:v>
      </x:c>
      <x:c r="O1147">
        <x:v>44</x:v>
      </x:c>
      <x:c r="P1147">
        <x:v>60</x:v>
      </x:c>
      <x:c r="Q1147">
        <x:v>69</x:v>
      </x:c>
      <x:c r="R1147">
        <x:v>68</x:v>
      </x:c>
      <x:c r="S1147">
        <x:v>67</x:v>
      </x:c>
      <x:c r="T1147">
        <x:v>51</x:v>
      </x:c>
      <x:c r="U1147">
        <x:v>51</x:v>
      </x:c>
    </x:row>
    <x:row r="1148">
      <x:c r="A1148" t="s">
        <x:v>1507</x:v>
      </x:c>
      <x:c r="B1148" t="s">
        <x:v>354</x:v>
      </x:c>
      <x:c r="C1148" t="s">
        <x:v>331</x:v>
      </x:c>
      <x:c r="D1148">
        <x:v>8477995</x:v>
      </x:c>
      <x:c r="E1148">
        <x:v>79</x:v>
      </x:c>
      <x:c r="F1148">
        <x:v>39</x:v>
      </x:c>
      <x:c r="G1148">
        <x:v>86</x:v>
      </x:c>
      <x:c r="H1148">
        <x:v>30</x:v>
      </x:c>
      <x:c r="I1148">
        <x:v>83</x:v>
      </x:c>
      <x:c r="J1148">
        <x:v>77</x:v>
      </x:c>
      <x:c r="K1148">
        <x:v>80</x:v>
      </x:c>
      <x:c r="L1148">
        <x:v>31</x:v>
      </x:c>
      <x:c r="M1148">
        <x:v>30</x:v>
      </x:c>
      <x:c r="N1148">
        <x:v>41</x:v>
      </x:c>
      <x:c r="O1148">
        <x:v>39</x:v>
      </x:c>
      <x:c r="P1148">
        <x:v>64</x:v>
      </x:c>
      <x:c r="Q1148">
        <x:v>45</x:v>
      </x:c>
      <x:c r="R1148">
        <x:v>72</x:v>
      </x:c>
      <x:c r="S1148">
        <x:v>72</x:v>
      </x:c>
      <x:c r="T1148">
        <x:v>51</x:v>
      </x:c>
      <x:c r="U1148">
        <x:v>51</x:v>
      </x:c>
    </x:row>
    <x:row r="1149">
      <x:c r="A1149" t="s">
        <x:v>1508</x:v>
      </x:c>
      <x:c r="C1149" t="s">
        <x:v>333</x:v>
      </x:c>
      <x:c r="D1149">
        <x:v>8481591</x:v>
      </x:c>
      <x:c r="E1149">
        <x:v>70</x:v>
      </x:c>
      <x:c r="F1149">
        <x:v>34</x:v>
      </x:c>
      <x:c r="G1149">
        <x:v>81</x:v>
      </x:c>
      <x:c r="H1149">
        <x:v>46</x:v>
      </x:c>
      <x:c r="I1149">
        <x:v>82</x:v>
      </x:c>
      <x:c r="J1149">
        <x:v>90</x:v>
      </x:c>
      <x:c r="K1149">
        <x:v>95</x:v>
      </x:c>
      <x:c r="L1149">
        <x:v>45</x:v>
      </x:c>
      <x:c r="M1149">
        <x:v>65</x:v>
      </x:c>
      <x:c r="N1149">
        <x:v>49</x:v>
      </x:c>
      <x:c r="O1149">
        <x:v>48</x:v>
      </x:c>
      <x:c r="P1149">
        <x:v>60</x:v>
      </x:c>
      <x:c r="Q1149">
        <x:v>67</x:v>
      </x:c>
      <x:c r="R1149">
        <x:v>68</x:v>
      </x:c>
      <x:c r="S1149">
        <x:v>67</x:v>
      </x:c>
      <x:c r="T1149">
        <x:v>51</x:v>
      </x:c>
      <x:c r="U1149">
        <x:v>51</x:v>
      </x:c>
    </x:row>
    <x:row r="1150">
      <x:c r="A1150" t="s">
        <x:v>1509</x:v>
      </x:c>
      <x:c r="C1150" t="s">
        <x:v>358</x:v>
      </x:c>
      <x:c r="D1150">
        <x:v>8484159</x:v>
      </x:c>
      <x:c r="E1150">
        <x:v>58</x:v>
      </x:c>
      <x:c r="F1150">
        <x:v>36</x:v>
      </x:c>
      <x:c r="G1150">
        <x:v>87</x:v>
      </x:c>
      <x:c r="H1150">
        <x:v>46</x:v>
      </x:c>
      <x:c r="I1150">
        <x:v>78</x:v>
      </x:c>
      <x:c r="J1150">
        <x:v>92</x:v>
      </x:c>
      <x:c r="K1150">
        <x:v>96</x:v>
      </x:c>
      <x:c r="L1150">
        <x:v>47</x:v>
      </x:c>
      <x:c r="M1150">
        <x:v>63</x:v>
      </x:c>
      <x:c r="N1150">
        <x:v>51</x:v>
      </x:c>
      <x:c r="O1150">
        <x:v>45</x:v>
      </x:c>
      <x:c r="P1150">
        <x:v>59</x:v>
      </x:c>
      <x:c r="Q1150">
        <x:v>70</x:v>
      </x:c>
      <x:c r="R1150">
        <x:v>65</x:v>
      </x:c>
      <x:c r="S1150">
        <x:v>65</x:v>
      </x:c>
      <x:c r="T1150">
        <x:v>51</x:v>
      </x:c>
      <x:c r="U1150">
        <x:v>51</x:v>
      </x:c>
    </x:row>
    <x:row r="1151">
      <x:c r="A1151" t="s">
        <x:v>1510</x:v>
      </x:c>
      <x:c r="C1151" t="s">
        <x:v>319</x:v>
      </x:c>
      <x:c r="D1151">
        <x:v>8478442</x:v>
      </x:c>
      <x:c r="E1151">
        <x:v>67</x:v>
      </x:c>
      <x:c r="F1151">
        <x:v>39</x:v>
      </x:c>
      <x:c r="G1151">
        <x:v>83</x:v>
      </x:c>
      <x:c r="H1151">
        <x:v>44</x:v>
      </x:c>
      <x:c r="I1151">
        <x:v>78</x:v>
      </x:c>
      <x:c r="J1151">
        <x:v>81</x:v>
      </x:c>
      <x:c r="K1151">
        <x:v>84</x:v>
      </x:c>
      <x:c r="L1151">
        <x:v>44</x:v>
      </x:c>
      <x:c r="M1151">
        <x:v>73</x:v>
      </x:c>
      <x:c r="N1151">
        <x:v>46</x:v>
      </x:c>
      <x:c r="O1151">
        <x:v>43</x:v>
      </x:c>
      <x:c r="P1151">
        <x:v>58</x:v>
      </x:c>
      <x:c r="Q1151">
        <x:v>65</x:v>
      </x:c>
      <x:c r="R1151">
        <x:v>72</x:v>
      </x:c>
      <x:c r="S1151">
        <x:v>72</x:v>
      </x:c>
      <x:c r="T1151">
        <x:v>51</x:v>
      </x:c>
      <x:c r="U1151">
        <x:v>49</x:v>
      </x:c>
    </x:row>
    <x:row r="1152">
      <x:c r="A1152" t="s">
        <x:v>1511</x:v>
      </x:c>
      <x:c r="B1152" t="s">
        <x:v>584</x:v>
      </x:c>
      <x:c r="C1152" t="s">
        <x:v>358</x:v>
      </x:c>
      <x:c r="D1152">
        <x:v>8481065</x:v>
      </x:c>
      <x:c r="E1152">
        <x:v>66</x:v>
      </x:c>
      <x:c r="F1152">
        <x:v>33</x:v>
      </x:c>
      <x:c r="G1152">
        <x:v>89</x:v>
      </x:c>
      <x:c r="H1152">
        <x:v>45</x:v>
      </x:c>
      <x:c r="I1152">
        <x:v>76</x:v>
      </x:c>
      <x:c r="J1152">
        <x:v>89</x:v>
      </x:c>
      <x:c r="K1152">
        <x:v>93</x:v>
      </x:c>
      <x:c r="L1152">
        <x:v>46</x:v>
      </x:c>
      <x:c r="M1152">
        <x:v>61</x:v>
      </x:c>
      <x:c r="N1152">
        <x:v>47</x:v>
      </x:c>
      <x:c r="O1152">
        <x:v>51</x:v>
      </x:c>
      <x:c r="P1152">
        <x:v>62</x:v>
      </x:c>
      <x:c r="Q1152">
        <x:v>65</x:v>
      </x:c>
      <x:c r="R1152">
        <x:v>69</x:v>
      </x:c>
      <x:c r="S1152">
        <x:v>68</x:v>
      </x:c>
      <x:c r="T1152">
        <x:v>51</x:v>
      </x:c>
      <x:c r="U1152">
        <x:v>49</x:v>
      </x:c>
    </x:row>
    <x:row r="1153">
      <x:c r="A1153" t="s">
        <x:v>1512</x:v>
      </x:c>
      <x:c r="C1153" t="s">
        <x:v>358</x:v>
      </x:c>
      <x:c r="D1153">
        <x:v>8479176</x:v>
      </x:c>
      <x:c r="E1153">
        <x:v>86</x:v>
      </x:c>
      <x:c r="F1153">
        <x:v>87</x:v>
      </x:c>
      <x:c r="G1153">
        <x:v>65</x:v>
      </x:c>
      <x:c r="H1153">
        <x:v>37</x:v>
      </x:c>
      <x:c r="I1153">
        <x:v>76</x:v>
      </x:c>
      <x:c r="J1153">
        <x:v>79</x:v>
      </x:c>
      <x:c r="K1153">
        <x:v>81</x:v>
      </x:c>
      <x:c r="L1153">
        <x:v>37</x:v>
      </x:c>
      <x:c r="M1153">
        <x:v>63</x:v>
      </x:c>
      <x:c r="N1153">
        <x:v>40</x:v>
      </x:c>
      <x:c r="O1153">
        <x:v>39</x:v>
      </x:c>
      <x:c r="P1153">
        <x:v>57</x:v>
      </x:c>
      <x:c r="Q1153">
        <x:v>58</x:v>
      </x:c>
      <x:c r="R1153">
        <x:v>80</x:v>
      </x:c>
      <x:c r="S1153">
        <x:v>79</x:v>
      </x:c>
      <x:c r="T1153">
        <x:v>51</x:v>
      </x:c>
      <x:c r="U1153">
        <x:v>49</x:v>
      </x:c>
    </x:row>
    <x:row r="1154">
      <x:c r="A1154" t="s">
        <x:v>1513</x:v>
      </x:c>
      <x:c r="C1154" t="s">
        <x:v>323</x:v>
      </x:c>
      <x:c r="E1154">
        <x:v>65</x:v>
      </x:c>
      <x:c r="F1154">
        <x:v>44</x:v>
      </x:c>
      <x:c r="G1154">
        <x:v>89</x:v>
      </x:c>
      <x:c r="H1154">
        <x:v>44</x:v>
      </x:c>
      <x:c r="I1154">
        <x:v>77</x:v>
      </x:c>
      <x:c r="J1154">
        <x:v>83</x:v>
      </x:c>
      <x:c r="K1154">
        <x:v>86</x:v>
      </x:c>
      <x:c r="L1154">
        <x:v>44</x:v>
      </x:c>
      <x:c r="M1154">
        <x:v>84</x:v>
      </x:c>
      <x:c r="N1154">
        <x:v>45</x:v>
      </x:c>
      <x:c r="O1154">
        <x:v>44</x:v>
      </x:c>
      <x:c r="P1154">
        <x:v>64</x:v>
      </x:c>
      <x:c r="Q1154">
        <x:v>65</x:v>
      </x:c>
      <x:c r="R1154">
        <x:v>69</x:v>
      </x:c>
      <x:c r="S1154">
        <x:v>70</x:v>
      </x:c>
      <x:c r="T1154">
        <x:v>51</x:v>
      </x:c>
      <x:c r="U1154">
        <x:v>49</x:v>
      </x:c>
    </x:row>
    <x:row r="1155">
      <x:c r="A1155" t="s">
        <x:v>1514</x:v>
      </x:c>
      <x:c r="C1155" t="s">
        <x:v>333</x:v>
      </x:c>
      <x:c r="D1155">
        <x:v>8484818</x:v>
      </x:c>
      <x:c r="E1155">
        <x:v>73</x:v>
      </x:c>
      <x:c r="F1155">
        <x:v>45</x:v>
      </x:c>
      <x:c r="G1155">
        <x:v>80</x:v>
      </x:c>
      <x:c r="H1155">
        <x:v>41</x:v>
      </x:c>
      <x:c r="I1155">
        <x:v>90</x:v>
      </x:c>
      <x:c r="J1155">
        <x:v>76</x:v>
      </x:c>
      <x:c r="K1155">
        <x:v>80</x:v>
      </x:c>
      <x:c r="L1155">
        <x:v>41</x:v>
      </x:c>
      <x:c r="M1155">
        <x:v>69</x:v>
      </x:c>
      <x:c r="N1155">
        <x:v>42</x:v>
      </x:c>
      <x:c r="O1155">
        <x:v>44</x:v>
      </x:c>
      <x:c r="P1155">
        <x:v>59</x:v>
      </x:c>
      <x:c r="Q1155">
        <x:v>63</x:v>
      </x:c>
      <x:c r="R1155">
        <x:v>70</x:v>
      </x:c>
      <x:c r="S1155">
        <x:v>69</x:v>
      </x:c>
      <x:c r="T1155">
        <x:v>51</x:v>
      </x:c>
      <x:c r="U1155">
        <x:v>49</x:v>
      </x:c>
    </x:row>
    <x:row r="1156">
      <x:c r="A1156" t="s">
        <x:v>1515</x:v>
      </x:c>
      <x:c r="C1156" t="s">
        <x:v>358</x:v>
      </x:c>
      <x:c r="D1156">
        <x:v>8484869</x:v>
      </x:c>
      <x:c r="E1156">
        <x:v>66</x:v>
      </x:c>
      <x:c r="F1156">
        <x:v>43</x:v>
      </x:c>
      <x:c r="G1156">
        <x:v>73</x:v>
      </x:c>
      <x:c r="H1156">
        <x:v>45</x:v>
      </x:c>
      <x:c r="I1156">
        <x:v>79</x:v>
      </x:c>
      <x:c r="J1156">
        <x:v>74</x:v>
      </x:c>
      <x:c r="K1156">
        <x:v>77</x:v>
      </x:c>
      <x:c r="L1156">
        <x:v>46</x:v>
      </x:c>
      <x:c r="M1156">
        <x:v>66</x:v>
      </x:c>
      <x:c r="N1156">
        <x:v>45</x:v>
      </x:c>
      <x:c r="O1156">
        <x:v>45</x:v>
      </x:c>
      <x:c r="P1156">
        <x:v>59</x:v>
      </x:c>
      <x:c r="Q1156">
        <x:v>65</x:v>
      </x:c>
      <x:c r="R1156">
        <x:v>64</x:v>
      </x:c>
      <x:c r="S1156">
        <x:v>65</x:v>
      </x:c>
      <x:c r="T1156">
        <x:v>51</x:v>
      </x:c>
      <x:c r="U1156">
        <x:v>49</x:v>
      </x:c>
    </x:row>
    <x:row r="1157">
      <x:c r="A1157" t="s">
        <x:v>1516</x:v>
      </x:c>
      <x:c r="C1157" t="s">
        <x:v>358</x:v>
      </x:c>
      <x:c r="D1157">
        <x:v>8484821</x:v>
      </x:c>
      <x:c r="E1157">
        <x:v>80</x:v>
      </x:c>
      <x:c r="F1157">
        <x:v>33</x:v>
      </x:c>
      <x:c r="G1157">
        <x:v>85</x:v>
      </x:c>
      <x:c r="H1157">
        <x:v>41</x:v>
      </x:c>
      <x:c r="I1157">
        <x:v>77</x:v>
      </x:c>
      <x:c r="J1157">
        <x:v>91</x:v>
      </x:c>
      <x:c r="K1157">
        <x:v>95</x:v>
      </x:c>
      <x:c r="L1157">
        <x:v>40</x:v>
      </x:c>
      <x:c r="M1157">
        <x:v>68</x:v>
      </x:c>
      <x:c r="N1157">
        <x:v>45</x:v>
      </x:c>
      <x:c r="O1157">
        <x:v>45</x:v>
      </x:c>
      <x:c r="P1157">
        <x:v>63</x:v>
      </x:c>
      <x:c r="Q1157">
        <x:v>62</x:v>
      </x:c>
      <x:c r="R1157">
        <x:v>69</x:v>
      </x:c>
      <x:c r="S1157">
        <x:v>69</x:v>
      </x:c>
      <x:c r="T1157">
        <x:v>51</x:v>
      </x:c>
      <x:c r="U1157">
        <x:v>49</x:v>
      </x:c>
    </x:row>
    <x:row r="1158">
      <x:c r="A1158" t="s">
        <x:v>1517</x:v>
      </x:c>
      <x:c r="C1158" t="s">
        <x:v>326</x:v>
      </x:c>
      <x:c r="D1158">
        <x:v>8483748</x:v>
      </x:c>
      <x:c r="E1158">
        <x:v>68</x:v>
      </x:c>
      <x:c r="F1158">
        <x:v>36</x:v>
      </x:c>
      <x:c r="G1158">
        <x:v>90</x:v>
      </x:c>
      <x:c r="H1158">
        <x:v>45</x:v>
      </x:c>
      <x:c r="I1158">
        <x:v>76</x:v>
      </x:c>
      <x:c r="J1158">
        <x:v>84</x:v>
      </x:c>
      <x:c r="K1158">
        <x:v>89</x:v>
      </x:c>
      <x:c r="L1158">
        <x:v>46</x:v>
      </x:c>
      <x:c r="M1158">
        <x:v>71</x:v>
      </x:c>
      <x:c r="N1158">
        <x:v>46</x:v>
      </x:c>
      <x:c r="O1158">
        <x:v>44</x:v>
      </x:c>
      <x:c r="P1158">
        <x:v>58</x:v>
      </x:c>
      <x:c r="Q1158">
        <x:v>66</x:v>
      </x:c>
      <x:c r="R1158">
        <x:v>65</x:v>
      </x:c>
      <x:c r="S1158">
        <x:v>66</x:v>
      </x:c>
      <x:c r="T1158">
        <x:v>51</x:v>
      </x:c>
      <x:c r="U1158">
        <x:v>49</x:v>
      </x:c>
    </x:row>
    <x:row r="1159">
      <x:c r="A1159" t="s">
        <x:v>1518</x:v>
      </x:c>
      <x:c r="C1159" t="s">
        <x:v>331</x:v>
      </x:c>
      <x:c r="D1159">
        <x:v>8481658</x:v>
      </x:c>
      <x:c r="E1159">
        <x:v>62</x:v>
      </x:c>
      <x:c r="F1159">
        <x:v>39</x:v>
      </x:c>
      <x:c r="G1159">
        <x:v>88</x:v>
      </x:c>
      <x:c r="H1159">
        <x:v>33</x:v>
      </x:c>
      <x:c r="I1159">
        <x:v>77</x:v>
      </x:c>
      <x:c r="J1159">
        <x:v>79</x:v>
      </x:c>
      <x:c r="K1159">
        <x:v>82</x:v>
      </x:c>
      <x:c r="L1159">
        <x:v>34</x:v>
      </x:c>
      <x:c r="M1159">
        <x:v>30</x:v>
      </x:c>
      <x:c r="N1159">
        <x:v>42</x:v>
      </x:c>
      <x:c r="O1159">
        <x:v>39</x:v>
      </x:c>
      <x:c r="P1159">
        <x:v>65</x:v>
      </x:c>
      <x:c r="Q1159">
        <x:v>46</x:v>
      </x:c>
      <x:c r="R1159">
        <x:v>68</x:v>
      </x:c>
      <x:c r="S1159">
        <x:v>68</x:v>
      </x:c>
      <x:c r="T1159">
        <x:v>51</x:v>
      </x:c>
      <x:c r="U1159">
        <x:v>49</x:v>
      </x:c>
    </x:row>
    <x:row r="1160">
      <x:c r="A1160" t="s">
        <x:v>1519</x:v>
      </x:c>
      <x:c r="C1160" t="s">
        <x:v>358</x:v>
      </x:c>
      <x:c r="D1160">
        <x:v>8482154</x:v>
      </x:c>
      <x:c r="E1160">
        <x:v>61</x:v>
      </x:c>
      <x:c r="F1160">
        <x:v>33</x:v>
      </x:c>
      <x:c r="G1160">
        <x:v>83</x:v>
      </x:c>
      <x:c r="H1160">
        <x:v>45</x:v>
      </x:c>
      <x:c r="I1160">
        <x:v>79</x:v>
      </x:c>
      <x:c r="J1160">
        <x:v>83</x:v>
      </x:c>
      <x:c r="K1160">
        <x:v>86</x:v>
      </x:c>
      <x:c r="L1160">
        <x:v>44</x:v>
      </x:c>
      <x:c r="M1160">
        <x:v>58</x:v>
      </x:c>
      <x:c r="N1160">
        <x:v>46</x:v>
      </x:c>
      <x:c r="O1160">
        <x:v>43</x:v>
      </x:c>
      <x:c r="P1160">
        <x:v>59</x:v>
      </x:c>
      <x:c r="Q1160">
        <x:v>65</x:v>
      </x:c>
      <x:c r="R1160">
        <x:v>68</x:v>
      </x:c>
      <x:c r="S1160">
        <x:v>67</x:v>
      </x:c>
      <x:c r="T1160">
        <x:v>51</x:v>
      </x:c>
      <x:c r="U1160">
        <x:v>49</x:v>
      </x:c>
    </x:row>
    <x:row r="1161">
      <x:c r="A1161" t="s">
        <x:v>1520</x:v>
      </x:c>
      <x:c r="C1161" t="s">
        <x:v>339</x:v>
      </x:c>
      <x:c r="D1161">
        <x:v>8483704</x:v>
      </x:c>
      <x:c r="E1161">
        <x:v>62</x:v>
      </x:c>
      <x:c r="F1161">
        <x:v>37</x:v>
      </x:c>
      <x:c r="G1161">
        <x:v>91</x:v>
      </x:c>
      <x:c r="H1161">
        <x:v>45</x:v>
      </x:c>
      <x:c r="I1161">
        <x:v>78</x:v>
      </x:c>
      <x:c r="J1161">
        <x:v>78</x:v>
      </x:c>
      <x:c r="K1161">
        <x:v>81</x:v>
      </x:c>
      <x:c r="L1161">
        <x:v>44</x:v>
      </x:c>
      <x:c r="M1161">
        <x:v>74</x:v>
      </x:c>
      <x:c r="N1161">
        <x:v>45</x:v>
      </x:c>
      <x:c r="O1161">
        <x:v>46</x:v>
      </x:c>
      <x:c r="P1161">
        <x:v>62</x:v>
      </x:c>
      <x:c r="Q1161">
        <x:v>66</x:v>
      </x:c>
      <x:c r="R1161">
        <x:v>65</x:v>
      </x:c>
      <x:c r="S1161">
        <x:v>65</x:v>
      </x:c>
      <x:c r="T1161">
        <x:v>51</x:v>
      </x:c>
      <x:c r="U1161">
        <x:v>49</x:v>
      </x:c>
    </x:row>
    <x:row r="1162">
      <x:c r="A1162" t="s">
        <x:v>1521</x:v>
      </x:c>
      <x:c r="C1162" t="s">
        <x:v>326</x:v>
      </x:c>
      <x:c r="D1162">
        <x:v>8483062</x:v>
      </x:c>
      <x:c r="E1162">
        <x:v>65</x:v>
      </x:c>
      <x:c r="F1162">
        <x:v>36</x:v>
      </x:c>
      <x:c r="G1162">
        <x:v>85</x:v>
      </x:c>
      <x:c r="H1162">
        <x:v>45</x:v>
      </x:c>
      <x:c r="I1162">
        <x:v>76</x:v>
      </x:c>
      <x:c r="J1162">
        <x:v>86</x:v>
      </x:c>
      <x:c r="K1162">
        <x:v>89</x:v>
      </x:c>
      <x:c r="L1162">
        <x:v>44</x:v>
      </x:c>
      <x:c r="M1162">
        <x:v>71</x:v>
      </x:c>
      <x:c r="N1162">
        <x:v>45</x:v>
      </x:c>
      <x:c r="O1162">
        <x:v>44</x:v>
      </x:c>
      <x:c r="P1162">
        <x:v>58</x:v>
      </x:c>
      <x:c r="Q1162">
        <x:v>65</x:v>
      </x:c>
      <x:c r="R1162">
        <x:v>67</x:v>
      </x:c>
      <x:c r="S1162">
        <x:v>68</x:v>
      </x:c>
      <x:c r="T1162">
        <x:v>51</x:v>
      </x:c>
      <x:c r="U1162">
        <x:v>49</x:v>
      </x:c>
    </x:row>
    <x:row r="1163">
      <x:c r="A1163" t="s">
        <x:v>1522</x:v>
      </x:c>
      <x:c r="C1163" t="s">
        <x:v>331</x:v>
      </x:c>
      <x:c r="D1163">
        <x:v>8484815</x:v>
      </x:c>
      <x:c r="E1163">
        <x:v>76</x:v>
      </x:c>
      <x:c r="F1163">
        <x:v>36</x:v>
      </x:c>
      <x:c r="G1163">
        <x:v>94</x:v>
      </x:c>
      <x:c r="H1163">
        <x:v>30</x:v>
      </x:c>
      <x:c r="I1163">
        <x:v>78</x:v>
      </x:c>
      <x:c r="J1163">
        <x:v>73</x:v>
      </x:c>
      <x:c r="K1163">
        <x:v>76</x:v>
      </x:c>
      <x:c r="L1163">
        <x:v>30</x:v>
      </x:c>
      <x:c r="M1163">
        <x:v>30</x:v>
      </x:c>
      <x:c r="N1163">
        <x:v>38</x:v>
      </x:c>
      <x:c r="O1163">
        <x:v>37</x:v>
      </x:c>
      <x:c r="P1163">
        <x:v>63</x:v>
      </x:c>
      <x:c r="Q1163">
        <x:v>43</x:v>
      </x:c>
      <x:c r="R1163">
        <x:v>69</x:v>
      </x:c>
      <x:c r="S1163">
        <x:v>68</x:v>
      </x:c>
      <x:c r="T1163">
        <x:v>51</x:v>
      </x:c>
      <x:c r="U1163">
        <x:v>49</x:v>
      </x:c>
    </x:row>
    <x:row r="1164">
      <x:c r="A1164" t="s">
        <x:v>1523</x:v>
      </x:c>
      <x:c r="C1164" t="s">
        <x:v>331</x:v>
      </x:c>
      <x:c r="D1164">
        <x:v>8485425</x:v>
      </x:c>
      <x:c r="E1164">
        <x:v>77</x:v>
      </x:c>
      <x:c r="F1164">
        <x:v>39</x:v>
      </x:c>
      <x:c r="G1164">
        <x:v>74</x:v>
      </x:c>
      <x:c r="H1164">
        <x:v>30</x:v>
      </x:c>
      <x:c r="I1164">
        <x:v>87</x:v>
      </x:c>
      <x:c r="J1164">
        <x:v>71</x:v>
      </x:c>
      <x:c r="K1164">
        <x:v>74</x:v>
      </x:c>
      <x:c r="L1164">
        <x:v>31</x:v>
      </x:c>
      <x:c r="M1164">
        <x:v>30</x:v>
      </x:c>
      <x:c r="N1164">
        <x:v>39</x:v>
      </x:c>
      <x:c r="O1164">
        <x:v>38</x:v>
      </x:c>
      <x:c r="P1164">
        <x:v>64</x:v>
      </x:c>
      <x:c r="Q1164">
        <x:v>44</x:v>
      </x:c>
      <x:c r="R1164">
        <x:v>69</x:v>
      </x:c>
      <x:c r="S1164">
        <x:v>68</x:v>
      </x:c>
      <x:c r="T1164">
        <x:v>51</x:v>
      </x:c>
      <x:c r="U1164">
        <x:v>49</x:v>
      </x:c>
    </x:row>
    <x:row r="1165">
      <x:c r="A1165" t="s">
        <x:v>1524</x:v>
      </x:c>
      <x:c r="C1165" t="s">
        <x:v>323</x:v>
      </x:c>
      <x:c r="D1165">
        <x:v>8482525</x:v>
      </x:c>
      <x:c r="E1165">
        <x:v>72</x:v>
      </x:c>
      <x:c r="F1165">
        <x:v>38</x:v>
      </x:c>
      <x:c r="G1165">
        <x:v>84</x:v>
      </x:c>
      <x:c r="H1165">
        <x:v>45</x:v>
      </x:c>
      <x:c r="I1165">
        <x:v>78</x:v>
      </x:c>
      <x:c r="J1165">
        <x:v>85</x:v>
      </x:c>
      <x:c r="K1165">
        <x:v>88</x:v>
      </x:c>
      <x:c r="L1165">
        <x:v>45</x:v>
      </x:c>
      <x:c r="M1165">
        <x:v>64</x:v>
      </x:c>
      <x:c r="N1165">
        <x:v>46</x:v>
      </x:c>
      <x:c r="O1165">
        <x:v>44</x:v>
      </x:c>
      <x:c r="P1165">
        <x:v>60</x:v>
      </x:c>
      <x:c r="Q1165">
        <x:v>66</x:v>
      </x:c>
      <x:c r="R1165">
        <x:v>67</x:v>
      </x:c>
      <x:c r="S1165">
        <x:v>67</x:v>
      </x:c>
      <x:c r="T1165">
        <x:v>51</x:v>
      </x:c>
      <x:c r="U1165">
        <x:v>49</x:v>
      </x:c>
    </x:row>
    <x:row r="1166">
      <x:c r="A1166" t="s">
        <x:v>1525</x:v>
      </x:c>
      <x:c r="C1166" t="s">
        <x:v>331</x:v>
      </x:c>
      <x:c r="D1166">
        <x:v>8482902</x:v>
      </x:c>
      <x:c r="E1166">
        <x:v>71</x:v>
      </x:c>
      <x:c r="F1166">
        <x:v>39</x:v>
      </x:c>
      <x:c r="G1166">
        <x:v>85</x:v>
      </x:c>
      <x:c r="H1166">
        <x:v>31</x:v>
      </x:c>
      <x:c r="I1166">
        <x:v>81</x:v>
      </x:c>
      <x:c r="J1166">
        <x:v>78</x:v>
      </x:c>
      <x:c r="K1166">
        <x:v>80</x:v>
      </x:c>
      <x:c r="L1166">
        <x:v>31</x:v>
      </x:c>
      <x:c r="M1166">
        <x:v>30</x:v>
      </x:c>
      <x:c r="N1166">
        <x:v>40</x:v>
      </x:c>
      <x:c r="O1166">
        <x:v>39</x:v>
      </x:c>
      <x:c r="P1166">
        <x:v>65</x:v>
      </x:c>
      <x:c r="Q1166">
        <x:v>45</x:v>
      </x:c>
      <x:c r="R1166">
        <x:v>66</x:v>
      </x:c>
      <x:c r="S1166">
        <x:v>65</x:v>
      </x:c>
      <x:c r="T1166">
        <x:v>51</x:v>
      </x:c>
      <x:c r="U1166">
        <x:v>49</x:v>
      </x:c>
    </x:row>
    <x:row r="1167">
      <x:c r="A1167" t="s">
        <x:v>1526</x:v>
      </x:c>
      <x:c r="C1167" t="s">
        <x:v>319</x:v>
      </x:c>
      <x:c r="D1167">
        <x:v>8484380</x:v>
      </x:c>
      <x:c r="E1167">
        <x:v>61</x:v>
      </x:c>
      <x:c r="F1167">
        <x:v>32</x:v>
      </x:c>
      <x:c r="G1167">
        <x:v>80</x:v>
      </x:c>
      <x:c r="H1167">
        <x:v>44</x:v>
      </x:c>
      <x:c r="I1167">
        <x:v>82</x:v>
      </x:c>
      <x:c r="J1167">
        <x:v>88</x:v>
      </x:c>
      <x:c r="K1167">
        <x:v>91</x:v>
      </x:c>
      <x:c r="L1167">
        <x:v>44</x:v>
      </x:c>
      <x:c r="M1167">
        <x:v>77</x:v>
      </x:c>
      <x:c r="N1167">
        <x:v>45</x:v>
      </x:c>
      <x:c r="O1167">
        <x:v>45</x:v>
      </x:c>
      <x:c r="P1167">
        <x:v>61</x:v>
      </x:c>
      <x:c r="Q1167">
        <x:v>65</x:v>
      </x:c>
      <x:c r="R1167">
        <x:v>69</x:v>
      </x:c>
      <x:c r="S1167">
        <x:v>69</x:v>
      </x:c>
      <x:c r="T1167">
        <x:v>51</x:v>
      </x:c>
      <x:c r="U1167">
        <x:v>49</x:v>
      </x:c>
    </x:row>
    <x:row r="1168">
      <x:c r="A1168" t="s">
        <x:v>1527</x:v>
      </x:c>
      <x:c r="C1168" t="s">
        <x:v>331</x:v>
      </x:c>
      <x:c r="D1168">
        <x:v>8481086</x:v>
      </x:c>
      <x:c r="E1168">
        <x:v>65</x:v>
      </x:c>
      <x:c r="F1168">
        <x:v>36</x:v>
      </x:c>
      <x:c r="G1168">
        <x:v>78</x:v>
      </x:c>
      <x:c r="H1168">
        <x:v>30</x:v>
      </x:c>
      <x:c r="I1168">
        <x:v>80</x:v>
      </x:c>
      <x:c r="J1168">
        <x:v>68</x:v>
      </x:c>
      <x:c r="K1168">
        <x:v>71</x:v>
      </x:c>
      <x:c r="L1168">
        <x:v>30</x:v>
      </x:c>
      <x:c r="M1168">
        <x:v>30</x:v>
      </x:c>
      <x:c r="N1168">
        <x:v>39</x:v>
      </x:c>
      <x:c r="O1168">
        <x:v>38</x:v>
      </x:c>
      <x:c r="P1168">
        <x:v>67</x:v>
      </x:c>
      <x:c r="Q1168">
        <x:v>43</x:v>
      </x:c>
      <x:c r="R1168">
        <x:v>68</x:v>
      </x:c>
      <x:c r="S1168">
        <x:v>67</x:v>
      </x:c>
      <x:c r="T1168">
        <x:v>51</x:v>
      </x:c>
      <x:c r="U1168">
        <x:v>49</x:v>
      </x:c>
    </x:row>
    <x:row r="1169">
      <x:c r="A1169" t="s">
        <x:v>1528</x:v>
      </x:c>
      <x:c r="C1169" t="s">
        <x:v>331</x:v>
      </x:c>
      <x:c r="D1169">
        <x:v>8486146</x:v>
      </x:c>
      <x:c r="E1169">
        <x:v>67</x:v>
      </x:c>
      <x:c r="F1169">
        <x:v>36</x:v>
      </x:c>
      <x:c r="G1169">
        <x:v>89</x:v>
      </x:c>
      <x:c r="H1169">
        <x:v>30</x:v>
      </x:c>
      <x:c r="I1169">
        <x:v>83</x:v>
      </x:c>
      <x:c r="J1169">
        <x:v>68</x:v>
      </x:c>
      <x:c r="K1169">
        <x:v>71</x:v>
      </x:c>
      <x:c r="L1169">
        <x:v>30</x:v>
      </x:c>
      <x:c r="M1169">
        <x:v>30</x:v>
      </x:c>
      <x:c r="N1169">
        <x:v>39</x:v>
      </x:c>
      <x:c r="O1169">
        <x:v>38</x:v>
      </x:c>
      <x:c r="P1169">
        <x:v>66</x:v>
      </x:c>
      <x:c r="Q1169">
        <x:v>43</x:v>
      </x:c>
      <x:c r="R1169">
        <x:v>66</x:v>
      </x:c>
      <x:c r="S1169">
        <x:v>66</x:v>
      </x:c>
      <x:c r="T1169">
        <x:v>51</x:v>
      </x:c>
      <x:c r="U1169">
        <x:v>49</x:v>
      </x:c>
    </x:row>
    <x:row r="1170">
      <x:c r="A1170" t="s">
        <x:v>1529</x:v>
      </x:c>
      <x:c r="C1170" t="s">
        <x:v>319</x:v>
      </x:c>
      <x:c r="D1170">
        <x:v>8485105</x:v>
      </x:c>
      <x:c r="E1170">
        <x:v>59</x:v>
      </x:c>
      <x:c r="F1170">
        <x:v>35</x:v>
      </x:c>
      <x:c r="G1170">
        <x:v>78</x:v>
      </x:c>
      <x:c r="H1170">
        <x:v>47</x:v>
      </x:c>
      <x:c r="I1170">
        <x:v>79</x:v>
      </x:c>
      <x:c r="J1170">
        <x:v>75</x:v>
      </x:c>
      <x:c r="K1170">
        <x:v>77</x:v>
      </x:c>
      <x:c r="L1170">
        <x:v>48</x:v>
      </x:c>
      <x:c r="M1170">
        <x:v>66</x:v>
      </x:c>
      <x:c r="N1170">
        <x:v>48</x:v>
      </x:c>
      <x:c r="O1170">
        <x:v>43</x:v>
      </x:c>
      <x:c r="P1170">
        <x:v>58</x:v>
      </x:c>
      <x:c r="Q1170">
        <x:v>66</x:v>
      </x:c>
      <x:c r="R1170">
        <x:v>66</x:v>
      </x:c>
      <x:c r="S1170">
        <x:v>65</x:v>
      </x:c>
      <x:c r="T1170">
        <x:v>51</x:v>
      </x:c>
      <x:c r="U1170">
        <x:v>49</x:v>
      </x:c>
    </x:row>
    <x:row r="1171">
      <x:c r="A1171" t="s">
        <x:v>1530</x:v>
      </x:c>
      <x:c r="C1171" t="s">
        <x:v>319</x:v>
      </x:c>
      <x:c r="D1171">
        <x:v>8482214</x:v>
      </x:c>
      <x:c r="E1171">
        <x:v>58</x:v>
      </x:c>
      <x:c r="F1171">
        <x:v>36</x:v>
      </x:c>
      <x:c r="G1171">
        <x:v>91</x:v>
      </x:c>
      <x:c r="H1171">
        <x:v>45</x:v>
      </x:c>
      <x:c r="I1171">
        <x:v>77</x:v>
      </x:c>
      <x:c r="J1171">
        <x:v>87</x:v>
      </x:c>
      <x:c r="K1171">
        <x:v>91</x:v>
      </x:c>
      <x:c r="L1171">
        <x:v>44</x:v>
      </x:c>
      <x:c r="M1171">
        <x:v>61</x:v>
      </x:c>
      <x:c r="N1171">
        <x:v>44</x:v>
      </x:c>
      <x:c r="O1171">
        <x:v>45</x:v>
      </x:c>
      <x:c r="P1171">
        <x:v>62</x:v>
      </x:c>
      <x:c r="Q1171">
        <x:v>65</x:v>
      </x:c>
      <x:c r="R1171">
        <x:v>66</x:v>
      </x:c>
      <x:c r="S1171">
        <x:v>66</x:v>
      </x:c>
      <x:c r="T1171">
        <x:v>51</x:v>
      </x:c>
      <x:c r="U1171">
        <x:v>49</x:v>
      </x:c>
    </x:row>
    <x:row r="1172">
      <x:c r="A1172" t="s">
        <x:v>1531</x:v>
      </x:c>
      <x:c r="C1172" t="s">
        <x:v>331</x:v>
      </x:c>
      <x:c r="D1172">
        <x:v>8481566</x:v>
      </x:c>
      <x:c r="E1172">
        <x:v>68</x:v>
      </x:c>
      <x:c r="F1172">
        <x:v>38</x:v>
      </x:c>
      <x:c r="G1172">
        <x:v>90</x:v>
      </x:c>
      <x:c r="H1172">
        <x:v>32</x:v>
      </x:c>
      <x:c r="I1172">
        <x:v>80</x:v>
      </x:c>
      <x:c r="J1172">
        <x:v>73</x:v>
      </x:c>
      <x:c r="K1172">
        <x:v>75</x:v>
      </x:c>
      <x:c r="L1172">
        <x:v>31</x:v>
      </x:c>
      <x:c r="M1172">
        <x:v>30</x:v>
      </x:c>
      <x:c r="N1172">
        <x:v>40</x:v>
      </x:c>
      <x:c r="O1172">
        <x:v>38</x:v>
      </x:c>
      <x:c r="P1172">
        <x:v>65</x:v>
      </x:c>
      <x:c r="Q1172">
        <x:v>44</x:v>
      </x:c>
      <x:c r="R1172">
        <x:v>68</x:v>
      </x:c>
      <x:c r="S1172">
        <x:v>69</x:v>
      </x:c>
      <x:c r="T1172">
        <x:v>51</x:v>
      </x:c>
      <x:c r="U1172">
        <x:v>49</x:v>
      </x:c>
    </x:row>
    <x:row r="1173">
      <x:c r="A1173" t="s">
        <x:v>1532</x:v>
      </x:c>
      <x:c r="C1173" t="s">
        <x:v>331</x:v>
      </x:c>
      <x:c r="D1173">
        <x:v>8485459</x:v>
      </x:c>
      <x:c r="E1173">
        <x:v>75</x:v>
      </x:c>
      <x:c r="F1173">
        <x:v>38</x:v>
      </x:c>
      <x:c r="G1173">
        <x:v>85</x:v>
      </x:c>
      <x:c r="H1173">
        <x:v>32</x:v>
      </x:c>
      <x:c r="I1173">
        <x:v>78</x:v>
      </x:c>
      <x:c r="J1173">
        <x:v>72</x:v>
      </x:c>
      <x:c r="K1173">
        <x:v>76</x:v>
      </x:c>
      <x:c r="L1173">
        <x:v>32</x:v>
      </x:c>
      <x:c r="M1173">
        <x:v>30</x:v>
      </x:c>
      <x:c r="N1173">
        <x:v>40</x:v>
      </x:c>
      <x:c r="O1173">
        <x:v>39</x:v>
      </x:c>
      <x:c r="P1173">
        <x:v>63</x:v>
      </x:c>
      <x:c r="Q1173">
        <x:v>44</x:v>
      </x:c>
      <x:c r="R1173">
        <x:v>68</x:v>
      </x:c>
      <x:c r="S1173">
        <x:v>67</x:v>
      </x:c>
      <x:c r="T1173">
        <x:v>51</x:v>
      </x:c>
      <x:c r="U1173">
        <x:v>49</x:v>
      </x:c>
    </x:row>
    <x:row r="1174">
      <x:c r="A1174" t="s">
        <x:v>1533</x:v>
      </x:c>
      <x:c r="C1174" t="s">
        <x:v>331</x:v>
      </x:c>
      <x:c r="D1174">
        <x:v>8484130</x:v>
      </x:c>
      <x:c r="E1174">
        <x:v>73</x:v>
      </x:c>
      <x:c r="F1174">
        <x:v>38</x:v>
      </x:c>
      <x:c r="G1174">
        <x:v>89</x:v>
      </x:c>
      <x:c r="H1174">
        <x:v>30</x:v>
      </x:c>
      <x:c r="I1174">
        <x:v>79</x:v>
      </x:c>
      <x:c r="J1174">
        <x:v>75</x:v>
      </x:c>
      <x:c r="K1174">
        <x:v>77</x:v>
      </x:c>
      <x:c r="L1174">
        <x:v>30</x:v>
      </x:c>
      <x:c r="M1174">
        <x:v>30</x:v>
      </x:c>
      <x:c r="N1174">
        <x:v>38</x:v>
      </x:c>
      <x:c r="O1174">
        <x:v>37</x:v>
      </x:c>
      <x:c r="P1174">
        <x:v>63</x:v>
      </x:c>
      <x:c r="Q1174">
        <x:v>43</x:v>
      </x:c>
      <x:c r="R1174">
        <x:v>70</x:v>
      </x:c>
      <x:c r="S1174">
        <x:v>69</x:v>
      </x:c>
      <x:c r="T1174">
        <x:v>51</x:v>
      </x:c>
      <x:c r="U1174">
        <x:v>49</x:v>
      </x:c>
    </x:row>
    <x:row r="1175">
      <x:c r="A1175" t="s">
        <x:v>1534</x:v>
      </x:c>
      <x:c r="B1175" t="s">
        <x:v>584</x:v>
      </x:c>
      <x:c r="C1175" t="s">
        <x:v>331</x:v>
      </x:c>
      <x:c r="D1175">
        <x:v>8483545</x:v>
      </x:c>
      <x:c r="E1175">
        <x:v>69</x:v>
      </x:c>
      <x:c r="F1175">
        <x:v>35</x:v>
      </x:c>
      <x:c r="G1175">
        <x:v>91</x:v>
      </x:c>
      <x:c r="H1175">
        <x:v>30</x:v>
      </x:c>
      <x:c r="I1175">
        <x:v>82</x:v>
      </x:c>
      <x:c r="J1175">
        <x:v>68</x:v>
      </x:c>
      <x:c r="K1175">
        <x:v>71</x:v>
      </x:c>
      <x:c r="L1175">
        <x:v>30</x:v>
      </x:c>
      <x:c r="M1175">
        <x:v>30</x:v>
      </x:c>
      <x:c r="N1175">
        <x:v>39</x:v>
      </x:c>
      <x:c r="O1175">
        <x:v>38</x:v>
      </x:c>
      <x:c r="P1175">
        <x:v>65</x:v>
      </x:c>
      <x:c r="Q1175">
        <x:v>43</x:v>
      </x:c>
      <x:c r="R1175">
        <x:v>72</x:v>
      </x:c>
      <x:c r="S1175">
        <x:v>71</x:v>
      </x:c>
      <x:c r="T1175">
        <x:v>51</x:v>
      </x:c>
      <x:c r="U1175">
        <x:v>49</x:v>
      </x:c>
    </x:row>
    <x:row r="1176">
      <x:c r="A1176" t="s">
        <x:v>1535</x:v>
      </x:c>
      <x:c r="C1176" t="s">
        <x:v>319</x:v>
      </x:c>
      <x:c r="D1176">
        <x:v>8478914</x:v>
      </x:c>
      <x:c r="E1176">
        <x:v>89</x:v>
      </x:c>
      <x:c r="F1176">
        <x:v>43</x:v>
      </x:c>
      <x:c r="G1176">
        <x:v>81</x:v>
      </x:c>
      <x:c r="H1176">
        <x:v>41</x:v>
      </x:c>
      <x:c r="I1176">
        <x:v>87</x:v>
      </x:c>
      <x:c r="J1176">
        <x:v>88</x:v>
      </x:c>
      <x:c r="K1176">
        <x:v>93</x:v>
      </x:c>
      <x:c r="L1176">
        <x:v>41</x:v>
      </x:c>
      <x:c r="M1176">
        <x:v>80</x:v>
      </x:c>
      <x:c r="N1176">
        <x:v>43</x:v>
      </x:c>
      <x:c r="O1176">
        <x:v>43</x:v>
      </x:c>
      <x:c r="P1176">
        <x:v>58</x:v>
      </x:c>
      <x:c r="Q1176">
        <x:v>63</x:v>
      </x:c>
      <x:c r="R1176">
        <x:v>71</x:v>
      </x:c>
      <x:c r="S1176">
        <x:v>72</x:v>
      </x:c>
      <x:c r="T1176">
        <x:v>51</x:v>
      </x:c>
      <x:c r="U1176">
        <x:v>49</x:v>
      </x:c>
    </x:row>
    <x:row r="1177">
      <x:c r="A1177" t="s">
        <x:v>1536</x:v>
      </x:c>
      <x:c r="C1177" t="s">
        <x:v>319</x:v>
      </x:c>
      <x:c r="D1177">
        <x:v>8482458</x:v>
      </x:c>
      <x:c r="E1177">
        <x:v>56</x:v>
      </x:c>
      <x:c r="F1177">
        <x:v>36</x:v>
      </x:c>
      <x:c r="G1177">
        <x:v>87</x:v>
      </x:c>
      <x:c r="H1177">
        <x:v>45</x:v>
      </x:c>
      <x:c r="I1177">
        <x:v>74</x:v>
      </x:c>
      <x:c r="J1177">
        <x:v>83</x:v>
      </x:c>
      <x:c r="K1177">
        <x:v>87</x:v>
      </x:c>
      <x:c r="L1177">
        <x:v>44</x:v>
      </x:c>
      <x:c r="M1177">
        <x:v>72</x:v>
      </x:c>
      <x:c r="N1177">
        <x:v>50</x:v>
      </x:c>
      <x:c r="O1177">
        <x:v>43</x:v>
      </x:c>
      <x:c r="P1177">
        <x:v>58</x:v>
      </x:c>
      <x:c r="Q1177">
        <x:v>65</x:v>
      </x:c>
      <x:c r="R1177">
        <x:v>68</x:v>
      </x:c>
      <x:c r="S1177">
        <x:v>69</x:v>
      </x:c>
      <x:c r="T1177">
        <x:v>51</x:v>
      </x:c>
      <x:c r="U1177">
        <x:v>49</x:v>
      </x:c>
    </x:row>
    <x:row r="1178">
      <x:c r="A1178" t="s">
        <x:v>1537</x:v>
      </x:c>
      <x:c r="B1178" t="s">
        <x:v>584</x:v>
      </x:c>
      <x:c r="C1178" t="s">
        <x:v>319</x:v>
      </x:c>
      <x:c r="D1178">
        <x:v>8478056</x:v>
      </x:c>
      <x:c r="E1178">
        <x:v>69</x:v>
      </x:c>
      <x:c r="F1178">
        <x:v>35</x:v>
      </x:c>
      <x:c r="G1178">
        <x:v>80</x:v>
      </x:c>
      <x:c r="H1178">
        <x:v>43</x:v>
      </x:c>
      <x:c r="I1178">
        <x:v>80</x:v>
      </x:c>
      <x:c r="J1178">
        <x:v>93</x:v>
      </x:c>
      <x:c r="K1178">
        <x:v>97</x:v>
      </x:c>
      <x:c r="L1178">
        <x:v>43</x:v>
      </x:c>
      <x:c r="M1178">
        <x:v>76</x:v>
      </x:c>
      <x:c r="N1178">
        <x:v>42</x:v>
      </x:c>
      <x:c r="O1178">
        <x:v>44</x:v>
      </x:c>
      <x:c r="P1178">
        <x:v>61</x:v>
      </x:c>
      <x:c r="Q1178">
        <x:v>63</x:v>
      </x:c>
      <x:c r="R1178">
        <x:v>72</x:v>
      </x:c>
      <x:c r="S1178">
        <x:v>72</x:v>
      </x:c>
      <x:c r="T1178">
        <x:v>51</x:v>
      </x:c>
      <x:c r="U1178">
        <x:v>49</x:v>
      </x:c>
    </x:row>
    <x:row r="1179">
      <x:c r="A1179" t="s">
        <x:v>1538</x:v>
      </x:c>
      <x:c r="C1179" t="s">
        <x:v>331</x:v>
      </x:c>
      <x:c r="D1179">
        <x:v>8485998</x:v>
      </x:c>
      <x:c r="E1179">
        <x:v>66</x:v>
      </x:c>
      <x:c r="F1179">
        <x:v>36</x:v>
      </x:c>
      <x:c r="G1179">
        <x:v>89</x:v>
      </x:c>
      <x:c r="H1179">
        <x:v>30</x:v>
      </x:c>
      <x:c r="I1179">
        <x:v>79</x:v>
      </x:c>
      <x:c r="J1179">
        <x:v>67</x:v>
      </x:c>
      <x:c r="K1179">
        <x:v>70</x:v>
      </x:c>
      <x:c r="L1179">
        <x:v>30</x:v>
      </x:c>
      <x:c r="M1179">
        <x:v>30</x:v>
      </x:c>
      <x:c r="N1179">
        <x:v>39</x:v>
      </x:c>
      <x:c r="O1179">
        <x:v>38</x:v>
      </x:c>
      <x:c r="P1179">
        <x:v>66</x:v>
      </x:c>
      <x:c r="Q1179">
        <x:v>43</x:v>
      </x:c>
      <x:c r="R1179">
        <x:v>68</x:v>
      </x:c>
      <x:c r="S1179">
        <x:v>67</x:v>
      </x:c>
      <x:c r="T1179">
        <x:v>51</x:v>
      </x:c>
      <x:c r="U1179">
        <x:v>49</x:v>
      </x:c>
    </x:row>
    <x:row r="1180">
      <x:c r="A1180" t="s">
        <x:v>1539</x:v>
      </x:c>
      <x:c r="C1180" t="s">
        <x:v>331</x:v>
      </x:c>
      <x:c r="E1180">
        <x:v>65</x:v>
      </x:c>
      <x:c r="F1180">
        <x:v>32</x:v>
      </x:c>
      <x:c r="G1180">
        <x:v>67</x:v>
      </x:c>
      <x:c r="H1180">
        <x:v>31</x:v>
      </x:c>
      <x:c r="I1180">
        <x:v>81</x:v>
      </x:c>
      <x:c r="J1180">
        <x:v>68</x:v>
      </x:c>
      <x:c r="K1180">
        <x:v>71</x:v>
      </x:c>
      <x:c r="L1180">
        <x:v>31</x:v>
      </x:c>
      <x:c r="M1180">
        <x:v>30</x:v>
      </x:c>
      <x:c r="N1180">
        <x:v>42</x:v>
      </x:c>
      <x:c r="O1180">
        <x:v>38</x:v>
      </x:c>
      <x:c r="P1180">
        <x:v>64</x:v>
      </x:c>
      <x:c r="Q1180">
        <x:v>45</x:v>
      </x:c>
      <x:c r="R1180">
        <x:v>68</x:v>
      </x:c>
      <x:c r="S1180">
        <x:v>68</x:v>
      </x:c>
      <x:c r="T1180">
        <x:v>51</x:v>
      </x:c>
      <x:c r="U1180">
        <x:v>49</x:v>
      </x:c>
    </x:row>
    <x:row r="1181">
      <x:c r="A1181" t="s">
        <x:v>1540</x:v>
      </x:c>
      <x:c r="C1181" t="s">
        <x:v>331</x:v>
      </x:c>
      <x:c r="D1181">
        <x:v>8483003</x:v>
      </x:c>
      <x:c r="E1181">
        <x:v>67</x:v>
      </x:c>
      <x:c r="F1181">
        <x:v>38</x:v>
      </x:c>
      <x:c r="G1181">
        <x:v>92</x:v>
      </x:c>
      <x:c r="H1181">
        <x:v>32</x:v>
      </x:c>
      <x:c r="I1181">
        <x:v>76</x:v>
      </x:c>
      <x:c r="J1181">
        <x:v>76</x:v>
      </x:c>
      <x:c r="K1181">
        <x:v>79</x:v>
      </x:c>
      <x:c r="L1181">
        <x:v>33</x:v>
      </x:c>
      <x:c r="M1181">
        <x:v>30</x:v>
      </x:c>
      <x:c r="N1181">
        <x:v>44</x:v>
      </x:c>
      <x:c r="O1181">
        <x:v>39</x:v>
      </x:c>
      <x:c r="P1181">
        <x:v>62</x:v>
      </x:c>
      <x:c r="Q1181">
        <x:v>47</x:v>
      </x:c>
      <x:c r="R1181">
        <x:v>67</x:v>
      </x:c>
      <x:c r="S1181">
        <x:v>66</x:v>
      </x:c>
      <x:c r="T1181">
        <x:v>51</x:v>
      </x:c>
      <x:c r="U1181">
        <x:v>49</x:v>
      </x:c>
    </x:row>
    <x:row r="1182">
      <x:c r="A1182" t="s">
        <x:v>1541</x:v>
      </x:c>
      <x:c r="C1182" t="s">
        <x:v>331</x:v>
      </x:c>
      <x:c r="D1182">
        <x:v>8486158</x:v>
      </x:c>
      <x:c r="E1182">
        <x:v>63</x:v>
      </x:c>
      <x:c r="F1182">
        <x:v>36</x:v>
      </x:c>
      <x:c r="G1182">
        <x:v>88</x:v>
      </x:c>
      <x:c r="H1182">
        <x:v>32</x:v>
      </x:c>
      <x:c r="I1182">
        <x:v>79</x:v>
      </x:c>
      <x:c r="J1182">
        <x:v>70</x:v>
      </x:c>
      <x:c r="K1182">
        <x:v>73</x:v>
      </x:c>
      <x:c r="L1182">
        <x:v>33</x:v>
      </x:c>
      <x:c r="M1182">
        <x:v>30</x:v>
      </x:c>
      <x:c r="N1182">
        <x:v>41</x:v>
      </x:c>
      <x:c r="O1182">
        <x:v>40</x:v>
      </x:c>
      <x:c r="P1182">
        <x:v>67</x:v>
      </x:c>
      <x:c r="Q1182">
        <x:v>45</x:v>
      </x:c>
      <x:c r="R1182">
        <x:v>67</x:v>
      </x:c>
      <x:c r="S1182">
        <x:v>67</x:v>
      </x:c>
      <x:c r="T1182">
        <x:v>51</x:v>
      </x:c>
      <x:c r="U1182">
        <x:v>49</x:v>
      </x:c>
    </x:row>
    <x:row r="1183">
      <x:c r="A1183" t="s">
        <x:v>1542</x:v>
      </x:c>
      <x:c r="C1183" t="s">
        <x:v>358</x:v>
      </x:c>
      <x:c r="D1183">
        <x:v>8480019</x:v>
      </x:c>
      <x:c r="E1183">
        <x:v>76</x:v>
      </x:c>
      <x:c r="F1183">
        <x:v>37</x:v>
      </x:c>
      <x:c r="G1183">
        <x:v>76</x:v>
      </x:c>
      <x:c r="H1183">
        <x:v>41</x:v>
      </x:c>
      <x:c r="I1183">
        <x:v>87</x:v>
      </x:c>
      <x:c r="J1183">
        <x:v>82</x:v>
      </x:c>
      <x:c r="K1183">
        <x:v>85</x:v>
      </x:c>
      <x:c r="L1183">
        <x:v>40</x:v>
      </x:c>
      <x:c r="M1183">
        <x:v>61</x:v>
      </x:c>
      <x:c r="N1183">
        <x:v>43</x:v>
      </x:c>
      <x:c r="O1183">
        <x:v>42</x:v>
      </x:c>
      <x:c r="P1183">
        <x:v>65</x:v>
      </x:c>
      <x:c r="Q1183">
        <x:v>63</x:v>
      </x:c>
      <x:c r="R1183">
        <x:v>69</x:v>
      </x:c>
      <x:c r="S1183">
        <x:v>70</x:v>
      </x:c>
      <x:c r="T1183">
        <x:v>51</x:v>
      </x:c>
      <x:c r="U1183">
        <x:v>49</x:v>
      </x:c>
    </x:row>
    <x:row r="1184">
      <x:c r="A1184" t="s">
        <x:v>1543</x:v>
      </x:c>
      <x:c r="C1184" t="s">
        <x:v>331</x:v>
      </x:c>
      <x:c r="D1184">
        <x:v>8486155</x:v>
      </x:c>
      <x:c r="E1184">
        <x:v>66</x:v>
      </x:c>
      <x:c r="F1184">
        <x:v>38</x:v>
      </x:c>
      <x:c r="G1184">
        <x:v>89</x:v>
      </x:c>
      <x:c r="H1184">
        <x:v>30</x:v>
      </x:c>
      <x:c r="I1184">
        <x:v>83</x:v>
      </x:c>
      <x:c r="J1184">
        <x:v>67</x:v>
      </x:c>
      <x:c r="K1184">
        <x:v>70</x:v>
      </x:c>
      <x:c r="L1184">
        <x:v>30</x:v>
      </x:c>
      <x:c r="M1184">
        <x:v>30</x:v>
      </x:c>
      <x:c r="N1184">
        <x:v>39</x:v>
      </x:c>
      <x:c r="O1184">
        <x:v>38</x:v>
      </x:c>
      <x:c r="P1184">
        <x:v>67</x:v>
      </x:c>
      <x:c r="Q1184">
        <x:v>43</x:v>
      </x:c>
      <x:c r="R1184">
        <x:v>67</x:v>
      </x:c>
      <x:c r="S1184">
        <x:v>66</x:v>
      </x:c>
      <x:c r="T1184">
        <x:v>51</x:v>
      </x:c>
      <x:c r="U1184">
        <x:v>49</x:v>
      </x:c>
    </x:row>
    <x:row r="1185">
      <x:c r="A1185" t="s">
        <x:v>1544</x:v>
      </x:c>
      <x:c r="B1185" t="s">
        <x:v>584</x:v>
      </x:c>
      <x:c r="C1185" t="s">
        <x:v>331</x:v>
      </x:c>
      <x:c r="E1185">
        <x:v>65</x:v>
      </x:c>
      <x:c r="F1185">
        <x:v>34</x:v>
      </x:c>
      <x:c r="G1185">
        <x:v>87</x:v>
      </x:c>
      <x:c r="H1185">
        <x:v>32</x:v>
      </x:c>
      <x:c r="I1185">
        <x:v>80</x:v>
      </x:c>
      <x:c r="J1185">
        <x:v>76</x:v>
      </x:c>
      <x:c r="K1185">
        <x:v>79</x:v>
      </x:c>
      <x:c r="L1185">
        <x:v>32</x:v>
      </x:c>
      <x:c r="M1185">
        <x:v>30</x:v>
      </x:c>
      <x:c r="N1185">
        <x:v>42</x:v>
      </x:c>
      <x:c r="O1185">
        <x:v>39</x:v>
      </x:c>
      <x:c r="P1185">
        <x:v>66</x:v>
      </x:c>
      <x:c r="Q1185">
        <x:v>45</x:v>
      </x:c>
      <x:c r="R1185">
        <x:v>67</x:v>
      </x:c>
      <x:c r="S1185">
        <x:v>66</x:v>
      </x:c>
      <x:c r="T1185">
        <x:v>51</x:v>
      </x:c>
      <x:c r="U1185">
        <x:v>49</x:v>
      </x:c>
    </x:row>
    <x:row r="1186">
      <x:c r="A1186" t="s">
        <x:v>1545</x:v>
      </x:c>
      <x:c r="C1186" t="s">
        <x:v>326</x:v>
      </x:c>
      <x:c r="D1186">
        <x:v>8483920</x:v>
      </x:c>
      <x:c r="E1186">
        <x:v>67</x:v>
      </x:c>
      <x:c r="F1186">
        <x:v>37</x:v>
      </x:c>
      <x:c r="G1186">
        <x:v>84</x:v>
      </x:c>
      <x:c r="H1186">
        <x:v>45</x:v>
      </x:c>
      <x:c r="I1186">
        <x:v>74</x:v>
      </x:c>
      <x:c r="J1186">
        <x:v>79</x:v>
      </x:c>
      <x:c r="K1186">
        <x:v>79</x:v>
      </x:c>
      <x:c r="L1186">
        <x:v>46</x:v>
      </x:c>
      <x:c r="M1186">
        <x:v>66</x:v>
      </x:c>
      <x:c r="N1186">
        <x:v>47</x:v>
      </x:c>
      <x:c r="O1186">
        <x:v>44</x:v>
      </x:c>
      <x:c r="P1186">
        <x:v>58</x:v>
      </x:c>
      <x:c r="Q1186">
        <x:v>67</x:v>
      </x:c>
      <x:c r="R1186">
        <x:v>68</x:v>
      </x:c>
      <x:c r="S1186">
        <x:v>67</x:v>
      </x:c>
      <x:c r="T1186">
        <x:v>51</x:v>
      </x:c>
      <x:c r="U1186">
        <x:v>49</x:v>
      </x:c>
    </x:row>
    <x:row r="1187">
      <x:c r="A1187" t="s">
        <x:v>1546</x:v>
      </x:c>
      <x:c r="C1187" t="s">
        <x:v>326</x:v>
      </x:c>
      <x:c r="D1187">
        <x:v>8478867</x:v>
      </x:c>
      <x:c r="E1187">
        <x:v>70</x:v>
      </x:c>
      <x:c r="F1187">
        <x:v>35</x:v>
      </x:c>
      <x:c r="G1187">
        <x:v>82</x:v>
      </x:c>
      <x:c r="H1187">
        <x:v>42</x:v>
      </x:c>
      <x:c r="I1187">
        <x:v>80</x:v>
      </x:c>
      <x:c r="J1187">
        <x:v>79</x:v>
      </x:c>
      <x:c r="K1187">
        <x:v>79</x:v>
      </x:c>
      <x:c r="L1187">
        <x:v>42</x:v>
      </x:c>
      <x:c r="M1187">
        <x:v>60</x:v>
      </x:c>
      <x:c r="N1187">
        <x:v>44</x:v>
      </x:c>
      <x:c r="O1187">
        <x:v>43</x:v>
      </x:c>
      <x:c r="P1187">
        <x:v>58</x:v>
      </x:c>
      <x:c r="Q1187">
        <x:v>64</x:v>
      </x:c>
      <x:c r="R1187">
        <x:v>72</x:v>
      </x:c>
      <x:c r="S1187">
        <x:v>71</x:v>
      </x:c>
      <x:c r="T1187">
        <x:v>51</x:v>
      </x:c>
      <x:c r="U1187">
        <x:v>49</x:v>
      </x:c>
    </x:row>
    <x:row r="1188">
      <x:c r="A1188" t="s">
        <x:v>1547</x:v>
      </x:c>
      <x:c r="B1188" t="s">
        <x:v>584</x:v>
      </x:c>
      <x:c r="C1188" t="s">
        <x:v>331</x:v>
      </x:c>
      <x:c r="D1188">
        <x:v>8479594</x:v>
      </x:c>
      <x:c r="E1188">
        <x:v>63</x:v>
      </x:c>
      <x:c r="F1188">
        <x:v>37</x:v>
      </x:c>
      <x:c r="G1188">
        <x:v>86</x:v>
      </x:c>
      <x:c r="H1188">
        <x:v>32</x:v>
      </x:c>
      <x:c r="I1188">
        <x:v>83</x:v>
      </x:c>
      <x:c r="J1188">
        <x:v>82</x:v>
      </x:c>
      <x:c r="K1188">
        <x:v>86</x:v>
      </x:c>
      <x:c r="L1188">
        <x:v>32</x:v>
      </x:c>
      <x:c r="M1188">
        <x:v>30</x:v>
      </x:c>
      <x:c r="N1188">
        <x:v>42</x:v>
      </x:c>
      <x:c r="O1188">
        <x:v>39</x:v>
      </x:c>
      <x:c r="P1188">
        <x:v>65</x:v>
      </x:c>
      <x:c r="Q1188">
        <x:v>45</x:v>
      </x:c>
      <x:c r="R1188">
        <x:v>69</x:v>
      </x:c>
      <x:c r="S1188">
        <x:v>68</x:v>
      </x:c>
      <x:c r="T1188">
        <x:v>51</x:v>
      </x:c>
      <x:c r="U1188">
        <x:v>49</x:v>
      </x:c>
    </x:row>
    <x:row r="1189">
      <x:c r="A1189" t="s">
        <x:v>1548</x:v>
      </x:c>
      <x:c r="C1189" t="s">
        <x:v>358</x:v>
      </x:c>
      <x:c r="D1189">
        <x:v>8479746</x:v>
      </x:c>
      <x:c r="E1189">
        <x:v>60</x:v>
      </x:c>
      <x:c r="F1189">
        <x:v>37</x:v>
      </x:c>
      <x:c r="G1189">
        <x:v>81</x:v>
      </x:c>
      <x:c r="H1189">
        <x:v>45</x:v>
      </x:c>
      <x:c r="I1189">
        <x:v>77</x:v>
      </x:c>
      <x:c r="J1189">
        <x:v>88</x:v>
      </x:c>
      <x:c r="K1189">
        <x:v>90</x:v>
      </x:c>
      <x:c r="L1189">
        <x:v>45</x:v>
      </x:c>
      <x:c r="M1189">
        <x:v>46</x:v>
      </x:c>
      <x:c r="N1189">
        <x:v>44</x:v>
      </x:c>
      <x:c r="O1189">
        <x:v>45</x:v>
      </x:c>
      <x:c r="P1189">
        <x:v>58</x:v>
      </x:c>
      <x:c r="Q1189">
        <x:v>65</x:v>
      </x:c>
      <x:c r="R1189">
        <x:v>70</x:v>
      </x:c>
      <x:c r="S1189">
        <x:v>71</x:v>
      </x:c>
      <x:c r="T1189">
        <x:v>51</x:v>
      </x:c>
      <x:c r="U1189">
        <x:v>49</x:v>
      </x:c>
    </x:row>
    <x:row r="1190">
      <x:c r="A1190" t="s">
        <x:v>1549</x:v>
      </x:c>
      <x:c r="C1190" t="s">
        <x:v>358</x:v>
      </x:c>
      <x:c r="D1190">
        <x:v>8476353</x:v>
      </x:c>
      <x:c r="E1190">
        <x:v>80</x:v>
      </x:c>
      <x:c r="F1190">
        <x:v>53</x:v>
      </x:c>
      <x:c r="G1190">
        <x:v>73</x:v>
      </x:c>
      <x:c r="H1190">
        <x:v>36</x:v>
      </x:c>
      <x:c r="I1190">
        <x:v>82</x:v>
      </x:c>
      <x:c r="J1190">
        <x:v>78</x:v>
      </x:c>
      <x:c r="K1190">
        <x:v>81</x:v>
      </x:c>
      <x:c r="L1190">
        <x:v>35</x:v>
      </x:c>
      <x:c r="M1190">
        <x:v>62</x:v>
      </x:c>
      <x:c r="N1190">
        <x:v>39</x:v>
      </x:c>
      <x:c r="O1190">
        <x:v>39</x:v>
      </x:c>
      <x:c r="P1190">
        <x:v>60</x:v>
      </x:c>
      <x:c r="Q1190">
        <x:v>57</x:v>
      </x:c>
      <x:c r="R1190">
        <x:v>80</x:v>
      </x:c>
      <x:c r="S1190">
        <x:v>79</x:v>
      </x:c>
      <x:c r="T1190">
        <x:v>51</x:v>
      </x:c>
      <x:c r="U1190">
        <x:v>49</x:v>
      </x:c>
    </x:row>
    <x:row r="1191">
      <x:c r="A1191" t="s">
        <x:v>1550</x:v>
      </x:c>
      <x:c r="C1191" t="s">
        <x:v>319</x:v>
      </x:c>
      <x:c r="D1191">
        <x:v>8484224</x:v>
      </x:c>
      <x:c r="E1191">
        <x:v>60</x:v>
      </x:c>
      <x:c r="F1191">
        <x:v>36</x:v>
      </x:c>
      <x:c r="G1191">
        <x:v>86</x:v>
      </x:c>
      <x:c r="H1191">
        <x:v>46</x:v>
      </x:c>
      <x:c r="I1191">
        <x:v>76</x:v>
      </x:c>
      <x:c r="J1191">
        <x:v>76</x:v>
      </x:c>
      <x:c r="K1191">
        <x:v>79</x:v>
      </x:c>
      <x:c r="L1191">
        <x:v>46</x:v>
      </x:c>
      <x:c r="M1191">
        <x:v>74</x:v>
      </x:c>
      <x:c r="N1191">
        <x:v>49</x:v>
      </x:c>
      <x:c r="O1191">
        <x:v>43</x:v>
      </x:c>
      <x:c r="P1191">
        <x:v>59</x:v>
      </x:c>
      <x:c r="Q1191">
        <x:v>67</x:v>
      </x:c>
      <x:c r="R1191">
        <x:v>65</x:v>
      </x:c>
      <x:c r="S1191">
        <x:v>65</x:v>
      </x:c>
      <x:c r="T1191">
        <x:v>51</x:v>
      </x:c>
      <x:c r="U1191">
        <x:v>49</x:v>
      </x:c>
    </x:row>
    <x:row r="1192">
      <x:c r="A1192" t="s">
        <x:v>1551</x:v>
      </x:c>
      <x:c r="C1192" t="s">
        <x:v>331</x:v>
      </x:c>
      <x:c r="D1192">
        <x:v>8486120</x:v>
      </x:c>
      <x:c r="E1192">
        <x:v>68</x:v>
      </x:c>
      <x:c r="F1192">
        <x:v>32</x:v>
      </x:c>
      <x:c r="G1192">
        <x:v>91</x:v>
      </x:c>
      <x:c r="H1192">
        <x:v>32</x:v>
      </x:c>
      <x:c r="I1192">
        <x:v>80</x:v>
      </x:c>
      <x:c r="J1192">
        <x:v>67</x:v>
      </x:c>
      <x:c r="K1192">
        <x:v>70</x:v>
      </x:c>
      <x:c r="L1192">
        <x:v>31</x:v>
      </x:c>
      <x:c r="M1192">
        <x:v>30</x:v>
      </x:c>
      <x:c r="N1192">
        <x:v>39</x:v>
      </x:c>
      <x:c r="O1192">
        <x:v>38</x:v>
      </x:c>
      <x:c r="P1192">
        <x:v>64</x:v>
      </x:c>
      <x:c r="Q1192">
        <x:v>43</x:v>
      </x:c>
      <x:c r="R1192">
        <x:v>66</x:v>
      </x:c>
      <x:c r="S1192">
        <x:v>66</x:v>
      </x:c>
      <x:c r="T1192">
        <x:v>51</x:v>
      </x:c>
      <x:c r="U1192">
        <x:v>49</x:v>
      </x:c>
    </x:row>
    <x:row r="1193">
      <x:c r="A1193" t="s">
        <x:v>1552</x:v>
      </x:c>
      <x:c r="C1193" t="s">
        <x:v>358</x:v>
      </x:c>
      <x:c r="D1193">
        <x:v>8484834</x:v>
      </x:c>
      <x:c r="E1193">
        <x:v>62</x:v>
      </x:c>
      <x:c r="F1193">
        <x:v>32</x:v>
      </x:c>
      <x:c r="G1193">
        <x:v>76</x:v>
      </x:c>
      <x:c r="H1193">
        <x:v>45</x:v>
      </x:c>
      <x:c r="I1193">
        <x:v>73</x:v>
      </x:c>
      <x:c r="J1193">
        <x:v>89</x:v>
      </x:c>
      <x:c r="K1193">
        <x:v>94</x:v>
      </x:c>
      <x:c r="L1193">
        <x:v>44</x:v>
      </x:c>
      <x:c r="M1193">
        <x:v>51</x:v>
      </x:c>
      <x:c r="N1193">
        <x:v>45</x:v>
      </x:c>
      <x:c r="O1193">
        <x:v>44</x:v>
      </x:c>
      <x:c r="P1193">
        <x:v>63</x:v>
      </x:c>
      <x:c r="Q1193">
        <x:v>65</x:v>
      </x:c>
      <x:c r="R1193">
        <x:v>67</x:v>
      </x:c>
      <x:c r="S1193">
        <x:v>68</x:v>
      </x:c>
      <x:c r="T1193">
        <x:v>51</x:v>
      </x:c>
      <x:c r="U1193">
        <x:v>49</x:v>
      </x:c>
    </x:row>
    <x:row r="1194">
      <x:c r="A1194" t="s">
        <x:v>1553</x:v>
      </x:c>
      <x:c r="C1194" t="s">
        <x:v>326</x:v>
      </x:c>
      <x:c r="D1194">
        <x:v>8483696</x:v>
      </x:c>
      <x:c r="E1194">
        <x:v>68</x:v>
      </x:c>
      <x:c r="F1194">
        <x:v>43</x:v>
      </x:c>
      <x:c r="G1194">
        <x:v>89</x:v>
      </x:c>
      <x:c r="H1194">
        <x:v>44</x:v>
      </x:c>
      <x:c r="I1194">
        <x:v>76</x:v>
      </x:c>
      <x:c r="J1194">
        <x:v>82</x:v>
      </x:c>
      <x:c r="K1194">
        <x:v>88</x:v>
      </x:c>
      <x:c r="L1194">
        <x:v>43</x:v>
      </x:c>
      <x:c r="M1194">
        <x:v>72</x:v>
      </x:c>
      <x:c r="N1194">
        <x:v>45</x:v>
      </x:c>
      <x:c r="O1194">
        <x:v>44</x:v>
      </x:c>
      <x:c r="P1194">
        <x:v>60</x:v>
      </x:c>
      <x:c r="Q1194">
        <x:v>66</x:v>
      </x:c>
      <x:c r="R1194">
        <x:v>67</x:v>
      </x:c>
      <x:c r="S1194">
        <x:v>67</x:v>
      </x:c>
      <x:c r="T1194">
        <x:v>51</x:v>
      </x:c>
      <x:c r="U1194">
        <x:v>49</x:v>
      </x:c>
    </x:row>
    <x:row r="1195">
      <x:c r="A1195" t="s">
        <x:v>1554</x:v>
      </x:c>
      <x:c r="B1195" t="s">
        <x:v>584</x:v>
      </x:c>
      <x:c r="C1195" t="s">
        <x:v>331</x:v>
      </x:c>
      <x:c r="D1195">
        <x:v>8485516</x:v>
      </x:c>
      <x:c r="E1195">
        <x:v>73</x:v>
      </x:c>
      <x:c r="F1195">
        <x:v>34</x:v>
      </x:c>
      <x:c r="G1195">
        <x:v>89</x:v>
      </x:c>
      <x:c r="H1195">
        <x:v>31</x:v>
      </x:c>
      <x:c r="I1195">
        <x:v>75</x:v>
      </x:c>
      <x:c r="J1195">
        <x:v>73</x:v>
      </x:c>
      <x:c r="K1195">
        <x:v>76</x:v>
      </x:c>
      <x:c r="L1195">
        <x:v>31</x:v>
      </x:c>
      <x:c r="M1195">
        <x:v>30</x:v>
      </x:c>
      <x:c r="N1195">
        <x:v>40</x:v>
      </x:c>
      <x:c r="O1195">
        <x:v>37</x:v>
      </x:c>
      <x:c r="P1195">
        <x:v>63</x:v>
      </x:c>
      <x:c r="Q1195">
        <x:v>44</x:v>
      </x:c>
      <x:c r="R1195">
        <x:v>68</x:v>
      </x:c>
      <x:c r="S1195">
        <x:v>67</x:v>
      </x:c>
      <x:c r="T1195">
        <x:v>47</x:v>
      </x:c>
      <x:c r="U1195">
        <x:v>49</x:v>
      </x:c>
    </x:row>
    <x:row r="1196">
      <x:c r="A1196" t="s">
        <x:v>1555</x:v>
      </x:c>
      <x:c r="C1196" t="s">
        <x:v>331</x:v>
      </x:c>
      <x:c r="D1196">
        <x:v>8484908</x:v>
      </x:c>
      <x:c r="E1196">
        <x:v>58</x:v>
      </x:c>
      <x:c r="F1196">
        <x:v>31</x:v>
      </x:c>
      <x:c r="G1196">
        <x:v>72</x:v>
      </x:c>
      <x:c r="H1196">
        <x:v>39</x:v>
      </x:c>
      <x:c r="I1196">
        <x:v>81</x:v>
      </x:c>
      <x:c r="J1196">
        <x:v>79</x:v>
      </x:c>
      <x:c r="K1196">
        <x:v>81</x:v>
      </x:c>
      <x:c r="L1196">
        <x:v>38</x:v>
      </x:c>
      <x:c r="M1196">
        <x:v>61</x:v>
      </x:c>
      <x:c r="N1196">
        <x:v>40</x:v>
      </x:c>
      <x:c r="O1196">
        <x:v>42</x:v>
      </x:c>
      <x:c r="P1196">
        <x:v>57</x:v>
      </x:c>
      <x:c r="Q1196">
        <x:v>60</x:v>
      </x:c>
      <x:c r="R1196">
        <x:v>69</x:v>
      </x:c>
      <x:c r="S1196">
        <x:v>69</x:v>
      </x:c>
      <x:c r="T1196">
        <x:v>51</x:v>
      </x:c>
      <x:c r="U1196">
        <x:v>49</x:v>
      </x:c>
    </x:row>
    <x:row r="1197">
      <x:c r="A1197" t="s">
        <x:v>1556</x:v>
      </x:c>
      <x:c r="C1197" t="s">
        <x:v>331</x:v>
      </x:c>
      <x:c r="D1197">
        <x:v>8484263</x:v>
      </x:c>
      <x:c r="E1197">
        <x:v>76</x:v>
      </x:c>
      <x:c r="F1197">
        <x:v>33</x:v>
      </x:c>
      <x:c r="G1197">
        <x:v>86</x:v>
      </x:c>
      <x:c r="H1197">
        <x:v>31</x:v>
      </x:c>
      <x:c r="I1197">
        <x:v>84</x:v>
      </x:c>
      <x:c r="J1197">
        <x:v>76</x:v>
      </x:c>
      <x:c r="K1197">
        <x:v>78</x:v>
      </x:c>
      <x:c r="L1197">
        <x:v>31</x:v>
      </x:c>
      <x:c r="M1197">
        <x:v>30</x:v>
      </x:c>
      <x:c r="N1197">
        <x:v>41</x:v>
      </x:c>
      <x:c r="O1197">
        <x:v>37</x:v>
      </x:c>
      <x:c r="P1197">
        <x:v>63</x:v>
      </x:c>
      <x:c r="Q1197">
        <x:v>44</x:v>
      </x:c>
      <x:c r="R1197">
        <x:v>69</x:v>
      </x:c>
      <x:c r="S1197">
        <x:v>68</x:v>
      </x:c>
      <x:c r="T1197">
        <x:v>51</x:v>
      </x:c>
      <x:c r="U1197">
        <x:v>49</x:v>
      </x:c>
    </x:row>
    <x:row r="1198">
      <x:c r="A1198" t="s">
        <x:v>1557</x:v>
      </x:c>
      <x:c r="C1198" t="s">
        <x:v>329</x:v>
      </x:c>
      <x:c r="D1198">
        <x:v>8482106</x:v>
      </x:c>
      <x:c r="E1198">
        <x:v>63</x:v>
      </x:c>
      <x:c r="F1198">
        <x:v>35</x:v>
      </x:c>
      <x:c r="G1198">
        <x:v>83</x:v>
      </x:c>
      <x:c r="H1198">
        <x:v>45</x:v>
      </x:c>
      <x:c r="I1198">
        <x:v>77</x:v>
      </x:c>
      <x:c r="J1198">
        <x:v>83</x:v>
      </x:c>
      <x:c r="K1198">
        <x:v>85</x:v>
      </x:c>
      <x:c r="L1198">
        <x:v>44</x:v>
      </x:c>
      <x:c r="M1198">
        <x:v>64</x:v>
      </x:c>
      <x:c r="N1198">
        <x:v>47</x:v>
      </x:c>
      <x:c r="O1198">
        <x:v>45</x:v>
      </x:c>
      <x:c r="P1198">
        <x:v>61</x:v>
      </x:c>
      <x:c r="Q1198">
        <x:v>67</x:v>
      </x:c>
      <x:c r="R1198">
        <x:v>67</x:v>
      </x:c>
      <x:c r="S1198">
        <x:v>66</x:v>
      </x:c>
      <x:c r="T1198">
        <x:v>51</x:v>
      </x:c>
      <x:c r="U1198">
        <x:v>49</x:v>
      </x:c>
    </x:row>
    <x:row r="1199">
      <x:c r="A1199" t="s">
        <x:v>1558</x:v>
      </x:c>
      <x:c r="C1199" t="s">
        <x:v>331</x:v>
      </x:c>
      <x:c r="D1199">
        <x:v>8482138</x:v>
      </x:c>
      <x:c r="E1199">
        <x:v>72</x:v>
      </x:c>
      <x:c r="F1199">
        <x:v>36</x:v>
      </x:c>
      <x:c r="G1199">
        <x:v>88</x:v>
      </x:c>
      <x:c r="H1199">
        <x:v>31</x:v>
      </x:c>
      <x:c r="I1199">
        <x:v>81</x:v>
      </x:c>
      <x:c r="J1199">
        <x:v>82</x:v>
      </x:c>
      <x:c r="K1199">
        <x:v>85</x:v>
      </x:c>
      <x:c r="L1199">
        <x:v>31</x:v>
      </x:c>
      <x:c r="M1199">
        <x:v>30</x:v>
      </x:c>
      <x:c r="N1199">
        <x:v>40</x:v>
      </x:c>
      <x:c r="O1199">
        <x:v>38</x:v>
      </x:c>
      <x:c r="P1199">
        <x:v>66</x:v>
      </x:c>
      <x:c r="Q1199">
        <x:v>44</x:v>
      </x:c>
      <x:c r="R1199">
        <x:v>67</x:v>
      </x:c>
      <x:c r="S1199">
        <x:v>68</x:v>
      </x:c>
      <x:c r="T1199">
        <x:v>51</x:v>
      </x:c>
      <x:c r="U1199">
        <x:v>49</x:v>
      </x:c>
    </x:row>
    <x:row r="1200">
      <x:c r="A1200" t="s">
        <x:v>1559</x:v>
      </x:c>
      <x:c r="C1200" t="s">
        <x:v>319</x:v>
      </x:c>
      <x:c r="D1200">
        <x:v>8483444</x:v>
      </x:c>
      <x:c r="E1200">
        <x:v>79</x:v>
      </x:c>
      <x:c r="F1200">
        <x:v>32</x:v>
      </x:c>
      <x:c r="G1200">
        <x:v>80</x:v>
      </x:c>
      <x:c r="H1200">
        <x:v>41</x:v>
      </x:c>
      <x:c r="I1200">
        <x:v>85</x:v>
      </x:c>
      <x:c r="J1200">
        <x:v>87</x:v>
      </x:c>
      <x:c r="K1200">
        <x:v>89</x:v>
      </x:c>
      <x:c r="L1200">
        <x:v>40</x:v>
      </x:c>
      <x:c r="M1200">
        <x:v>81</x:v>
      </x:c>
      <x:c r="N1200">
        <x:v>43</x:v>
      </x:c>
      <x:c r="O1200">
        <x:v>44</x:v>
      </x:c>
      <x:c r="P1200">
        <x:v>61</x:v>
      </x:c>
      <x:c r="Q1200">
        <x:v>64</x:v>
      </x:c>
      <x:c r="R1200">
        <x:v>66</x:v>
      </x:c>
      <x:c r="S1200">
        <x:v>66</x:v>
      </x:c>
      <x:c r="T1200">
        <x:v>51</x:v>
      </x:c>
      <x:c r="U1200">
        <x:v>49</x:v>
      </x:c>
    </x:row>
    <x:row r="1201">
      <x:c r="A1201" t="s">
        <x:v>1560</x:v>
      </x:c>
      <x:c r="B1201" t="s">
        <x:v>584</x:v>
      </x:c>
      <x:c r="C1201" t="s">
        <x:v>333</x:v>
      </x:c>
      <x:c r="D1201">
        <x:v>8482635</x:v>
      </x:c>
      <x:c r="E1201">
        <x:v>86</x:v>
      </x:c>
      <x:c r="F1201">
        <x:v>84</x:v>
      </x:c>
      <x:c r="G1201">
        <x:v>90</x:v>
      </x:c>
      <x:c r="H1201">
        <x:v>41</x:v>
      </x:c>
      <x:c r="I1201">
        <x:v>83</x:v>
      </x:c>
      <x:c r="J1201">
        <x:v>84</x:v>
      </x:c>
      <x:c r="K1201">
        <x:v>86</x:v>
      </x:c>
      <x:c r="L1201">
        <x:v>42</x:v>
      </x:c>
      <x:c r="M1201">
        <x:v>61</x:v>
      </x:c>
      <x:c r="N1201">
        <x:v>43</x:v>
      </x:c>
      <x:c r="O1201">
        <x:v>43</x:v>
      </x:c>
      <x:c r="P1201">
        <x:v>64</x:v>
      </x:c>
      <x:c r="Q1201">
        <x:v>63</x:v>
      </x:c>
      <x:c r="R1201">
        <x:v>69</x:v>
      </x:c>
      <x:c r="S1201">
        <x:v>69</x:v>
      </x:c>
      <x:c r="T1201">
        <x:v>51</x:v>
      </x:c>
      <x:c r="U1201">
        <x:v>49</x:v>
      </x:c>
    </x:row>
    <x:row r="1202">
      <x:c r="A1202" t="s">
        <x:v>1561</x:v>
      </x:c>
      <x:c r="C1202" t="s">
        <x:v>358</x:v>
      </x:c>
      <x:c r="D1202">
        <x:v>8480017</x:v>
      </x:c>
      <x:c r="E1202">
        <x:v>81</x:v>
      </x:c>
      <x:c r="F1202">
        <x:v>40</x:v>
      </x:c>
      <x:c r="G1202">
        <x:v>83</x:v>
      </x:c>
      <x:c r="H1202">
        <x:v>41</x:v>
      </x:c>
      <x:c r="I1202">
        <x:v>85</x:v>
      </x:c>
      <x:c r="J1202">
        <x:v>83</x:v>
      </x:c>
      <x:c r="K1202">
        <x:v>85</x:v>
      </x:c>
      <x:c r="L1202">
        <x:v>41</x:v>
      </x:c>
      <x:c r="M1202">
        <x:v>51</x:v>
      </x:c>
      <x:c r="N1202">
        <x:v>44</x:v>
      </x:c>
      <x:c r="O1202">
        <x:v>43</x:v>
      </x:c>
      <x:c r="P1202">
        <x:v>61</x:v>
      </x:c>
      <x:c r="Q1202">
        <x:v>63</x:v>
      </x:c>
      <x:c r="R1202">
        <x:v>69</x:v>
      </x:c>
      <x:c r="S1202">
        <x:v>68</x:v>
      </x:c>
      <x:c r="T1202">
        <x:v>51</x:v>
      </x:c>
      <x:c r="U1202">
        <x:v>49</x:v>
      </x:c>
    </x:row>
    <x:row r="1203">
      <x:c r="A1203" t="s">
        <x:v>1562</x:v>
      </x:c>
      <x:c r="B1203" t="s">
        <x:v>584</x:v>
      </x:c>
      <x:c r="C1203" t="s">
        <x:v>358</x:v>
      </x:c>
      <x:c r="D1203">
        <x:v>8481070</x:v>
      </x:c>
      <x:c r="E1203">
        <x:v>62</x:v>
      </x:c>
      <x:c r="F1203">
        <x:v>37</x:v>
      </x:c>
      <x:c r="G1203">
        <x:v>79</x:v>
      </x:c>
      <x:c r="H1203">
        <x:v>43</x:v>
      </x:c>
      <x:c r="I1203">
        <x:v>73</x:v>
      </x:c>
      <x:c r="J1203">
        <x:v>90</x:v>
      </x:c>
      <x:c r="K1203">
        <x:v>93</x:v>
      </x:c>
      <x:c r="L1203">
        <x:v>44</x:v>
      </x:c>
      <x:c r="M1203">
        <x:v>78</x:v>
      </x:c>
      <x:c r="N1203">
        <x:v>44</x:v>
      </x:c>
      <x:c r="O1203">
        <x:v>44</x:v>
      </x:c>
      <x:c r="P1203">
        <x:v>63</x:v>
      </x:c>
      <x:c r="Q1203">
        <x:v>65</x:v>
      </x:c>
      <x:c r="R1203">
        <x:v>70</x:v>
      </x:c>
      <x:c r="S1203">
        <x:v>70</x:v>
      </x:c>
      <x:c r="T1203">
        <x:v>51</x:v>
      </x:c>
      <x:c r="U1203">
        <x:v>49</x:v>
      </x:c>
    </x:row>
    <x:row r="1204">
      <x:c r="A1204" t="s">
        <x:v>1563</x:v>
      </x:c>
      <x:c r="C1204" t="s">
        <x:v>326</x:v>
      </x:c>
      <x:c r="D1204">
        <x:v>8483433</x:v>
      </x:c>
      <x:c r="E1204">
        <x:v>60</x:v>
      </x:c>
      <x:c r="F1204">
        <x:v>37</x:v>
      </x:c>
      <x:c r="G1204">
        <x:v>79</x:v>
      </x:c>
      <x:c r="H1204">
        <x:v>46</x:v>
      </x:c>
      <x:c r="I1204">
        <x:v>79</x:v>
      </x:c>
      <x:c r="J1204">
        <x:v>89</x:v>
      </x:c>
      <x:c r="K1204">
        <x:v>93</x:v>
      </x:c>
      <x:c r="L1204">
        <x:v>45</x:v>
      </x:c>
      <x:c r="M1204">
        <x:v>58</x:v>
      </x:c>
      <x:c r="N1204">
        <x:v>48</x:v>
      </x:c>
      <x:c r="O1204">
        <x:v>45</x:v>
      </x:c>
      <x:c r="P1204">
        <x:v>58</x:v>
      </x:c>
      <x:c r="Q1204">
        <x:v>68</x:v>
      </x:c>
      <x:c r="R1204">
        <x:v>65</x:v>
      </x:c>
      <x:c r="S1204">
        <x:v>66</x:v>
      </x:c>
      <x:c r="T1204">
        <x:v>51</x:v>
      </x:c>
      <x:c r="U1204">
        <x:v>49</x:v>
      </x:c>
    </x:row>
    <x:row r="1205">
      <x:c r="A1205" t="s">
        <x:v>1564</x:v>
      </x:c>
      <x:c r="C1205" t="s">
        <x:v>323</x:v>
      </x:c>
      <x:c r="D1205">
        <x:v>8485461</x:v>
      </x:c>
      <x:c r="E1205">
        <x:v>89</x:v>
      </x:c>
      <x:c r="F1205">
        <x:v>45</x:v>
      </x:c>
      <x:c r="G1205">
        <x:v>87</x:v>
      </x:c>
      <x:c r="H1205">
        <x:v>40</x:v>
      </x:c>
      <x:c r="I1205">
        <x:v>89</x:v>
      </x:c>
      <x:c r="J1205">
        <x:v>80</x:v>
      </x:c>
      <x:c r="K1205">
        <x:v>85</x:v>
      </x:c>
      <x:c r="L1205">
        <x:v>41</x:v>
      </x:c>
      <x:c r="M1205">
        <x:v>75</x:v>
      </x:c>
      <x:c r="N1205">
        <x:v>42</x:v>
      </x:c>
      <x:c r="O1205">
        <x:v>43</x:v>
      </x:c>
      <x:c r="P1205">
        <x:v>60</x:v>
      </x:c>
      <x:c r="Q1205">
        <x:v>62</x:v>
      </x:c>
      <x:c r="R1205">
        <x:v>68</x:v>
      </x:c>
      <x:c r="S1205">
        <x:v>69</x:v>
      </x:c>
      <x:c r="T1205">
        <x:v>51</x:v>
      </x:c>
      <x:c r="U1205">
        <x:v>49</x:v>
      </x:c>
    </x:row>
    <x:row r="1206">
      <x:c r="A1206" t="s">
        <x:v>1565</x:v>
      </x:c>
      <x:c r="C1206" t="s">
        <x:v>331</x:v>
      </x:c>
      <x:c r="D1206">
        <x:v>8481051</x:v>
      </x:c>
      <x:c r="E1206">
        <x:v>67</x:v>
      </x:c>
      <x:c r="F1206">
        <x:v>40</x:v>
      </x:c>
      <x:c r="G1206">
        <x:v>86</x:v>
      </x:c>
      <x:c r="H1206">
        <x:v>30</x:v>
      </x:c>
      <x:c r="I1206">
        <x:v>80</x:v>
      </x:c>
      <x:c r="J1206">
        <x:v>72</x:v>
      </x:c>
      <x:c r="K1206">
        <x:v>73</x:v>
      </x:c>
      <x:c r="L1206">
        <x:v>30</x:v>
      </x:c>
      <x:c r="M1206">
        <x:v>30</x:v>
      </x:c>
      <x:c r="N1206">
        <x:v>39</x:v>
      </x:c>
      <x:c r="O1206">
        <x:v>38</x:v>
      </x:c>
      <x:c r="P1206">
        <x:v>67</x:v>
      </x:c>
      <x:c r="Q1206">
        <x:v>44</x:v>
      </x:c>
      <x:c r="R1206">
        <x:v>69</x:v>
      </x:c>
      <x:c r="S1206">
        <x:v>68</x:v>
      </x:c>
      <x:c r="T1206">
        <x:v>51</x:v>
      </x:c>
      <x:c r="U1206">
        <x:v>49</x:v>
      </x:c>
    </x:row>
    <x:row r="1207">
      <x:c r="A1207" t="s">
        <x:v>1566</x:v>
      </x:c>
      <x:c r="B1207" t="s">
        <x:v>584</x:v>
      </x:c>
      <x:c r="C1207" t="s">
        <x:v>331</x:v>
      </x:c>
      <x:c r="D1207">
        <x:v>8485193</x:v>
      </x:c>
      <x:c r="E1207">
        <x:v>68</x:v>
      </x:c>
      <x:c r="F1207">
        <x:v>34</x:v>
      </x:c>
      <x:c r="G1207">
        <x:v>80</x:v>
      </x:c>
      <x:c r="H1207">
        <x:v>30</x:v>
      </x:c>
      <x:c r="I1207">
        <x:v>82</x:v>
      </x:c>
      <x:c r="J1207">
        <x:v>69</x:v>
      </x:c>
      <x:c r="K1207">
        <x:v>72</x:v>
      </x:c>
      <x:c r="L1207">
        <x:v>30</x:v>
      </x:c>
      <x:c r="M1207">
        <x:v>30</x:v>
      </x:c>
      <x:c r="N1207">
        <x:v>39</x:v>
      </x:c>
      <x:c r="O1207">
        <x:v>38</x:v>
      </x:c>
      <x:c r="P1207">
        <x:v>65</x:v>
      </x:c>
      <x:c r="Q1207">
        <x:v>43</x:v>
      </x:c>
      <x:c r="R1207">
        <x:v>68</x:v>
      </x:c>
      <x:c r="S1207">
        <x:v>69</x:v>
      </x:c>
      <x:c r="T1207">
        <x:v>51</x:v>
      </x:c>
      <x:c r="U1207">
        <x:v>49</x:v>
      </x:c>
    </x:row>
    <x:row r="1208">
      <x:c r="A1208" t="s">
        <x:v>1567</x:v>
      </x:c>
      <x:c r="C1208" t="s">
        <x:v>331</x:v>
      </x:c>
      <x:c r="D1208">
        <x:v>8480984</x:v>
      </x:c>
      <x:c r="E1208">
        <x:v>63</x:v>
      </x:c>
      <x:c r="F1208">
        <x:v>38</x:v>
      </x:c>
      <x:c r="G1208">
        <x:v>77</x:v>
      </x:c>
      <x:c r="H1208">
        <x:v>31</x:v>
      </x:c>
      <x:c r="I1208">
        <x:v>79</x:v>
      </x:c>
      <x:c r="J1208">
        <x:v>76</x:v>
      </x:c>
      <x:c r="K1208">
        <x:v>77</x:v>
      </x:c>
      <x:c r="L1208">
        <x:v>32</x:v>
      </x:c>
      <x:c r="M1208">
        <x:v>30</x:v>
      </x:c>
      <x:c r="N1208">
        <x:v>40</x:v>
      </x:c>
      <x:c r="O1208">
        <x:v>38</x:v>
      </x:c>
      <x:c r="P1208">
        <x:v>67</x:v>
      </x:c>
      <x:c r="Q1208">
        <x:v>44</x:v>
      </x:c>
      <x:c r="R1208">
        <x:v>69</x:v>
      </x:c>
      <x:c r="S1208">
        <x:v>69</x:v>
      </x:c>
      <x:c r="T1208">
        <x:v>51</x:v>
      </x:c>
      <x:c r="U1208">
        <x:v>49</x:v>
      </x:c>
    </x:row>
    <x:row r="1209">
      <x:c r="A1209" t="s">
        <x:v>1568</x:v>
      </x:c>
      <x:c r="C1209" t="s">
        <x:v>358</x:v>
      </x:c>
      <x:c r="D1209">
        <x:v>8484248</x:v>
      </x:c>
      <x:c r="E1209">
        <x:v>71</x:v>
      </x:c>
      <x:c r="F1209">
        <x:v>37</x:v>
      </x:c>
      <x:c r="G1209">
        <x:v>72</x:v>
      </x:c>
      <x:c r="H1209">
        <x:v>39</x:v>
      </x:c>
      <x:c r="I1209">
        <x:v>82</x:v>
      </x:c>
      <x:c r="J1209">
        <x:v>88</x:v>
      </x:c>
      <x:c r="K1209">
        <x:v>93</x:v>
      </x:c>
      <x:c r="L1209">
        <x:v>38</x:v>
      </x:c>
      <x:c r="M1209">
        <x:v>73</x:v>
      </x:c>
      <x:c r="N1209">
        <x:v>43</x:v>
      </x:c>
      <x:c r="O1209">
        <x:v>42</x:v>
      </x:c>
      <x:c r="P1209">
        <x:v>58</x:v>
      </x:c>
      <x:c r="Q1209">
        <x:v>60</x:v>
      </x:c>
      <x:c r="R1209">
        <x:v>69</x:v>
      </x:c>
      <x:c r="S1209">
        <x:v>69</x:v>
      </x:c>
      <x:c r="T1209">
        <x:v>51</x:v>
      </x:c>
      <x:c r="U1209">
        <x:v>49</x:v>
      </x:c>
    </x:row>
    <x:row r="1210">
      <x:c r="A1210" t="s">
        <x:v>1569</x:v>
      </x:c>
      <x:c r="B1210" t="s">
        <x:v>584</x:v>
      </x:c>
      <x:c r="C1210" t="s">
        <x:v>319</x:v>
      </x:c>
      <x:c r="D1210">
        <x:v>8479516</x:v>
      </x:c>
      <x:c r="E1210">
        <x:v>67</x:v>
      </x:c>
      <x:c r="F1210">
        <x:v>37</x:v>
      </x:c>
      <x:c r="G1210">
        <x:v>89</x:v>
      </x:c>
      <x:c r="H1210">
        <x:v>43</x:v>
      </x:c>
      <x:c r="I1210">
        <x:v>79</x:v>
      </x:c>
      <x:c r="J1210">
        <x:v>85</x:v>
      </x:c>
      <x:c r="K1210">
        <x:v>86</x:v>
      </x:c>
      <x:c r="L1210">
        <x:v>42</x:v>
      </x:c>
      <x:c r="M1210">
        <x:v>76</x:v>
      </x:c>
      <x:c r="N1210">
        <x:v>48</x:v>
      </x:c>
      <x:c r="O1210">
        <x:v>42</x:v>
      </x:c>
      <x:c r="P1210">
        <x:v>62</x:v>
      </x:c>
      <x:c r="Q1210">
        <x:v>66</x:v>
      </x:c>
      <x:c r="R1210">
        <x:v>70</x:v>
      </x:c>
      <x:c r="S1210">
        <x:v>71</x:v>
      </x:c>
      <x:c r="T1210">
        <x:v>51</x:v>
      </x:c>
      <x:c r="U1210">
        <x:v>49</x:v>
      </x:c>
    </x:row>
    <x:row r="1211">
      <x:c r="A1211" t="s">
        <x:v>1570</x:v>
      </x:c>
      <x:c r="C1211" t="s">
        <x:v>319</x:v>
      </x:c>
      <x:c r="D1211">
        <x:v>8480291</x:v>
      </x:c>
      <x:c r="E1211">
        <x:v>59</x:v>
      </x:c>
      <x:c r="F1211">
        <x:v>34</x:v>
      </x:c>
      <x:c r="G1211">
        <x:v>83</x:v>
      </x:c>
      <x:c r="H1211">
        <x:v>43</x:v>
      </x:c>
      <x:c r="I1211">
        <x:v>79</x:v>
      </x:c>
      <x:c r="J1211">
        <x:v>92</x:v>
      </x:c>
      <x:c r="K1211">
        <x:v>96</x:v>
      </x:c>
      <x:c r="L1211">
        <x:v>44</x:v>
      </x:c>
      <x:c r="M1211">
        <x:v>73</x:v>
      </x:c>
      <x:c r="N1211">
        <x:v>43</x:v>
      </x:c>
      <x:c r="O1211">
        <x:v>45</x:v>
      </x:c>
      <x:c r="P1211">
        <x:v>67</x:v>
      </x:c>
      <x:c r="Q1211">
        <x:v>65</x:v>
      </x:c>
      <x:c r="R1211">
        <x:v>69</x:v>
      </x:c>
      <x:c r="S1211">
        <x:v>70</x:v>
      </x:c>
      <x:c r="T1211">
        <x:v>51</x:v>
      </x:c>
      <x:c r="U1211">
        <x:v>49</x:v>
      </x:c>
    </x:row>
    <x:row r="1212">
      <x:c r="A1212" t="s">
        <x:v>1571</x:v>
      </x:c>
      <x:c r="C1212" t="s">
        <x:v>326</x:v>
      </x:c>
      <x:c r="D1212">
        <x:v>8483518</x:v>
      </x:c>
      <x:c r="E1212">
        <x:v>63</x:v>
      </x:c>
      <x:c r="F1212">
        <x:v>39</x:v>
      </x:c>
      <x:c r="G1212">
        <x:v>91</x:v>
      </x:c>
      <x:c r="H1212">
        <x:v>45</x:v>
      </x:c>
      <x:c r="I1212">
        <x:v>78</x:v>
      </x:c>
      <x:c r="J1212">
        <x:v>77</x:v>
      </x:c>
      <x:c r="K1212">
        <x:v>80</x:v>
      </x:c>
      <x:c r="L1212">
        <x:v>44</x:v>
      </x:c>
      <x:c r="M1212">
        <x:v>69</x:v>
      </x:c>
      <x:c r="N1212">
        <x:v>46</x:v>
      </x:c>
      <x:c r="O1212">
        <x:v>45</x:v>
      </x:c>
      <x:c r="P1212">
        <x:v>60</x:v>
      </x:c>
      <x:c r="Q1212">
        <x:v>66</x:v>
      </x:c>
      <x:c r="R1212">
        <x:v>65</x:v>
      </x:c>
      <x:c r="S1212">
        <x:v>66</x:v>
      </x:c>
      <x:c r="T1212">
        <x:v>51</x:v>
      </x:c>
      <x:c r="U1212">
        <x:v>49</x:v>
      </x:c>
    </x:row>
    <x:row r="1213">
      <x:c r="A1213" t="s">
        <x:v>1572</x:v>
      </x:c>
      <x:c r="C1213" t="s">
        <x:v>331</x:v>
      </x:c>
      <x:c r="D1213">
        <x:v>8473529</x:v>
      </x:c>
      <x:c r="E1213">
        <x:v>68</x:v>
      </x:c>
      <x:c r="F1213">
        <x:v>37</x:v>
      </x:c>
      <x:c r="G1213">
        <x:v>86</x:v>
      </x:c>
      <x:c r="H1213">
        <x:v>31</x:v>
      </x:c>
      <x:c r="I1213">
        <x:v>82</x:v>
      </x:c>
      <x:c r="J1213">
        <x:v>81</x:v>
      </x:c>
      <x:c r="K1213">
        <x:v>84</x:v>
      </x:c>
      <x:c r="L1213">
        <x:v>31</x:v>
      </x:c>
      <x:c r="M1213">
        <x:v>30</x:v>
      </x:c>
      <x:c r="N1213">
        <x:v>40</x:v>
      </x:c>
      <x:c r="O1213">
        <x:v>40</x:v>
      </x:c>
      <x:c r="P1213">
        <x:v>65</x:v>
      </x:c>
      <x:c r="Q1213">
        <x:v>45</x:v>
      </x:c>
      <x:c r="R1213">
        <x:v>69</x:v>
      </x:c>
      <x:c r="S1213">
        <x:v>70</x:v>
      </x:c>
      <x:c r="T1213">
        <x:v>51</x:v>
      </x:c>
      <x:c r="U1213">
        <x:v>49</x:v>
      </x:c>
    </x:row>
    <x:row r="1214">
      <x:c r="A1214" t="s">
        <x:v>1573</x:v>
      </x:c>
      <x:c r="C1214" t="s">
        <x:v>333</x:v>
      </x:c>
      <x:c r="D1214">
        <x:v>8482153</x:v>
      </x:c>
      <x:c r="E1214">
        <x:v>66</x:v>
      </x:c>
      <x:c r="F1214">
        <x:v>33</x:v>
      </x:c>
      <x:c r="G1214">
        <x:v>80</x:v>
      </x:c>
      <x:c r="H1214">
        <x:v>44</x:v>
      </x:c>
      <x:c r="I1214">
        <x:v>75</x:v>
      </x:c>
      <x:c r="J1214">
        <x:v>90</x:v>
      </x:c>
      <x:c r="K1214">
        <x:v>94</x:v>
      </x:c>
      <x:c r="L1214">
        <x:v>43</x:v>
      </x:c>
      <x:c r="M1214">
        <x:v>69</x:v>
      </x:c>
      <x:c r="N1214">
        <x:v>50</x:v>
      </x:c>
      <x:c r="O1214">
        <x:v>50</x:v>
      </x:c>
      <x:c r="P1214">
        <x:v>61</x:v>
      </x:c>
      <x:c r="Q1214">
        <x:v>65</x:v>
      </x:c>
      <x:c r="R1214">
        <x:v>68</x:v>
      </x:c>
      <x:c r="S1214">
        <x:v>67</x:v>
      </x:c>
      <x:c r="T1214">
        <x:v>51</x:v>
      </x:c>
      <x:c r="U1214">
        <x:v>49</x:v>
      </x:c>
    </x:row>
    <x:row r="1215">
      <x:c r="A1215" t="s">
        <x:v>1574</x:v>
      </x:c>
      <x:c r="C1215" t="s">
        <x:v>326</x:v>
      </x:c>
      <x:c r="D1215">
        <x:v>8482206</x:v>
      </x:c>
      <x:c r="E1215">
        <x:v>65</x:v>
      </x:c>
      <x:c r="F1215">
        <x:v>32</x:v>
      </x:c>
      <x:c r="G1215">
        <x:v>82</x:v>
      </x:c>
      <x:c r="H1215">
        <x:v>45</x:v>
      </x:c>
      <x:c r="I1215">
        <x:v>79</x:v>
      </x:c>
      <x:c r="J1215">
        <x:v>82</x:v>
      </x:c>
      <x:c r="K1215">
        <x:v>82</x:v>
      </x:c>
      <x:c r="L1215">
        <x:v>45</x:v>
      </x:c>
      <x:c r="M1215">
        <x:v>60</x:v>
      </x:c>
      <x:c r="N1215">
        <x:v>48</x:v>
      </x:c>
      <x:c r="O1215">
        <x:v>49</x:v>
      </x:c>
      <x:c r="P1215">
        <x:v>61</x:v>
      </x:c>
      <x:c r="Q1215">
        <x:v>67</x:v>
      </x:c>
      <x:c r="R1215">
        <x:v>67</x:v>
      </x:c>
      <x:c r="S1215">
        <x:v>67</x:v>
      </x:c>
      <x:c r="T1215">
        <x:v>51</x:v>
      </x:c>
      <x:c r="U1215">
        <x:v>49</x:v>
      </x:c>
    </x:row>
    <x:row r="1216">
      <x:c r="A1216" t="s">
        <x:v>1575</x:v>
      </x:c>
      <x:c r="C1216" t="s">
        <x:v>331</x:v>
      </x:c>
      <x:c r="D1216">
        <x:v>8481861</x:v>
      </x:c>
      <x:c r="E1216">
        <x:v>68</x:v>
      </x:c>
      <x:c r="F1216">
        <x:v>34</x:v>
      </x:c>
      <x:c r="G1216">
        <x:v>71</x:v>
      </x:c>
      <x:c r="H1216">
        <x:v>30</x:v>
      </x:c>
      <x:c r="I1216">
        <x:v>82</x:v>
      </x:c>
      <x:c r="J1216">
        <x:v>79</x:v>
      </x:c>
      <x:c r="K1216">
        <x:v>83</x:v>
      </x:c>
      <x:c r="L1216">
        <x:v>30</x:v>
      </x:c>
      <x:c r="M1216">
        <x:v>30</x:v>
      </x:c>
      <x:c r="N1216">
        <x:v>40</x:v>
      </x:c>
      <x:c r="O1216">
        <x:v>39</x:v>
      </x:c>
      <x:c r="P1216">
        <x:v>64</x:v>
      </x:c>
      <x:c r="Q1216">
        <x:v>45</x:v>
      </x:c>
      <x:c r="R1216">
        <x:v>68</x:v>
      </x:c>
      <x:c r="S1216">
        <x:v>67</x:v>
      </x:c>
      <x:c r="T1216">
        <x:v>51</x:v>
      </x:c>
      <x:c r="U1216">
        <x:v>49</x:v>
      </x:c>
    </x:row>
    <x:row r="1217">
      <x:c r="A1217" t="s">
        <x:v>1576</x:v>
      </x:c>
      <x:c r="B1217" t="s">
        <x:v>584</x:v>
      </x:c>
      <x:c r="C1217" t="s">
        <x:v>319</x:v>
      </x:c>
      <x:c r="D1217">
        <x:v>8478477</x:v>
      </x:c>
      <x:c r="E1217">
        <x:v>62</x:v>
      </x:c>
      <x:c r="F1217">
        <x:v>35</x:v>
      </x:c>
      <x:c r="G1217">
        <x:v>89</x:v>
      </x:c>
      <x:c r="H1217">
        <x:v>43</x:v>
      </x:c>
      <x:c r="I1217">
        <x:v>79</x:v>
      </x:c>
      <x:c r="J1217">
        <x:v>87</x:v>
      </x:c>
      <x:c r="K1217">
        <x:v>92</x:v>
      </x:c>
      <x:c r="L1217">
        <x:v>44</x:v>
      </x:c>
      <x:c r="M1217">
        <x:v>77</x:v>
      </x:c>
      <x:c r="N1217">
        <x:v>48</x:v>
      </x:c>
      <x:c r="O1217">
        <x:v>49</x:v>
      </x:c>
      <x:c r="P1217">
        <x:v>65</x:v>
      </x:c>
      <x:c r="Q1217">
        <x:v>64</x:v>
      </x:c>
      <x:c r="R1217">
        <x:v>72</x:v>
      </x:c>
      <x:c r="S1217">
        <x:v>69</x:v>
      </x:c>
      <x:c r="T1217">
        <x:v>51</x:v>
      </x:c>
      <x:c r="U1217">
        <x:v>49</x:v>
      </x:c>
    </x:row>
    <x:row r="1218">
      <x:c r="A1218" t="s">
        <x:v>1577</x:v>
      </x:c>
      <x:c r="C1218" t="s">
        <x:v>358</x:v>
      </x:c>
      <x:c r="D1218">
        <x:v>8484891</x:v>
      </x:c>
      <x:c r="E1218">
        <x:v>60</x:v>
      </x:c>
      <x:c r="F1218">
        <x:v>31</x:v>
      </x:c>
      <x:c r="G1218">
        <x:v>90</x:v>
      </x:c>
      <x:c r="H1218">
        <x:v>44</x:v>
      </x:c>
      <x:c r="I1218">
        <x:v>77</x:v>
      </x:c>
      <x:c r="J1218">
        <x:v>85</x:v>
      </x:c>
      <x:c r="K1218">
        <x:v>89</x:v>
      </x:c>
      <x:c r="L1218">
        <x:v>45</x:v>
      </x:c>
      <x:c r="M1218">
        <x:v>58</x:v>
      </x:c>
      <x:c r="N1218">
        <x:v>47</x:v>
      </x:c>
      <x:c r="O1218">
        <x:v>43</x:v>
      </x:c>
      <x:c r="P1218">
        <x:v>60</x:v>
      </x:c>
      <x:c r="Q1218">
        <x:v>66</x:v>
      </x:c>
      <x:c r="R1218">
        <x:v>67</x:v>
      </x:c>
      <x:c r="S1218">
        <x:v>66</x:v>
      </x:c>
      <x:c r="T1218">
        <x:v>51</x:v>
      </x:c>
      <x:c r="U1218">
        <x:v>49</x:v>
      </x:c>
    </x:row>
    <x:row r="1219">
      <x:c r="A1219" t="s">
        <x:v>1578</x:v>
      </x:c>
      <x:c r="C1219" t="s">
        <x:v>326</x:v>
      </x:c>
      <x:c r="D1219">
        <x:v>8481578</x:v>
      </x:c>
      <x:c r="E1219">
        <x:v>58</x:v>
      </x:c>
      <x:c r="F1219">
        <x:v>38</x:v>
      </x:c>
      <x:c r="G1219">
        <x:v>83</x:v>
      </x:c>
      <x:c r="H1219">
        <x:v>44</x:v>
      </x:c>
      <x:c r="I1219">
        <x:v>74</x:v>
      </x:c>
      <x:c r="J1219">
        <x:v>88</x:v>
      </x:c>
      <x:c r="K1219">
        <x:v>90</x:v>
      </x:c>
      <x:c r="L1219">
        <x:v>44</x:v>
      </x:c>
      <x:c r="M1219">
        <x:v>72</x:v>
      </x:c>
      <x:c r="N1219">
        <x:v>46</x:v>
      </x:c>
      <x:c r="O1219">
        <x:v>45</x:v>
      </x:c>
      <x:c r="P1219">
        <x:v>58</x:v>
      </x:c>
      <x:c r="Q1219">
        <x:v>67</x:v>
      </x:c>
      <x:c r="R1219">
        <x:v>68</x:v>
      </x:c>
      <x:c r="S1219">
        <x:v>68</x:v>
      </x:c>
      <x:c r="T1219">
        <x:v>51</x:v>
      </x:c>
      <x:c r="U1219">
        <x:v>49</x:v>
      </x:c>
    </x:row>
    <x:row r="1220">
      <x:c r="A1220" t="s">
        <x:v>1579</x:v>
      </x:c>
      <x:c r="C1220" t="s">
        <x:v>319</x:v>
      </x:c>
      <x:c r="D1220">
        <x:v>8479972</x:v>
      </x:c>
      <x:c r="E1220">
        <x:v>69</x:v>
      </x:c>
      <x:c r="F1220">
        <x:v>89</x:v>
      </x:c>
      <x:c r="G1220">
        <x:v>77</x:v>
      </x:c>
      <x:c r="H1220">
        <x:v>45</x:v>
      </x:c>
      <x:c r="I1220">
        <x:v>76</x:v>
      </x:c>
      <x:c r="J1220">
        <x:v>90</x:v>
      </x:c>
      <x:c r="K1220">
        <x:v>95</x:v>
      </x:c>
      <x:c r="L1220">
        <x:v>44</x:v>
      </x:c>
      <x:c r="M1220">
        <x:v>64</x:v>
      </x:c>
      <x:c r="N1220">
        <x:v>49</x:v>
      </x:c>
      <x:c r="O1220">
        <x:v>47</x:v>
      </x:c>
      <x:c r="P1220">
        <x:v>59</x:v>
      </x:c>
      <x:c r="Q1220">
        <x:v>67</x:v>
      </x:c>
      <x:c r="R1220">
        <x:v>70</x:v>
      </x:c>
      <x:c r="S1220">
        <x:v>70</x:v>
      </x:c>
      <x:c r="T1220">
        <x:v>51</x:v>
      </x:c>
      <x:c r="U1220">
        <x:v>49</x:v>
      </x:c>
    </x:row>
    <x:row r="1221">
      <x:c r="A1221" t="s">
        <x:v>1580</x:v>
      </x:c>
      <x:c r="C1221" t="s">
        <x:v>326</x:v>
      </x:c>
      <x:c r="D1221">
        <x:v>8479379</x:v>
      </x:c>
      <x:c r="E1221">
        <x:v>70</x:v>
      </x:c>
      <x:c r="F1221">
        <x:v>93</x:v>
      </x:c>
      <x:c r="G1221">
        <x:v>71</x:v>
      </x:c>
      <x:c r="H1221">
        <x:v>40</x:v>
      </x:c>
      <x:c r="I1221">
        <x:v>86</x:v>
      </x:c>
      <x:c r="J1221">
        <x:v>72</x:v>
      </x:c>
      <x:c r="K1221">
        <x:v>73</x:v>
      </x:c>
      <x:c r="L1221">
        <x:v>39</x:v>
      </x:c>
      <x:c r="M1221">
        <x:v>63</x:v>
      </x:c>
      <x:c r="N1221">
        <x:v>47</x:v>
      </x:c>
      <x:c r="O1221">
        <x:v>47</x:v>
      </x:c>
      <x:c r="P1221">
        <x:v>60</x:v>
      </x:c>
      <x:c r="Q1221">
        <x:v>62</x:v>
      </x:c>
      <x:c r="R1221">
        <x:v>73</x:v>
      </x:c>
      <x:c r="S1221">
        <x:v>69</x:v>
      </x:c>
      <x:c r="T1221">
        <x:v>51</x:v>
      </x:c>
      <x:c r="U1221">
        <x:v>49</x:v>
      </x:c>
    </x:row>
    <x:row r="1222">
      <x:c r="A1222" t="s">
        <x:v>1581</x:v>
      </x:c>
      <x:c r="B1222" t="s">
        <x:v>584</x:v>
      </x:c>
      <x:c r="C1222" t="s">
        <x:v>319</x:v>
      </x:c>
      <x:c r="D1222">
        <x:v>8480248</x:v>
      </x:c>
      <x:c r="E1222">
        <x:v>60</x:v>
      </x:c>
      <x:c r="F1222">
        <x:v>37</x:v>
      </x:c>
      <x:c r="G1222">
        <x:v>87</x:v>
      </x:c>
      <x:c r="H1222">
        <x:v>40</x:v>
      </x:c>
      <x:c r="I1222">
        <x:v>74</x:v>
      </x:c>
      <x:c r="J1222">
        <x:v>79</x:v>
      </x:c>
      <x:c r="K1222">
        <x:v>80</x:v>
      </x:c>
      <x:c r="L1222">
        <x:v>40</x:v>
      </x:c>
      <x:c r="M1222">
        <x:v>74</x:v>
      </x:c>
      <x:c r="N1222">
        <x:v>44</x:v>
      </x:c>
      <x:c r="O1222">
        <x:v>40</x:v>
      </x:c>
      <x:c r="P1222">
        <x:v>61</x:v>
      </x:c>
      <x:c r="Q1222">
        <x:v>61</x:v>
      </x:c>
      <x:c r="R1222">
        <x:v>69</x:v>
      </x:c>
      <x:c r="S1222">
        <x:v>68</x:v>
      </x:c>
      <x:c r="T1222">
        <x:v>51</x:v>
      </x:c>
      <x:c r="U1222">
        <x:v>49</x:v>
      </x:c>
    </x:row>
    <x:row r="1223">
      <x:c r="A1223" t="s">
        <x:v>1582</x:v>
      </x:c>
      <x:c r="C1223" t="s">
        <x:v>331</x:v>
      </x:c>
      <x:c r="D1223">
        <x:v>8482468</x:v>
      </x:c>
      <x:c r="E1223">
        <x:v>71</x:v>
      </x:c>
      <x:c r="F1223">
        <x:v>43</x:v>
      </x:c>
      <x:c r="G1223">
        <x:v>78</x:v>
      </x:c>
      <x:c r="H1223">
        <x:v>32</x:v>
      </x:c>
      <x:c r="I1223">
        <x:v>83</x:v>
      </x:c>
      <x:c r="J1223">
        <x:v>71</x:v>
      </x:c>
      <x:c r="K1223">
        <x:v>75</x:v>
      </x:c>
      <x:c r="L1223">
        <x:v>33</x:v>
      </x:c>
      <x:c r="M1223">
        <x:v>30</x:v>
      </x:c>
      <x:c r="N1223">
        <x:v>41</x:v>
      </x:c>
      <x:c r="O1223">
        <x:v>37</x:v>
      </x:c>
      <x:c r="P1223">
        <x:v>63</x:v>
      </x:c>
      <x:c r="Q1223">
        <x:v>44</x:v>
      </x:c>
      <x:c r="R1223">
        <x:v>68</x:v>
      </x:c>
      <x:c r="S1223">
        <x:v>67</x:v>
      </x:c>
      <x:c r="T1223">
        <x:v>51</x:v>
      </x:c>
      <x:c r="U1223">
        <x:v>49</x:v>
      </x:c>
    </x:row>
    <x:row r="1224">
      <x:c r="A1224" t="s">
        <x:v>1583</x:v>
      </x:c>
      <x:c r="C1224" t="s">
        <x:v>326</x:v>
      </x:c>
      <x:c r="D1224">
        <x:v>8479315</x:v>
      </x:c>
      <x:c r="E1224">
        <x:v>62</x:v>
      </x:c>
      <x:c r="F1224">
        <x:v>34</x:v>
      </x:c>
      <x:c r="G1224">
        <x:v>90</x:v>
      </x:c>
      <x:c r="H1224">
        <x:v>40</x:v>
      </x:c>
      <x:c r="I1224">
        <x:v>81</x:v>
      </x:c>
      <x:c r="J1224">
        <x:v>80</x:v>
      </x:c>
      <x:c r="K1224">
        <x:v>83</x:v>
      </x:c>
      <x:c r="L1224">
        <x:v>39</x:v>
      </x:c>
      <x:c r="M1224">
        <x:v>62</x:v>
      </x:c>
      <x:c r="N1224">
        <x:v>50</x:v>
      </x:c>
      <x:c r="O1224">
        <x:v>49</x:v>
      </x:c>
      <x:c r="P1224">
        <x:v>65</x:v>
      </x:c>
      <x:c r="Q1224">
        <x:v>63</x:v>
      </x:c>
      <x:c r="R1224">
        <x:v>75</x:v>
      </x:c>
      <x:c r="S1224">
        <x:v>71</x:v>
      </x:c>
      <x:c r="T1224">
        <x:v>51</x:v>
      </x:c>
      <x:c r="U1224">
        <x:v>49</x:v>
      </x:c>
    </x:row>
    <x:row r="1225">
      <x:c r="A1225" t="s">
        <x:v>1584</x:v>
      </x:c>
      <x:c r="C1225" t="s">
        <x:v>331</x:v>
      </x:c>
      <x:c r="D1225">
        <x:v>8483683</x:v>
      </x:c>
      <x:c r="E1225">
        <x:v>70</x:v>
      </x:c>
      <x:c r="F1225">
        <x:v>38</x:v>
      </x:c>
      <x:c r="G1225">
        <x:v>85</x:v>
      </x:c>
      <x:c r="H1225">
        <x:v>30</x:v>
      </x:c>
      <x:c r="I1225">
        <x:v>80</x:v>
      </x:c>
      <x:c r="J1225">
        <x:v>78</x:v>
      </x:c>
      <x:c r="K1225">
        <x:v>82</x:v>
      </x:c>
      <x:c r="L1225">
        <x:v>30</x:v>
      </x:c>
      <x:c r="M1225">
        <x:v>30</x:v>
      </x:c>
      <x:c r="N1225">
        <x:v>39</x:v>
      </x:c>
      <x:c r="O1225">
        <x:v>41</x:v>
      </x:c>
      <x:c r="P1225">
        <x:v>68</x:v>
      </x:c>
      <x:c r="Q1225">
        <x:v>45</x:v>
      </x:c>
      <x:c r="R1225">
        <x:v>66</x:v>
      </x:c>
      <x:c r="S1225">
        <x:v>65</x:v>
      </x:c>
      <x:c r="T1225">
        <x:v>51</x:v>
      </x:c>
      <x:c r="U1225">
        <x:v>49</x:v>
      </x:c>
    </x:row>
    <x:row r="1226">
      <x:c r="A1226" t="s">
        <x:v>1585</x:v>
      </x:c>
      <x:c r="C1226" t="s">
        <x:v>331</x:v>
      </x:c>
      <x:c r="D1226">
        <x:v>8484246</x:v>
      </x:c>
      <x:c r="E1226">
        <x:v>71</x:v>
      </x:c>
      <x:c r="F1226">
        <x:v>40</x:v>
      </x:c>
      <x:c r="G1226">
        <x:v>92</x:v>
      </x:c>
      <x:c r="H1226">
        <x:v>30</x:v>
      </x:c>
      <x:c r="I1226">
        <x:v>77</x:v>
      </x:c>
      <x:c r="J1226">
        <x:v>77</x:v>
      </x:c>
      <x:c r="K1226">
        <x:v>78</x:v>
      </x:c>
      <x:c r="L1226">
        <x:v>30</x:v>
      </x:c>
      <x:c r="M1226">
        <x:v>30</x:v>
      </x:c>
      <x:c r="N1226">
        <x:v>41</x:v>
      </x:c>
      <x:c r="O1226">
        <x:v>38</x:v>
      </x:c>
      <x:c r="P1226">
        <x:v>63</x:v>
      </x:c>
      <x:c r="Q1226">
        <x:v>45</x:v>
      </x:c>
      <x:c r="R1226">
        <x:v>69</x:v>
      </x:c>
      <x:c r="S1226">
        <x:v>69</x:v>
      </x:c>
      <x:c r="T1226">
        <x:v>51</x:v>
      </x:c>
      <x:c r="U1226">
        <x:v>49</x:v>
      </x:c>
    </x:row>
    <x:row r="1227">
      <x:c r="A1227" t="s">
        <x:v>1586</x:v>
      </x:c>
      <x:c r="C1227" t="s">
        <x:v>339</x:v>
      </x:c>
      <x:c r="D1227">
        <x:v>8484461</x:v>
      </x:c>
      <x:c r="E1227">
        <x:v>85</x:v>
      </x:c>
      <x:c r="F1227">
        <x:v>34</x:v>
      </x:c>
      <x:c r="G1227">
        <x:v>78</x:v>
      </x:c>
      <x:c r="H1227">
        <x:v>40</x:v>
      </x:c>
      <x:c r="I1227">
        <x:v>86</x:v>
      </x:c>
      <x:c r="J1227">
        <x:v>93</x:v>
      </x:c>
      <x:c r="K1227">
        <x:v>97</x:v>
      </x:c>
      <x:c r="L1227">
        <x:v>40</x:v>
      </x:c>
      <x:c r="M1227">
        <x:v>77</x:v>
      </x:c>
      <x:c r="N1227">
        <x:v>43</x:v>
      </x:c>
      <x:c r="O1227">
        <x:v>43</x:v>
      </x:c>
      <x:c r="P1227">
        <x:v>65</x:v>
      </x:c>
      <x:c r="Q1227">
        <x:v>63</x:v>
      </x:c>
      <x:c r="R1227">
        <x:v>66</x:v>
      </x:c>
      <x:c r="S1227">
        <x:v>65</x:v>
      </x:c>
      <x:c r="T1227">
        <x:v>51</x:v>
      </x:c>
      <x:c r="U1227">
        <x:v>49</x:v>
      </x:c>
    </x:row>
    <x:row r="1228">
      <x:c r="A1228" t="s">
        <x:v>1587</x:v>
      </x:c>
      <x:c r="C1228" t="s">
        <x:v>331</x:v>
      </x:c>
      <x:c r="D1228">
        <x:v>8484217</x:v>
      </x:c>
      <x:c r="E1228">
        <x:v>62</x:v>
      </x:c>
      <x:c r="F1228">
        <x:v>38</x:v>
      </x:c>
      <x:c r="G1228">
        <x:v>86</x:v>
      </x:c>
      <x:c r="H1228">
        <x:v>34</x:v>
      </x:c>
      <x:c r="I1228">
        <x:v>80</x:v>
      </x:c>
      <x:c r="J1228">
        <x:v>77</x:v>
      </x:c>
      <x:c r="K1228">
        <x:v>80</x:v>
      </x:c>
      <x:c r="L1228">
        <x:v>34</x:v>
      </x:c>
      <x:c r="M1228">
        <x:v>30</x:v>
      </x:c>
      <x:c r="N1228">
        <x:v>43</x:v>
      </x:c>
      <x:c r="O1228">
        <x:v>40</x:v>
      </x:c>
      <x:c r="P1228">
        <x:v>64</x:v>
      </x:c>
      <x:c r="Q1228">
        <x:v>46</x:v>
      </x:c>
      <x:c r="R1228">
        <x:v>65</x:v>
      </x:c>
      <x:c r="S1228">
        <x:v>65</x:v>
      </x:c>
      <x:c r="T1228">
        <x:v>51</x:v>
      </x:c>
      <x:c r="U1228">
        <x:v>49</x:v>
      </x:c>
    </x:row>
    <x:row r="1229">
      <x:c r="A1229" t="s">
        <x:v>1588</x:v>
      </x:c>
      <x:c r="C1229" t="s">
        <x:v>329</x:v>
      </x:c>
      <x:c r="D1229">
        <x:v>8484836</x:v>
      </x:c>
      <x:c r="E1229">
        <x:v>77</x:v>
      </x:c>
      <x:c r="F1229">
        <x:v>38</x:v>
      </x:c>
      <x:c r="G1229">
        <x:v>84</x:v>
      </x:c>
      <x:c r="H1229">
        <x:v>45</x:v>
      </x:c>
      <x:c r="I1229">
        <x:v>78</x:v>
      </x:c>
      <x:c r="J1229">
        <x:v>83</x:v>
      </x:c>
      <x:c r="K1229">
        <x:v>86</x:v>
      </x:c>
      <x:c r="L1229">
        <x:v>45</x:v>
      </x:c>
      <x:c r="M1229">
        <x:v>77</x:v>
      </x:c>
      <x:c r="N1229">
        <x:v>45</x:v>
      </x:c>
      <x:c r="O1229">
        <x:v>43</x:v>
      </x:c>
      <x:c r="P1229">
        <x:v>60</x:v>
      </x:c>
      <x:c r="Q1229">
        <x:v>65</x:v>
      </x:c>
      <x:c r="R1229">
        <x:v>65</x:v>
      </x:c>
      <x:c r="S1229">
        <x:v>66</x:v>
      </x:c>
      <x:c r="T1229">
        <x:v>51</x:v>
      </x:c>
      <x:c r="U1229">
        <x:v>49</x:v>
      </x:c>
    </x:row>
    <x:row r="1230">
      <x:c r="A1230" t="s">
        <x:v>1589</x:v>
      </x:c>
      <x:c r="C1230" t="s">
        <x:v>319</x:v>
      </x:c>
      <x:c r="D1230">
        <x:v>8482654</x:v>
      </x:c>
      <x:c r="E1230">
        <x:v>59</x:v>
      </x:c>
      <x:c r="F1230">
        <x:v>35</x:v>
      </x:c>
      <x:c r="G1230">
        <x:v>90</x:v>
      </x:c>
      <x:c r="H1230">
        <x:v>39</x:v>
      </x:c>
      <x:c r="I1230">
        <x:v>79</x:v>
      </x:c>
      <x:c r="J1230">
        <x:v>81</x:v>
      </x:c>
      <x:c r="K1230">
        <x:v>81</x:v>
      </x:c>
      <x:c r="L1230">
        <x:v>39</x:v>
      </x:c>
      <x:c r="M1230">
        <x:v>74</x:v>
      </x:c>
      <x:c r="N1230">
        <x:v>41</x:v>
      </x:c>
      <x:c r="O1230">
        <x:v>42</x:v>
      </x:c>
      <x:c r="P1230">
        <x:v>68</x:v>
      </x:c>
      <x:c r="Q1230">
        <x:v>61</x:v>
      </x:c>
      <x:c r="R1230">
        <x:v>71</x:v>
      </x:c>
      <x:c r="S1230">
        <x:v>71</x:v>
      </x:c>
      <x:c r="T1230">
        <x:v>51</x:v>
      </x:c>
      <x:c r="U1230">
        <x:v>49</x:v>
      </x:c>
    </x:row>
    <x:row r="1231">
      <x:c r="A1231" t="s">
        <x:v>1590</x:v>
      </x:c>
      <x:c r="B1231" t="s">
        <x:v>584</x:v>
      </x:c>
      <x:c r="C1231" t="s">
        <x:v>326</x:v>
      </x:c>
      <x:c r="D1231">
        <x:v>8479986</x:v>
      </x:c>
      <x:c r="E1231">
        <x:v>64</x:v>
      </x:c>
      <x:c r="F1231">
        <x:v>36</x:v>
      </x:c>
      <x:c r="G1231">
        <x:v>75</x:v>
      </x:c>
      <x:c r="H1231">
        <x:v>45</x:v>
      </x:c>
      <x:c r="I1231">
        <x:v>78</x:v>
      </x:c>
      <x:c r="J1231">
        <x:v>92</x:v>
      </x:c>
      <x:c r="K1231">
        <x:v>95</x:v>
      </x:c>
      <x:c r="L1231">
        <x:v>44</x:v>
      </x:c>
      <x:c r="M1231">
        <x:v>68</x:v>
      </x:c>
      <x:c r="N1231">
        <x:v>47</x:v>
      </x:c>
      <x:c r="O1231">
        <x:v>43</x:v>
      </x:c>
      <x:c r="P1231">
        <x:v>60</x:v>
      </x:c>
      <x:c r="Q1231">
        <x:v>66</x:v>
      </x:c>
      <x:c r="R1231">
        <x:v>70</x:v>
      </x:c>
      <x:c r="S1231">
        <x:v>71</x:v>
      </x:c>
      <x:c r="T1231">
        <x:v>51</x:v>
      </x:c>
      <x:c r="U1231">
        <x:v>49</x:v>
      </x:c>
    </x:row>
    <x:row r="1232">
      <x:c r="A1232" t="s">
        <x:v>1591</x:v>
      </x:c>
      <x:c r="C1232" t="s">
        <x:v>331</x:v>
      </x:c>
      <x:c r="D1232">
        <x:v>8480274</x:v>
      </x:c>
      <x:c r="E1232">
        <x:v>69</x:v>
      </x:c>
      <x:c r="F1232">
        <x:v>42</x:v>
      </x:c>
      <x:c r="G1232">
        <x:v>80</x:v>
      </x:c>
      <x:c r="H1232">
        <x:v>32</x:v>
      </x:c>
      <x:c r="I1232">
        <x:v>83</x:v>
      </x:c>
      <x:c r="J1232">
        <x:v>90</x:v>
      </x:c>
      <x:c r="K1232">
        <x:v>94</x:v>
      </x:c>
      <x:c r="L1232">
        <x:v>33</x:v>
      </x:c>
      <x:c r="M1232">
        <x:v>30</x:v>
      </x:c>
      <x:c r="N1232">
        <x:v>39</x:v>
      </x:c>
      <x:c r="O1232">
        <x:v>39</x:v>
      </x:c>
      <x:c r="P1232">
        <x:v>65</x:v>
      </x:c>
      <x:c r="Q1232">
        <x:v>44</x:v>
      </x:c>
      <x:c r="R1232">
        <x:v>69</x:v>
      </x:c>
      <x:c r="S1232">
        <x:v>70</x:v>
      </x:c>
      <x:c r="T1232">
        <x:v>51</x:v>
      </x:c>
      <x:c r="U1232">
        <x:v>49</x:v>
      </x:c>
    </x:row>
    <x:row r="1233">
      <x:c r="A1233" t="s">
        <x:v>1592</x:v>
      </x:c>
      <x:c r="C1233" t="s">
        <x:v>331</x:v>
      </x:c>
      <x:c r="D1233">
        <x:v>8483692</x:v>
      </x:c>
      <x:c r="E1233">
        <x:v>72</x:v>
      </x:c>
      <x:c r="F1233">
        <x:v>40</x:v>
      </x:c>
      <x:c r="G1233">
        <x:v>89</x:v>
      </x:c>
      <x:c r="H1233">
        <x:v>30</x:v>
      </x:c>
      <x:c r="I1233">
        <x:v>80</x:v>
      </x:c>
      <x:c r="J1233">
        <x:v>71</x:v>
      </x:c>
      <x:c r="K1233">
        <x:v>73</x:v>
      </x:c>
      <x:c r="L1233">
        <x:v>30</x:v>
      </x:c>
      <x:c r="M1233">
        <x:v>30</x:v>
      </x:c>
      <x:c r="N1233">
        <x:v>39</x:v>
      </x:c>
      <x:c r="O1233">
        <x:v>39</x:v>
      </x:c>
      <x:c r="P1233">
        <x:v>64</x:v>
      </x:c>
      <x:c r="Q1233">
        <x:v>44</x:v>
      </x:c>
      <x:c r="R1233">
        <x:v>65</x:v>
      </x:c>
      <x:c r="S1233">
        <x:v>64</x:v>
      </x:c>
      <x:c r="T1233">
        <x:v>51</x:v>
      </x:c>
      <x:c r="U1233">
        <x:v>49</x:v>
      </x:c>
    </x:row>
    <x:row r="1234">
      <x:c r="A1234" t="s">
        <x:v>1593</x:v>
      </x:c>
      <x:c r="C1234" t="s">
        <x:v>331</x:v>
      </x:c>
      <x:c r="D1234">
        <x:v>8486006</x:v>
      </x:c>
      <x:c r="E1234">
        <x:v>69</x:v>
      </x:c>
      <x:c r="F1234">
        <x:v>36</x:v>
      </x:c>
      <x:c r="G1234">
        <x:v>90</x:v>
      </x:c>
      <x:c r="H1234">
        <x:v>31</x:v>
      </x:c>
      <x:c r="I1234">
        <x:v>82</x:v>
      </x:c>
      <x:c r="J1234">
        <x:v>68</x:v>
      </x:c>
      <x:c r="K1234">
        <x:v>71</x:v>
      </x:c>
      <x:c r="L1234">
        <x:v>32</x:v>
      </x:c>
      <x:c r="M1234">
        <x:v>30</x:v>
      </x:c>
      <x:c r="N1234">
        <x:v>39</x:v>
      </x:c>
      <x:c r="O1234">
        <x:v>40</x:v>
      </x:c>
      <x:c r="P1234">
        <x:v>65</x:v>
      </x:c>
      <x:c r="Q1234">
        <x:v>44</x:v>
      </x:c>
      <x:c r="R1234">
        <x:v>67</x:v>
      </x:c>
      <x:c r="S1234">
        <x:v>67</x:v>
      </x:c>
      <x:c r="T1234">
        <x:v>51</x:v>
      </x:c>
      <x:c r="U1234">
        <x:v>49</x:v>
      </x:c>
    </x:row>
    <x:row r="1235">
      <x:c r="A1235" t="s">
        <x:v>1594</x:v>
      </x:c>
      <x:c r="C1235" t="s">
        <x:v>358</x:v>
      </x:c>
      <x:c r="D1235">
        <x:v>8484393</x:v>
      </x:c>
      <x:c r="E1235">
        <x:v>64</x:v>
      </x:c>
      <x:c r="F1235">
        <x:v>38</x:v>
      </x:c>
      <x:c r="G1235">
        <x:v>91</x:v>
      </x:c>
      <x:c r="H1235">
        <x:v>43</x:v>
      </x:c>
      <x:c r="I1235">
        <x:v>83</x:v>
      </x:c>
      <x:c r="J1235">
        <x:v>89</x:v>
      </x:c>
      <x:c r="K1235">
        <x:v>93</x:v>
      </x:c>
      <x:c r="L1235">
        <x:v>43</x:v>
      </x:c>
      <x:c r="M1235">
        <x:v>68</x:v>
      </x:c>
      <x:c r="N1235">
        <x:v>46</x:v>
      </x:c>
      <x:c r="O1235">
        <x:v>43</x:v>
      </x:c>
      <x:c r="P1235">
        <x:v>62</x:v>
      </x:c>
      <x:c r="Q1235">
        <x:v>65</x:v>
      </x:c>
      <x:c r="R1235">
        <x:v>65</x:v>
      </x:c>
      <x:c r="S1235">
        <x:v>65</x:v>
      </x:c>
      <x:c r="T1235">
        <x:v>51</x:v>
      </x:c>
      <x:c r="U1235">
        <x:v>49</x:v>
      </x:c>
    </x:row>
    <x:row r="1236">
      <x:c r="A1236" t="s">
        <x:v>1595</x:v>
      </x:c>
      <x:c r="C1236" t="s">
        <x:v>331</x:v>
      </x:c>
      <x:c r="D1236">
        <x:v>8484198</x:v>
      </x:c>
      <x:c r="E1236">
        <x:v>64</x:v>
      </x:c>
      <x:c r="F1236">
        <x:v>37</x:v>
      </x:c>
      <x:c r="G1236">
        <x:v>89</x:v>
      </x:c>
      <x:c r="H1236">
        <x:v>31</x:v>
      </x:c>
      <x:c r="I1236">
        <x:v>79</x:v>
      </x:c>
      <x:c r="J1236">
        <x:v>77</x:v>
      </x:c>
      <x:c r="K1236">
        <x:v>80</x:v>
      </x:c>
      <x:c r="L1236">
        <x:v>30</x:v>
      </x:c>
      <x:c r="M1236">
        <x:v>30</x:v>
      </x:c>
      <x:c r="N1236">
        <x:v>41</x:v>
      </x:c>
      <x:c r="O1236">
        <x:v>39</x:v>
      </x:c>
      <x:c r="P1236">
        <x:v>64</x:v>
      </x:c>
      <x:c r="Q1236">
        <x:v>45</x:v>
      </x:c>
      <x:c r="R1236">
        <x:v>65</x:v>
      </x:c>
      <x:c r="S1236">
        <x:v>69</x:v>
      </x:c>
      <x:c r="T1236">
        <x:v>51</x:v>
      </x:c>
      <x:c r="U1236">
        <x:v>49</x:v>
      </x:c>
    </x:row>
    <x:row r="1237">
      <x:c r="A1237" t="s">
        <x:v>1596</x:v>
      </x:c>
      <x:c r="C1237" t="s">
        <x:v>331</x:v>
      </x:c>
      <x:c r="D1237">
        <x:v>8483400</x:v>
      </x:c>
      <x:c r="E1237">
        <x:v>67</x:v>
      </x:c>
      <x:c r="F1237">
        <x:v>38</x:v>
      </x:c>
      <x:c r="G1237">
        <x:v>89</x:v>
      </x:c>
      <x:c r="H1237">
        <x:v>30</x:v>
      </x:c>
      <x:c r="I1237">
        <x:v>77</x:v>
      </x:c>
      <x:c r="J1237">
        <x:v>71</x:v>
      </x:c>
      <x:c r="K1237">
        <x:v>73</x:v>
      </x:c>
      <x:c r="L1237">
        <x:v>30</x:v>
      </x:c>
      <x:c r="M1237">
        <x:v>30</x:v>
      </x:c>
      <x:c r="N1237">
        <x:v>39</x:v>
      </x:c>
      <x:c r="O1237">
        <x:v>38</x:v>
      </x:c>
      <x:c r="P1237">
        <x:v>69</x:v>
      </x:c>
      <x:c r="Q1237">
        <x:v>44</x:v>
      </x:c>
      <x:c r="R1237">
        <x:v>70</x:v>
      </x:c>
      <x:c r="S1237">
        <x:v>71</x:v>
      </x:c>
      <x:c r="T1237">
        <x:v>51</x:v>
      </x:c>
      <x:c r="U1237">
        <x:v>49</x:v>
      </x:c>
    </x:row>
    <x:row r="1238">
      <x:c r="A1238" t="s">
        <x:v>1597</x:v>
      </x:c>
      <x:c r="C1238" t="s">
        <x:v>339</x:v>
      </x:c>
      <x:c r="D1238">
        <x:v>8483841</x:v>
      </x:c>
      <x:c r="E1238">
        <x:v>62</x:v>
      </x:c>
      <x:c r="F1238">
        <x:v>36</x:v>
      </x:c>
      <x:c r="G1238">
        <x:v>76</x:v>
      </x:c>
      <x:c r="H1238">
        <x:v>45</x:v>
      </x:c>
      <x:c r="I1238">
        <x:v>73</x:v>
      </x:c>
      <x:c r="J1238">
        <x:v>89</x:v>
      </x:c>
      <x:c r="K1238">
        <x:v>92</x:v>
      </x:c>
      <x:c r="L1238">
        <x:v>46</x:v>
      </x:c>
      <x:c r="M1238">
        <x:v>77</x:v>
      </x:c>
      <x:c r="N1238">
        <x:v>45</x:v>
      </x:c>
      <x:c r="O1238">
        <x:v>45</x:v>
      </x:c>
      <x:c r="P1238">
        <x:v>57</x:v>
      </x:c>
      <x:c r="Q1238">
        <x:v>66</x:v>
      </x:c>
      <x:c r="R1238">
        <x:v>68</x:v>
      </x:c>
      <x:c r="S1238">
        <x:v>69</x:v>
      </x:c>
      <x:c r="T1238">
        <x:v>51</x:v>
      </x:c>
      <x:c r="U1238">
        <x:v>49</x:v>
      </x:c>
    </x:row>
    <x:row r="1239">
      <x:c r="A1239" t="s">
        <x:v>1598</x:v>
      </x:c>
      <x:c r="C1239" t="s">
        <x:v>329</x:v>
      </x:c>
      <x:c r="D1239">
        <x:v>8484123</x:v>
      </x:c>
      <x:c r="E1239">
        <x:v>66</x:v>
      </x:c>
      <x:c r="F1239">
        <x:v>37</x:v>
      </x:c>
      <x:c r="G1239">
        <x:v>74</x:v>
      </x:c>
      <x:c r="H1239">
        <x:v>40</x:v>
      </x:c>
      <x:c r="I1239">
        <x:v>78</x:v>
      </x:c>
      <x:c r="J1239">
        <x:v>87</x:v>
      </x:c>
      <x:c r="K1239">
        <x:v>90</x:v>
      </x:c>
      <x:c r="L1239">
        <x:v>39</x:v>
      </x:c>
      <x:c r="M1239">
        <x:v>66</x:v>
      </x:c>
      <x:c r="N1239">
        <x:v>41</x:v>
      </x:c>
      <x:c r="O1239">
        <x:v>42</x:v>
      </x:c>
      <x:c r="P1239">
        <x:v>58</x:v>
      </x:c>
      <x:c r="Q1239">
        <x:v>61</x:v>
      </x:c>
      <x:c r="R1239">
        <x:v>71</x:v>
      </x:c>
      <x:c r="S1239">
        <x:v>71</x:v>
      </x:c>
      <x:c r="T1239">
        <x:v>51</x:v>
      </x:c>
      <x:c r="U1239">
        <x:v>49</x:v>
      </x:c>
    </x:row>
    <x:row r="1240">
      <x:c r="A1240" t="s">
        <x:v>1599</x:v>
      </x:c>
      <x:c r="C1240" t="s">
        <x:v>319</x:v>
      </x:c>
      <x:c r="D1240">
        <x:v>8483105</x:v>
      </x:c>
      <x:c r="E1240">
        <x:v>62</x:v>
      </x:c>
      <x:c r="F1240">
        <x:v>36</x:v>
      </x:c>
      <x:c r="G1240">
        <x:v>86</x:v>
      </x:c>
      <x:c r="H1240">
        <x:v>45</x:v>
      </x:c>
      <x:c r="I1240">
        <x:v>79</x:v>
      </x:c>
      <x:c r="J1240">
        <x:v>81</x:v>
      </x:c>
      <x:c r="K1240">
        <x:v>85</x:v>
      </x:c>
      <x:c r="L1240">
        <x:v>45</x:v>
      </x:c>
      <x:c r="M1240">
        <x:v>60</x:v>
      </x:c>
      <x:c r="N1240">
        <x:v>46</x:v>
      </x:c>
      <x:c r="O1240">
        <x:v>45</x:v>
      </x:c>
      <x:c r="P1240">
        <x:v>59</x:v>
      </x:c>
      <x:c r="Q1240">
        <x:v>66</x:v>
      </x:c>
      <x:c r="R1240">
        <x:v>65</x:v>
      </x:c>
      <x:c r="S1240">
        <x:v>65</x:v>
      </x:c>
      <x:c r="T1240">
        <x:v>51</x:v>
      </x:c>
      <x:c r="U1240">
        <x:v>49</x:v>
      </x:c>
    </x:row>
    <x:row r="1241">
      <x:c r="A1241" t="s">
        <x:v>1600</x:v>
      </x:c>
      <x:c r="C1241" t="s">
        <x:v>331</x:v>
      </x:c>
      <x:c r="D1241">
        <x:v>8483901</x:v>
      </x:c>
      <x:c r="E1241">
        <x:v>66</x:v>
      </x:c>
      <x:c r="F1241">
        <x:v>33</x:v>
      </x:c>
      <x:c r="G1241">
        <x:v>88</x:v>
      </x:c>
      <x:c r="H1241">
        <x:v>30</x:v>
      </x:c>
      <x:c r="I1241">
        <x:v>80</x:v>
      </x:c>
      <x:c r="J1241">
        <x:v>68</x:v>
      </x:c>
      <x:c r="K1241">
        <x:v>71</x:v>
      </x:c>
      <x:c r="L1241">
        <x:v>31</x:v>
      </x:c>
      <x:c r="M1241">
        <x:v>30</x:v>
      </x:c>
      <x:c r="N1241">
        <x:v>39</x:v>
      </x:c>
      <x:c r="O1241">
        <x:v>38</x:v>
      </x:c>
      <x:c r="P1241">
        <x:v>67</x:v>
      </x:c>
      <x:c r="Q1241">
        <x:v>43</x:v>
      </x:c>
      <x:c r="R1241">
        <x:v>66</x:v>
      </x:c>
      <x:c r="S1241">
        <x:v>67</x:v>
      </x:c>
      <x:c r="T1241">
        <x:v>51</x:v>
      </x:c>
      <x:c r="U1241">
        <x:v>49</x:v>
      </x:c>
    </x:row>
    <x:row r="1242">
      <x:c r="A1242" t="s">
        <x:v>1601</x:v>
      </x:c>
      <x:c r="C1242" t="s">
        <x:v>331</x:v>
      </x:c>
      <x:c r="D1242">
        <x:v>8480999</x:v>
      </x:c>
      <x:c r="E1242">
        <x:v>65</x:v>
      </x:c>
      <x:c r="F1242">
        <x:v>38</x:v>
      </x:c>
      <x:c r="G1242">
        <x:v>83</x:v>
      </x:c>
      <x:c r="H1242">
        <x:v>31</x:v>
      </x:c>
      <x:c r="I1242">
        <x:v>79</x:v>
      </x:c>
      <x:c r="J1242">
        <x:v>77</x:v>
      </x:c>
      <x:c r="K1242">
        <x:v>79</x:v>
      </x:c>
      <x:c r="L1242">
        <x:v>31</x:v>
      </x:c>
      <x:c r="M1242">
        <x:v>30</x:v>
      </x:c>
      <x:c r="N1242">
        <x:v>39</x:v>
      </x:c>
      <x:c r="O1242">
        <x:v>39</x:v>
      </x:c>
      <x:c r="P1242">
        <x:v>67</x:v>
      </x:c>
      <x:c r="Q1242">
        <x:v>44</x:v>
      </x:c>
      <x:c r="R1242">
        <x:v>69</x:v>
      </x:c>
      <x:c r="S1242">
        <x:v>68</x:v>
      </x:c>
      <x:c r="T1242">
        <x:v>51</x:v>
      </x:c>
      <x:c r="U1242">
        <x:v>49</x:v>
      </x:c>
    </x:row>
    <x:row r="1243">
      <x:c r="A1243" t="s">
        <x:v>1602</x:v>
      </x:c>
      <x:c r="C1243" t="s">
        <x:v>319</x:v>
      </x:c>
      <x:c r="D1243">
        <x:v>8484383</x:v>
      </x:c>
      <x:c r="E1243">
        <x:v>67</x:v>
      </x:c>
      <x:c r="F1243">
        <x:v>31</x:v>
      </x:c>
      <x:c r="G1243">
        <x:v>77</x:v>
      </x:c>
      <x:c r="H1243">
        <x:v>39</x:v>
      </x:c>
      <x:c r="I1243">
        <x:v>77</x:v>
      </x:c>
      <x:c r="J1243">
        <x:v>77</x:v>
      </x:c>
      <x:c r="K1243">
        <x:v>80</x:v>
      </x:c>
      <x:c r="L1243">
        <x:v>40</x:v>
      </x:c>
      <x:c r="M1243">
        <x:v>77</x:v>
      </x:c>
      <x:c r="N1243">
        <x:v>40</x:v>
      </x:c>
      <x:c r="O1243">
        <x:v>42</x:v>
      </x:c>
      <x:c r="P1243">
        <x:v>60</x:v>
      </x:c>
      <x:c r="Q1243">
        <x:v>60</x:v>
      </x:c>
      <x:c r="R1243">
        <x:v>70</x:v>
      </x:c>
      <x:c r="S1243">
        <x:v>70</x:v>
      </x:c>
      <x:c r="T1243">
        <x:v>51</x:v>
      </x:c>
      <x:c r="U1243">
        <x:v>49</x:v>
      </x:c>
    </x:row>
    <x:row r="1244">
      <x:c r="A1244" t="s">
        <x:v>1603</x:v>
      </x:c>
      <x:c r="C1244" t="s">
        <x:v>331</x:v>
      </x:c>
      <x:c r="D1244">
        <x:v>8486182</x:v>
      </x:c>
      <x:c r="E1244">
        <x:v>67</x:v>
      </x:c>
      <x:c r="F1244">
        <x:v>34</x:v>
      </x:c>
      <x:c r="G1244">
        <x:v>89</x:v>
      </x:c>
      <x:c r="H1244">
        <x:v>31</x:v>
      </x:c>
      <x:c r="I1244">
        <x:v>77</x:v>
      </x:c>
      <x:c r="J1244">
        <x:v>68</x:v>
      </x:c>
      <x:c r="K1244">
        <x:v>71</x:v>
      </x:c>
      <x:c r="L1244">
        <x:v>32</x:v>
      </x:c>
      <x:c r="M1244">
        <x:v>30</x:v>
      </x:c>
      <x:c r="N1244">
        <x:v>39</x:v>
      </x:c>
      <x:c r="O1244">
        <x:v>38</x:v>
      </x:c>
      <x:c r="P1244">
        <x:v>65</x:v>
      </x:c>
      <x:c r="Q1244">
        <x:v>43</x:v>
      </x:c>
      <x:c r="R1244">
        <x:v>66</x:v>
      </x:c>
      <x:c r="S1244">
        <x:v>65</x:v>
      </x:c>
      <x:c r="T1244">
        <x:v>51</x:v>
      </x:c>
      <x:c r="U1244">
        <x:v>49</x:v>
      </x:c>
    </x:row>
    <x:row r="1245">
      <x:c r="A1245" t="s">
        <x:v>1604</x:v>
      </x:c>
      <x:c r="C1245" t="s">
        <x:v>339</x:v>
      </x:c>
      <x:c r="D1245">
        <x:v>8481561</x:v>
      </x:c>
      <x:c r="E1245">
        <x:v>57</x:v>
      </x:c>
      <x:c r="F1245">
        <x:v>31</x:v>
      </x:c>
      <x:c r="G1245">
        <x:v>82</x:v>
      </x:c>
      <x:c r="H1245">
        <x:v>45</x:v>
      </x:c>
      <x:c r="I1245">
        <x:v>77</x:v>
      </x:c>
      <x:c r="J1245">
        <x:v>80</x:v>
      </x:c>
      <x:c r="K1245">
        <x:v>83</x:v>
      </x:c>
      <x:c r="L1245">
        <x:v>46</x:v>
      </x:c>
      <x:c r="M1245">
        <x:v>75</x:v>
      </x:c>
      <x:c r="N1245">
        <x:v>46</x:v>
      </x:c>
      <x:c r="O1245">
        <x:v>45</x:v>
      </x:c>
      <x:c r="P1245">
        <x:v>58</x:v>
      </x:c>
      <x:c r="Q1245">
        <x:v>66</x:v>
      </x:c>
      <x:c r="R1245">
        <x:v>68</x:v>
      </x:c>
      <x:c r="S1245">
        <x:v>67</x:v>
      </x:c>
      <x:c r="T1245">
        <x:v>51</x:v>
      </x:c>
      <x:c r="U1245">
        <x:v>49</x:v>
      </x:c>
    </x:row>
    <x:row r="1246">
      <x:c r="A1246" t="s">
        <x:v>1605</x:v>
      </x:c>
      <x:c r="C1246" t="s">
        <x:v>326</x:v>
      </x:c>
      <x:c r="D1246">
        <x:v>8482727</x:v>
      </x:c>
      <x:c r="E1246">
        <x:v>60</x:v>
      </x:c>
      <x:c r="F1246">
        <x:v>32</x:v>
      </x:c>
      <x:c r="G1246">
        <x:v>87</x:v>
      </x:c>
      <x:c r="H1246">
        <x:v>42</x:v>
      </x:c>
      <x:c r="I1246">
        <x:v>79</x:v>
      </x:c>
      <x:c r="J1246">
        <x:v>77</x:v>
      </x:c>
      <x:c r="K1246">
        <x:v>78</x:v>
      </x:c>
      <x:c r="L1246">
        <x:v>43</x:v>
      </x:c>
      <x:c r="M1246">
        <x:v>70</x:v>
      </x:c>
      <x:c r="N1246">
        <x:v>48</x:v>
      </x:c>
      <x:c r="O1246">
        <x:v>43</x:v>
      </x:c>
      <x:c r="P1246">
        <x:v>59</x:v>
      </x:c>
      <x:c r="Q1246">
        <x:v>65</x:v>
      </x:c>
      <x:c r="R1246">
        <x:v>66</x:v>
      </x:c>
      <x:c r="S1246">
        <x:v>66</x:v>
      </x:c>
      <x:c r="T1246">
        <x:v>51</x:v>
      </x:c>
      <x:c r="U1246">
        <x:v>49</x:v>
      </x:c>
    </x:row>
    <x:row r="1247">
      <x:c r="A1247" t="s">
        <x:v>1606</x:v>
      </x:c>
      <x:c r="C1247" t="s">
        <x:v>331</x:v>
      </x:c>
      <x:c r="D1247">
        <x:v>8481849</x:v>
      </x:c>
      <x:c r="E1247">
        <x:v>63</x:v>
      </x:c>
      <x:c r="F1247">
        <x:v>64</x:v>
      </x:c>
      <x:c r="G1247">
        <x:v>83</x:v>
      </x:c>
      <x:c r="H1247">
        <x:v>30</x:v>
      </x:c>
      <x:c r="I1247">
        <x:v>86</x:v>
      </x:c>
      <x:c r="J1247">
        <x:v>76</x:v>
      </x:c>
      <x:c r="K1247">
        <x:v>79</x:v>
      </x:c>
      <x:c r="L1247">
        <x:v>31</x:v>
      </x:c>
      <x:c r="M1247">
        <x:v>30</x:v>
      </x:c>
      <x:c r="N1247">
        <x:v>39</x:v>
      </x:c>
      <x:c r="O1247">
        <x:v>39</x:v>
      </x:c>
      <x:c r="P1247">
        <x:v>65</x:v>
      </x:c>
      <x:c r="Q1247">
        <x:v>44</x:v>
      </x:c>
      <x:c r="R1247">
        <x:v>69</x:v>
      </x:c>
      <x:c r="S1247">
        <x:v>68</x:v>
      </x:c>
      <x:c r="T1247">
        <x:v>51</x:v>
      </x:c>
      <x:c r="U1247">
        <x:v>49</x:v>
      </x:c>
    </x:row>
    <x:row r="1248">
      <x:c r="A1248" t="s">
        <x:v>1607</x:v>
      </x:c>
      <x:c r="C1248" t="s">
        <x:v>331</x:v>
      </x:c>
      <x:c r="D1248">
        <x:v>8481790</x:v>
      </x:c>
      <x:c r="E1248">
        <x:v>68</x:v>
      </x:c>
      <x:c r="F1248">
        <x:v>34</x:v>
      </x:c>
      <x:c r="G1248">
        <x:v>79</x:v>
      </x:c>
      <x:c r="H1248">
        <x:v>32</x:v>
      </x:c>
      <x:c r="I1248">
        <x:v>78</x:v>
      </x:c>
      <x:c r="J1248">
        <x:v>68</x:v>
      </x:c>
      <x:c r="K1248">
        <x:v>71</x:v>
      </x:c>
      <x:c r="L1248">
        <x:v>33</x:v>
      </x:c>
      <x:c r="M1248">
        <x:v>30</x:v>
      </x:c>
      <x:c r="N1248">
        <x:v>39</x:v>
      </x:c>
      <x:c r="O1248">
        <x:v>38</x:v>
      </x:c>
      <x:c r="P1248">
        <x:v>64</x:v>
      </x:c>
      <x:c r="Q1248">
        <x:v>43</x:v>
      </x:c>
      <x:c r="R1248">
        <x:v>67</x:v>
      </x:c>
      <x:c r="S1248">
        <x:v>66</x:v>
      </x:c>
      <x:c r="T1248">
        <x:v>51</x:v>
      </x:c>
      <x:c r="U1248">
        <x:v>49</x:v>
      </x:c>
    </x:row>
    <x:row r="1249">
      <x:c r="A1249" t="s">
        <x:v>1608</x:v>
      </x:c>
      <x:c r="C1249" t="s">
        <x:v>331</x:v>
      </x:c>
      <x:c r="D1249">
        <x:v>8484151</x:v>
      </x:c>
      <x:c r="E1249">
        <x:v>69</x:v>
      </x:c>
      <x:c r="F1249">
        <x:v>55</x:v>
      </x:c>
      <x:c r="G1249">
        <x:v>70</x:v>
      </x:c>
      <x:c r="H1249">
        <x:v>32</x:v>
      </x:c>
      <x:c r="I1249">
        <x:v>83</x:v>
      </x:c>
      <x:c r="J1249">
        <x:v>75</x:v>
      </x:c>
      <x:c r="K1249">
        <x:v>78</x:v>
      </x:c>
      <x:c r="L1249">
        <x:v>33</x:v>
      </x:c>
      <x:c r="M1249">
        <x:v>30</x:v>
      </x:c>
      <x:c r="N1249">
        <x:v>42</x:v>
      </x:c>
      <x:c r="O1249">
        <x:v>37</x:v>
      </x:c>
      <x:c r="P1249">
        <x:v>65</x:v>
      </x:c>
      <x:c r="Q1249">
        <x:v>44</x:v>
      </x:c>
      <x:c r="R1249">
        <x:v>65</x:v>
      </x:c>
      <x:c r="S1249">
        <x:v>65</x:v>
      </x:c>
      <x:c r="T1249">
        <x:v>51</x:v>
      </x:c>
      <x:c r="U1249">
        <x:v>49</x:v>
      </x:c>
    </x:row>
    <x:row r="1250">
      <x:c r="A1250" t="s">
        <x:v>1609</x:v>
      </x:c>
      <x:c r="C1250" t="s">
        <x:v>319</x:v>
      </x:c>
      <x:c r="D1250">
        <x:v>8477314</x:v>
      </x:c>
      <x:c r="E1250">
        <x:v>63</x:v>
      </x:c>
      <x:c r="F1250">
        <x:v>37</x:v>
      </x:c>
      <x:c r="G1250">
        <x:v>90</x:v>
      </x:c>
      <x:c r="H1250">
        <x:v>44</x:v>
      </x:c>
      <x:c r="I1250">
        <x:v>81</x:v>
      </x:c>
      <x:c r="J1250">
        <x:v>92</x:v>
      </x:c>
      <x:c r="K1250">
        <x:v>95</x:v>
      </x:c>
      <x:c r="L1250">
        <x:v>44</x:v>
      </x:c>
      <x:c r="M1250">
        <x:v>77</x:v>
      </x:c>
      <x:c r="N1250">
        <x:v>45</x:v>
      </x:c>
      <x:c r="O1250">
        <x:v>44</x:v>
      </x:c>
      <x:c r="P1250">
        <x:v>59</x:v>
      </x:c>
      <x:c r="Q1250">
        <x:v>65</x:v>
      </x:c>
      <x:c r="R1250">
        <x:v>74</x:v>
      </x:c>
      <x:c r="S1250">
        <x:v>75</x:v>
      </x:c>
      <x:c r="T1250">
        <x:v>51</x:v>
      </x:c>
      <x:c r="U1250">
        <x:v>49</x:v>
      </x:c>
    </x:row>
    <x:row r="1251">
      <x:c r="A1251" t="s">
        <x:v>1610</x:v>
      </x:c>
      <x:c r="C1251" t="s">
        <x:v>331</x:v>
      </x:c>
      <x:c r="D1251">
        <x:v>8486154</x:v>
      </x:c>
      <x:c r="E1251">
        <x:v>65</x:v>
      </x:c>
      <x:c r="F1251">
        <x:v>35</x:v>
      </x:c>
      <x:c r="G1251">
        <x:v>82</x:v>
      </x:c>
      <x:c r="H1251">
        <x:v>31</x:v>
      </x:c>
      <x:c r="I1251">
        <x:v>81</x:v>
      </x:c>
      <x:c r="J1251">
        <x:v>70</x:v>
      </x:c>
      <x:c r="K1251">
        <x:v>73</x:v>
      </x:c>
      <x:c r="L1251">
        <x:v>32</x:v>
      </x:c>
      <x:c r="M1251">
        <x:v>30</x:v>
      </x:c>
      <x:c r="N1251">
        <x:v>41</x:v>
      </x:c>
      <x:c r="O1251">
        <x:v>38</x:v>
      </x:c>
      <x:c r="P1251">
        <x:v>65</x:v>
      </x:c>
      <x:c r="Q1251">
        <x:v>44</x:v>
      </x:c>
      <x:c r="R1251">
        <x:v>66</x:v>
      </x:c>
      <x:c r="S1251">
        <x:v>66</x:v>
      </x:c>
      <x:c r="T1251">
        <x:v>51</x:v>
      </x:c>
      <x:c r="U1251">
        <x:v>49</x:v>
      </x:c>
    </x:row>
    <x:row r="1252">
      <x:c r="A1252" t="s">
        <x:v>1611</x:v>
      </x:c>
      <x:c r="C1252" t="s">
        <x:v>331</x:v>
      </x:c>
      <x:c r="D1252">
        <x:v>8483834</x:v>
      </x:c>
      <x:c r="E1252">
        <x:v>70</x:v>
      </x:c>
      <x:c r="F1252">
        <x:v>37</x:v>
      </x:c>
      <x:c r="G1252">
        <x:v>88</x:v>
      </x:c>
      <x:c r="H1252">
        <x:v>30</x:v>
      </x:c>
      <x:c r="I1252">
        <x:v>79</x:v>
      </x:c>
      <x:c r="J1252">
        <x:v>71</x:v>
      </x:c>
      <x:c r="K1252">
        <x:v>72</x:v>
      </x:c>
      <x:c r="L1252">
        <x:v>31</x:v>
      </x:c>
      <x:c r="M1252">
        <x:v>30</x:v>
      </x:c>
      <x:c r="N1252">
        <x:v>40</x:v>
      </x:c>
      <x:c r="O1252">
        <x:v>38</x:v>
      </x:c>
      <x:c r="P1252">
        <x:v>64</x:v>
      </x:c>
      <x:c r="Q1252">
        <x:v>44</x:v>
      </x:c>
      <x:c r="R1252">
        <x:v>68</x:v>
      </x:c>
      <x:c r="S1252">
        <x:v>69</x:v>
      </x:c>
      <x:c r="T1252">
        <x:v>51</x:v>
      </x:c>
      <x:c r="U1252">
        <x:v>49</x:v>
      </x:c>
    </x:row>
    <x:row r="1253">
      <x:c r="A1253" t="s">
        <x:v>1612</x:v>
      </x:c>
      <x:c r="B1253" t="s">
        <x:v>584</x:v>
      </x:c>
      <x:c r="C1253" t="s">
        <x:v>331</x:v>
      </x:c>
      <x:c r="D1253">
        <x:v>8483533</x:v>
      </x:c>
      <x:c r="E1253">
        <x:v>63</x:v>
      </x:c>
      <x:c r="F1253">
        <x:v>33</x:v>
      </x:c>
      <x:c r="G1253">
        <x:v>81</x:v>
      </x:c>
      <x:c r="H1253">
        <x:v>30</x:v>
      </x:c>
      <x:c r="I1253">
        <x:v>81</x:v>
      </x:c>
      <x:c r="J1253">
        <x:v>69</x:v>
      </x:c>
      <x:c r="K1253">
        <x:v>72</x:v>
      </x:c>
      <x:c r="L1253">
        <x:v>30</x:v>
      </x:c>
      <x:c r="M1253">
        <x:v>30</x:v>
      </x:c>
      <x:c r="N1253">
        <x:v>39</x:v>
      </x:c>
      <x:c r="O1253">
        <x:v>38</x:v>
      </x:c>
      <x:c r="P1253">
        <x:v>66</x:v>
      </x:c>
      <x:c r="Q1253">
        <x:v>43</x:v>
      </x:c>
      <x:c r="R1253">
        <x:v>69</x:v>
      </x:c>
      <x:c r="S1253">
        <x:v>71</x:v>
      </x:c>
      <x:c r="T1253">
        <x:v>51</x:v>
      </x:c>
      <x:c r="U1253">
        <x:v>49</x:v>
      </x:c>
    </x:row>
    <x:row r="1254">
      <x:c r="A1254" t="s">
        <x:v>1613</x:v>
      </x:c>
      <x:c r="C1254" t="s">
        <x:v>319</x:v>
      </x:c>
      <x:c r="D1254">
        <x:v>8483039</x:v>
      </x:c>
      <x:c r="E1254">
        <x:v>59</x:v>
      </x:c>
      <x:c r="F1254">
        <x:v>37</x:v>
      </x:c>
      <x:c r="G1254">
        <x:v>79</x:v>
      </x:c>
      <x:c r="H1254">
        <x:v>46</x:v>
      </x:c>
      <x:c r="I1254">
        <x:v>77</x:v>
      </x:c>
      <x:c r="J1254">
        <x:v>91</x:v>
      </x:c>
      <x:c r="K1254">
        <x:v>94</x:v>
      </x:c>
      <x:c r="L1254">
        <x:v>45</x:v>
      </x:c>
      <x:c r="M1254">
        <x:v>74</x:v>
      </x:c>
      <x:c r="N1254">
        <x:v>45</x:v>
      </x:c>
      <x:c r="O1254">
        <x:v>47</x:v>
      </x:c>
      <x:c r="P1254">
        <x:v>57</x:v>
      </x:c>
      <x:c r="Q1254">
        <x:v>68</x:v>
      </x:c>
      <x:c r="R1254">
        <x:v>69</x:v>
      </x:c>
      <x:c r="S1254">
        <x:v>69</x:v>
      </x:c>
      <x:c r="T1254">
        <x:v>51</x:v>
      </x:c>
      <x:c r="U1254">
        <x:v>49</x:v>
      </x:c>
    </x:row>
    <x:row r="1255">
      <x:c r="A1255" t="s">
        <x:v>1614</x:v>
      </x:c>
      <x:c r="C1255" t="s">
        <x:v>331</x:v>
      </x:c>
      <x:c r="D1255">
        <x:v>8483103</x:v>
      </x:c>
      <x:c r="E1255">
        <x:v>69</x:v>
      </x:c>
      <x:c r="F1255">
        <x:v>34</x:v>
      </x:c>
      <x:c r="G1255">
        <x:v>81</x:v>
      </x:c>
      <x:c r="H1255">
        <x:v>32</x:v>
      </x:c>
      <x:c r="I1255">
        <x:v>77</x:v>
      </x:c>
      <x:c r="J1255">
        <x:v>75</x:v>
      </x:c>
      <x:c r="K1255">
        <x:v>79</x:v>
      </x:c>
      <x:c r="L1255">
        <x:v>32</x:v>
      </x:c>
      <x:c r="M1255">
        <x:v>30</x:v>
      </x:c>
      <x:c r="N1255">
        <x:v>41</x:v>
      </x:c>
      <x:c r="O1255">
        <x:v>39</x:v>
      </x:c>
      <x:c r="P1255">
        <x:v>63</x:v>
      </x:c>
      <x:c r="Q1255">
        <x:v>45</x:v>
      </x:c>
      <x:c r="R1255">
        <x:v>68</x:v>
      </x:c>
      <x:c r="S1255">
        <x:v>67</x:v>
      </x:c>
      <x:c r="T1255">
        <x:v>51</x:v>
      </x:c>
      <x:c r="U1255">
        <x:v>49</x:v>
      </x:c>
    </x:row>
    <x:row r="1256">
      <x:c r="A1256" t="s">
        <x:v>1615</x:v>
      </x:c>
      <x:c r="C1256" t="s">
        <x:v>331</x:v>
      </x:c>
      <x:c r="D1256">
        <x:v>8484523</x:v>
      </x:c>
      <x:c r="E1256">
        <x:v>66</x:v>
      </x:c>
      <x:c r="F1256">
        <x:v>40</x:v>
      </x:c>
      <x:c r="G1256">
        <x:v>81</x:v>
      </x:c>
      <x:c r="H1256">
        <x:v>31</x:v>
      </x:c>
      <x:c r="I1256">
        <x:v>82</x:v>
      </x:c>
      <x:c r="J1256">
        <x:v>73</x:v>
      </x:c>
      <x:c r="K1256">
        <x:v>76</x:v>
      </x:c>
      <x:c r="L1256">
        <x:v>32</x:v>
      </x:c>
      <x:c r="M1256">
        <x:v>30</x:v>
      </x:c>
      <x:c r="N1256">
        <x:v>41</x:v>
      </x:c>
      <x:c r="O1256">
        <x:v>37</x:v>
      </x:c>
      <x:c r="P1256">
        <x:v>66</x:v>
      </x:c>
      <x:c r="Q1256">
        <x:v>44</x:v>
      </x:c>
      <x:c r="R1256">
        <x:v>65</x:v>
      </x:c>
      <x:c r="S1256">
        <x:v>65</x:v>
      </x:c>
      <x:c r="T1256">
        <x:v>51</x:v>
      </x:c>
      <x:c r="U1256">
        <x:v>49</x:v>
      </x:c>
    </x:row>
    <x:row r="1257">
      <x:c r="A1257" t="s">
        <x:v>1616</x:v>
      </x:c>
      <x:c r="C1257" t="s">
        <x:v>319</x:v>
      </x:c>
      <x:c r="D1257">
        <x:v>8484537</x:v>
      </x:c>
      <x:c r="E1257">
        <x:v>70</x:v>
      </x:c>
      <x:c r="F1257">
        <x:v>45</x:v>
      </x:c>
      <x:c r="G1257">
        <x:v>72</x:v>
      </x:c>
      <x:c r="H1257">
        <x:v>43</x:v>
      </x:c>
      <x:c r="I1257">
        <x:v>79</x:v>
      </x:c>
      <x:c r="J1257">
        <x:v>87</x:v>
      </x:c>
      <x:c r="K1257">
        <x:v>91</x:v>
      </x:c>
      <x:c r="L1257">
        <x:v>42</x:v>
      </x:c>
      <x:c r="M1257">
        <x:v>64</x:v>
      </x:c>
      <x:c r="N1257">
        <x:v>44</x:v>
      </x:c>
      <x:c r="O1257">
        <x:v>44</x:v>
      </x:c>
      <x:c r="P1257">
        <x:v>63</x:v>
      </x:c>
      <x:c r="Q1257">
        <x:v>64</x:v>
      </x:c>
      <x:c r="R1257">
        <x:v>65</x:v>
      </x:c>
      <x:c r="S1257">
        <x:v>64</x:v>
      </x:c>
      <x:c r="T1257">
        <x:v>51</x:v>
      </x:c>
      <x:c r="U1257">
        <x:v>49</x:v>
      </x:c>
    </x:row>
    <x:row r="1258">
      <x:c r="A1258" t="s">
        <x:v>1617</x:v>
      </x:c>
      <x:c r="C1258" t="s">
        <x:v>358</x:v>
      </x:c>
      <x:c r="D1258">
        <x:v>8480468</x:v>
      </x:c>
      <x:c r="E1258">
        <x:v>60</x:v>
      </x:c>
      <x:c r="F1258">
        <x:v>31</x:v>
      </x:c>
      <x:c r="G1258">
        <x:v>85</x:v>
      </x:c>
      <x:c r="H1258">
        <x:v>45</x:v>
      </x:c>
      <x:c r="I1258">
        <x:v>74</x:v>
      </x:c>
      <x:c r="J1258">
        <x:v>84</x:v>
      </x:c>
      <x:c r="K1258">
        <x:v>88</x:v>
      </x:c>
      <x:c r="L1258">
        <x:v>45</x:v>
      </x:c>
      <x:c r="M1258">
        <x:v>79</x:v>
      </x:c>
      <x:c r="N1258">
        <x:v>47</x:v>
      </x:c>
      <x:c r="O1258">
        <x:v>50</x:v>
      </x:c>
      <x:c r="P1258">
        <x:v>63</x:v>
      </x:c>
      <x:c r="Q1258">
        <x:v>67</x:v>
      </x:c>
      <x:c r="R1258">
        <x:v>69</x:v>
      </x:c>
      <x:c r="S1258">
        <x:v>70</x:v>
      </x:c>
      <x:c r="T1258">
        <x:v>51</x:v>
      </x:c>
      <x:c r="U1258">
        <x:v>49</x:v>
      </x:c>
    </x:row>
    <x:row r="1259">
      <x:c r="A1259" t="s">
        <x:v>1618</x:v>
      </x:c>
      <x:c r="C1259" t="s">
        <x:v>333</x:v>
      </x:c>
      <x:c r="D1259">
        <x:v>8481239</x:v>
      </x:c>
      <x:c r="E1259">
        <x:v>60</x:v>
      </x:c>
      <x:c r="F1259">
        <x:v>37</x:v>
      </x:c>
      <x:c r="G1259">
        <x:v>87</x:v>
      </x:c>
      <x:c r="H1259">
        <x:v>44</x:v>
      </x:c>
      <x:c r="I1259">
        <x:v>81</x:v>
      </x:c>
      <x:c r="J1259">
        <x:v>91</x:v>
      </x:c>
      <x:c r="K1259">
        <x:v>95</x:v>
      </x:c>
      <x:c r="L1259">
        <x:v>44</x:v>
      </x:c>
      <x:c r="M1259">
        <x:v>52</x:v>
      </x:c>
      <x:c r="N1259">
        <x:v>43</x:v>
      </x:c>
      <x:c r="O1259">
        <x:v>46</x:v>
      </x:c>
      <x:c r="P1259">
        <x:v>58</x:v>
      </x:c>
      <x:c r="Q1259">
        <x:v>65</x:v>
      </x:c>
      <x:c r="R1259">
        <x:v>69</x:v>
      </x:c>
      <x:c r="S1259">
        <x:v>68</x:v>
      </x:c>
      <x:c r="T1259">
        <x:v>51</x:v>
      </x:c>
      <x:c r="U1259">
        <x:v>49</x:v>
      </x:c>
    </x:row>
    <x:row r="1260">
      <x:c r="A1260" t="s">
        <x:v>1619</x:v>
      </x:c>
      <x:c r="C1260" t="s">
        <x:v>358</x:v>
      </x:c>
      <x:c r="D1260">
        <x:v>8481585</x:v>
      </x:c>
      <x:c r="E1260">
        <x:v>66</x:v>
      </x:c>
      <x:c r="F1260">
        <x:v>43</x:v>
      </x:c>
      <x:c r="G1260">
        <x:v>79</x:v>
      </x:c>
      <x:c r="H1260">
        <x:v>41</x:v>
      </x:c>
      <x:c r="I1260">
        <x:v>83</x:v>
      </x:c>
      <x:c r="J1260">
        <x:v>85</x:v>
      </x:c>
      <x:c r="K1260">
        <x:v>89</x:v>
      </x:c>
      <x:c r="L1260">
        <x:v>42</x:v>
      </x:c>
      <x:c r="M1260">
        <x:v>70</x:v>
      </x:c>
      <x:c r="N1260">
        <x:v>48</x:v>
      </x:c>
      <x:c r="O1260">
        <x:v>44</x:v>
      </x:c>
      <x:c r="P1260">
        <x:v>63</x:v>
      </x:c>
      <x:c r="Q1260">
        <x:v>63</x:v>
      </x:c>
      <x:c r="R1260">
        <x:v>67</x:v>
      </x:c>
      <x:c r="S1260">
        <x:v>67</x:v>
      </x:c>
      <x:c r="T1260">
        <x:v>51</x:v>
      </x:c>
      <x:c r="U1260">
        <x:v>49</x:v>
      </x:c>
    </x:row>
    <x:row r="1261">
      <x:c r="A1261" t="s">
        <x:v>1620</x:v>
      </x:c>
      <x:c r="B1261" t="s">
        <x:v>584</x:v>
      </x:c>
      <x:c r="C1261" t="s">
        <x:v>358</x:v>
      </x:c>
      <x:c r="D1261">
        <x:v>8481093</x:v>
      </x:c>
      <x:c r="E1261">
        <x:v>67</x:v>
      </x:c>
      <x:c r="F1261">
        <x:v>33</x:v>
      </x:c>
      <x:c r="G1261">
        <x:v>85</x:v>
      </x:c>
      <x:c r="H1261">
        <x:v>44</x:v>
      </x:c>
      <x:c r="I1261">
        <x:v>75</x:v>
      </x:c>
      <x:c r="J1261">
        <x:v>85</x:v>
      </x:c>
      <x:c r="K1261">
        <x:v>90</x:v>
      </x:c>
      <x:c r="L1261">
        <x:v>43</x:v>
      </x:c>
      <x:c r="M1261">
        <x:v>70</x:v>
      </x:c>
      <x:c r="N1261">
        <x:v>52</x:v>
      </x:c>
      <x:c r="O1261">
        <x:v>52</x:v>
      </x:c>
      <x:c r="P1261">
        <x:v>66</x:v>
      </x:c>
      <x:c r="Q1261">
        <x:v>65</x:v>
      </x:c>
      <x:c r="R1261">
        <x:v>69</x:v>
      </x:c>
      <x:c r="S1261">
        <x:v>69</x:v>
      </x:c>
      <x:c r="T1261">
        <x:v>51</x:v>
      </x:c>
      <x:c r="U1261">
        <x:v>49</x:v>
      </x:c>
    </x:row>
    <x:row r="1262">
      <x:c r="A1262" t="s">
        <x:v>1621</x:v>
      </x:c>
      <x:c r="B1262" t="s">
        <x:v>584</x:v>
      </x:c>
      <x:c r="C1262" t="s">
        <x:v>331</x:v>
      </x:c>
      <x:c r="E1262">
        <x:v>63</x:v>
      </x:c>
      <x:c r="F1262">
        <x:v>38</x:v>
      </x:c>
      <x:c r="G1262">
        <x:v>71</x:v>
      </x:c>
      <x:c r="H1262">
        <x:v>30</x:v>
      </x:c>
      <x:c r="I1262">
        <x:v>84</x:v>
      </x:c>
      <x:c r="J1262">
        <x:v>68</x:v>
      </x:c>
      <x:c r="K1262">
        <x:v>71</x:v>
      </x:c>
      <x:c r="L1262">
        <x:v>31</x:v>
      </x:c>
      <x:c r="M1262">
        <x:v>30</x:v>
      </x:c>
      <x:c r="N1262">
        <x:v>39</x:v>
      </x:c>
      <x:c r="O1262">
        <x:v>38</x:v>
      </x:c>
      <x:c r="P1262">
        <x:v>67</x:v>
      </x:c>
      <x:c r="Q1262">
        <x:v>43</x:v>
      </x:c>
      <x:c r="R1262">
        <x:v>69</x:v>
      </x:c>
      <x:c r="S1262">
        <x:v>69</x:v>
      </x:c>
      <x:c r="T1262">
        <x:v>51</x:v>
      </x:c>
      <x:c r="U1262">
        <x:v>49</x:v>
      </x:c>
    </x:row>
    <x:row r="1263">
      <x:c r="A1263" t="s">
        <x:v>1622</x:v>
      </x:c>
      <x:c r="B1263" t="s">
        <x:v>327</x:v>
      </x:c>
      <x:c r="C1263" t="s">
        <x:v>326</x:v>
      </x:c>
      <x:c r="D1263">
        <x:v>8484173</x:v>
      </x:c>
      <x:c r="E1263">
        <x:v>72</x:v>
      </x:c>
      <x:c r="F1263">
        <x:v>38</x:v>
      </x:c>
      <x:c r="G1263">
        <x:v>91</x:v>
      </x:c>
      <x:c r="H1263">
        <x:v>42</x:v>
      </x:c>
      <x:c r="I1263">
        <x:v>79</x:v>
      </x:c>
      <x:c r="J1263">
        <x:v>80</x:v>
      </x:c>
      <x:c r="K1263">
        <x:v>84</x:v>
      </x:c>
      <x:c r="L1263">
        <x:v>41</x:v>
      </x:c>
      <x:c r="M1263">
        <x:v>79</x:v>
      </x:c>
      <x:c r="N1263">
        <x:v>44</x:v>
      </x:c>
      <x:c r="O1263">
        <x:v>44</x:v>
      </x:c>
      <x:c r="P1263">
        <x:v>66</x:v>
      </x:c>
      <x:c r="Q1263">
        <x:v>64</x:v>
      </x:c>
      <x:c r="R1263">
        <x:v>65</x:v>
      </x:c>
      <x:c r="S1263">
        <x:v>66</x:v>
      </x:c>
      <x:c r="T1263">
        <x:v>51</x:v>
      </x:c>
      <x:c r="U1263">
        <x:v>49</x:v>
      </x:c>
    </x:row>
    <x:row r="1264">
      <x:c r="A1264" t="s">
        <x:v>1623</x:v>
      </x:c>
      <x:c r="C1264" t="s">
        <x:v>331</x:v>
      </x:c>
      <x:c r="D1264">
        <x:v>8482459</x:v>
      </x:c>
      <x:c r="E1264">
        <x:v>72</x:v>
      </x:c>
      <x:c r="F1264">
        <x:v>37</x:v>
      </x:c>
      <x:c r="G1264">
        <x:v>72</x:v>
      </x:c>
      <x:c r="H1264">
        <x:v>31</x:v>
      </x:c>
      <x:c r="I1264">
        <x:v>85</x:v>
      </x:c>
      <x:c r="J1264">
        <x:v>82</x:v>
      </x:c>
      <x:c r="K1264">
        <x:v>84</x:v>
      </x:c>
      <x:c r="L1264">
        <x:v>30</x:v>
      </x:c>
      <x:c r="M1264">
        <x:v>30</x:v>
      </x:c>
      <x:c r="N1264">
        <x:v>40</x:v>
      </x:c>
      <x:c r="O1264">
        <x:v>39</x:v>
      </x:c>
      <x:c r="P1264">
        <x:v>65</x:v>
      </x:c>
      <x:c r="Q1264">
        <x:v>44</x:v>
      </x:c>
      <x:c r="R1264">
        <x:v>67</x:v>
      </x:c>
      <x:c r="S1264">
        <x:v>66</x:v>
      </x:c>
      <x:c r="T1264">
        <x:v>51</x:v>
      </x:c>
      <x:c r="U1264">
        <x:v>49</x:v>
      </x:c>
    </x:row>
    <x:row r="1265">
      <x:c r="A1265" t="s">
        <x:v>1624</x:v>
      </x:c>
      <x:c r="C1265" t="s">
        <x:v>331</x:v>
      </x:c>
      <x:c r="D1265">
        <x:v>8483509</x:v>
      </x:c>
      <x:c r="E1265">
        <x:v>65</x:v>
      </x:c>
      <x:c r="F1265">
        <x:v>37</x:v>
      </x:c>
      <x:c r="G1265">
        <x:v>84</x:v>
      </x:c>
      <x:c r="H1265">
        <x:v>32</x:v>
      </x:c>
      <x:c r="I1265">
        <x:v>80</x:v>
      </x:c>
      <x:c r="J1265">
        <x:v>78</x:v>
      </x:c>
      <x:c r="K1265">
        <x:v>81</x:v>
      </x:c>
      <x:c r="L1265">
        <x:v>33</x:v>
      </x:c>
      <x:c r="M1265">
        <x:v>30</x:v>
      </x:c>
      <x:c r="N1265">
        <x:v>39</x:v>
      </x:c>
      <x:c r="O1265">
        <x:v>40</x:v>
      </x:c>
      <x:c r="P1265">
        <x:v>64</x:v>
      </x:c>
      <x:c r="Q1265">
        <x:v>44</x:v>
      </x:c>
      <x:c r="R1265">
        <x:v>65</x:v>
      </x:c>
      <x:c r="S1265">
        <x:v>66</x:v>
      </x:c>
      <x:c r="T1265">
        <x:v>51</x:v>
      </x:c>
      <x:c r="U1265">
        <x:v>49</x:v>
      </x:c>
    </x:row>
    <x:row r="1266">
      <x:c r="A1266" t="s">
        <x:v>1625</x:v>
      </x:c>
      <x:c r="C1266" t="s">
        <x:v>331</x:v>
      </x:c>
      <x:c r="D1266">
        <x:v>8482950</x:v>
      </x:c>
      <x:c r="E1266">
        <x:v>68</x:v>
      </x:c>
      <x:c r="F1266">
        <x:v>35</x:v>
      </x:c>
      <x:c r="G1266">
        <x:v>86</x:v>
      </x:c>
      <x:c r="H1266">
        <x:v>31</x:v>
      </x:c>
      <x:c r="I1266">
        <x:v>83</x:v>
      </x:c>
      <x:c r="J1266">
        <x:v>70</x:v>
      </x:c>
      <x:c r="K1266">
        <x:v>73</x:v>
      </x:c>
      <x:c r="L1266">
        <x:v>31</x:v>
      </x:c>
      <x:c r="M1266">
        <x:v>30</x:v>
      </x:c>
      <x:c r="N1266">
        <x:v>41</x:v>
      </x:c>
      <x:c r="O1266">
        <x:v>38</x:v>
      </x:c>
      <x:c r="P1266">
        <x:v>66</x:v>
      </x:c>
      <x:c r="Q1266">
        <x:v>44</x:v>
      </x:c>
      <x:c r="R1266">
        <x:v>66</x:v>
      </x:c>
      <x:c r="S1266">
        <x:v>65</x:v>
      </x:c>
      <x:c r="T1266">
        <x:v>51</x:v>
      </x:c>
      <x:c r="U1266">
        <x:v>49</x:v>
      </x:c>
    </x:row>
    <x:row r="1267">
      <x:c r="A1267" t="s">
        <x:v>1626</x:v>
      </x:c>
      <x:c r="C1267" t="s">
        <x:v>326</x:v>
      </x:c>
      <x:c r="D1267">
        <x:v>8480825</x:v>
      </x:c>
      <x:c r="E1267">
        <x:v>75</x:v>
      </x:c>
      <x:c r="F1267">
        <x:v>36</x:v>
      </x:c>
      <x:c r="G1267">
        <x:v>90</x:v>
      </x:c>
      <x:c r="H1267">
        <x:v>42</x:v>
      </x:c>
      <x:c r="I1267">
        <x:v>86</x:v>
      </x:c>
      <x:c r="J1267">
        <x:v>87</x:v>
      </x:c>
      <x:c r="K1267">
        <x:v>93</x:v>
      </x:c>
      <x:c r="L1267">
        <x:v>42</x:v>
      </x:c>
      <x:c r="M1267">
        <x:v>66</x:v>
      </x:c>
      <x:c r="N1267">
        <x:v>49</x:v>
      </x:c>
      <x:c r="O1267">
        <x:v>48</x:v>
      </x:c>
      <x:c r="P1267">
        <x:v>62</x:v>
      </x:c>
      <x:c r="Q1267">
        <x:v>64</x:v>
      </x:c>
      <x:c r="R1267">
        <x:v>69</x:v>
      </x:c>
      <x:c r="S1267">
        <x:v>68</x:v>
      </x:c>
      <x:c r="T1267">
        <x:v>51</x:v>
      </x:c>
      <x:c r="U1267">
        <x:v>49</x:v>
      </x:c>
    </x:row>
    <x:row r="1268">
      <x:c r="A1268" t="s">
        <x:v>1627</x:v>
      </x:c>
      <x:c r="C1268" t="s">
        <x:v>331</x:v>
      </x:c>
      <x:c r="D1268">
        <x:v>8483651</x:v>
      </x:c>
      <x:c r="E1268">
        <x:v>67</x:v>
      </x:c>
      <x:c r="F1268">
        <x:v>36</x:v>
      </x:c>
      <x:c r="G1268">
        <x:v>82</x:v>
      </x:c>
      <x:c r="H1268">
        <x:v>31</x:v>
      </x:c>
      <x:c r="I1268">
        <x:v>83</x:v>
      </x:c>
      <x:c r="J1268">
        <x:v>70</x:v>
      </x:c>
      <x:c r="K1268">
        <x:v>73</x:v>
      </x:c>
      <x:c r="L1268">
        <x:v>32</x:v>
      </x:c>
      <x:c r="M1268">
        <x:v>30</x:v>
      </x:c>
      <x:c r="N1268">
        <x:v>39</x:v>
      </x:c>
      <x:c r="O1268">
        <x:v>38</x:v>
      </x:c>
      <x:c r="P1268">
        <x:v>65</x:v>
      </x:c>
      <x:c r="Q1268">
        <x:v>43</x:v>
      </x:c>
      <x:c r="R1268">
        <x:v>68</x:v>
      </x:c>
      <x:c r="S1268">
        <x:v>69</x:v>
      </x:c>
      <x:c r="T1268">
        <x:v>51</x:v>
      </x:c>
      <x:c r="U1268">
        <x:v>49</x:v>
      </x:c>
    </x:row>
    <x:row r="1269">
      <x:c r="A1269" t="s">
        <x:v>1628</x:v>
      </x:c>
      <x:c r="C1269" t="s">
        <x:v>339</x:v>
      </x:c>
      <x:c r="D1269">
        <x:v>8483090</x:v>
      </x:c>
      <x:c r="E1269">
        <x:v>60</x:v>
      </x:c>
      <x:c r="F1269">
        <x:v>32</x:v>
      </x:c>
      <x:c r="G1269">
        <x:v>84</x:v>
      </x:c>
      <x:c r="H1269">
        <x:v>45</x:v>
      </x:c>
      <x:c r="I1269">
        <x:v>81</x:v>
      </x:c>
      <x:c r="J1269">
        <x:v>83</x:v>
      </x:c>
      <x:c r="K1269">
        <x:v>87</x:v>
      </x:c>
      <x:c r="L1269">
        <x:v>46</x:v>
      </x:c>
      <x:c r="M1269">
        <x:v>77</x:v>
      </x:c>
      <x:c r="N1269">
        <x:v>44</x:v>
      </x:c>
      <x:c r="O1269">
        <x:v>46</x:v>
      </x:c>
      <x:c r="P1269">
        <x:v>60</x:v>
      </x:c>
      <x:c r="Q1269">
        <x:v>65</x:v>
      </x:c>
      <x:c r="R1269">
        <x:v>67</x:v>
      </x:c>
      <x:c r="S1269">
        <x:v>68</x:v>
      </x:c>
      <x:c r="T1269">
        <x:v>51</x:v>
      </x:c>
      <x:c r="U1269">
        <x:v>49</x:v>
      </x:c>
    </x:row>
    <x:row r="1270">
      <x:c r="A1270" t="s">
        <x:v>1629</x:v>
      </x:c>
      <x:c r="C1270" t="s">
        <x:v>331</x:v>
      </x:c>
      <x:c r="D1270">
        <x:v>8484766</x:v>
      </x:c>
      <x:c r="E1270">
        <x:v>80</x:v>
      </x:c>
      <x:c r="F1270">
        <x:v>40</x:v>
      </x:c>
      <x:c r="G1270">
        <x:v>88</x:v>
      </x:c>
      <x:c r="H1270">
        <x:v>30</x:v>
      </x:c>
      <x:c r="I1270">
        <x:v>82</x:v>
      </x:c>
      <x:c r="J1270">
        <x:v>73</x:v>
      </x:c>
      <x:c r="K1270">
        <x:v>76</x:v>
      </x:c>
      <x:c r="L1270">
        <x:v>31</x:v>
      </x:c>
      <x:c r="M1270">
        <x:v>30</x:v>
      </x:c>
      <x:c r="N1270">
        <x:v>39</x:v>
      </x:c>
      <x:c r="O1270">
        <x:v>37</x:v>
      </x:c>
      <x:c r="P1270">
        <x:v>66</x:v>
      </x:c>
      <x:c r="Q1270">
        <x:v>43</x:v>
      </x:c>
      <x:c r="R1270">
        <x:v>65</x:v>
      </x:c>
      <x:c r="S1270">
        <x:v>64</x:v>
      </x:c>
      <x:c r="T1270">
        <x:v>51</x:v>
      </x:c>
      <x:c r="U1270">
        <x:v>49</x:v>
      </x:c>
    </x:row>
    <x:row r="1271">
      <x:c r="A1271" t="s">
        <x:v>1630</x:v>
      </x:c>
      <x:c r="C1271" t="s">
        <x:v>326</x:v>
      </x:c>
      <x:c r="D1271">
        <x:v>8482101</x:v>
      </x:c>
      <x:c r="E1271">
        <x:v>60</x:v>
      </x:c>
      <x:c r="F1271">
        <x:v>33</x:v>
      </x:c>
      <x:c r="G1271">
        <x:v>84</x:v>
      </x:c>
      <x:c r="H1271">
        <x:v>46</x:v>
      </x:c>
      <x:c r="I1271">
        <x:v>74</x:v>
      </x:c>
      <x:c r="J1271">
        <x:v>82</x:v>
      </x:c>
      <x:c r="K1271">
        <x:v>84</x:v>
      </x:c>
      <x:c r="L1271">
        <x:v>47</x:v>
      </x:c>
      <x:c r="M1271">
        <x:v>58</x:v>
      </x:c>
      <x:c r="N1271">
        <x:v>48</x:v>
      </x:c>
      <x:c r="O1271">
        <x:v>49</x:v>
      </x:c>
      <x:c r="P1271">
        <x:v>61</x:v>
      </x:c>
      <x:c r="Q1271">
        <x:v>67</x:v>
      </x:c>
      <x:c r="R1271">
        <x:v>67</x:v>
      </x:c>
      <x:c r="S1271">
        <x:v>66</x:v>
      </x:c>
      <x:c r="T1271">
        <x:v>51</x:v>
      </x:c>
      <x:c r="U1271">
        <x:v>49</x:v>
      </x:c>
    </x:row>
    <x:row r="1272">
      <x:c r="A1272" t="s">
        <x:v>1631</x:v>
      </x:c>
      <x:c r="C1272" t="s">
        <x:v>326</x:v>
      </x:c>
      <x:c r="D1272">
        <x:v>8480007</x:v>
      </x:c>
      <x:c r="E1272">
        <x:v>61</x:v>
      </x:c>
      <x:c r="F1272">
        <x:v>34</x:v>
      </x:c>
      <x:c r="G1272">
        <x:v>90</x:v>
      </x:c>
      <x:c r="H1272">
        <x:v>44</x:v>
      </x:c>
      <x:c r="I1272">
        <x:v>83</x:v>
      </x:c>
      <x:c r="J1272">
        <x:v>80</x:v>
      </x:c>
      <x:c r="K1272">
        <x:v>83</x:v>
      </x:c>
      <x:c r="L1272">
        <x:v>43</x:v>
      </x:c>
      <x:c r="M1272">
        <x:v>70</x:v>
      </x:c>
      <x:c r="N1272">
        <x:v>50</x:v>
      </x:c>
      <x:c r="O1272">
        <x:v>50</x:v>
      </x:c>
      <x:c r="P1272">
        <x:v>64</x:v>
      </x:c>
      <x:c r="Q1272">
        <x:v>66</x:v>
      </x:c>
      <x:c r="R1272">
        <x:v>71</x:v>
      </x:c>
      <x:c r="S1272">
        <x:v>69</x:v>
      </x:c>
      <x:c r="T1272">
        <x:v>51</x:v>
      </x:c>
      <x:c r="U1272">
        <x:v>49</x:v>
      </x:c>
    </x:row>
    <x:row r="1273">
      <x:c r="A1273" t="s">
        <x:v>1632</x:v>
      </x:c>
      <x:c r="C1273" t="s">
        <x:v>331</x:v>
      </x:c>
      <x:c r="D1273">
        <x:v>8484162</x:v>
      </x:c>
      <x:c r="E1273">
        <x:v>63</x:v>
      </x:c>
      <x:c r="F1273">
        <x:v>39</x:v>
      </x:c>
      <x:c r="G1273">
        <x:v>83</x:v>
      </x:c>
      <x:c r="H1273">
        <x:v>33</x:v>
      </x:c>
      <x:c r="I1273">
        <x:v>80</x:v>
      </x:c>
      <x:c r="J1273">
        <x:v>78</x:v>
      </x:c>
      <x:c r="K1273">
        <x:v>81</x:v>
      </x:c>
      <x:c r="L1273">
        <x:v>33</x:v>
      </x:c>
      <x:c r="M1273">
        <x:v>30</x:v>
      </x:c>
      <x:c r="N1273">
        <x:v>43</x:v>
      </x:c>
      <x:c r="O1273">
        <x:v>39</x:v>
      </x:c>
      <x:c r="P1273">
        <x:v>64</x:v>
      </x:c>
      <x:c r="Q1273">
        <x:v>46</x:v>
      </x:c>
      <x:c r="R1273">
        <x:v>65</x:v>
      </x:c>
      <x:c r="S1273">
        <x:v>65</x:v>
      </x:c>
      <x:c r="T1273">
        <x:v>51</x:v>
      </x:c>
      <x:c r="U1273">
        <x:v>49</x:v>
      </x:c>
    </x:row>
    <x:row r="1274">
      <x:c r="A1274" t="s">
        <x:v>1633</x:v>
      </x:c>
      <x:c r="C1274" t="s">
        <x:v>331</x:v>
      </x:c>
      <x:c r="D1274">
        <x:v>8481762</x:v>
      </x:c>
      <x:c r="E1274">
        <x:v>72</x:v>
      </x:c>
      <x:c r="F1274">
        <x:v>40</x:v>
      </x:c>
      <x:c r="G1274">
        <x:v>83</x:v>
      </x:c>
      <x:c r="H1274">
        <x:v>30</x:v>
      </x:c>
      <x:c r="I1274">
        <x:v>82</x:v>
      </x:c>
      <x:c r="J1274">
        <x:v>74</x:v>
      </x:c>
      <x:c r="K1274">
        <x:v>76</x:v>
      </x:c>
      <x:c r="L1274">
        <x:v>30</x:v>
      </x:c>
      <x:c r="M1274">
        <x:v>30</x:v>
      </x:c>
      <x:c r="N1274">
        <x:v>38</x:v>
      </x:c>
      <x:c r="O1274">
        <x:v>37</x:v>
      </x:c>
      <x:c r="P1274">
        <x:v>70</x:v>
      </x:c>
      <x:c r="Q1274">
        <x:v>43</x:v>
      </x:c>
      <x:c r="R1274">
        <x:v>68</x:v>
      </x:c>
      <x:c r="S1274">
        <x:v>68</x:v>
      </x:c>
      <x:c r="T1274">
        <x:v>47</x:v>
      </x:c>
      <x:c r="U1274">
        <x:v>49</x:v>
      </x:c>
    </x:row>
    <x:row r="1275">
      <x:c r="A1275" t="s">
        <x:v>1634</x:v>
      </x:c>
      <x:c r="C1275" t="s">
        <x:v>339</x:v>
      </x:c>
      <x:c r="D1275">
        <x:v>8482724</x:v>
      </x:c>
      <x:c r="E1275">
        <x:v>61</x:v>
      </x:c>
      <x:c r="F1275">
        <x:v>33</x:v>
      </x:c>
      <x:c r="G1275">
        <x:v>85</x:v>
      </x:c>
      <x:c r="H1275">
        <x:v>45</x:v>
      </x:c>
      <x:c r="I1275">
        <x:v>78</x:v>
      </x:c>
      <x:c r="J1275">
        <x:v>85</x:v>
      </x:c>
      <x:c r="K1275">
        <x:v>88</x:v>
      </x:c>
      <x:c r="L1275">
        <x:v>45</x:v>
      </x:c>
      <x:c r="M1275">
        <x:v>66</x:v>
      </x:c>
      <x:c r="N1275">
        <x:v>45</x:v>
      </x:c>
      <x:c r="O1275">
        <x:v>44</x:v>
      </x:c>
      <x:c r="P1275">
        <x:v>60</x:v>
      </x:c>
      <x:c r="Q1275">
        <x:v>65</x:v>
      </x:c>
      <x:c r="R1275">
        <x:v>66</x:v>
      </x:c>
      <x:c r="S1275">
        <x:v>66</x:v>
      </x:c>
      <x:c r="T1275">
        <x:v>51</x:v>
      </x:c>
      <x:c r="U1275">
        <x:v>49</x:v>
      </x:c>
    </x:row>
    <x:row r="1276">
      <x:c r="A1276" t="s">
        <x:v>1635</x:v>
      </x:c>
      <x:c r="C1276" t="s">
        <x:v>319</x:v>
      </x:c>
      <x:c r="D1276">
        <x:v>8481848</x:v>
      </x:c>
      <x:c r="E1276">
        <x:v>58</x:v>
      </x:c>
      <x:c r="F1276">
        <x:v>33</x:v>
      </x:c>
      <x:c r="G1276">
        <x:v>83</x:v>
      </x:c>
      <x:c r="H1276">
        <x:v>42</x:v>
      </x:c>
      <x:c r="I1276">
        <x:v>81</x:v>
      </x:c>
      <x:c r="J1276">
        <x:v>93</x:v>
      </x:c>
      <x:c r="K1276">
        <x:v>96</x:v>
      </x:c>
      <x:c r="L1276">
        <x:v>42</x:v>
      </x:c>
      <x:c r="M1276">
        <x:v>67</x:v>
      </x:c>
      <x:c r="N1276">
        <x:v>43</x:v>
      </x:c>
      <x:c r="O1276">
        <x:v>45</x:v>
      </x:c>
      <x:c r="P1276">
        <x:v>60</x:v>
      </x:c>
      <x:c r="Q1276">
        <x:v>64</x:v>
      </x:c>
      <x:c r="R1276">
        <x:v>68</x:v>
      </x:c>
      <x:c r="S1276">
        <x:v>67</x:v>
      </x:c>
      <x:c r="T1276">
        <x:v>51</x:v>
      </x:c>
      <x:c r="U1276">
        <x:v>48</x:v>
      </x:c>
    </x:row>
    <x:row r="1277">
      <x:c r="A1277" t="s">
        <x:v>1636</x:v>
      </x:c>
      <x:c r="C1277" t="s">
        <x:v>339</x:v>
      </x:c>
      <x:c r="D1277">
        <x:v>8482479</x:v>
      </x:c>
      <x:c r="E1277">
        <x:v>61</x:v>
      </x:c>
      <x:c r="F1277">
        <x:v>32</x:v>
      </x:c>
      <x:c r="G1277">
        <x:v>76</x:v>
      </x:c>
      <x:c r="H1277">
        <x:v>42</x:v>
      </x:c>
      <x:c r="I1277">
        <x:v>81</x:v>
      </x:c>
      <x:c r="J1277">
        <x:v>89</x:v>
      </x:c>
      <x:c r="K1277">
        <x:v>94</x:v>
      </x:c>
      <x:c r="L1277">
        <x:v>42</x:v>
      </x:c>
      <x:c r="M1277">
        <x:v>78</x:v>
      </x:c>
      <x:c r="N1277">
        <x:v>43</x:v>
      </x:c>
      <x:c r="O1277">
        <x:v>44</x:v>
      </x:c>
      <x:c r="P1277">
        <x:v>61</x:v>
      </x:c>
      <x:c r="Q1277">
        <x:v>63</x:v>
      </x:c>
      <x:c r="R1277">
        <x:v>68</x:v>
      </x:c>
      <x:c r="S1277">
        <x:v>67</x:v>
      </x:c>
      <x:c r="T1277">
        <x:v>51</x:v>
      </x:c>
      <x:c r="U1277">
        <x:v>48</x:v>
      </x:c>
    </x:row>
    <x:row r="1278">
      <x:c r="A1278" t="s">
        <x:v>1637</x:v>
      </x:c>
      <x:c r="C1278" t="s">
        <x:v>358</x:v>
      </x:c>
      <x:c r="D1278">
        <x:v>8484403</x:v>
      </x:c>
      <x:c r="E1278">
        <x:v>64</x:v>
      </x:c>
      <x:c r="F1278">
        <x:v>31</x:v>
      </x:c>
      <x:c r="G1278">
        <x:v>71</x:v>
      </x:c>
      <x:c r="H1278">
        <x:v>43</x:v>
      </x:c>
      <x:c r="I1278">
        <x:v>83</x:v>
      </x:c>
      <x:c r="J1278">
        <x:v>89</x:v>
      </x:c>
      <x:c r="K1278">
        <x:v>93</x:v>
      </x:c>
      <x:c r="L1278">
        <x:v>42</x:v>
      </x:c>
      <x:c r="M1278">
        <x:v>59</x:v>
      </x:c>
      <x:c r="N1278">
        <x:v>42</x:v>
      </x:c>
      <x:c r="O1278">
        <x:v>45</x:v>
      </x:c>
      <x:c r="P1278">
        <x:v>61</x:v>
      </x:c>
      <x:c r="Q1278">
        <x:v>63</x:v>
      </x:c>
      <x:c r="R1278">
        <x:v>67</x:v>
      </x:c>
      <x:c r="S1278">
        <x:v>67</x:v>
      </x:c>
      <x:c r="T1278">
        <x:v>51</x:v>
      </x:c>
      <x:c r="U1278">
        <x:v>48</x:v>
      </x:c>
    </x:row>
    <x:row r="1279">
      <x:c r="A1279" t="s">
        <x:v>1638</x:v>
      </x:c>
      <x:c r="C1279" t="s">
        <x:v>333</x:v>
      </x:c>
      <x:c r="D1279">
        <x:v>8484396</x:v>
      </x:c>
      <x:c r="E1279">
        <x:v>72</x:v>
      </x:c>
      <x:c r="F1279">
        <x:v>41</x:v>
      </x:c>
      <x:c r="G1279">
        <x:v>84</x:v>
      </x:c>
      <x:c r="H1279">
        <x:v>39</x:v>
      </x:c>
      <x:c r="I1279">
        <x:v>75</x:v>
      </x:c>
      <x:c r="J1279">
        <x:v>87</x:v>
      </x:c>
      <x:c r="K1279">
        <x:v>91</x:v>
      </x:c>
      <x:c r="L1279">
        <x:v>40</x:v>
      </x:c>
      <x:c r="M1279">
        <x:v>78</x:v>
      </x:c>
      <x:c r="N1279">
        <x:v>43</x:v>
      </x:c>
      <x:c r="O1279">
        <x:v>44</x:v>
      </x:c>
      <x:c r="P1279">
        <x:v>62</x:v>
      </x:c>
      <x:c r="Q1279">
        <x:v>61</x:v>
      </x:c>
      <x:c r="R1279">
        <x:v>65</x:v>
      </x:c>
      <x:c r="S1279">
        <x:v>66</x:v>
      </x:c>
      <x:c r="T1279">
        <x:v>51</x:v>
      </x:c>
      <x:c r="U1279">
        <x:v>48</x:v>
      </x:c>
    </x:row>
    <x:row r="1280">
      <x:c r="A1280" t="s">
        <x:v>1639</x:v>
      </x:c>
      <x:c r="C1280" t="s">
        <x:v>319</x:v>
      </x:c>
      <x:c r="D1280">
        <x:v>8482152</x:v>
      </x:c>
      <x:c r="E1280">
        <x:v>62</x:v>
      </x:c>
      <x:c r="F1280">
        <x:v>36</x:v>
      </x:c>
      <x:c r="G1280">
        <x:v>91</x:v>
      </x:c>
      <x:c r="H1280">
        <x:v>43</x:v>
      </x:c>
      <x:c r="I1280">
        <x:v>78</x:v>
      </x:c>
      <x:c r="J1280">
        <x:v>90</x:v>
      </x:c>
      <x:c r="K1280">
        <x:v>94</x:v>
      </x:c>
      <x:c r="L1280">
        <x:v>42</x:v>
      </x:c>
      <x:c r="M1280">
        <x:v>56</x:v>
      </x:c>
      <x:c r="N1280">
        <x:v>44</x:v>
      </x:c>
      <x:c r="O1280">
        <x:v>44</x:v>
      </x:c>
      <x:c r="P1280">
        <x:v>58</x:v>
      </x:c>
      <x:c r="Q1280">
        <x:v>64</x:v>
      </x:c>
      <x:c r="R1280">
        <x:v>66</x:v>
      </x:c>
      <x:c r="S1280">
        <x:v>67</x:v>
      </x:c>
      <x:c r="T1280">
        <x:v>51</x:v>
      </x:c>
      <x:c r="U1280">
        <x:v>48</x:v>
      </x:c>
    </x:row>
    <x:row r="1281">
      <x:c r="A1281" t="s">
        <x:v>1640</x:v>
      </x:c>
      <x:c r="C1281" t="s">
        <x:v>358</x:v>
      </x:c>
      <x:c r="D1281">
        <x:v>8483496</x:v>
      </x:c>
      <x:c r="E1281">
        <x:v>59</x:v>
      </x:c>
      <x:c r="F1281">
        <x:v>33</x:v>
      </x:c>
      <x:c r="G1281">
        <x:v>90</x:v>
      </x:c>
      <x:c r="H1281">
        <x:v>43</x:v>
      </x:c>
      <x:c r="I1281">
        <x:v>77</x:v>
      </x:c>
      <x:c r="J1281">
        <x:v>84</x:v>
      </x:c>
      <x:c r="K1281">
        <x:v>88</x:v>
      </x:c>
      <x:c r="L1281">
        <x:v>43</x:v>
      </x:c>
      <x:c r="M1281">
        <x:v>53</x:v>
      </x:c>
      <x:c r="N1281">
        <x:v>44</x:v>
      </x:c>
      <x:c r="O1281">
        <x:v>43</x:v>
      </x:c>
      <x:c r="P1281">
        <x:v>57</x:v>
      </x:c>
      <x:c r="Q1281">
        <x:v>64</x:v>
      </x:c>
      <x:c r="R1281">
        <x:v>66</x:v>
      </x:c>
      <x:c r="S1281">
        <x:v>66</x:v>
      </x:c>
      <x:c r="T1281">
        <x:v>51</x:v>
      </x:c>
      <x:c r="U1281">
        <x:v>48</x:v>
      </x:c>
    </x:row>
    <x:row r="1282">
      <x:c r="A1282" t="s">
        <x:v>1641</x:v>
      </x:c>
      <x:c r="C1282" t="s">
        <x:v>326</x:v>
      </x:c>
      <x:c r="D1282">
        <x:v>8482080</x:v>
      </x:c>
      <x:c r="E1282">
        <x:v>61</x:v>
      </x:c>
      <x:c r="F1282">
        <x:v>35</x:v>
      </x:c>
      <x:c r="G1282">
        <x:v>80</x:v>
      </x:c>
      <x:c r="H1282">
        <x:v>44</x:v>
      </x:c>
      <x:c r="I1282">
        <x:v>77</x:v>
      </x:c>
      <x:c r="J1282">
        <x:v>89</x:v>
      </x:c>
      <x:c r="K1282">
        <x:v>94</x:v>
      </x:c>
      <x:c r="L1282">
        <x:v>43</x:v>
      </x:c>
      <x:c r="M1282">
        <x:v>66</x:v>
      </x:c>
      <x:c r="N1282">
        <x:v>44</x:v>
      </x:c>
      <x:c r="O1282">
        <x:v>44</x:v>
      </x:c>
      <x:c r="P1282">
        <x:v>61</x:v>
      </x:c>
      <x:c r="Q1282">
        <x:v>64</x:v>
      </x:c>
      <x:c r="R1282">
        <x:v>68</x:v>
      </x:c>
      <x:c r="S1282">
        <x:v>67</x:v>
      </x:c>
      <x:c r="T1282">
        <x:v>49</x:v>
      </x:c>
      <x:c r="U1282">
        <x:v>48</x:v>
      </x:c>
    </x:row>
    <x:row r="1283">
      <x:c r="A1283" t="s">
        <x:v>1642</x:v>
      </x:c>
      <x:c r="C1283" t="s">
        <x:v>358</x:v>
      </x:c>
      <x:c r="D1283">
        <x:v>8484966</x:v>
      </x:c>
      <x:c r="E1283">
        <x:v>65</x:v>
      </x:c>
      <x:c r="F1283">
        <x:v>41</x:v>
      </x:c>
      <x:c r="G1283">
        <x:v>87</x:v>
      </x:c>
      <x:c r="H1283">
        <x:v>41</x:v>
      </x:c>
      <x:c r="I1283">
        <x:v>75</x:v>
      </x:c>
      <x:c r="J1283">
        <x:v>84</x:v>
      </x:c>
      <x:c r="K1283">
        <x:v>89</x:v>
      </x:c>
      <x:c r="L1283">
        <x:v>42</x:v>
      </x:c>
      <x:c r="M1283">
        <x:v>61</x:v>
      </x:c>
      <x:c r="N1283">
        <x:v>44</x:v>
      </x:c>
      <x:c r="O1283">
        <x:v>42</x:v>
      </x:c>
      <x:c r="P1283">
        <x:v>63</x:v>
      </x:c>
      <x:c r="Q1283">
        <x:v>63</x:v>
      </x:c>
      <x:c r="R1283">
        <x:v>68</x:v>
      </x:c>
      <x:c r="S1283">
        <x:v>67</x:v>
      </x:c>
      <x:c r="T1283">
        <x:v>51</x:v>
      </x:c>
      <x:c r="U1283">
        <x:v>48</x:v>
      </x:c>
    </x:row>
    <x:row r="1284">
      <x:c r="A1284" t="s">
        <x:v>1643</x:v>
      </x:c>
      <x:c r="C1284" t="s">
        <x:v>339</x:v>
      </x:c>
      <x:c r="D1284">
        <x:v>8482120</x:v>
      </x:c>
      <x:c r="E1284">
        <x:v>63</x:v>
      </x:c>
      <x:c r="F1284">
        <x:v>36</x:v>
      </x:c>
      <x:c r="G1284">
        <x:v>90</x:v>
      </x:c>
      <x:c r="H1284">
        <x:v>42</x:v>
      </x:c>
      <x:c r="I1284">
        <x:v>74</x:v>
      </x:c>
      <x:c r="J1284">
        <x:v>88</x:v>
      </x:c>
      <x:c r="K1284">
        <x:v>93</x:v>
      </x:c>
      <x:c r="L1284">
        <x:v>42</x:v>
      </x:c>
      <x:c r="M1284">
        <x:v>63</x:v>
      </x:c>
      <x:c r="N1284">
        <x:v>45</x:v>
      </x:c>
      <x:c r="O1284">
        <x:v>44</x:v>
      </x:c>
      <x:c r="P1284">
        <x:v>59</x:v>
      </x:c>
      <x:c r="Q1284">
        <x:v>65</x:v>
      </x:c>
      <x:c r="R1284">
        <x:v>67</x:v>
      </x:c>
      <x:c r="S1284">
        <x:v>68</x:v>
      </x:c>
      <x:c r="T1284">
        <x:v>51</x:v>
      </x:c>
      <x:c r="U1284">
        <x:v>48</x:v>
      </x:c>
    </x:row>
    <x:row r="1285">
      <x:c r="A1285" t="s">
        <x:v>1644</x:v>
      </x:c>
      <x:c r="C1285" t="s">
        <x:v>358</x:v>
      </x:c>
      <x:c r="D1285">
        <x:v>8482134</x:v>
      </x:c>
      <x:c r="E1285">
        <x:v>81</x:v>
      </x:c>
      <x:c r="F1285">
        <x:v>32</x:v>
      </x:c>
      <x:c r="G1285">
        <x:v>77</x:v>
      </x:c>
      <x:c r="H1285">
        <x:v>40</x:v>
      </x:c>
      <x:c r="I1285">
        <x:v>82</x:v>
      </x:c>
      <x:c r="J1285">
        <x:v>85</x:v>
      </x:c>
      <x:c r="K1285">
        <x:v>90</x:v>
      </x:c>
      <x:c r="L1285">
        <x:v>41</x:v>
      </x:c>
      <x:c r="M1285">
        <x:v>52</x:v>
      </x:c>
      <x:c r="N1285">
        <x:v>40</x:v>
      </x:c>
      <x:c r="O1285">
        <x:v>42</x:v>
      </x:c>
      <x:c r="P1285">
        <x:v>60</x:v>
      </x:c>
      <x:c r="Q1285">
        <x:v>60</x:v>
      </x:c>
      <x:c r="R1285">
        <x:v>67</x:v>
      </x:c>
      <x:c r="S1285">
        <x:v>67</x:v>
      </x:c>
      <x:c r="T1285">
        <x:v>51</x:v>
      </x:c>
      <x:c r="U1285">
        <x:v>48</x:v>
      </x:c>
    </x:row>
    <x:row r="1286">
      <x:c r="A1286" t="s">
        <x:v>1645</x:v>
      </x:c>
      <x:c r="C1286" t="s">
        <x:v>329</x:v>
      </x:c>
      <x:c r="D1286">
        <x:v>8484128</x:v>
      </x:c>
      <x:c r="E1286">
        <x:v>71</x:v>
      </x:c>
      <x:c r="F1286">
        <x:v>38</x:v>
      </x:c>
      <x:c r="G1286">
        <x:v>83</x:v>
      </x:c>
      <x:c r="H1286">
        <x:v>41</x:v>
      </x:c>
      <x:c r="I1286">
        <x:v>79</x:v>
      </x:c>
      <x:c r="J1286">
        <x:v>85</x:v>
      </x:c>
      <x:c r="K1286">
        <x:v>87</x:v>
      </x:c>
      <x:c r="L1286">
        <x:v>40</x:v>
      </x:c>
      <x:c r="M1286">
        <x:v>70</x:v>
      </x:c>
      <x:c r="N1286">
        <x:v>43</x:v>
      </x:c>
      <x:c r="O1286">
        <x:v>43</x:v>
      </x:c>
      <x:c r="P1286">
        <x:v>58</x:v>
      </x:c>
      <x:c r="Q1286">
        <x:v>63</x:v>
      </x:c>
      <x:c r="R1286">
        <x:v>70</x:v>
      </x:c>
      <x:c r="S1286">
        <x:v>70</x:v>
      </x:c>
      <x:c r="T1286">
        <x:v>51</x:v>
      </x:c>
      <x:c r="U1286">
        <x:v>48</x:v>
      </x:c>
    </x:row>
    <x:row r="1287">
      <x:c r="A1287" t="s">
        <x:v>1646</x:v>
      </x:c>
      <x:c r="B1287" t="s">
        <x:v>584</x:v>
      </x:c>
      <x:c r="C1287" t="s">
        <x:v>319</x:v>
      </x:c>
      <x:c r="D1287">
        <x:v>8480060</x:v>
      </x:c>
      <x:c r="E1287">
        <x:v>62</x:v>
      </x:c>
      <x:c r="F1287">
        <x:v>36</x:v>
      </x:c>
      <x:c r="G1287">
        <x:v>91</x:v>
      </x:c>
      <x:c r="H1287">
        <x:v>37</x:v>
      </x:c>
      <x:c r="I1287">
        <x:v>83</x:v>
      </x:c>
      <x:c r="J1287">
        <x:v>73</x:v>
      </x:c>
      <x:c r="K1287">
        <x:v>75</x:v>
      </x:c>
      <x:c r="L1287">
        <x:v>37</x:v>
      </x:c>
      <x:c r="M1287">
        <x:v>70</x:v>
      </x:c>
      <x:c r="N1287">
        <x:v>39</x:v>
      </x:c>
      <x:c r="O1287">
        <x:v>40</x:v>
      </x:c>
      <x:c r="P1287">
        <x:v>61</x:v>
      </x:c>
      <x:c r="Q1287">
        <x:v>58</x:v>
      </x:c>
      <x:c r="R1287">
        <x:v>69</x:v>
      </x:c>
      <x:c r="S1287">
        <x:v>68</x:v>
      </x:c>
      <x:c r="T1287">
        <x:v>51</x:v>
      </x:c>
      <x:c r="U1287">
        <x:v>48</x:v>
      </x:c>
    </x:row>
    <x:row r="1288">
      <x:c r="A1288" t="s">
        <x:v>1647</x:v>
      </x:c>
      <x:c r="C1288" t="s">
        <x:v>326</x:v>
      </x:c>
      <x:c r="D1288">
        <x:v>8481690</x:v>
      </x:c>
      <x:c r="E1288">
        <x:v>63</x:v>
      </x:c>
      <x:c r="F1288">
        <x:v>37</x:v>
      </x:c>
      <x:c r="G1288">
        <x:v>86</x:v>
      </x:c>
      <x:c r="H1288">
        <x:v>42</x:v>
      </x:c>
      <x:c r="I1288">
        <x:v>78</x:v>
      </x:c>
      <x:c r="J1288">
        <x:v>83</x:v>
      </x:c>
      <x:c r="K1288">
        <x:v>87</x:v>
      </x:c>
      <x:c r="L1288">
        <x:v>42</x:v>
      </x:c>
      <x:c r="M1288">
        <x:v>61</x:v>
      </x:c>
      <x:c r="N1288">
        <x:v>46</x:v>
      </x:c>
      <x:c r="O1288">
        <x:v>41</x:v>
      </x:c>
      <x:c r="P1288">
        <x:v>64</x:v>
      </x:c>
      <x:c r="Q1288">
        <x:v>63</x:v>
      </x:c>
      <x:c r="R1288">
        <x:v>68</x:v>
      </x:c>
      <x:c r="S1288">
        <x:v>69</x:v>
      </x:c>
      <x:c r="T1288">
        <x:v>51</x:v>
      </x:c>
      <x:c r="U1288">
        <x:v>48</x:v>
      </x:c>
    </x:row>
    <x:row r="1289">
      <x:c r="A1289" t="s">
        <x:v>1648</x:v>
      </x:c>
      <x:c r="C1289" t="s">
        <x:v>319</x:v>
      </x:c>
      <x:c r="D1289">
        <x:v>8484165</x:v>
      </x:c>
      <x:c r="E1289">
        <x:v>69</x:v>
      </x:c>
      <x:c r="F1289">
        <x:v>40</x:v>
      </x:c>
      <x:c r="G1289">
        <x:v>83</x:v>
      </x:c>
      <x:c r="H1289">
        <x:v>42</x:v>
      </x:c>
      <x:c r="I1289">
        <x:v>81</x:v>
      </x:c>
      <x:c r="J1289">
        <x:v>80</x:v>
      </x:c>
      <x:c r="K1289">
        <x:v>84</x:v>
      </x:c>
      <x:c r="L1289">
        <x:v>41</x:v>
      </x:c>
      <x:c r="M1289">
        <x:v>81</x:v>
      </x:c>
      <x:c r="N1289">
        <x:v>44</x:v>
      </x:c>
      <x:c r="O1289">
        <x:v>43</x:v>
      </x:c>
      <x:c r="P1289">
        <x:v>65</x:v>
      </x:c>
      <x:c r="Q1289">
        <x:v>63</x:v>
      </x:c>
      <x:c r="R1289">
        <x:v>65</x:v>
      </x:c>
      <x:c r="S1289">
        <x:v>65</x:v>
      </x:c>
      <x:c r="T1289">
        <x:v>51</x:v>
      </x:c>
      <x:c r="U1289">
        <x:v>48</x:v>
      </x:c>
    </x:row>
    <x:row r="1290">
      <x:c r="A1290" t="s">
        <x:v>1649</x:v>
      </x:c>
      <x:c r="B1290" t="s">
        <x:v>584</x:v>
      </x:c>
      <x:c r="C1290" t="s">
        <x:v>331</x:v>
      </x:c>
      <x:c r="E1290">
        <x:v>58</x:v>
      </x:c>
      <x:c r="F1290">
        <x:v>41</x:v>
      </x:c>
      <x:c r="G1290">
        <x:v>77</x:v>
      </x:c>
      <x:c r="H1290">
        <x:v>36</x:v>
      </x:c>
      <x:c r="I1290">
        <x:v>91</x:v>
      </x:c>
      <x:c r="J1290">
        <x:v>70</x:v>
      </x:c>
      <x:c r="K1290">
        <x:v>73</x:v>
      </x:c>
      <x:c r="L1290">
        <x:v>37</x:v>
      </x:c>
      <x:c r="M1290">
        <x:v>65</x:v>
      </x:c>
      <x:c r="N1290">
        <x:v>38</x:v>
      </x:c>
      <x:c r="O1290">
        <x:v>39</x:v>
      </x:c>
      <x:c r="P1290">
        <x:v>60</x:v>
      </x:c>
      <x:c r="Q1290">
        <x:v>56</x:v>
      </x:c>
      <x:c r="R1290">
        <x:v>66</x:v>
      </x:c>
      <x:c r="S1290">
        <x:v>65</x:v>
      </x:c>
      <x:c r="T1290">
        <x:v>51</x:v>
      </x:c>
      <x:c r="U1290">
        <x:v>48</x:v>
      </x:c>
    </x:row>
    <x:row r="1291">
      <x:c r="A1291" t="s">
        <x:v>1650</x:v>
      </x:c>
      <x:c r="C1291" t="s">
        <x:v>326</x:v>
      </x:c>
      <x:c r="D1291">
        <x:v>8481746</x:v>
      </x:c>
      <x:c r="E1291">
        <x:v>68</x:v>
      </x:c>
      <x:c r="F1291">
        <x:v>36</x:v>
      </x:c>
      <x:c r="G1291">
        <x:v>85</x:v>
      </x:c>
      <x:c r="H1291">
        <x:v>40</x:v>
      </x:c>
      <x:c r="I1291">
        <x:v>78</x:v>
      </x:c>
      <x:c r="J1291">
        <x:v>82</x:v>
      </x:c>
      <x:c r="K1291">
        <x:v>86</x:v>
      </x:c>
      <x:c r="L1291">
        <x:v>40</x:v>
      </x:c>
      <x:c r="M1291">
        <x:v>65</x:v>
      </x:c>
      <x:c r="N1291">
        <x:v>43</x:v>
      </x:c>
      <x:c r="O1291">
        <x:v>42</x:v>
      </x:c>
      <x:c r="P1291">
        <x:v>64</x:v>
      </x:c>
      <x:c r="Q1291">
        <x:v>62</x:v>
      </x:c>
      <x:c r="R1291">
        <x:v>67</x:v>
      </x:c>
      <x:c r="S1291">
        <x:v>66</x:v>
      </x:c>
      <x:c r="T1291">
        <x:v>51</x:v>
      </x:c>
      <x:c r="U1291">
        <x:v>48</x:v>
      </x:c>
    </x:row>
    <x:row r="1292">
      <x:c r="A1292" t="s">
        <x:v>1651</x:v>
      </x:c>
      <x:c r="C1292" t="s">
        <x:v>326</x:v>
      </x:c>
      <x:c r="D1292">
        <x:v>8480890</x:v>
      </x:c>
      <x:c r="E1292">
        <x:v>73</x:v>
      </x:c>
      <x:c r="F1292">
        <x:v>46</x:v>
      </x:c>
      <x:c r="G1292">
        <x:v>81</x:v>
      </x:c>
      <x:c r="H1292">
        <x:v>42</x:v>
      </x:c>
      <x:c r="I1292">
        <x:v>79</x:v>
      </x:c>
      <x:c r="J1292">
        <x:v>81</x:v>
      </x:c>
      <x:c r="K1292">
        <x:v>83</x:v>
      </x:c>
      <x:c r="L1292">
        <x:v>41</x:v>
      </x:c>
      <x:c r="M1292">
        <x:v>69</x:v>
      </x:c>
      <x:c r="N1292">
        <x:v>43</x:v>
      </x:c>
      <x:c r="O1292">
        <x:v>44</x:v>
      </x:c>
      <x:c r="P1292">
        <x:v>58</x:v>
      </x:c>
      <x:c r="Q1292">
        <x:v>64</x:v>
      </x:c>
      <x:c r="R1292">
        <x:v>69</x:v>
      </x:c>
      <x:c r="S1292">
        <x:v>69</x:v>
      </x:c>
      <x:c r="T1292">
        <x:v>51</x:v>
      </x:c>
      <x:c r="U1292">
        <x:v>48</x:v>
      </x:c>
    </x:row>
    <x:row r="1293">
      <x:c r="A1293" t="s">
        <x:v>1652</x:v>
      </x:c>
      <x:c r="C1293" t="s">
        <x:v>326</x:v>
      </x:c>
      <x:c r="D1293">
        <x:v>8485490</x:v>
      </x:c>
      <x:c r="E1293">
        <x:v>62</x:v>
      </x:c>
      <x:c r="F1293">
        <x:v>36</x:v>
      </x:c>
      <x:c r="G1293">
        <x:v>84</x:v>
      </x:c>
      <x:c r="H1293">
        <x:v>41</x:v>
      </x:c>
      <x:c r="I1293">
        <x:v>78</x:v>
      </x:c>
      <x:c r="J1293">
        <x:v>80</x:v>
      </x:c>
      <x:c r="K1293">
        <x:v>86</x:v>
      </x:c>
      <x:c r="L1293">
        <x:v>41</x:v>
      </x:c>
      <x:c r="M1293">
        <x:v>69</x:v>
      </x:c>
      <x:c r="N1293">
        <x:v>42</x:v>
      </x:c>
      <x:c r="O1293">
        <x:v>44</x:v>
      </x:c>
      <x:c r="P1293">
        <x:v>62</x:v>
      </x:c>
      <x:c r="Q1293">
        <x:v>63</x:v>
      </x:c>
      <x:c r="R1293">
        <x:v>68</x:v>
      </x:c>
      <x:c r="S1293">
        <x:v>68</x:v>
      </x:c>
      <x:c r="T1293">
        <x:v>51</x:v>
      </x:c>
      <x:c r="U1293">
        <x:v>48</x:v>
      </x:c>
    </x:row>
    <x:row r="1294">
      <x:c r="A1294" t="s">
        <x:v>1653</x:v>
      </x:c>
      <x:c r="C1294" t="s">
        <x:v>326</x:v>
      </x:c>
      <x:c r="D1294">
        <x:v>8482918</x:v>
      </x:c>
      <x:c r="E1294">
        <x:v>65</x:v>
      </x:c>
      <x:c r="F1294">
        <x:v>34</x:v>
      </x:c>
      <x:c r="G1294">
        <x:v>79</x:v>
      </x:c>
      <x:c r="H1294">
        <x:v>43</x:v>
      </x:c>
      <x:c r="I1294">
        <x:v>82</x:v>
      </x:c>
      <x:c r="J1294">
        <x:v>86</x:v>
      </x:c>
      <x:c r="K1294">
        <x:v>89</x:v>
      </x:c>
      <x:c r="L1294">
        <x:v>43</x:v>
      </x:c>
      <x:c r="M1294">
        <x:v>56</x:v>
      </x:c>
      <x:c r="N1294">
        <x:v>43</x:v>
      </x:c>
      <x:c r="O1294">
        <x:v>45</x:v>
      </x:c>
      <x:c r="P1294">
        <x:v>61</x:v>
      </x:c>
      <x:c r="Q1294">
        <x:v>64</x:v>
      </x:c>
      <x:c r="R1294">
        <x:v>66</x:v>
      </x:c>
      <x:c r="S1294">
        <x:v>65</x:v>
      </x:c>
      <x:c r="T1294">
        <x:v>51</x:v>
      </x:c>
      <x:c r="U1294">
        <x:v>48</x:v>
      </x:c>
    </x:row>
    <x:row r="1295">
      <x:c r="A1295" t="s">
        <x:v>1654</x:v>
      </x:c>
      <x:c r="C1295" t="s">
        <x:v>319</x:v>
      </x:c>
      <x:c r="D1295">
        <x:v>8482161</x:v>
      </x:c>
      <x:c r="E1295">
        <x:v>64</x:v>
      </x:c>
      <x:c r="F1295">
        <x:v>35</x:v>
      </x:c>
      <x:c r="G1295">
        <x:v>87</x:v>
      </x:c>
      <x:c r="H1295">
        <x:v>41</x:v>
      </x:c>
      <x:c r="I1295">
        <x:v>79</x:v>
      </x:c>
      <x:c r="J1295">
        <x:v>91</x:v>
      </x:c>
      <x:c r="K1295">
        <x:v>94</x:v>
      </x:c>
      <x:c r="L1295">
        <x:v>42</x:v>
      </x:c>
      <x:c r="M1295">
        <x:v>69</x:v>
      </x:c>
      <x:c r="N1295">
        <x:v>42</x:v>
      </x:c>
      <x:c r="O1295">
        <x:v>44</x:v>
      </x:c>
      <x:c r="P1295">
        <x:v>57</x:v>
      </x:c>
      <x:c r="Q1295">
        <x:v>63</x:v>
      </x:c>
      <x:c r="R1295">
        <x:v>67</x:v>
      </x:c>
      <x:c r="S1295">
        <x:v>68</x:v>
      </x:c>
      <x:c r="T1295">
        <x:v>51</x:v>
      </x:c>
      <x:c r="U1295">
        <x:v>48</x:v>
      </x:c>
    </x:row>
    <x:row r="1296">
      <x:c r="A1296" t="s">
        <x:v>1655</x:v>
      </x:c>
      <x:c r="C1296" t="s">
        <x:v>319</x:v>
      </x:c>
      <x:c r="D1296">
        <x:v>8484229</x:v>
      </x:c>
      <x:c r="E1296">
        <x:v>70</x:v>
      </x:c>
      <x:c r="F1296">
        <x:v>39</x:v>
      </x:c>
      <x:c r="G1296">
        <x:v>89</x:v>
      </x:c>
      <x:c r="H1296">
        <x:v>40</x:v>
      </x:c>
      <x:c r="I1296">
        <x:v>83</x:v>
      </x:c>
      <x:c r="J1296">
        <x:v>82</x:v>
      </x:c>
      <x:c r="K1296">
        <x:v>86</x:v>
      </x:c>
      <x:c r="L1296">
        <x:v>41</x:v>
      </x:c>
      <x:c r="M1296">
        <x:v>55</x:v>
      </x:c>
      <x:c r="N1296">
        <x:v>42</x:v>
      </x:c>
      <x:c r="O1296">
        <x:v>43</x:v>
      </x:c>
      <x:c r="P1296">
        <x:v>61</x:v>
      </x:c>
      <x:c r="Q1296">
        <x:v>62</x:v>
      </x:c>
      <x:c r="R1296">
        <x:v>65</x:v>
      </x:c>
      <x:c r="S1296">
        <x:v>64</x:v>
      </x:c>
      <x:c r="T1296">
        <x:v>51</x:v>
      </x:c>
      <x:c r="U1296">
        <x:v>48</x:v>
      </x:c>
    </x:row>
    <x:row r="1297">
      <x:c r="A1297" t="s">
        <x:v>1656</x:v>
      </x:c>
      <x:c r="C1297" t="s">
        <x:v>326</x:v>
      </x:c>
      <x:c r="D1297">
        <x:v>8483799</x:v>
      </x:c>
      <x:c r="E1297">
        <x:v>70</x:v>
      </x:c>
      <x:c r="F1297">
        <x:v>32</x:v>
      </x:c>
      <x:c r="G1297">
        <x:v>87</x:v>
      </x:c>
      <x:c r="H1297">
        <x:v>40</x:v>
      </x:c>
      <x:c r="I1297">
        <x:v>86</x:v>
      </x:c>
      <x:c r="J1297">
        <x:v>78</x:v>
      </x:c>
      <x:c r="K1297">
        <x:v>80</x:v>
      </x:c>
      <x:c r="L1297">
        <x:v>39</x:v>
      </x:c>
      <x:c r="M1297">
        <x:v>53</x:v>
      </x:c>
      <x:c r="N1297">
        <x:v>43</x:v>
      </x:c>
      <x:c r="O1297">
        <x:v>41</x:v>
      </x:c>
      <x:c r="P1297">
        <x:v>64</x:v>
      </x:c>
      <x:c r="Q1297">
        <x:v>62</x:v>
      </x:c>
      <x:c r="R1297">
        <x:v>67</x:v>
      </x:c>
      <x:c r="S1297">
        <x:v>66</x:v>
      </x:c>
      <x:c r="T1297">
        <x:v>51</x:v>
      </x:c>
      <x:c r="U1297">
        <x:v>48</x:v>
      </x:c>
    </x:row>
    <x:row r="1298">
      <x:c r="A1298" t="s">
        <x:v>1657</x:v>
      </x:c>
      <x:c r="C1298" t="s">
        <x:v>319</x:v>
      </x:c>
      <x:c r="D1298">
        <x:v>8481147</x:v>
      </x:c>
      <x:c r="E1298">
        <x:v>72</x:v>
      </x:c>
      <x:c r="F1298">
        <x:v>88</x:v>
      </x:c>
      <x:c r="G1298">
        <x:v>81</x:v>
      </x:c>
      <x:c r="H1298">
        <x:v>40</x:v>
      </x:c>
      <x:c r="I1298">
        <x:v>82</x:v>
      </x:c>
      <x:c r="J1298">
        <x:v>81</x:v>
      </x:c>
      <x:c r="K1298">
        <x:v>83</x:v>
      </x:c>
      <x:c r="L1298">
        <x:v>40</x:v>
      </x:c>
      <x:c r="M1298">
        <x:v>78</x:v>
      </x:c>
      <x:c r="N1298">
        <x:v>48</x:v>
      </x:c>
      <x:c r="O1298">
        <x:v>49</x:v>
      </x:c>
      <x:c r="P1298">
        <x:v>67</x:v>
      </x:c>
      <x:c r="Q1298">
        <x:v>62</x:v>
      </x:c>
      <x:c r="R1298">
        <x:v>70</x:v>
      </x:c>
      <x:c r="S1298">
        <x:v>69</x:v>
      </x:c>
      <x:c r="T1298">
        <x:v>51</x:v>
      </x:c>
      <x:c r="U1298">
        <x:v>48</x:v>
      </x:c>
    </x:row>
    <x:row r="1299">
      <x:c r="A1299" t="s">
        <x:v>1658</x:v>
      </x:c>
      <x:c r="C1299" t="s">
        <x:v>358</x:v>
      </x:c>
      <x:c r="D1299">
        <x:v>8481866</x:v>
      </x:c>
      <x:c r="E1299">
        <x:v>69</x:v>
      </x:c>
      <x:c r="F1299">
        <x:v>37</x:v>
      </x:c>
      <x:c r="G1299">
        <x:v>77</x:v>
      </x:c>
      <x:c r="H1299">
        <x:v>41</x:v>
      </x:c>
      <x:c r="I1299">
        <x:v>74</x:v>
      </x:c>
      <x:c r="J1299">
        <x:v>80</x:v>
      </x:c>
      <x:c r="K1299">
        <x:v>81</x:v>
      </x:c>
      <x:c r="L1299">
        <x:v>40</x:v>
      </x:c>
      <x:c r="M1299">
        <x:v>67</x:v>
      </x:c>
      <x:c r="N1299">
        <x:v>43</x:v>
      </x:c>
      <x:c r="O1299">
        <x:v>44</x:v>
      </x:c>
      <x:c r="P1299">
        <x:v>58</x:v>
      </x:c>
      <x:c r="Q1299">
        <x:v>64</x:v>
      </x:c>
      <x:c r="R1299">
        <x:v>68</x:v>
      </x:c>
      <x:c r="S1299">
        <x:v>67</x:v>
      </x:c>
      <x:c r="T1299">
        <x:v>51</x:v>
      </x:c>
      <x:c r="U1299">
        <x:v>48</x:v>
      </x:c>
    </x:row>
    <x:row r="1300">
      <x:c r="A1300" t="s">
        <x:v>1659</x:v>
      </x:c>
      <x:c r="B1300" t="s">
        <x:v>584</x:v>
      </x:c>
      <x:c r="C1300" t="s">
        <x:v>358</x:v>
      </x:c>
      <x:c r="D1300">
        <x:v>8485527</x:v>
      </x:c>
      <x:c r="E1300">
        <x:v>62</x:v>
      </x:c>
      <x:c r="F1300">
        <x:v>37</x:v>
      </x:c>
      <x:c r="G1300">
        <x:v>90</x:v>
      </x:c>
      <x:c r="H1300">
        <x:v>40</x:v>
      </x:c>
      <x:c r="I1300">
        <x:v>80</x:v>
      </x:c>
      <x:c r="J1300">
        <x:v>78</x:v>
      </x:c>
      <x:c r="K1300">
        <x:v>81</x:v>
      </x:c>
      <x:c r="L1300">
        <x:v>41</x:v>
      </x:c>
      <x:c r="M1300">
        <x:v>68</x:v>
      </x:c>
      <x:c r="N1300">
        <x:v>42</x:v>
      </x:c>
      <x:c r="O1300">
        <x:v>44</x:v>
      </x:c>
      <x:c r="P1300">
        <x:v>60</x:v>
      </x:c>
      <x:c r="Q1300">
        <x:v>63</x:v>
      </x:c>
      <x:c r="R1300">
        <x:v>68</x:v>
      </x:c>
      <x:c r="S1300">
        <x:v>67</x:v>
      </x:c>
      <x:c r="T1300">
        <x:v>51</x:v>
      </x:c>
      <x:c r="U1300">
        <x:v>48</x:v>
      </x:c>
    </x:row>
    <x:row r="1301">
      <x:c r="A1301" t="s">
        <x:v>1660</x:v>
      </x:c>
      <x:c r="B1301" t="s">
        <x:v>584</x:v>
      </x:c>
      <x:c r="C1301" t="s">
        <x:v>333</x:v>
      </x:c>
      <x:c r="D1301">
        <x:v>8456455</x:v>
      </x:c>
      <x:c r="E1301">
        <x:v>61</x:v>
      </x:c>
      <x:c r="F1301">
        <x:v>31</x:v>
      </x:c>
      <x:c r="G1301">
        <x:v>78</x:v>
      </x:c>
      <x:c r="H1301">
        <x:v>42</x:v>
      </x:c>
      <x:c r="I1301">
        <x:v>81</x:v>
      </x:c>
      <x:c r="J1301">
        <x:v>87</x:v>
      </x:c>
      <x:c r="K1301">
        <x:v>91</x:v>
      </x:c>
      <x:c r="L1301">
        <x:v>41</x:v>
      </x:c>
      <x:c r="M1301">
        <x:v>60</x:v>
      </x:c>
      <x:c r="N1301">
        <x:v>43</x:v>
      </x:c>
      <x:c r="O1301">
        <x:v>44</x:v>
      </x:c>
      <x:c r="P1301">
        <x:v>62</x:v>
      </x:c>
      <x:c r="Q1301">
        <x:v>63</x:v>
      </x:c>
      <x:c r="R1301">
        <x:v>68</x:v>
      </x:c>
      <x:c r="S1301">
        <x:v>68</x:v>
      </x:c>
      <x:c r="T1301">
        <x:v>51</x:v>
      </x:c>
      <x:c r="U1301">
        <x:v>48</x:v>
      </x:c>
    </x:row>
    <x:row r="1302">
      <x:c r="A1302" t="s">
        <x:v>1661</x:v>
      </x:c>
      <x:c r="C1302" t="s">
        <x:v>329</x:v>
      </x:c>
      <x:c r="E1302">
        <x:v>58</x:v>
      </x:c>
      <x:c r="F1302">
        <x:v>35</x:v>
      </x:c>
      <x:c r="G1302">
        <x:v>84</x:v>
      </x:c>
      <x:c r="H1302">
        <x:v>43</x:v>
      </x:c>
      <x:c r="I1302">
        <x:v>80</x:v>
      </x:c>
      <x:c r="J1302">
        <x:v>81</x:v>
      </x:c>
      <x:c r="K1302">
        <x:v>85</x:v>
      </x:c>
      <x:c r="L1302">
        <x:v>43</x:v>
      </x:c>
      <x:c r="M1302">
        <x:v>53</x:v>
      </x:c>
      <x:c r="N1302">
        <x:v>46</x:v>
      </x:c>
      <x:c r="O1302">
        <x:v>43</x:v>
      </x:c>
      <x:c r="P1302">
        <x:v>61</x:v>
      </x:c>
      <x:c r="Q1302">
        <x:v>65</x:v>
      </x:c>
      <x:c r="R1302">
        <x:v>67</x:v>
      </x:c>
      <x:c r="S1302">
        <x:v>67</x:v>
      </x:c>
      <x:c r="T1302">
        <x:v>51</x:v>
      </x:c>
      <x:c r="U1302">
        <x:v>48</x:v>
      </x:c>
    </x:row>
    <x:row r="1303">
      <x:c r="A1303" t="s">
        <x:v>1662</x:v>
      </x:c>
      <x:c r="C1303" t="s">
        <x:v>319</x:v>
      </x:c>
      <x:c r="D1303">
        <x:v>8482748</x:v>
      </x:c>
      <x:c r="E1303">
        <x:v>65</x:v>
      </x:c>
      <x:c r="F1303">
        <x:v>34</x:v>
      </x:c>
      <x:c r="G1303">
        <x:v>82</x:v>
      </x:c>
      <x:c r="H1303">
        <x:v>40</x:v>
      </x:c>
      <x:c r="I1303">
        <x:v>79</x:v>
      </x:c>
      <x:c r="J1303">
        <x:v>88</x:v>
      </x:c>
      <x:c r="K1303">
        <x:v>91</x:v>
      </x:c>
      <x:c r="L1303">
        <x:v>39</x:v>
      </x:c>
      <x:c r="M1303">
        <x:v>75</x:v>
      </x:c>
      <x:c r="N1303">
        <x:v>45</x:v>
      </x:c>
      <x:c r="O1303">
        <x:v>44</x:v>
      </x:c>
      <x:c r="P1303">
        <x:v>60</x:v>
      </x:c>
      <x:c r="Q1303">
        <x:v>62</x:v>
      </x:c>
      <x:c r="R1303">
        <x:v>66</x:v>
      </x:c>
      <x:c r="S1303">
        <x:v>67</x:v>
      </x:c>
      <x:c r="T1303">
        <x:v>51</x:v>
      </x:c>
      <x:c r="U1303">
        <x:v>48</x:v>
      </x:c>
    </x:row>
    <x:row r="1304">
      <x:c r="A1304" t="s">
        <x:v>1663</x:v>
      </x:c>
      <x:c r="B1304" t="s">
        <x:v>584</x:v>
      </x:c>
      <x:c r="C1304" t="s">
        <x:v>329</x:v>
      </x:c>
      <x:c r="D1304">
        <x:v>8484928</x:v>
      </x:c>
      <x:c r="E1304">
        <x:v>68</x:v>
      </x:c>
      <x:c r="F1304">
        <x:v>34</x:v>
      </x:c>
      <x:c r="G1304">
        <x:v>85</x:v>
      </x:c>
      <x:c r="H1304">
        <x:v>40</x:v>
      </x:c>
      <x:c r="I1304">
        <x:v>86</x:v>
      </x:c>
      <x:c r="J1304">
        <x:v>82</x:v>
      </x:c>
      <x:c r="K1304">
        <x:v>84</x:v>
      </x:c>
      <x:c r="L1304">
        <x:v>41</x:v>
      </x:c>
      <x:c r="M1304">
        <x:v>64</x:v>
      </x:c>
      <x:c r="N1304">
        <x:v>42</x:v>
      </x:c>
      <x:c r="O1304">
        <x:v>43</x:v>
      </x:c>
      <x:c r="P1304">
        <x:v>60</x:v>
      </x:c>
      <x:c r="Q1304">
        <x:v>62</x:v>
      </x:c>
      <x:c r="R1304">
        <x:v>70</x:v>
      </x:c>
      <x:c r="S1304">
        <x:v>71</x:v>
      </x:c>
      <x:c r="T1304">
        <x:v>51</x:v>
      </x:c>
      <x:c r="U1304">
        <x:v>48</x:v>
      </x:c>
    </x:row>
    <x:row r="1305">
      <x:c r="A1305" t="s">
        <x:v>1664</x:v>
      </x:c>
      <x:c r="C1305" t="s">
        <x:v>326</x:v>
      </x:c>
      <x:c r="D1305">
        <x:v>8483401</x:v>
      </x:c>
      <x:c r="E1305">
        <x:v>63</x:v>
      </x:c>
      <x:c r="F1305">
        <x:v>35</x:v>
      </x:c>
      <x:c r="G1305">
        <x:v>80</x:v>
      </x:c>
      <x:c r="H1305">
        <x:v>42</x:v>
      </x:c>
      <x:c r="I1305">
        <x:v>77</x:v>
      </x:c>
      <x:c r="J1305">
        <x:v>83</x:v>
      </x:c>
      <x:c r="K1305">
        <x:v>86</x:v>
      </x:c>
      <x:c r="L1305">
        <x:v>43</x:v>
      </x:c>
      <x:c r="M1305">
        <x:v>74</x:v>
      </x:c>
      <x:c r="N1305">
        <x:v>44</x:v>
      </x:c>
      <x:c r="O1305">
        <x:v>43</x:v>
      </x:c>
      <x:c r="P1305">
        <x:v>59</x:v>
      </x:c>
      <x:c r="Q1305">
        <x:v>63</x:v>
      </x:c>
      <x:c r="R1305">
        <x:v>72</x:v>
      </x:c>
      <x:c r="S1305">
        <x:v>72</x:v>
      </x:c>
      <x:c r="T1305">
        <x:v>51</x:v>
      </x:c>
      <x:c r="U1305">
        <x:v>48</x:v>
      </x:c>
    </x:row>
    <x:row r="1306">
      <x:c r="A1306" t="s">
        <x:v>1665</x:v>
      </x:c>
      <x:c r="C1306" t="s">
        <x:v>326</x:v>
      </x:c>
      <x:c r="D1306">
        <x:v>8481594</x:v>
      </x:c>
      <x:c r="E1306">
        <x:v>66</x:v>
      </x:c>
      <x:c r="F1306">
        <x:v>39</x:v>
      </x:c>
      <x:c r="G1306">
        <x:v>76</x:v>
      </x:c>
      <x:c r="H1306">
        <x:v>40</x:v>
      </x:c>
      <x:c r="I1306">
        <x:v>82</x:v>
      </x:c>
      <x:c r="J1306">
        <x:v>88</x:v>
      </x:c>
      <x:c r="K1306">
        <x:v>90</x:v>
      </x:c>
      <x:c r="L1306">
        <x:v>40</x:v>
      </x:c>
      <x:c r="M1306">
        <x:v>61</x:v>
      </x:c>
      <x:c r="N1306">
        <x:v>41</x:v>
      </x:c>
      <x:c r="O1306">
        <x:v>44</x:v>
      </x:c>
      <x:c r="P1306">
        <x:v>60</x:v>
      </x:c>
      <x:c r="Q1306">
        <x:v>62</x:v>
      </x:c>
      <x:c r="R1306">
        <x:v>68</x:v>
      </x:c>
      <x:c r="S1306">
        <x:v>68</x:v>
      </x:c>
      <x:c r="T1306">
        <x:v>51</x:v>
      </x:c>
      <x:c r="U1306">
        <x:v>48</x:v>
      </x:c>
    </x:row>
    <x:row r="1307">
      <x:c r="A1307" t="s">
        <x:v>1666</x:v>
      </x:c>
      <x:c r="C1307" t="s">
        <x:v>323</x:v>
      </x:c>
      <x:c r="D1307">
        <x:v>8483697</x:v>
      </x:c>
      <x:c r="E1307">
        <x:v>64</x:v>
      </x:c>
      <x:c r="F1307">
        <x:v>33</x:v>
      </x:c>
      <x:c r="G1307">
        <x:v>80</x:v>
      </x:c>
      <x:c r="H1307">
        <x:v>42</x:v>
      </x:c>
      <x:c r="I1307">
        <x:v>74</x:v>
      </x:c>
      <x:c r="J1307">
        <x:v>83</x:v>
      </x:c>
      <x:c r="K1307">
        <x:v>86</x:v>
      </x:c>
      <x:c r="L1307">
        <x:v>41</x:v>
      </x:c>
      <x:c r="M1307">
        <x:v>57</x:v>
      </x:c>
      <x:c r="N1307">
        <x:v>43</x:v>
      </x:c>
      <x:c r="O1307">
        <x:v>44</x:v>
      </x:c>
      <x:c r="P1307">
        <x:v>58</x:v>
      </x:c>
      <x:c r="Q1307">
        <x:v>63</x:v>
      </x:c>
      <x:c r="R1307">
        <x:v>66</x:v>
      </x:c>
      <x:c r="S1307">
        <x:v>66</x:v>
      </x:c>
      <x:c r="T1307">
        <x:v>51</x:v>
      </x:c>
      <x:c r="U1307">
        <x:v>48</x:v>
      </x:c>
    </x:row>
    <x:row r="1308">
      <x:c r="A1308" t="s">
        <x:v>1667</x:v>
      </x:c>
      <x:c r="C1308" t="s">
        <x:v>331</x:v>
      </x:c>
      <x:c r="D1308">
        <x:v>8484577</x:v>
      </x:c>
      <x:c r="E1308">
        <x:v>64</x:v>
      </x:c>
      <x:c r="F1308">
        <x:v>37</x:v>
      </x:c>
      <x:c r="G1308">
        <x:v>93</x:v>
      </x:c>
      <x:c r="H1308">
        <x:v>30</x:v>
      </x:c>
      <x:c r="I1308">
        <x:v>81</x:v>
      </x:c>
      <x:c r="J1308">
        <x:v>72</x:v>
      </x:c>
      <x:c r="K1308">
        <x:v>75</x:v>
      </x:c>
      <x:c r="L1308">
        <x:v>31</x:v>
      </x:c>
      <x:c r="M1308">
        <x:v>30</x:v>
      </x:c>
      <x:c r="N1308">
        <x:v>40</x:v>
      </x:c>
      <x:c r="O1308">
        <x:v>37</x:v>
      </x:c>
      <x:c r="P1308">
        <x:v>64</x:v>
      </x:c>
      <x:c r="Q1308">
        <x:v>43</x:v>
      </x:c>
      <x:c r="R1308">
        <x:v>70</x:v>
      </x:c>
      <x:c r="S1308">
        <x:v>69</x:v>
      </x:c>
      <x:c r="T1308">
        <x:v>51</x:v>
      </x:c>
      <x:c r="U1308">
        <x:v>48</x:v>
      </x:c>
    </x:row>
    <x:row r="1309">
      <x:c r="A1309" t="s">
        <x:v>1668</x:v>
      </x:c>
      <x:c r="C1309" t="s">
        <x:v>323</x:v>
      </x:c>
      <x:c r="D1309">
        <x:v>8485718</x:v>
      </x:c>
      <x:c r="E1309">
        <x:v>63</x:v>
      </x:c>
      <x:c r="F1309">
        <x:v>43</x:v>
      </x:c>
      <x:c r="G1309">
        <x:v>91</x:v>
      </x:c>
      <x:c r="H1309">
        <x:v>39</x:v>
      </x:c>
      <x:c r="I1309">
        <x:v>91</x:v>
      </x:c>
      <x:c r="J1309">
        <x:v>73</x:v>
      </x:c>
      <x:c r="K1309">
        <x:v>76</x:v>
      </x:c>
      <x:c r="L1309">
        <x:v>39</x:v>
      </x:c>
      <x:c r="M1309">
        <x:v>68</x:v>
      </x:c>
      <x:c r="N1309">
        <x:v>45</x:v>
      </x:c>
      <x:c r="O1309">
        <x:v>44</x:v>
      </x:c>
      <x:c r="P1309">
        <x:v>60</x:v>
      </x:c>
      <x:c r="Q1309">
        <x:v>61</x:v>
      </x:c>
      <x:c r="R1309">
        <x:v>67</x:v>
      </x:c>
      <x:c r="S1309">
        <x:v>66</x:v>
      </x:c>
      <x:c r="T1309">
        <x:v>51</x:v>
      </x:c>
      <x:c r="U1309">
        <x:v>48</x:v>
      </x:c>
    </x:row>
    <x:row r="1310">
      <x:c r="A1310" t="s">
        <x:v>1669</x:v>
      </x:c>
      <x:c r="C1310" t="s">
        <x:v>358</x:v>
      </x:c>
      <x:c r="D1310">
        <x:v>8476915</x:v>
      </x:c>
      <x:c r="E1310">
        <x:v>77</x:v>
      </x:c>
      <x:c r="F1310">
        <x:v>73</x:v>
      </x:c>
      <x:c r="G1310">
        <x:v>77</x:v>
      </x:c>
      <x:c r="H1310">
        <x:v>38</x:v>
      </x:c>
      <x:c r="I1310">
        <x:v>87</x:v>
      </x:c>
      <x:c r="J1310">
        <x:v>77</x:v>
      </x:c>
      <x:c r="K1310">
        <x:v>80</x:v>
      </x:c>
      <x:c r="L1310">
        <x:v>38</x:v>
      </x:c>
      <x:c r="M1310">
        <x:v>85</x:v>
      </x:c>
      <x:c r="N1310">
        <x:v>42</x:v>
      </x:c>
      <x:c r="O1310">
        <x:v>40</x:v>
      </x:c>
      <x:c r="P1310">
        <x:v>68</x:v>
      </x:c>
      <x:c r="Q1310">
        <x:v>60</x:v>
      </x:c>
      <x:c r="R1310">
        <x:v>76</x:v>
      </x:c>
      <x:c r="S1310">
        <x:v>77</x:v>
      </x:c>
      <x:c r="T1310">
        <x:v>51</x:v>
      </x:c>
      <x:c r="U1310">
        <x:v>48</x:v>
      </x:c>
    </x:row>
    <x:row r="1311">
      <x:c r="A1311" t="s">
        <x:v>1670</x:v>
      </x:c>
      <x:c r="C1311" t="s">
        <x:v>339</x:v>
      </x:c>
      <x:c r="D1311">
        <x:v>8483677</x:v>
      </x:c>
      <x:c r="E1311">
        <x:v>73</x:v>
      </x:c>
      <x:c r="F1311">
        <x:v>38</x:v>
      </x:c>
      <x:c r="G1311">
        <x:v>82</x:v>
      </x:c>
      <x:c r="H1311">
        <x:v>42</x:v>
      </x:c>
      <x:c r="I1311">
        <x:v>76</x:v>
      </x:c>
      <x:c r="J1311">
        <x:v>88</x:v>
      </x:c>
      <x:c r="K1311">
        <x:v>89</x:v>
      </x:c>
      <x:c r="L1311">
        <x:v>41</x:v>
      </x:c>
      <x:c r="M1311">
        <x:v>66</x:v>
      </x:c>
      <x:c r="N1311">
        <x:v>43</x:v>
      </x:c>
      <x:c r="O1311">
        <x:v>43</x:v>
      </x:c>
      <x:c r="P1311">
        <x:v>61</x:v>
      </x:c>
      <x:c r="Q1311">
        <x:v>63</x:v>
      </x:c>
      <x:c r="R1311">
        <x:v>65</x:v>
      </x:c>
      <x:c r="S1311">
        <x:v>66</x:v>
      </x:c>
      <x:c r="T1311">
        <x:v>51</x:v>
      </x:c>
      <x:c r="U1311">
        <x:v>48</x:v>
      </x:c>
    </x:row>
    <x:row r="1312">
      <x:c r="A1312" t="s">
        <x:v>1671</x:v>
      </x:c>
      <x:c r="C1312" t="s">
        <x:v>326</x:v>
      </x:c>
      <x:c r="D1312">
        <x:v>8483514</x:v>
      </x:c>
      <x:c r="E1312">
        <x:v>62</x:v>
      </x:c>
      <x:c r="F1312">
        <x:v>33</x:v>
      </x:c>
      <x:c r="G1312">
        <x:v>87</x:v>
      </x:c>
      <x:c r="H1312">
        <x:v>40</x:v>
      </x:c>
      <x:c r="I1312">
        <x:v>76</x:v>
      </x:c>
      <x:c r="J1312">
        <x:v>90</x:v>
      </x:c>
      <x:c r="K1312">
        <x:v>95</x:v>
      </x:c>
      <x:c r="L1312">
        <x:v>41</x:v>
      </x:c>
      <x:c r="M1312">
        <x:v>61</x:v>
      </x:c>
      <x:c r="N1312">
        <x:v>45</x:v>
      </x:c>
      <x:c r="O1312">
        <x:v>45</x:v>
      </x:c>
      <x:c r="P1312">
        <x:v>60</x:v>
      </x:c>
      <x:c r="Q1312">
        <x:v>62</x:v>
      </x:c>
      <x:c r="R1312">
        <x:v>66</x:v>
      </x:c>
      <x:c r="S1312">
        <x:v>66</x:v>
      </x:c>
      <x:c r="T1312">
        <x:v>51</x:v>
      </x:c>
      <x:c r="U1312">
        <x:v>48</x:v>
      </x:c>
    </x:row>
    <x:row r="1313">
      <x:c r="A1313" t="s">
        <x:v>1672</x:v>
      </x:c>
      <x:c r="C1313" t="s">
        <x:v>331</x:v>
      </x:c>
      <x:c r="D1313">
        <x:v>8483017</x:v>
      </x:c>
      <x:c r="E1313">
        <x:v>79</x:v>
      </x:c>
      <x:c r="F1313">
        <x:v>33</x:v>
      </x:c>
      <x:c r="G1313">
        <x:v>85</x:v>
      </x:c>
      <x:c r="H1313">
        <x:v>35</x:v>
      </x:c>
      <x:c r="I1313">
        <x:v>79</x:v>
      </x:c>
      <x:c r="J1313">
        <x:v>88</x:v>
      </x:c>
      <x:c r="K1313">
        <x:v>90</x:v>
      </x:c>
      <x:c r="L1313">
        <x:v>36</x:v>
      </x:c>
      <x:c r="M1313">
        <x:v>30</x:v>
      </x:c>
      <x:c r="N1313">
        <x:v>46</x:v>
      </x:c>
      <x:c r="O1313">
        <x:v>43</x:v>
      </x:c>
      <x:c r="P1313">
        <x:v>66</x:v>
      </x:c>
      <x:c r="Q1313">
        <x:v>51</x:v>
      </x:c>
      <x:c r="R1313">
        <x:v>66</x:v>
      </x:c>
      <x:c r="S1313">
        <x:v>67</x:v>
      </x:c>
      <x:c r="T1313">
        <x:v>51</x:v>
      </x:c>
      <x:c r="U1313">
        <x:v>48</x:v>
      </x:c>
    </x:row>
    <x:row r="1314">
      <x:c r="A1314" t="s">
        <x:v>1673</x:v>
      </x:c>
      <x:c r="C1314" t="s">
        <x:v>326</x:v>
      </x:c>
      <x:c r="D1314">
        <x:v>8484176</x:v>
      </x:c>
      <x:c r="E1314">
        <x:v>63</x:v>
      </x:c>
      <x:c r="F1314">
        <x:v>40</x:v>
      </x:c>
      <x:c r="G1314">
        <x:v>81</x:v>
      </x:c>
      <x:c r="H1314">
        <x:v>43</x:v>
      </x:c>
      <x:c r="I1314">
        <x:v>82</x:v>
      </x:c>
      <x:c r="J1314">
        <x:v>89</x:v>
      </x:c>
      <x:c r="K1314">
        <x:v>93</x:v>
      </x:c>
      <x:c r="L1314">
        <x:v>42</x:v>
      </x:c>
      <x:c r="M1314">
        <x:v>74</x:v>
      </x:c>
      <x:c r="N1314">
        <x:v>44</x:v>
      </x:c>
      <x:c r="O1314">
        <x:v>44</x:v>
      </x:c>
      <x:c r="P1314">
        <x:v>58</x:v>
      </x:c>
      <x:c r="Q1314">
        <x:v>64</x:v>
      </x:c>
      <x:c r="R1314">
        <x:v>65</x:v>
      </x:c>
      <x:c r="S1314">
        <x:v>66</x:v>
      </x:c>
      <x:c r="T1314">
        <x:v>51</x:v>
      </x:c>
      <x:c r="U1314">
        <x:v>48</x:v>
      </x:c>
    </x:row>
    <x:row r="1315">
      <x:c r="A1315" t="s">
        <x:v>1674</x:v>
      </x:c>
      <x:c r="C1315" t="s">
        <x:v>331</x:v>
      </x:c>
      <x:c r="D1315">
        <x:v>8486128</x:v>
      </x:c>
      <x:c r="E1315">
        <x:v>64</x:v>
      </x:c>
      <x:c r="F1315">
        <x:v>38</x:v>
      </x:c>
      <x:c r="G1315">
        <x:v>92</x:v>
      </x:c>
      <x:c r="H1315">
        <x:v>30</x:v>
      </x:c>
      <x:c r="I1315">
        <x:v>83</x:v>
      </x:c>
      <x:c r="J1315">
        <x:v>67</x:v>
      </x:c>
      <x:c r="K1315">
        <x:v>70</x:v>
      </x:c>
      <x:c r="L1315">
        <x:v>30</x:v>
      </x:c>
      <x:c r="M1315">
        <x:v>30</x:v>
      </x:c>
      <x:c r="N1315">
        <x:v>39</x:v>
      </x:c>
      <x:c r="O1315">
        <x:v>38</x:v>
      </x:c>
      <x:c r="P1315">
        <x:v>65</x:v>
      </x:c>
      <x:c r="Q1315">
        <x:v>43</x:v>
      </x:c>
      <x:c r="R1315">
        <x:v>66</x:v>
      </x:c>
      <x:c r="S1315">
        <x:v>65</x:v>
      </x:c>
      <x:c r="T1315">
        <x:v>51</x:v>
      </x:c>
      <x:c r="U1315">
        <x:v>48</x:v>
      </x:c>
    </x:row>
    <x:row r="1316">
      <x:c r="A1316" t="s">
        <x:v>1675</x:v>
      </x:c>
      <x:c r="C1316" t="s">
        <x:v>333</x:v>
      </x:c>
      <x:c r="D1316">
        <x:v>8484920</x:v>
      </x:c>
      <x:c r="E1316">
        <x:v>71</x:v>
      </x:c>
      <x:c r="F1316">
        <x:v>38</x:v>
      </x:c>
      <x:c r="G1316">
        <x:v>82</x:v>
      </x:c>
      <x:c r="H1316">
        <x:v>41</x:v>
      </x:c>
      <x:c r="I1316">
        <x:v>74</x:v>
      </x:c>
      <x:c r="J1316">
        <x:v>77</x:v>
      </x:c>
      <x:c r="K1316">
        <x:v>81</x:v>
      </x:c>
      <x:c r="L1316">
        <x:v>42</x:v>
      </x:c>
      <x:c r="M1316">
        <x:v>66</x:v>
      </x:c>
      <x:c r="N1316">
        <x:v>43</x:v>
      </x:c>
      <x:c r="O1316">
        <x:v>43</x:v>
      </x:c>
      <x:c r="P1316">
        <x:v>59</x:v>
      </x:c>
      <x:c r="Q1316">
        <x:v>63</x:v>
      </x:c>
      <x:c r="R1316">
        <x:v>69</x:v>
      </x:c>
      <x:c r="S1316">
        <x:v>69</x:v>
      </x:c>
      <x:c r="T1316">
        <x:v>51</x:v>
      </x:c>
      <x:c r="U1316">
        <x:v>48</x:v>
      </x:c>
    </x:row>
    <x:row r="1317">
      <x:c r="A1317" t="s">
        <x:v>1676</x:v>
      </x:c>
      <x:c r="C1317" t="s">
        <x:v>326</x:v>
      </x:c>
      <x:c r="D1317">
        <x:v>8483688</x:v>
      </x:c>
      <x:c r="E1317">
        <x:v>75</x:v>
      </x:c>
      <x:c r="F1317">
        <x:v>40</x:v>
      </x:c>
      <x:c r="G1317">
        <x:v>92</x:v>
      </x:c>
      <x:c r="H1317">
        <x:v>42</x:v>
      </x:c>
      <x:c r="I1317">
        <x:v>73</x:v>
      </x:c>
      <x:c r="J1317">
        <x:v>78</x:v>
      </x:c>
      <x:c r="K1317">
        <x:v>81</x:v>
      </x:c>
      <x:c r="L1317">
        <x:v>41</x:v>
      </x:c>
      <x:c r="M1317">
        <x:v>65</x:v>
      </x:c>
      <x:c r="N1317">
        <x:v>44</x:v>
      </x:c>
      <x:c r="O1317">
        <x:v>43</x:v>
      </x:c>
      <x:c r="P1317">
        <x:v>63</x:v>
      </x:c>
      <x:c r="Q1317">
        <x:v>63</x:v>
      </x:c>
      <x:c r="R1317">
        <x:v>65</x:v>
      </x:c>
      <x:c r="S1317">
        <x:v>65</x:v>
      </x:c>
      <x:c r="T1317">
        <x:v>51</x:v>
      </x:c>
      <x:c r="U1317">
        <x:v>48</x:v>
      </x:c>
    </x:row>
    <x:row r="1318">
      <x:c r="A1318" t="s">
        <x:v>1677</x:v>
      </x:c>
      <x:c r="C1318" t="s">
        <x:v>339</x:v>
      </x:c>
      <x:c r="D1318">
        <x:v>8481163</x:v>
      </x:c>
      <x:c r="E1318">
        <x:v>62</x:v>
      </x:c>
      <x:c r="F1318">
        <x:v>36</x:v>
      </x:c>
      <x:c r="G1318">
        <x:v>77</x:v>
      </x:c>
      <x:c r="H1318">
        <x:v>41</x:v>
      </x:c>
      <x:c r="I1318">
        <x:v>78</x:v>
      </x:c>
      <x:c r="J1318">
        <x:v>92</x:v>
      </x:c>
      <x:c r="K1318">
        <x:v>95</x:v>
      </x:c>
      <x:c r="L1318">
        <x:v>42</x:v>
      </x:c>
      <x:c r="M1318">
        <x:v>75</x:v>
      </x:c>
      <x:c r="N1318">
        <x:v>43</x:v>
      </x:c>
      <x:c r="O1318">
        <x:v>43</x:v>
      </x:c>
      <x:c r="P1318">
        <x:v>59</x:v>
      </x:c>
      <x:c r="Q1318">
        <x:v>63</x:v>
      </x:c>
      <x:c r="R1318">
        <x:v>69</x:v>
      </x:c>
      <x:c r="S1318">
        <x:v>69</x:v>
      </x:c>
      <x:c r="T1318">
        <x:v>51</x:v>
      </x:c>
      <x:c r="U1318">
        <x:v>48</x:v>
      </x:c>
    </x:row>
    <x:row r="1319">
      <x:c r="A1319" t="s">
        <x:v>1678</x:v>
      </x:c>
      <x:c r="B1319" t="s">
        <x:v>584</x:v>
      </x:c>
      <x:c r="C1319" t="s">
        <x:v>319</x:v>
      </x:c>
      <x:c r="D1319">
        <x:v>8479991</x:v>
      </x:c>
      <x:c r="E1319">
        <x:v>69</x:v>
      </x:c>
      <x:c r="F1319">
        <x:v>37</x:v>
      </x:c>
      <x:c r="G1319">
        <x:v>87</x:v>
      </x:c>
      <x:c r="H1319">
        <x:v>41</x:v>
      </x:c>
      <x:c r="I1319">
        <x:v>79</x:v>
      </x:c>
      <x:c r="J1319">
        <x:v>88</x:v>
      </x:c>
      <x:c r="K1319">
        <x:v>91</x:v>
      </x:c>
      <x:c r="L1319">
        <x:v>41</x:v>
      </x:c>
      <x:c r="M1319">
        <x:v>71</x:v>
      </x:c>
      <x:c r="N1319">
        <x:v>41</x:v>
      </x:c>
      <x:c r="O1319">
        <x:v>44</x:v>
      </x:c>
      <x:c r="P1319">
        <x:v>62</x:v>
      </x:c>
      <x:c r="Q1319">
        <x:v>62</x:v>
      </x:c>
      <x:c r="R1319">
        <x:v>69</x:v>
      </x:c>
      <x:c r="S1319">
        <x:v>70</x:v>
      </x:c>
      <x:c r="T1319">
        <x:v>51</x:v>
      </x:c>
      <x:c r="U1319">
        <x:v>48</x:v>
      </x:c>
    </x:row>
    <x:row r="1320">
      <x:c r="A1320" t="s">
        <x:v>1679</x:v>
      </x:c>
      <x:c r="C1320" t="s">
        <x:v>323</x:v>
      </x:c>
      <x:c r="D1320">
        <x:v>8482151</x:v>
      </x:c>
      <x:c r="E1320">
        <x:v>58</x:v>
      </x:c>
      <x:c r="F1320">
        <x:v>33</x:v>
      </x:c>
      <x:c r="G1320">
        <x:v>82</x:v>
      </x:c>
      <x:c r="H1320">
        <x:v>44</x:v>
      </x:c>
      <x:c r="I1320">
        <x:v>74</x:v>
      </x:c>
      <x:c r="J1320">
        <x:v>81</x:v>
      </x:c>
      <x:c r="K1320">
        <x:v>84</x:v>
      </x:c>
      <x:c r="L1320">
        <x:v>44</x:v>
      </x:c>
      <x:c r="M1320">
        <x:v>61</x:v>
      </x:c>
      <x:c r="N1320">
        <x:v>44</x:v>
      </x:c>
      <x:c r="O1320">
        <x:v>43</x:v>
      </x:c>
      <x:c r="P1320">
        <x:v>60</x:v>
      </x:c>
      <x:c r="Q1320">
        <x:v>64</x:v>
      </x:c>
      <x:c r="R1320">
        <x:v>67</x:v>
      </x:c>
      <x:c r="S1320">
        <x:v>66</x:v>
      </x:c>
      <x:c r="T1320">
        <x:v>51</x:v>
      </x:c>
      <x:c r="U1320">
        <x:v>48</x:v>
      </x:c>
    </x:row>
    <x:row r="1321">
      <x:c r="A1321" t="s">
        <x:v>1680</x:v>
      </x:c>
      <x:c r="C1321" t="s">
        <x:v>319</x:v>
      </x:c>
      <x:c r="D1321">
        <x:v>8482121</x:v>
      </x:c>
      <x:c r="E1321">
        <x:v>61</x:v>
      </x:c>
      <x:c r="F1321">
        <x:v>32</x:v>
      </x:c>
      <x:c r="G1321">
        <x:v>75</x:v>
      </x:c>
      <x:c r="H1321">
        <x:v>42</x:v>
      </x:c>
      <x:c r="I1321">
        <x:v>82</x:v>
      </x:c>
      <x:c r="J1321">
        <x:v>82</x:v>
      </x:c>
      <x:c r="K1321">
        <x:v>85</x:v>
      </x:c>
      <x:c r="L1321">
        <x:v>41</x:v>
      </x:c>
      <x:c r="M1321">
        <x:v>65</x:v>
      </x:c>
      <x:c r="N1321">
        <x:v>43</x:v>
      </x:c>
      <x:c r="O1321">
        <x:v>44</x:v>
      </x:c>
      <x:c r="P1321">
        <x:v>60</x:v>
      </x:c>
      <x:c r="Q1321">
        <x:v>63</x:v>
      </x:c>
      <x:c r="R1321">
        <x:v>67</x:v>
      </x:c>
      <x:c r="S1321">
        <x:v>68</x:v>
      </x:c>
      <x:c r="T1321">
        <x:v>51</x:v>
      </x:c>
      <x:c r="U1321">
        <x:v>48</x:v>
      </x:c>
    </x:row>
    <x:row r="1322">
      <x:c r="A1322" t="s">
        <x:v>1681</x:v>
      </x:c>
      <x:c r="B1322" t="s">
        <x:v>372</x:v>
      </x:c>
      <x:c r="C1322" t="s">
        <x:v>323</x:v>
      </x:c>
      <x:c r="D1322">
        <x:v>8482712</x:v>
      </x:c>
      <x:c r="E1322">
        <x:v>61</x:v>
      </x:c>
      <x:c r="F1322">
        <x:v>37</x:v>
      </x:c>
      <x:c r="G1322">
        <x:v>87</x:v>
      </x:c>
      <x:c r="H1322">
        <x:v>43</x:v>
      </x:c>
      <x:c r="I1322">
        <x:v>79</x:v>
      </x:c>
      <x:c r="J1322">
        <x:v>86</x:v>
      </x:c>
      <x:c r="K1322">
        <x:v>89</x:v>
      </x:c>
      <x:c r="L1322">
        <x:v>43</x:v>
      </x:c>
      <x:c r="M1322">
        <x:v>71</x:v>
      </x:c>
      <x:c r="N1322">
        <x:v>44</x:v>
      </x:c>
      <x:c r="O1322">
        <x:v>44</x:v>
      </x:c>
      <x:c r="P1322">
        <x:v>62</x:v>
      </x:c>
      <x:c r="Q1322">
        <x:v>64</x:v>
      </x:c>
      <x:c r="R1322">
        <x:v>67</x:v>
      </x:c>
      <x:c r="S1322">
        <x:v>68</x:v>
      </x:c>
      <x:c r="T1322">
        <x:v>51</x:v>
      </x:c>
      <x:c r="U1322">
        <x:v>48</x:v>
      </x:c>
    </x:row>
    <x:row r="1323">
      <x:c r="A1323" t="s">
        <x:v>1682</x:v>
      </x:c>
      <x:c r="C1323" t="s">
        <x:v>326</x:v>
      </x:c>
      <x:c r="D1323">
        <x:v>8482466</x:v>
      </x:c>
      <x:c r="E1323">
        <x:v>61</x:v>
      </x:c>
      <x:c r="F1323">
        <x:v>37</x:v>
      </x:c>
      <x:c r="G1323">
        <x:v>84</x:v>
      </x:c>
      <x:c r="H1323">
        <x:v>42</x:v>
      </x:c>
      <x:c r="I1323">
        <x:v>75</x:v>
      </x:c>
      <x:c r="J1323">
        <x:v>81</x:v>
      </x:c>
      <x:c r="K1323">
        <x:v>85</x:v>
      </x:c>
      <x:c r="L1323">
        <x:v>41</x:v>
      </x:c>
      <x:c r="M1323">
        <x:v>55</x:v>
      </x:c>
      <x:c r="N1323">
        <x:v>42</x:v>
      </x:c>
      <x:c r="O1323">
        <x:v>45</x:v>
      </x:c>
      <x:c r="P1323">
        <x:v>61</x:v>
      </x:c>
      <x:c r="Q1323">
        <x:v>63</x:v>
      </x:c>
      <x:c r="R1323">
        <x:v>67</x:v>
      </x:c>
      <x:c r="S1323">
        <x:v>68</x:v>
      </x:c>
      <x:c r="T1323">
        <x:v>51</x:v>
      </x:c>
      <x:c r="U1323">
        <x:v>48</x:v>
      </x:c>
    </x:row>
    <x:row r="1324">
      <x:c r="A1324" t="s">
        <x:v>1683</x:v>
      </x:c>
      <x:c r="C1324" t="s">
        <x:v>319</x:v>
      </x:c>
      <x:c r="D1324">
        <x:v>8485454</x:v>
      </x:c>
      <x:c r="E1324">
        <x:v>68</x:v>
      </x:c>
      <x:c r="F1324">
        <x:v>37</x:v>
      </x:c>
      <x:c r="G1324">
        <x:v>81</x:v>
      </x:c>
      <x:c r="H1324">
        <x:v>40</x:v>
      </x:c>
      <x:c r="I1324">
        <x:v>85</x:v>
      </x:c>
      <x:c r="J1324">
        <x:v>83</x:v>
      </x:c>
      <x:c r="K1324">
        <x:v>90</x:v>
      </x:c>
      <x:c r="L1324">
        <x:v>41</x:v>
      </x:c>
      <x:c r="M1324">
        <x:v>80</x:v>
      </x:c>
      <x:c r="N1324">
        <x:v>43</x:v>
      </x:c>
      <x:c r="O1324">
        <x:v>42</x:v>
      </x:c>
      <x:c r="P1324">
        <x:v>60</x:v>
      </x:c>
      <x:c r="Q1324">
        <x:v>62</x:v>
      </x:c>
      <x:c r="R1324">
        <x:v>69</x:v>
      </x:c>
      <x:c r="S1324">
        <x:v>68</x:v>
      </x:c>
      <x:c r="T1324">
        <x:v>51</x:v>
      </x:c>
      <x:c r="U1324">
        <x:v>48</x:v>
      </x:c>
    </x:row>
    <x:row r="1325">
      <x:c r="A1325" t="s">
        <x:v>1684</x:v>
      </x:c>
      <x:c r="C1325" t="s">
        <x:v>331</x:v>
      </x:c>
      <x:c r="D1325">
        <x:v>8485890</x:v>
      </x:c>
      <x:c r="E1325">
        <x:v>64</x:v>
      </x:c>
      <x:c r="F1325">
        <x:v>35</x:v>
      </x:c>
      <x:c r="G1325">
        <x:v>89</x:v>
      </x:c>
      <x:c r="H1325">
        <x:v>30</x:v>
      </x:c>
      <x:c r="I1325">
        <x:v>80</x:v>
      </x:c>
      <x:c r="J1325">
        <x:v>70</x:v>
      </x:c>
      <x:c r="K1325">
        <x:v>73</x:v>
      </x:c>
      <x:c r="L1325">
        <x:v>30</x:v>
      </x:c>
      <x:c r="M1325">
        <x:v>30</x:v>
      </x:c>
      <x:c r="N1325">
        <x:v>39</x:v>
      </x:c>
      <x:c r="O1325">
        <x:v>38</x:v>
      </x:c>
      <x:c r="P1325">
        <x:v>66</x:v>
      </x:c>
      <x:c r="Q1325">
        <x:v>43</x:v>
      </x:c>
      <x:c r="R1325">
        <x:v>66</x:v>
      </x:c>
      <x:c r="S1325">
        <x:v>66</x:v>
      </x:c>
      <x:c r="T1325">
        <x:v>51</x:v>
      </x:c>
      <x:c r="U1325">
        <x:v>48</x:v>
      </x:c>
    </x:row>
    <x:row r="1326">
      <x:c r="A1326" t="s">
        <x:v>1685</x:v>
      </x:c>
      <x:c r="C1326" t="s">
        <x:v>331</x:v>
      </x:c>
      <x:c r="E1326">
        <x:v>67</x:v>
      </x:c>
      <x:c r="F1326">
        <x:v>31</x:v>
      </x:c>
      <x:c r="G1326">
        <x:v>91</x:v>
      </x:c>
      <x:c r="H1326">
        <x:v>30</x:v>
      </x:c>
      <x:c r="I1326">
        <x:v>76</x:v>
      </x:c>
      <x:c r="J1326">
        <x:v>68</x:v>
      </x:c>
      <x:c r="K1326">
        <x:v>71</x:v>
      </x:c>
      <x:c r="L1326">
        <x:v>31</x:v>
      </x:c>
      <x:c r="M1326">
        <x:v>30</x:v>
      </x:c>
      <x:c r="N1326">
        <x:v>39</x:v>
      </x:c>
      <x:c r="O1326">
        <x:v>38</x:v>
      </x:c>
      <x:c r="P1326">
        <x:v>65</x:v>
      </x:c>
      <x:c r="Q1326">
        <x:v>43</x:v>
      </x:c>
      <x:c r="R1326">
        <x:v>67</x:v>
      </x:c>
      <x:c r="S1326">
        <x:v>66</x:v>
      </x:c>
      <x:c r="T1326">
        <x:v>51</x:v>
      </x:c>
      <x:c r="U1326">
        <x:v>48</x:v>
      </x:c>
    </x:row>
    <x:row r="1327">
      <x:c r="A1327" t="s">
        <x:v>1686</x:v>
      </x:c>
      <x:c r="C1327" t="s">
        <x:v>339</x:v>
      </x:c>
      <x:c r="D1327">
        <x:v>8482744</x:v>
      </x:c>
      <x:c r="E1327">
        <x:v>79</x:v>
      </x:c>
      <x:c r="F1327">
        <x:v>88</x:v>
      </x:c>
      <x:c r="G1327">
        <x:v>75</x:v>
      </x:c>
      <x:c r="H1327">
        <x:v>40</x:v>
      </x:c>
      <x:c r="I1327">
        <x:v>79</x:v>
      </x:c>
      <x:c r="J1327">
        <x:v>82</x:v>
      </x:c>
      <x:c r="K1327">
        <x:v>85</x:v>
      </x:c>
      <x:c r="L1327">
        <x:v>40</x:v>
      </x:c>
      <x:c r="M1327">
        <x:v>61</x:v>
      </x:c>
      <x:c r="N1327">
        <x:v>45</x:v>
      </x:c>
      <x:c r="O1327">
        <x:v>48</x:v>
      </x:c>
      <x:c r="P1327">
        <x:v>60</x:v>
      </x:c>
      <x:c r="Q1327">
        <x:v>63</x:v>
      </x:c>
      <x:c r="R1327">
        <x:v>66</x:v>
      </x:c>
      <x:c r="S1327">
        <x:v>65</x:v>
      </x:c>
      <x:c r="T1327">
        <x:v>51</x:v>
      </x:c>
      <x:c r="U1327">
        <x:v>48</x:v>
      </x:c>
    </x:row>
    <x:row r="1328">
      <x:c r="A1328" t="s">
        <x:v>1687</x:v>
      </x:c>
      <x:c r="C1328" t="s">
        <x:v>331</x:v>
      </x:c>
      <x:c r="D1328">
        <x:v>8486179</x:v>
      </x:c>
      <x:c r="E1328">
        <x:v>66</x:v>
      </x:c>
      <x:c r="F1328">
        <x:v>32</x:v>
      </x:c>
      <x:c r="G1328">
        <x:v>89</x:v>
      </x:c>
      <x:c r="H1328">
        <x:v>30</x:v>
      </x:c>
      <x:c r="I1328">
        <x:v>80</x:v>
      </x:c>
      <x:c r="J1328">
        <x:v>68</x:v>
      </x:c>
      <x:c r="K1328">
        <x:v>71</x:v>
      </x:c>
      <x:c r="L1328">
        <x:v>30</x:v>
      </x:c>
      <x:c r="M1328">
        <x:v>30</x:v>
      </x:c>
      <x:c r="N1328">
        <x:v>39</x:v>
      </x:c>
      <x:c r="O1328">
        <x:v>38</x:v>
      </x:c>
      <x:c r="P1328">
        <x:v>64</x:v>
      </x:c>
      <x:c r="Q1328">
        <x:v>43</x:v>
      </x:c>
      <x:c r="R1328">
        <x:v>66</x:v>
      </x:c>
      <x:c r="S1328">
        <x:v>67</x:v>
      </x:c>
      <x:c r="T1328">
        <x:v>51</x:v>
      </x:c>
      <x:c r="U1328">
        <x:v>48</x:v>
      </x:c>
    </x:row>
    <x:row r="1329">
      <x:c r="A1329" t="s">
        <x:v>1688</x:v>
      </x:c>
      <x:c r="C1329" t="s">
        <x:v>319</x:v>
      </x:c>
      <x:c r="D1329">
        <x:v>8482616</x:v>
      </x:c>
      <x:c r="E1329">
        <x:v>70</x:v>
      </x:c>
      <x:c r="F1329">
        <x:v>68</x:v>
      </x:c>
      <x:c r="G1329">
        <x:v>62</x:v>
      </x:c>
      <x:c r="H1329">
        <x:v>36</x:v>
      </x:c>
      <x:c r="I1329">
        <x:v>82</x:v>
      </x:c>
      <x:c r="J1329">
        <x:v>81</x:v>
      </x:c>
      <x:c r="K1329">
        <x:v>85</x:v>
      </x:c>
      <x:c r="L1329">
        <x:v>37</x:v>
      </x:c>
      <x:c r="M1329">
        <x:v>80</x:v>
      </x:c>
      <x:c r="N1329">
        <x:v>40</x:v>
      </x:c>
      <x:c r="O1329">
        <x:v>39</x:v>
      </x:c>
      <x:c r="P1329">
        <x:v>64</x:v>
      </x:c>
      <x:c r="Q1329">
        <x:v>58</x:v>
      </x:c>
      <x:c r="R1329">
        <x:v>70</x:v>
      </x:c>
      <x:c r="S1329">
        <x:v>69</x:v>
      </x:c>
      <x:c r="T1329">
        <x:v>51</x:v>
      </x:c>
      <x:c r="U1329">
        <x:v>48</x:v>
      </x:c>
    </x:row>
    <x:row r="1330">
      <x:c r="A1330" t="s">
        <x:v>1689</x:v>
      </x:c>
      <x:c r="C1330" t="s">
        <x:v>333</x:v>
      </x:c>
      <x:c r="D1330">
        <x:v>8483453</x:v>
      </x:c>
      <x:c r="E1330">
        <x:v>62</x:v>
      </x:c>
      <x:c r="F1330">
        <x:v>43</x:v>
      </x:c>
      <x:c r="G1330">
        <x:v>91</x:v>
      </x:c>
      <x:c r="H1330">
        <x:v>41</x:v>
      </x:c>
      <x:c r="I1330">
        <x:v>76</x:v>
      </x:c>
      <x:c r="J1330">
        <x:v>82</x:v>
      </x:c>
      <x:c r="K1330">
        <x:v>85</x:v>
      </x:c>
      <x:c r="L1330">
        <x:v>40</x:v>
      </x:c>
      <x:c r="M1330">
        <x:v>73</x:v>
      </x:c>
      <x:c r="N1330">
        <x:v>43</x:v>
      </x:c>
      <x:c r="O1330">
        <x:v>43</x:v>
      </x:c>
      <x:c r="P1330">
        <x:v>66</x:v>
      </x:c>
      <x:c r="Q1330">
        <x:v>63</x:v>
      </x:c>
      <x:c r="R1330">
        <x:v>65</x:v>
      </x:c>
      <x:c r="S1330">
        <x:v>66</x:v>
      </x:c>
      <x:c r="T1330">
        <x:v>51</x:v>
      </x:c>
      <x:c r="U1330">
        <x:v>48</x:v>
      </x:c>
    </x:row>
    <x:row r="1331">
      <x:c r="A1331" t="s">
        <x:v>1690</x:v>
      </x:c>
      <x:c r="C1331" t="s">
        <x:v>323</x:v>
      </x:c>
      <x:c r="D1331">
        <x:v>8484242</x:v>
      </x:c>
      <x:c r="E1331">
        <x:v>66</x:v>
      </x:c>
      <x:c r="F1331">
        <x:v>36</x:v>
      </x:c>
      <x:c r="G1331">
        <x:v>91</x:v>
      </x:c>
      <x:c r="H1331">
        <x:v>43</x:v>
      </x:c>
      <x:c r="I1331">
        <x:v>79</x:v>
      </x:c>
      <x:c r="J1331">
        <x:v>91</x:v>
      </x:c>
      <x:c r="K1331">
        <x:v>95</x:v>
      </x:c>
      <x:c r="L1331">
        <x:v>42</x:v>
      </x:c>
      <x:c r="M1331">
        <x:v>81</x:v>
      </x:c>
      <x:c r="N1331">
        <x:v>44</x:v>
      </x:c>
      <x:c r="O1331">
        <x:v>43</x:v>
      </x:c>
      <x:c r="P1331">
        <x:v>65</x:v>
      </x:c>
      <x:c r="Q1331">
        <x:v>63</x:v>
      </x:c>
      <x:c r="R1331">
        <x:v>65</x:v>
      </x:c>
      <x:c r="S1331">
        <x:v>65</x:v>
      </x:c>
      <x:c r="T1331">
        <x:v>51</x:v>
      </x:c>
      <x:c r="U1331">
        <x:v>48</x:v>
      </x:c>
    </x:row>
    <x:row r="1332">
      <x:c r="A1332" t="s">
        <x:v>1691</x:v>
      </x:c>
      <x:c r="C1332" t="s">
        <x:v>358</x:v>
      </x:c>
      <x:c r="D1332">
        <x:v>8477320</x:v>
      </x:c>
      <x:c r="E1332">
        <x:v>73</x:v>
      </x:c>
      <x:c r="F1332">
        <x:v>40</x:v>
      </x:c>
      <x:c r="G1332">
        <x:v>79</x:v>
      </x:c>
      <x:c r="H1332">
        <x:v>40</x:v>
      </x:c>
      <x:c r="I1332">
        <x:v>79</x:v>
      </x:c>
      <x:c r="J1332">
        <x:v>91</x:v>
      </x:c>
      <x:c r="K1332">
        <x:v>94</x:v>
      </x:c>
      <x:c r="L1332">
        <x:v>41</x:v>
      </x:c>
      <x:c r="M1332">
        <x:v>58</x:v>
      </x:c>
      <x:c r="N1332">
        <x:v>41</x:v>
      </x:c>
      <x:c r="O1332">
        <x:v>42</x:v>
      </x:c>
      <x:c r="P1332">
        <x:v>58</x:v>
      </x:c>
      <x:c r="Q1332">
        <x:v>61</x:v>
      </x:c>
      <x:c r="R1332">
        <x:v>74</x:v>
      </x:c>
      <x:c r="S1332">
        <x:v>73</x:v>
      </x:c>
      <x:c r="T1332">
        <x:v>51</x:v>
      </x:c>
      <x:c r="U1332">
        <x:v>48</x:v>
      </x:c>
    </x:row>
    <x:row r="1333">
      <x:c r="A1333" t="s">
        <x:v>1692</x:v>
      </x:c>
      <x:c r="C1333" t="s">
        <x:v>323</x:v>
      </x:c>
      <x:c r="D1333">
        <x:v>8482746</x:v>
      </x:c>
      <x:c r="E1333">
        <x:v>64</x:v>
      </x:c>
      <x:c r="F1333">
        <x:v>35</x:v>
      </x:c>
      <x:c r="G1333">
        <x:v>85</x:v>
      </x:c>
      <x:c r="H1333">
        <x:v>41</x:v>
      </x:c>
      <x:c r="I1333">
        <x:v>83</x:v>
      </x:c>
      <x:c r="J1333">
        <x:v>78</x:v>
      </x:c>
      <x:c r="K1333">
        <x:v>83</x:v>
      </x:c>
      <x:c r="L1333">
        <x:v>42</x:v>
      </x:c>
      <x:c r="M1333">
        <x:v>56</x:v>
      </x:c>
      <x:c r="N1333">
        <x:v>43</x:v>
      </x:c>
      <x:c r="O1333">
        <x:v>43</x:v>
      </x:c>
      <x:c r="P1333">
        <x:v>59</x:v>
      </x:c>
      <x:c r="Q1333">
        <x:v>62</x:v>
      </x:c>
      <x:c r="R1333">
        <x:v>66</x:v>
      </x:c>
      <x:c r="S1333">
        <x:v>65</x:v>
      </x:c>
      <x:c r="T1333">
        <x:v>49</x:v>
      </x:c>
      <x:c r="U1333">
        <x:v>48</x:v>
      </x:c>
    </x:row>
    <x:row r="1334">
      <x:c r="A1334" t="s">
        <x:v>1693</x:v>
      </x:c>
      <x:c r="C1334" t="s">
        <x:v>333</x:v>
      </x:c>
      <x:c r="D1334">
        <x:v>8482674</x:v>
      </x:c>
      <x:c r="E1334">
        <x:v>59</x:v>
      </x:c>
      <x:c r="F1334">
        <x:v>31</x:v>
      </x:c>
      <x:c r="G1334">
        <x:v>76</x:v>
      </x:c>
      <x:c r="H1334">
        <x:v>44</x:v>
      </x:c>
      <x:c r="I1334">
        <x:v>82</x:v>
      </x:c>
      <x:c r="J1334">
        <x:v>80</x:v>
      </x:c>
      <x:c r="K1334">
        <x:v>83</x:v>
      </x:c>
      <x:c r="L1334">
        <x:v>43</x:v>
      </x:c>
      <x:c r="M1334">
        <x:v>62</x:v>
      </x:c>
      <x:c r="N1334">
        <x:v>44</x:v>
      </x:c>
      <x:c r="O1334">
        <x:v>44</x:v>
      </x:c>
      <x:c r="P1334">
        <x:v>58</x:v>
      </x:c>
      <x:c r="Q1334">
        <x:v>65</x:v>
      </x:c>
      <x:c r="R1334">
        <x:v>66</x:v>
      </x:c>
      <x:c r="S1334">
        <x:v>66</x:v>
      </x:c>
      <x:c r="T1334">
        <x:v>51</x:v>
      </x:c>
      <x:c r="U1334">
        <x:v>48</x:v>
      </x:c>
    </x:row>
    <x:row r="1335">
      <x:c r="A1335" t="s">
        <x:v>1694</x:v>
      </x:c>
      <x:c r="C1335" t="s">
        <x:v>331</x:v>
      </x:c>
      <x:c r="D1335">
        <x:v>8485463</x:v>
      </x:c>
      <x:c r="E1335">
        <x:v>66</x:v>
      </x:c>
      <x:c r="F1335">
        <x:v>40</x:v>
      </x:c>
      <x:c r="G1335">
        <x:v>89</x:v>
      </x:c>
      <x:c r="H1335">
        <x:v>30</x:v>
      </x:c>
      <x:c r="I1335">
        <x:v>83</x:v>
      </x:c>
      <x:c r="J1335">
        <x:v>70</x:v>
      </x:c>
      <x:c r="K1335">
        <x:v>73</x:v>
      </x:c>
      <x:c r="L1335">
        <x:v>30</x:v>
      </x:c>
      <x:c r="M1335">
        <x:v>30</x:v>
      </x:c>
      <x:c r="N1335">
        <x:v>39</x:v>
      </x:c>
      <x:c r="O1335">
        <x:v>38</x:v>
      </x:c>
      <x:c r="P1335">
        <x:v>64</x:v>
      </x:c>
      <x:c r="Q1335">
        <x:v>43</x:v>
      </x:c>
      <x:c r="R1335">
        <x:v>66</x:v>
      </x:c>
      <x:c r="S1335">
        <x:v>66</x:v>
      </x:c>
      <x:c r="T1335">
        <x:v>51</x:v>
      </x:c>
      <x:c r="U1335">
        <x:v>48</x:v>
      </x:c>
    </x:row>
    <x:row r="1336">
      <x:c r="A1336" t="s">
        <x:v>1695</x:v>
      </x:c>
      <x:c r="B1336" t="s">
        <x:v>584</x:v>
      </x:c>
      <x:c r="C1336" t="s">
        <x:v>339</x:v>
      </x:c>
      <x:c r="D1336">
        <x:v>8484888</x:v>
      </x:c>
      <x:c r="E1336">
        <x:v>61</x:v>
      </x:c>
      <x:c r="F1336">
        <x:v>39</x:v>
      </x:c>
      <x:c r="G1336">
        <x:v>90</x:v>
      </x:c>
      <x:c r="H1336">
        <x:v>41</x:v>
      </x:c>
      <x:c r="I1336">
        <x:v>83</x:v>
      </x:c>
      <x:c r="J1336">
        <x:v>83</x:v>
      </x:c>
      <x:c r="K1336">
        <x:v>87</x:v>
      </x:c>
      <x:c r="L1336">
        <x:v>41</x:v>
      </x:c>
      <x:c r="M1336">
        <x:v>68</x:v>
      </x:c>
      <x:c r="N1336">
        <x:v>44</x:v>
      </x:c>
      <x:c r="O1336">
        <x:v>43</x:v>
      </x:c>
      <x:c r="P1336">
        <x:v>59</x:v>
      </x:c>
      <x:c r="Q1336">
        <x:v>63</x:v>
      </x:c>
      <x:c r="R1336">
        <x:v>68</x:v>
      </x:c>
      <x:c r="S1336">
        <x:v>67</x:v>
      </x:c>
      <x:c r="T1336">
        <x:v>51</x:v>
      </x:c>
      <x:c r="U1336">
        <x:v>48</x:v>
      </x:c>
    </x:row>
    <x:row r="1337">
      <x:c r="A1337" t="s">
        <x:v>1696</x:v>
      </x:c>
      <x:c r="C1337" t="s">
        <x:v>319</x:v>
      </x:c>
      <x:c r="D1337">
        <x:v>8482136</x:v>
      </x:c>
      <x:c r="E1337">
        <x:v>64</x:v>
      </x:c>
      <x:c r="F1337">
        <x:v>35</x:v>
      </x:c>
      <x:c r="G1337">
        <x:v>84</x:v>
      </x:c>
      <x:c r="H1337">
        <x:v>42</x:v>
      </x:c>
      <x:c r="I1337">
        <x:v>74</x:v>
      </x:c>
      <x:c r="J1337">
        <x:v>85</x:v>
      </x:c>
      <x:c r="K1337">
        <x:v>86</x:v>
      </x:c>
      <x:c r="L1337">
        <x:v>41</x:v>
      </x:c>
      <x:c r="M1337">
        <x:v>74</x:v>
      </x:c>
      <x:c r="N1337">
        <x:v>43</x:v>
      </x:c>
      <x:c r="O1337">
        <x:v>44</x:v>
      </x:c>
      <x:c r="P1337">
        <x:v>60</x:v>
      </x:c>
      <x:c r="Q1337">
        <x:v>64</x:v>
      </x:c>
      <x:c r="R1337">
        <x:v>67</x:v>
      </x:c>
      <x:c r="S1337">
        <x:v>68</x:v>
      </x:c>
      <x:c r="T1337">
        <x:v>51</x:v>
      </x:c>
      <x:c r="U1337">
        <x:v>48</x:v>
      </x:c>
    </x:row>
    <x:row r="1338">
      <x:c r="A1338" t="s">
        <x:v>1697</x:v>
      </x:c>
      <x:c r="C1338" t="s">
        <x:v>358</x:v>
      </x:c>
      <x:c r="D1338">
        <x:v>8482263</x:v>
      </x:c>
      <x:c r="E1338">
        <x:v>75</x:v>
      </x:c>
      <x:c r="F1338">
        <x:v>33</x:v>
      </x:c>
      <x:c r="G1338">
        <x:v>67</x:v>
      </x:c>
      <x:c r="H1338">
        <x:v>37</x:v>
      </x:c>
      <x:c r="I1338">
        <x:v>81</x:v>
      </x:c>
      <x:c r="J1338">
        <x:v>77</x:v>
      </x:c>
      <x:c r="K1338">
        <x:v>79</x:v>
      </x:c>
      <x:c r="L1338">
        <x:v>36</x:v>
      </x:c>
      <x:c r="M1338">
        <x:v>69</x:v>
      </x:c>
      <x:c r="N1338">
        <x:v>40</x:v>
      </x:c>
      <x:c r="O1338">
        <x:v>40</x:v>
      </x:c>
      <x:c r="P1338">
        <x:v>62</x:v>
      </x:c>
      <x:c r="Q1338">
        <x:v>59</x:v>
      </x:c>
      <x:c r="R1338">
        <x:v>69</x:v>
      </x:c>
      <x:c r="S1338">
        <x:v>69</x:v>
      </x:c>
      <x:c r="T1338">
        <x:v>51</x:v>
      </x:c>
      <x:c r="U1338">
        <x:v>48</x:v>
      </x:c>
    </x:row>
    <x:row r="1339">
      <x:c r="A1339" t="s">
        <x:v>1698</x:v>
      </x:c>
      <x:c r="C1339" t="s">
        <x:v>319</x:v>
      </x:c>
      <x:c r="D1339">
        <x:v>8482739</x:v>
      </x:c>
      <x:c r="E1339">
        <x:v>69</x:v>
      </x:c>
      <x:c r="F1339">
        <x:v>33</x:v>
      </x:c>
      <x:c r="G1339">
        <x:v>91</x:v>
      </x:c>
      <x:c r="H1339">
        <x:v>40</x:v>
      </x:c>
      <x:c r="I1339">
        <x:v>79</x:v>
      </x:c>
      <x:c r="J1339">
        <x:v>82</x:v>
      </x:c>
      <x:c r="K1339">
        <x:v>85</x:v>
      </x:c>
      <x:c r="L1339">
        <x:v>41</x:v>
      </x:c>
      <x:c r="M1339">
        <x:v>71</x:v>
      </x:c>
      <x:c r="N1339">
        <x:v>42</x:v>
      </x:c>
      <x:c r="O1339">
        <x:v>43</x:v>
      </x:c>
      <x:c r="P1339">
        <x:v>61</x:v>
      </x:c>
      <x:c r="Q1339">
        <x:v>62</x:v>
      </x:c>
      <x:c r="R1339">
        <x:v>66</x:v>
      </x:c>
      <x:c r="S1339">
        <x:v>66</x:v>
      </x:c>
      <x:c r="T1339">
        <x:v>51</x:v>
      </x:c>
      <x:c r="U1339">
        <x:v>48</x:v>
      </x:c>
    </x:row>
    <x:row r="1340">
      <x:c r="A1340" t="s">
        <x:v>1699</x:v>
      </x:c>
      <x:c r="C1340" t="s">
        <x:v>323</x:v>
      </x:c>
      <x:c r="D1340">
        <x:v>8483452</x:v>
      </x:c>
      <x:c r="E1340">
        <x:v>68</x:v>
      </x:c>
      <x:c r="F1340">
        <x:v>45</x:v>
      </x:c>
      <x:c r="G1340">
        <x:v>86</x:v>
      </x:c>
      <x:c r="H1340">
        <x:v>40</x:v>
      </x:c>
      <x:c r="I1340">
        <x:v>76</x:v>
      </x:c>
      <x:c r="J1340">
        <x:v>87</x:v>
      </x:c>
      <x:c r="K1340">
        <x:v>89</x:v>
      </x:c>
      <x:c r="L1340">
        <x:v>39</x:v>
      </x:c>
      <x:c r="M1340">
        <x:v>79</x:v>
      </x:c>
      <x:c r="N1340">
        <x:v>44</x:v>
      </x:c>
      <x:c r="O1340">
        <x:v>45</x:v>
      </x:c>
      <x:c r="P1340">
        <x:v>60</x:v>
      </x:c>
      <x:c r="Q1340">
        <x:v>61</x:v>
      </x:c>
      <x:c r="R1340">
        <x:v>65</x:v>
      </x:c>
      <x:c r="S1340">
        <x:v>64</x:v>
      </x:c>
      <x:c r="T1340">
        <x:v>51</x:v>
      </x:c>
      <x:c r="U1340">
        <x:v>48</x:v>
      </x:c>
    </x:row>
    <x:row r="1341">
      <x:c r="A1341" t="s">
        <x:v>1700</x:v>
      </x:c>
      <x:c r="C1341" t="s">
        <x:v>326</x:v>
      </x:c>
      <x:c r="D1341">
        <x:v>8484243</x:v>
      </x:c>
      <x:c r="E1341">
        <x:v>66</x:v>
      </x:c>
      <x:c r="F1341">
        <x:v>38</x:v>
      </x:c>
      <x:c r="G1341">
        <x:v>84</x:v>
      </x:c>
      <x:c r="H1341">
        <x:v>41</x:v>
      </x:c>
      <x:c r="I1341">
        <x:v>83</x:v>
      </x:c>
      <x:c r="J1341">
        <x:v>81</x:v>
      </x:c>
      <x:c r="K1341">
        <x:v>85</x:v>
      </x:c>
      <x:c r="L1341">
        <x:v>42</x:v>
      </x:c>
      <x:c r="M1341">
        <x:v>66</x:v>
      </x:c>
      <x:c r="N1341">
        <x:v>43</x:v>
      </x:c>
      <x:c r="O1341">
        <x:v>44</x:v>
      </x:c>
      <x:c r="P1341">
        <x:v>59</x:v>
      </x:c>
      <x:c r="Q1341">
        <x:v>63</x:v>
      </x:c>
      <x:c r="R1341">
        <x:v>65</x:v>
      </x:c>
      <x:c r="S1341">
        <x:v>64</x:v>
      </x:c>
      <x:c r="T1341">
        <x:v>51</x:v>
      </x:c>
      <x:c r="U1341">
        <x:v>48</x:v>
      </x:c>
    </x:row>
    <x:row r="1342">
      <x:c r="A1342" t="s">
        <x:v>1701</x:v>
      </x:c>
      <x:c r="C1342" t="s">
        <x:v>331</x:v>
      </x:c>
      <x:c r="D1342">
        <x:v>8486149</x:v>
      </x:c>
      <x:c r="E1342">
        <x:v>63</x:v>
      </x:c>
      <x:c r="F1342">
        <x:v>39</x:v>
      </x:c>
      <x:c r="G1342">
        <x:v>88</x:v>
      </x:c>
      <x:c r="H1342">
        <x:v>30</x:v>
      </x:c>
      <x:c r="I1342">
        <x:v>83</x:v>
      </x:c>
      <x:c r="J1342">
        <x:v>67</x:v>
      </x:c>
      <x:c r="K1342">
        <x:v>70</x:v>
      </x:c>
      <x:c r="L1342">
        <x:v>31</x:v>
      </x:c>
      <x:c r="M1342">
        <x:v>30</x:v>
      </x:c>
      <x:c r="N1342">
        <x:v>39</x:v>
      </x:c>
      <x:c r="O1342">
        <x:v>38</x:v>
      </x:c>
      <x:c r="P1342">
        <x:v>64</x:v>
      </x:c>
      <x:c r="Q1342">
        <x:v>43</x:v>
      </x:c>
      <x:c r="R1342">
        <x:v>66</x:v>
      </x:c>
      <x:c r="S1342">
        <x:v>65</x:v>
      </x:c>
      <x:c r="T1342">
        <x:v>51</x:v>
      </x:c>
      <x:c r="U1342">
        <x:v>48</x:v>
      </x:c>
    </x:row>
    <x:row r="1343">
      <x:c r="A1343" t="s">
        <x:v>1702</x:v>
      </x:c>
      <x:c r="C1343" t="s">
        <x:v>331</x:v>
      </x:c>
      <x:c r="D1343">
        <x:v>8486127</x:v>
      </x:c>
      <x:c r="E1343">
        <x:v>68</x:v>
      </x:c>
      <x:c r="F1343">
        <x:v>35</x:v>
      </x:c>
      <x:c r="G1343">
        <x:v>91</x:v>
      </x:c>
      <x:c r="H1343">
        <x:v>30</x:v>
      </x:c>
      <x:c r="I1343">
        <x:v>80</x:v>
      </x:c>
      <x:c r="J1343">
        <x:v>67</x:v>
      </x:c>
      <x:c r="K1343">
        <x:v>70</x:v>
      </x:c>
      <x:c r="L1343">
        <x:v>30</x:v>
      </x:c>
      <x:c r="M1343">
        <x:v>30</x:v>
      </x:c>
      <x:c r="N1343">
        <x:v>39</x:v>
      </x:c>
      <x:c r="O1343">
        <x:v>38</x:v>
      </x:c>
      <x:c r="P1343">
        <x:v>64</x:v>
      </x:c>
      <x:c r="Q1343">
        <x:v>43</x:v>
      </x:c>
      <x:c r="R1343">
        <x:v>66</x:v>
      </x:c>
      <x:c r="S1343">
        <x:v>65</x:v>
      </x:c>
      <x:c r="T1343">
        <x:v>51</x:v>
      </x:c>
      <x:c r="U1343">
        <x:v>48</x:v>
      </x:c>
    </x:row>
    <x:row r="1344">
      <x:c r="A1344" t="s">
        <x:v>1703</x:v>
      </x:c>
      <x:c r="C1344" t="s">
        <x:v>319</x:v>
      </x:c>
      <x:c r="D1344">
        <x:v>8484616</x:v>
      </x:c>
      <x:c r="E1344">
        <x:v>63</x:v>
      </x:c>
      <x:c r="F1344">
        <x:v>39</x:v>
      </x:c>
      <x:c r="G1344">
        <x:v>83</x:v>
      </x:c>
      <x:c r="H1344">
        <x:v>43</x:v>
      </x:c>
      <x:c r="I1344">
        <x:v>80</x:v>
      </x:c>
      <x:c r="J1344">
        <x:v>80</x:v>
      </x:c>
      <x:c r="K1344">
        <x:v>84</x:v>
      </x:c>
      <x:c r="L1344">
        <x:v>44</x:v>
      </x:c>
      <x:c r="M1344">
        <x:v>64</x:v>
      </x:c>
      <x:c r="N1344">
        <x:v>44</x:v>
      </x:c>
      <x:c r="O1344">
        <x:v>44</x:v>
      </x:c>
      <x:c r="P1344">
        <x:v>61</x:v>
      </x:c>
      <x:c r="Q1344">
        <x:v>64</x:v>
      </x:c>
      <x:c r="R1344">
        <x:v>65</x:v>
      </x:c>
      <x:c r="S1344">
        <x:v>66</x:v>
      </x:c>
      <x:c r="T1344">
        <x:v>51</x:v>
      </x:c>
      <x:c r="U1344">
        <x:v>48</x:v>
      </x:c>
    </x:row>
    <x:row r="1345">
      <x:c r="A1345" t="s">
        <x:v>1704</x:v>
      </x:c>
      <x:c r="B1345" t="s">
        <x:v>584</x:v>
      </x:c>
      <x:c r="C1345" t="s">
        <x:v>331</x:v>
      </x:c>
      <x:c r="D1345">
        <x:v>8485551</x:v>
      </x:c>
      <x:c r="E1345">
        <x:v>64</x:v>
      </x:c>
      <x:c r="F1345">
        <x:v>33</x:v>
      </x:c>
      <x:c r="G1345">
        <x:v>90</x:v>
      </x:c>
      <x:c r="H1345">
        <x:v>30</x:v>
      </x:c>
      <x:c r="I1345">
        <x:v>81</x:v>
      </x:c>
      <x:c r="J1345">
        <x:v>67</x:v>
      </x:c>
      <x:c r="K1345">
        <x:v>70</x:v>
      </x:c>
      <x:c r="L1345">
        <x:v>31</x:v>
      </x:c>
      <x:c r="M1345">
        <x:v>30</x:v>
      </x:c>
      <x:c r="N1345">
        <x:v>39</x:v>
      </x:c>
      <x:c r="O1345">
        <x:v>38</x:v>
      </x:c>
      <x:c r="P1345">
        <x:v>65</x:v>
      </x:c>
      <x:c r="Q1345">
        <x:v>43</x:v>
      </x:c>
      <x:c r="R1345">
        <x:v>67</x:v>
      </x:c>
      <x:c r="S1345">
        <x:v>67</x:v>
      </x:c>
      <x:c r="T1345">
        <x:v>51</x:v>
      </x:c>
      <x:c r="U1345">
        <x:v>48</x:v>
      </x:c>
    </x:row>
    <x:row r="1346">
      <x:c r="A1346" t="s">
        <x:v>1705</x:v>
      </x:c>
      <x:c r="C1346" t="s">
        <x:v>319</x:v>
      </x:c>
      <x:c r="D1346">
        <x:v>8481558</x:v>
      </x:c>
      <x:c r="E1346">
        <x:v>65</x:v>
      </x:c>
      <x:c r="F1346">
        <x:v>33</x:v>
      </x:c>
      <x:c r="G1346">
        <x:v>92</x:v>
      </x:c>
      <x:c r="H1346">
        <x:v>41</x:v>
      </x:c>
      <x:c r="I1346">
        <x:v>77</x:v>
      </x:c>
      <x:c r="J1346">
        <x:v>89</x:v>
      </x:c>
      <x:c r="K1346">
        <x:v>92</x:v>
      </x:c>
      <x:c r="L1346">
        <x:v>41</x:v>
      </x:c>
      <x:c r="M1346">
        <x:v>72</x:v>
      </x:c>
      <x:c r="N1346">
        <x:v>43</x:v>
      </x:c>
      <x:c r="O1346">
        <x:v>42</x:v>
      </x:c>
      <x:c r="P1346">
        <x:v>60</x:v>
      </x:c>
      <x:c r="Q1346">
        <x:v>62</x:v>
      </x:c>
      <x:c r="R1346">
        <x:v>68</x:v>
      </x:c>
      <x:c r="S1346">
        <x:v>67</x:v>
      </x:c>
      <x:c r="T1346">
        <x:v>51</x:v>
      </x:c>
      <x:c r="U1346">
        <x:v>48</x:v>
      </x:c>
    </x:row>
    <x:row r="1347">
      <x:c r="A1347" t="s">
        <x:v>1706</x:v>
      </x:c>
      <x:c r="C1347" t="s">
        <x:v>319</x:v>
      </x:c>
      <x:c r="D1347">
        <x:v>8483511</x:v>
      </x:c>
      <x:c r="E1347">
        <x:v>72</x:v>
      </x:c>
      <x:c r="F1347">
        <x:v>42</x:v>
      </x:c>
      <x:c r="G1347">
        <x:v>92</x:v>
      </x:c>
      <x:c r="H1347">
        <x:v>39</x:v>
      </x:c>
      <x:c r="I1347">
        <x:v>82</x:v>
      </x:c>
      <x:c r="J1347">
        <x:v>93</x:v>
      </x:c>
      <x:c r="K1347">
        <x:v>96</x:v>
      </x:c>
      <x:c r="L1347">
        <x:v>40</x:v>
      </x:c>
      <x:c r="M1347">
        <x:v>75</x:v>
      </x:c>
      <x:c r="N1347">
        <x:v>43</x:v>
      </x:c>
      <x:c r="O1347">
        <x:v>45</x:v>
      </x:c>
      <x:c r="P1347">
        <x:v>57</x:v>
      </x:c>
      <x:c r="Q1347">
        <x:v>60</x:v>
      </x:c>
      <x:c r="R1347">
        <x:v>67</x:v>
      </x:c>
      <x:c r="S1347">
        <x:v>66</x:v>
      </x:c>
      <x:c r="T1347">
        <x:v>51</x:v>
      </x:c>
      <x:c r="U1347">
        <x:v>48</x:v>
      </x:c>
    </x:row>
    <x:row r="1348">
      <x:c r="A1348" t="s">
        <x:v>1707</x:v>
      </x:c>
      <x:c r="C1348" t="s">
        <x:v>326</x:v>
      </x:c>
      <x:c r="D1348">
        <x:v>8484255</x:v>
      </x:c>
      <x:c r="E1348">
        <x:v>68</x:v>
      </x:c>
      <x:c r="F1348">
        <x:v>37</x:v>
      </x:c>
      <x:c r="G1348">
        <x:v>90</x:v>
      </x:c>
      <x:c r="H1348">
        <x:v>39</x:v>
      </x:c>
      <x:c r="I1348">
        <x:v>79</x:v>
      </x:c>
      <x:c r="J1348">
        <x:v>80</x:v>
      </x:c>
      <x:c r="K1348">
        <x:v>83</x:v>
      </x:c>
      <x:c r="L1348">
        <x:v>38</x:v>
      </x:c>
      <x:c r="M1348">
        <x:v>66</x:v>
      </x:c>
      <x:c r="N1348">
        <x:v>46</x:v>
      </x:c>
      <x:c r="O1348">
        <x:v>47</x:v>
      </x:c>
      <x:c r="P1348">
        <x:v>61</x:v>
      </x:c>
      <x:c r="Q1348">
        <x:v>61</x:v>
      </x:c>
      <x:c r="R1348">
        <x:v>69</x:v>
      </x:c>
      <x:c r="S1348">
        <x:v>70</x:v>
      </x:c>
      <x:c r="T1348">
        <x:v>51</x:v>
      </x:c>
      <x:c r="U1348">
        <x:v>48</x:v>
      </x:c>
    </x:row>
    <x:row r="1349">
      <x:c r="A1349" t="s">
        <x:v>1708</x:v>
      </x:c>
      <x:c r="C1349" t="s">
        <x:v>319</x:v>
      </x:c>
      <x:c r="D1349">
        <x:v>8483579</x:v>
      </x:c>
      <x:c r="E1349">
        <x:v>60</x:v>
      </x:c>
      <x:c r="F1349">
        <x:v>36</x:v>
      </x:c>
      <x:c r="G1349">
        <x:v>84</x:v>
      </x:c>
      <x:c r="H1349">
        <x:v>43</x:v>
      </x:c>
      <x:c r="I1349">
        <x:v>78</x:v>
      </x:c>
      <x:c r="J1349">
        <x:v>86</x:v>
      </x:c>
      <x:c r="K1349">
        <x:v>89</x:v>
      </x:c>
      <x:c r="L1349">
        <x:v>44</x:v>
      </x:c>
      <x:c r="M1349">
        <x:v>68</x:v>
      </x:c>
      <x:c r="N1349">
        <x:v>43</x:v>
      </x:c>
      <x:c r="O1349">
        <x:v>45</x:v>
      </x:c>
      <x:c r="P1349">
        <x:v>58</x:v>
      </x:c>
      <x:c r="Q1349">
        <x:v>64</x:v>
      </x:c>
      <x:c r="R1349">
        <x:v>69</x:v>
      </x:c>
      <x:c r="S1349">
        <x:v>70</x:v>
      </x:c>
      <x:c r="T1349">
        <x:v>51</x:v>
      </x:c>
      <x:c r="U1349">
        <x:v>48</x:v>
      </x:c>
    </x:row>
    <x:row r="1350">
      <x:c r="A1350" t="s">
        <x:v>1709</x:v>
      </x:c>
      <x:c r="C1350" t="s">
        <x:v>358</x:v>
      </x:c>
      <x:c r="D1350">
        <x:v>8483652</x:v>
      </x:c>
      <x:c r="E1350">
        <x:v>72</x:v>
      </x:c>
      <x:c r="F1350">
        <x:v>39</x:v>
      </x:c>
      <x:c r="G1350">
        <x:v>74</x:v>
      </x:c>
      <x:c r="H1350">
        <x:v>40</x:v>
      </x:c>
      <x:c r="I1350">
        <x:v>79</x:v>
      </x:c>
      <x:c r="J1350">
        <x:v>85</x:v>
      </x:c>
      <x:c r="K1350">
        <x:v>88</x:v>
      </x:c>
      <x:c r="L1350">
        <x:v>40</x:v>
      </x:c>
      <x:c r="M1350">
        <x:v>68</x:v>
      </x:c>
      <x:c r="N1350">
        <x:v>42</x:v>
      </x:c>
      <x:c r="O1350">
        <x:v>42</x:v>
      </x:c>
      <x:c r="P1350">
        <x:v>61</x:v>
      </x:c>
      <x:c r="Q1350">
        <x:v>62</x:v>
      </x:c>
      <x:c r="R1350">
        <x:v>70</x:v>
      </x:c>
      <x:c r="S1350">
        <x:v>69</x:v>
      </x:c>
      <x:c r="T1350">
        <x:v>51</x:v>
      </x:c>
      <x:c r="U1350">
        <x:v>48</x:v>
      </x:c>
    </x:row>
    <x:row r="1351">
      <x:c r="A1351" t="s">
        <x:v>1710</x:v>
      </x:c>
      <x:c r="C1351" t="s">
        <x:v>326</x:v>
      </x:c>
      <x:c r="D1351">
        <x:v>8485469</x:v>
      </x:c>
      <x:c r="E1351">
        <x:v>62</x:v>
      </x:c>
      <x:c r="F1351">
        <x:v>38</x:v>
      </x:c>
      <x:c r="G1351">
        <x:v>91</x:v>
      </x:c>
      <x:c r="H1351">
        <x:v>44</x:v>
      </x:c>
      <x:c r="I1351">
        <x:v>75</x:v>
      </x:c>
      <x:c r="J1351">
        <x:v>83</x:v>
      </x:c>
      <x:c r="K1351">
        <x:v>86</x:v>
      </x:c>
      <x:c r="L1351">
        <x:v>43</x:v>
      </x:c>
      <x:c r="M1351">
        <x:v>48</x:v>
      </x:c>
      <x:c r="N1351">
        <x:v>46</x:v>
      </x:c>
      <x:c r="O1351">
        <x:v>44</x:v>
      </x:c>
      <x:c r="P1351">
        <x:v>58</x:v>
      </x:c>
      <x:c r="Q1351">
        <x:v>66</x:v>
      </x:c>
      <x:c r="R1351">
        <x:v>67</x:v>
      </x:c>
      <x:c r="S1351">
        <x:v>65</x:v>
      </x:c>
      <x:c r="T1351">
        <x:v>51</x:v>
      </x:c>
      <x:c r="U1351">
        <x:v>48</x:v>
      </x:c>
    </x:row>
    <x:row r="1352">
      <x:c r="A1352" t="s">
        <x:v>1711</x:v>
      </x:c>
      <x:c r="C1352" t="s">
        <x:v>358</x:v>
      </x:c>
      <x:c r="D1352">
        <x:v>8475748</x:v>
      </x:c>
      <x:c r="E1352">
        <x:v>77</x:v>
      </x:c>
      <x:c r="F1352">
        <x:v>45</x:v>
      </x:c>
      <x:c r="G1352">
        <x:v>74</x:v>
      </x:c>
      <x:c r="H1352">
        <x:v>38</x:v>
      </x:c>
      <x:c r="I1352">
        <x:v>83</x:v>
      </x:c>
      <x:c r="J1352">
        <x:v>82</x:v>
      </x:c>
      <x:c r="K1352">
        <x:v>86</x:v>
      </x:c>
      <x:c r="L1352">
        <x:v>37</x:v>
      </x:c>
      <x:c r="M1352">
        <x:v>51</x:v>
      </x:c>
      <x:c r="N1352">
        <x:v>40</x:v>
      </x:c>
      <x:c r="O1352">
        <x:v>40</x:v>
      </x:c>
      <x:c r="P1352">
        <x:v>61</x:v>
      </x:c>
      <x:c r="Q1352">
        <x:v>59</x:v>
      </x:c>
      <x:c r="R1352">
        <x:v>80</x:v>
      </x:c>
      <x:c r="S1352">
        <x:v>76</x:v>
      </x:c>
      <x:c r="T1352">
        <x:v>51</x:v>
      </x:c>
      <x:c r="U1352">
        <x:v>48</x:v>
      </x:c>
    </x:row>
    <x:row r="1353">
      <x:c r="A1353" t="s">
        <x:v>1712</x:v>
      </x:c>
      <x:c r="C1353" t="s">
        <x:v>358</x:v>
      </x:c>
      <x:c r="D1353">
        <x:v>8482162</x:v>
      </x:c>
      <x:c r="E1353">
        <x:v>66</x:v>
      </x:c>
      <x:c r="F1353">
        <x:v>36</x:v>
      </x:c>
      <x:c r="G1353">
        <x:v>84</x:v>
      </x:c>
      <x:c r="H1353">
        <x:v>40</x:v>
      </x:c>
      <x:c r="I1353">
        <x:v>79</x:v>
      </x:c>
      <x:c r="J1353">
        <x:v>81</x:v>
      </x:c>
      <x:c r="K1353">
        <x:v>86</x:v>
      </x:c>
      <x:c r="L1353">
        <x:v>40</x:v>
      </x:c>
      <x:c r="M1353">
        <x:v>58</x:v>
      </x:c>
      <x:c r="N1353">
        <x:v>48</x:v>
      </x:c>
      <x:c r="O1353">
        <x:v>47</x:v>
      </x:c>
      <x:c r="P1353">
        <x:v>61</x:v>
      </x:c>
      <x:c r="Q1353">
        <x:v>62</x:v>
      </x:c>
      <x:c r="R1353">
        <x:v>67</x:v>
      </x:c>
      <x:c r="S1353">
        <x:v>68</x:v>
      </x:c>
      <x:c r="T1353">
        <x:v>51</x:v>
      </x:c>
      <x:c r="U1353">
        <x:v>48</x:v>
      </x:c>
    </x:row>
    <x:row r="1354">
      <x:c r="A1354" t="s">
        <x:v>1713</x:v>
      </x:c>
      <x:c r="C1354" t="s">
        <x:v>319</x:v>
      </x:c>
      <x:c r="D1354">
        <x:v>8485467</x:v>
      </x:c>
      <x:c r="E1354">
        <x:v>61</x:v>
      </x:c>
      <x:c r="F1354">
        <x:v>37</x:v>
      </x:c>
      <x:c r="G1354">
        <x:v>87</x:v>
      </x:c>
      <x:c r="H1354">
        <x:v>42</x:v>
      </x:c>
      <x:c r="I1354">
        <x:v>81</x:v>
      </x:c>
      <x:c r="J1354">
        <x:v>90</x:v>
      </x:c>
      <x:c r="K1354">
        <x:v>94</x:v>
      </x:c>
      <x:c r="L1354">
        <x:v>43</x:v>
      </x:c>
      <x:c r="M1354">
        <x:v>59</x:v>
      </x:c>
      <x:c r="N1354">
        <x:v>43</x:v>
      </x:c>
      <x:c r="O1354">
        <x:v>45</x:v>
      </x:c>
      <x:c r="P1354">
        <x:v>60</x:v>
      </x:c>
      <x:c r="Q1354">
        <x:v>64</x:v>
      </x:c>
      <x:c r="R1354">
        <x:v>65</x:v>
      </x:c>
      <x:c r="S1354">
        <x:v>66</x:v>
      </x:c>
      <x:c r="T1354">
        <x:v>51</x:v>
      </x:c>
      <x:c r="U1354">
        <x:v>48</x:v>
      </x:c>
    </x:row>
    <x:row r="1355">
      <x:c r="A1355" t="s">
        <x:v>1714</x:v>
      </x:c>
      <x:c r="C1355" t="s">
        <x:v>319</x:v>
      </x:c>
      <x:c r="D1355">
        <x:v>8482133</x:v>
      </x:c>
      <x:c r="E1355">
        <x:v>62</x:v>
      </x:c>
      <x:c r="F1355">
        <x:v>35</x:v>
      </x:c>
      <x:c r="G1355">
        <x:v>79</x:v>
      </x:c>
      <x:c r="H1355">
        <x:v>43</x:v>
      </x:c>
      <x:c r="I1355">
        <x:v>76</x:v>
      </x:c>
      <x:c r="J1355">
        <x:v>84</x:v>
      </x:c>
      <x:c r="K1355">
        <x:v>87</x:v>
      </x:c>
      <x:c r="L1355">
        <x:v>43</x:v>
      </x:c>
      <x:c r="M1355">
        <x:v>83</x:v>
      </x:c>
      <x:c r="N1355">
        <x:v>49</x:v>
      </x:c>
      <x:c r="O1355">
        <x:v>51</x:v>
      </x:c>
      <x:c r="P1355">
        <x:v>63</x:v>
      </x:c>
      <x:c r="Q1355">
        <x:v>64</x:v>
      </x:c>
      <x:c r="R1355">
        <x:v>67</x:v>
      </x:c>
      <x:c r="S1355">
        <x:v>68</x:v>
      </x:c>
      <x:c r="T1355">
        <x:v>51</x:v>
      </x:c>
      <x:c r="U1355">
        <x:v>48</x:v>
      </x:c>
    </x:row>
    <x:row r="1356">
      <x:c r="A1356" t="s">
        <x:v>1715</x:v>
      </x:c>
      <x:c r="C1356" t="s">
        <x:v>339</x:v>
      </x:c>
      <x:c r="D1356">
        <x:v>8483930</x:v>
      </x:c>
      <x:c r="E1356">
        <x:v>65</x:v>
      </x:c>
      <x:c r="F1356">
        <x:v>35</x:v>
      </x:c>
      <x:c r="G1356">
        <x:v>85</x:v>
      </x:c>
      <x:c r="H1356">
        <x:v>42</x:v>
      </x:c>
      <x:c r="I1356">
        <x:v>78</x:v>
      </x:c>
      <x:c r="J1356">
        <x:v>91</x:v>
      </x:c>
      <x:c r="K1356">
        <x:v>96</x:v>
      </x:c>
      <x:c r="L1356">
        <x:v>41</x:v>
      </x:c>
      <x:c r="M1356">
        <x:v>83</x:v>
      </x:c>
      <x:c r="N1356">
        <x:v>44</x:v>
      </x:c>
      <x:c r="O1356">
        <x:v>44</x:v>
      </x:c>
      <x:c r="P1356">
        <x:v>58</x:v>
      </x:c>
      <x:c r="Q1356">
        <x:v>65</x:v>
      </x:c>
      <x:c r="R1356">
        <x:v>67</x:v>
      </x:c>
      <x:c r="S1356">
        <x:v>66</x:v>
      </x:c>
      <x:c r="T1356">
        <x:v>51</x:v>
      </x:c>
      <x:c r="U1356">
        <x:v>48</x:v>
      </x:c>
    </x:row>
    <x:row r="1357">
      <x:c r="A1357" t="s">
        <x:v>1716</x:v>
      </x:c>
      <x:c r="C1357" t="s">
        <x:v>326</x:v>
      </x:c>
      <x:c r="D1357">
        <x:v>8476576</x:v>
      </x:c>
      <x:c r="E1357">
        <x:v>72</x:v>
      </x:c>
      <x:c r="F1357">
        <x:v>72</x:v>
      </x:c>
      <x:c r="G1357">
        <x:v>73</x:v>
      </x:c>
      <x:c r="H1357">
        <x:v>31</x:v>
      </x:c>
      <x:c r="I1357">
        <x:v>85</x:v>
      </x:c>
      <x:c r="J1357">
        <x:v>81</x:v>
      </x:c>
      <x:c r="K1357">
        <x:v>83</x:v>
      </x:c>
      <x:c r="L1357">
        <x:v>32</x:v>
      </x:c>
      <x:c r="M1357">
        <x:v>30</x:v>
      </x:c>
      <x:c r="N1357">
        <x:v>39</x:v>
      </x:c>
      <x:c r="O1357">
        <x:v>39</x:v>
      </x:c>
      <x:c r="P1357">
        <x:v>66</x:v>
      </x:c>
      <x:c r="Q1357">
        <x:v>44</x:v>
      </x:c>
      <x:c r="R1357">
        <x:v>78</x:v>
      </x:c>
      <x:c r="S1357">
        <x:v>78</x:v>
      </x:c>
      <x:c r="T1357">
        <x:v>51</x:v>
      </x:c>
      <x:c r="U1357">
        <x:v>48</x:v>
      </x:c>
    </x:row>
    <x:row r="1358">
      <x:c r="A1358" t="s">
        <x:v>1717</x:v>
      </x:c>
      <x:c r="C1358" t="s">
        <x:v>319</x:v>
      </x:c>
      <x:c r="D1358">
        <x:v>8483486</x:v>
      </x:c>
      <x:c r="E1358">
        <x:v>70</x:v>
      </x:c>
      <x:c r="F1358">
        <x:v>44</x:v>
      </x:c>
      <x:c r="G1358">
        <x:v>86</x:v>
      </x:c>
      <x:c r="H1358">
        <x:v>41</x:v>
      </x:c>
      <x:c r="I1358">
        <x:v>78</x:v>
      </x:c>
      <x:c r="J1358">
        <x:v>90</x:v>
      </x:c>
      <x:c r="K1358">
        <x:v>93</x:v>
      </x:c>
      <x:c r="L1358">
        <x:v>42</x:v>
      </x:c>
      <x:c r="M1358">
        <x:v>82</x:v>
      </x:c>
      <x:c r="N1358">
        <x:v>42</x:v>
      </x:c>
      <x:c r="O1358">
        <x:v>43</x:v>
      </x:c>
      <x:c r="P1358">
        <x:v>58</x:v>
      </x:c>
      <x:c r="Q1358">
        <x:v>62</x:v>
      </x:c>
      <x:c r="R1358">
        <x:v>65</x:v>
      </x:c>
      <x:c r="S1358">
        <x:v>66</x:v>
      </x:c>
      <x:c r="T1358">
        <x:v>51</x:v>
      </x:c>
      <x:c r="U1358">
        <x:v>48</x:v>
      </x:c>
    </x:row>
    <x:row r="1359">
      <x:c r="A1359" t="s">
        <x:v>1718</x:v>
      </x:c>
      <x:c r="C1359" t="s">
        <x:v>358</x:v>
      </x:c>
      <x:c r="D1359">
        <x:v>8482882</x:v>
      </x:c>
      <x:c r="E1359">
        <x:v>82</x:v>
      </x:c>
      <x:c r="F1359">
        <x:v>33</x:v>
      </x:c>
      <x:c r="G1359">
        <x:v>84</x:v>
      </x:c>
      <x:c r="H1359">
        <x:v>40</x:v>
      </x:c>
      <x:c r="I1359">
        <x:v>82</x:v>
      </x:c>
      <x:c r="J1359">
        <x:v>77</x:v>
      </x:c>
      <x:c r="K1359">
        <x:v>78</x:v>
      </x:c>
      <x:c r="L1359">
        <x:v>39</x:v>
      </x:c>
      <x:c r="M1359">
        <x:v>71</x:v>
      </x:c>
      <x:c r="N1359">
        <x:v>43</x:v>
      </x:c>
      <x:c r="O1359">
        <x:v>43</x:v>
      </x:c>
      <x:c r="P1359">
        <x:v>59</x:v>
      </x:c>
      <x:c r="Q1359">
        <x:v>62</x:v>
      </x:c>
      <x:c r="R1359">
        <x:v>67</x:v>
      </x:c>
      <x:c r="S1359">
        <x:v>66</x:v>
      </x:c>
      <x:c r="T1359">
        <x:v>51</x:v>
      </x:c>
      <x:c r="U1359">
        <x:v>48</x:v>
      </x:c>
    </x:row>
    <x:row r="1360">
      <x:c r="A1360" t="s">
        <x:v>1719</x:v>
      </x:c>
      <x:c r="C1360" t="s">
        <x:v>319</x:v>
      </x:c>
      <x:c r="D1360">
        <x:v>8480249</x:v>
      </x:c>
      <x:c r="E1360">
        <x:v>72</x:v>
      </x:c>
      <x:c r="F1360">
        <x:v>36</x:v>
      </x:c>
      <x:c r="G1360">
        <x:v>81</x:v>
      </x:c>
      <x:c r="H1360">
        <x:v>39</x:v>
      </x:c>
      <x:c r="I1360">
        <x:v>85</x:v>
      </x:c>
      <x:c r="J1360">
        <x:v>85</x:v>
      </x:c>
      <x:c r="K1360">
        <x:v>88</x:v>
      </x:c>
      <x:c r="L1360">
        <x:v>39</x:v>
      </x:c>
      <x:c r="M1360">
        <x:v>67</x:v>
      </x:c>
      <x:c r="N1360">
        <x:v>43</x:v>
      </x:c>
      <x:c r="O1360">
        <x:v>42</x:v>
      </x:c>
      <x:c r="P1360">
        <x:v>57</x:v>
      </x:c>
      <x:c r="Q1360">
        <x:v>61</x:v>
      </x:c>
      <x:c r="R1360">
        <x:v>69</x:v>
      </x:c>
      <x:c r="S1360">
        <x:v>69</x:v>
      </x:c>
      <x:c r="T1360">
        <x:v>51</x:v>
      </x:c>
      <x:c r="U1360">
        <x:v>48</x:v>
      </x:c>
    </x:row>
    <x:row r="1361">
      <x:c r="A1361" t="s">
        <x:v>1720</x:v>
      </x:c>
      <x:c r="C1361" t="s">
        <x:v>319</x:v>
      </x:c>
      <x:c r="D1361">
        <x:v>8484271</x:v>
      </x:c>
      <x:c r="E1361">
        <x:v>64</x:v>
      </x:c>
      <x:c r="F1361">
        <x:v>35</x:v>
      </x:c>
      <x:c r="G1361">
        <x:v>85</x:v>
      </x:c>
      <x:c r="H1361">
        <x:v>41</x:v>
      </x:c>
      <x:c r="I1361">
        <x:v>77</x:v>
      </x:c>
      <x:c r="J1361">
        <x:v>74</x:v>
      </x:c>
      <x:c r="K1361">
        <x:v>76</x:v>
      </x:c>
      <x:c r="L1361">
        <x:v>40</x:v>
      </x:c>
      <x:c r="M1361">
        <x:v>63</x:v>
      </x:c>
      <x:c r="N1361">
        <x:v>44</x:v>
      </x:c>
      <x:c r="O1361">
        <x:v>43</x:v>
      </x:c>
      <x:c r="P1361">
        <x:v>60</x:v>
      </x:c>
      <x:c r="Q1361">
        <x:v>64</x:v>
      </x:c>
      <x:c r="R1361">
        <x:v>68</x:v>
      </x:c>
      <x:c r="S1361">
        <x:v>67</x:v>
      </x:c>
      <x:c r="T1361">
        <x:v>51</x:v>
      </x:c>
      <x:c r="U1361">
        <x:v>48</x:v>
      </x:c>
    </x:row>
    <x:row r="1362">
      <x:c r="A1362" t="s">
        <x:v>1721</x:v>
      </x:c>
      <x:c r="C1362" t="s">
        <x:v>358</x:v>
      </x:c>
      <x:c r="D1362">
        <x:v>8481004</x:v>
      </x:c>
      <x:c r="E1362">
        <x:v>63</x:v>
      </x:c>
      <x:c r="F1362">
        <x:v>38</x:v>
      </x:c>
      <x:c r="G1362">
        <x:v>86</x:v>
      </x:c>
      <x:c r="H1362">
        <x:v>39</x:v>
      </x:c>
      <x:c r="I1362">
        <x:v>82</x:v>
      </x:c>
      <x:c r="J1362">
        <x:v>91</x:v>
      </x:c>
      <x:c r="K1362">
        <x:v>95</x:v>
      </x:c>
      <x:c r="L1362">
        <x:v>40</x:v>
      </x:c>
      <x:c r="M1362">
        <x:v>76</x:v>
      </x:c>
      <x:c r="N1362">
        <x:v>43</x:v>
      </x:c>
      <x:c r="O1362">
        <x:v>42</x:v>
      </x:c>
      <x:c r="P1362">
        <x:v>61</x:v>
      </x:c>
      <x:c r="Q1362">
        <x:v>61</x:v>
      </x:c>
      <x:c r="R1362">
        <x:v>70</x:v>
      </x:c>
      <x:c r="S1362">
        <x:v>70</x:v>
      </x:c>
      <x:c r="T1362">
        <x:v>51</x:v>
      </x:c>
      <x:c r="U1362">
        <x:v>48</x:v>
      </x:c>
    </x:row>
    <x:row r="1363">
      <x:c r="A1363" t="s">
        <x:v>1722</x:v>
      </x:c>
      <x:c r="C1363" t="s">
        <x:v>331</x:v>
      </x:c>
      <x:c r="E1363">
        <x:v>66</x:v>
      </x:c>
      <x:c r="F1363">
        <x:v>37</x:v>
      </x:c>
      <x:c r="G1363">
        <x:v>91</x:v>
      </x:c>
      <x:c r="H1363">
        <x:v>31</x:v>
      </x:c>
      <x:c r="I1363">
        <x:v>83</x:v>
      </x:c>
      <x:c r="J1363">
        <x:v>68</x:v>
      </x:c>
      <x:c r="K1363">
        <x:v>71</x:v>
      </x:c>
      <x:c r="L1363">
        <x:v>31</x:v>
      </x:c>
      <x:c r="M1363">
        <x:v>30</x:v>
      </x:c>
      <x:c r="N1363">
        <x:v>39</x:v>
      </x:c>
      <x:c r="O1363">
        <x:v>38</x:v>
      </x:c>
      <x:c r="P1363">
        <x:v>64</x:v>
      </x:c>
      <x:c r="Q1363">
        <x:v>43</x:v>
      </x:c>
      <x:c r="R1363">
        <x:v>68</x:v>
      </x:c>
      <x:c r="S1363">
        <x:v>67</x:v>
      </x:c>
      <x:c r="T1363">
        <x:v>51</x:v>
      </x:c>
      <x:c r="U1363">
        <x:v>48</x:v>
      </x:c>
    </x:row>
    <x:row r="1364">
      <x:c r="A1364" t="s">
        <x:v>1723</x:v>
      </x:c>
      <x:c r="C1364" t="s">
        <x:v>358</x:v>
      </x:c>
      <x:c r="D1364">
        <x:v>8482941</x:v>
      </x:c>
      <x:c r="E1364">
        <x:v>59</x:v>
      </x:c>
      <x:c r="F1364">
        <x:v>39</x:v>
      </x:c>
      <x:c r="G1364">
        <x:v>87</x:v>
      </x:c>
      <x:c r="H1364">
        <x:v>41</x:v>
      </x:c>
      <x:c r="I1364">
        <x:v>82</x:v>
      </x:c>
      <x:c r="J1364">
        <x:v>84</x:v>
      </x:c>
      <x:c r="K1364">
        <x:v>88</x:v>
      </x:c>
      <x:c r="L1364">
        <x:v>40</x:v>
      </x:c>
      <x:c r="M1364">
        <x:v>58</x:v>
      </x:c>
      <x:c r="N1364">
        <x:v>43</x:v>
      </x:c>
      <x:c r="O1364">
        <x:v>43</x:v>
      </x:c>
      <x:c r="P1364">
        <x:v>60</x:v>
      </x:c>
      <x:c r="Q1364">
        <x:v>63</x:v>
      </x:c>
      <x:c r="R1364">
        <x:v>65</x:v>
      </x:c>
      <x:c r="S1364">
        <x:v>64</x:v>
      </x:c>
      <x:c r="T1364">
        <x:v>51</x:v>
      </x:c>
      <x:c r="U1364">
        <x:v>47</x:v>
      </x:c>
    </x:row>
    <x:row r="1365">
      <x:c r="A1365" t="s">
        <x:v>1724</x:v>
      </x:c>
      <x:c r="C1365" t="s">
        <x:v>339</x:v>
      </x:c>
      <x:c r="D1365">
        <x:v>8484921</x:v>
      </x:c>
      <x:c r="E1365">
        <x:v>64</x:v>
      </x:c>
      <x:c r="F1365">
        <x:v>31</x:v>
      </x:c>
      <x:c r="G1365">
        <x:v>79</x:v>
      </x:c>
      <x:c r="H1365">
        <x:v>39</x:v>
      </x:c>
      <x:c r="I1365">
        <x:v>85</x:v>
      </x:c>
      <x:c r="J1365">
        <x:v>74</x:v>
      </x:c>
      <x:c r="K1365">
        <x:v>76</x:v>
      </x:c>
      <x:c r="L1365">
        <x:v>39</x:v>
      </x:c>
      <x:c r="M1365">
        <x:v>64</x:v>
      </x:c>
      <x:c r="N1365">
        <x:v>41</x:v>
      </x:c>
      <x:c r="O1365">
        <x:v>42</x:v>
      </x:c>
      <x:c r="P1365">
        <x:v>61</x:v>
      </x:c>
      <x:c r="Q1365">
        <x:v>61</x:v>
      </x:c>
      <x:c r="R1365">
        <x:v>69</x:v>
      </x:c>
      <x:c r="S1365">
        <x:v>69</x:v>
      </x:c>
      <x:c r="T1365">
        <x:v>51</x:v>
      </x:c>
      <x:c r="U1365">
        <x:v>47</x:v>
      </x:c>
    </x:row>
    <x:row r="1366">
      <x:c r="A1366" t="s">
        <x:v>1725</x:v>
      </x:c>
      <x:c r="C1366" t="s">
        <x:v>319</x:v>
      </x:c>
      <x:c r="D1366">
        <x:v>8482932</x:v>
      </x:c>
      <x:c r="E1366">
        <x:v>59</x:v>
      </x:c>
      <x:c r="F1366">
        <x:v>38</x:v>
      </x:c>
      <x:c r="G1366">
        <x:v>83</x:v>
      </x:c>
      <x:c r="H1366">
        <x:v>40</x:v>
      </x:c>
      <x:c r="I1366">
        <x:v>81</x:v>
      </x:c>
      <x:c r="J1366">
        <x:v>80</x:v>
      </x:c>
      <x:c r="K1366">
        <x:v>84</x:v>
      </x:c>
      <x:c r="L1366">
        <x:v>41</x:v>
      </x:c>
      <x:c r="M1366">
        <x:v>63</x:v>
      </x:c>
      <x:c r="N1366">
        <x:v>43</x:v>
      </x:c>
      <x:c r="O1366">
        <x:v>42</x:v>
      </x:c>
      <x:c r="P1366">
        <x:v>58</x:v>
      </x:c>
      <x:c r="Q1366">
        <x:v>62</x:v>
      </x:c>
      <x:c r="R1366">
        <x:v>66</x:v>
      </x:c>
      <x:c r="S1366">
        <x:v>65</x:v>
      </x:c>
      <x:c r="T1366">
        <x:v>51</x:v>
      </x:c>
      <x:c r="U1366">
        <x:v>47</x:v>
      </x:c>
    </x:row>
    <x:row r="1367">
      <x:c r="A1367" t="s">
        <x:v>1726</x:v>
      </x:c>
      <x:c r="C1367" t="s">
        <x:v>326</x:v>
      </x:c>
      <x:c r="D1367">
        <x:v>8482716</x:v>
      </x:c>
      <x:c r="E1367">
        <x:v>64</x:v>
      </x:c>
      <x:c r="F1367">
        <x:v>40</x:v>
      </x:c>
      <x:c r="G1367">
        <x:v>84</x:v>
      </x:c>
      <x:c r="H1367">
        <x:v>39</x:v>
      </x:c>
      <x:c r="I1367">
        <x:v>77</x:v>
      </x:c>
      <x:c r="J1367">
        <x:v>77</x:v>
      </x:c>
      <x:c r="K1367">
        <x:v>80</x:v>
      </x:c>
      <x:c r="L1367">
        <x:v>39</x:v>
      </x:c>
      <x:c r="M1367">
        <x:v>63</x:v>
      </x:c>
      <x:c r="N1367">
        <x:v>42</x:v>
      </x:c>
      <x:c r="O1367">
        <x:v>41</x:v>
      </x:c>
      <x:c r="P1367">
        <x:v>63</x:v>
      </x:c>
      <x:c r="Q1367">
        <x:v>60</x:v>
      </x:c>
      <x:c r="R1367">
        <x:v>66</x:v>
      </x:c>
      <x:c r="S1367">
        <x:v>66</x:v>
      </x:c>
      <x:c r="T1367">
        <x:v>51</x:v>
      </x:c>
      <x:c r="U1367">
        <x:v>47</x:v>
      </x:c>
    </x:row>
    <x:row r="1368">
      <x:c r="A1368" t="s">
        <x:v>1727</x:v>
      </x:c>
      <x:c r="C1368" t="s">
        <x:v>358</x:v>
      </x:c>
      <x:c r="D1368">
        <x:v>8484207</x:v>
      </x:c>
      <x:c r="E1368">
        <x:v>61</x:v>
      </x:c>
      <x:c r="F1368">
        <x:v>38</x:v>
      </x:c>
      <x:c r="G1368">
        <x:v>91</x:v>
      </x:c>
      <x:c r="H1368">
        <x:v>39</x:v>
      </x:c>
      <x:c r="I1368">
        <x:v>82</x:v>
      </x:c>
      <x:c r="J1368">
        <x:v>82</x:v>
      </x:c>
      <x:c r="K1368">
        <x:v>86</x:v>
      </x:c>
      <x:c r="L1368">
        <x:v>38</x:v>
      </x:c>
      <x:c r="M1368">
        <x:v>62</x:v>
      </x:c>
      <x:c r="N1368">
        <x:v>43</x:v>
      </x:c>
      <x:c r="O1368">
        <x:v>41</x:v>
      </x:c>
      <x:c r="P1368">
        <x:v>62</x:v>
      </x:c>
      <x:c r="Q1368">
        <x:v>61</x:v>
      </x:c>
      <x:c r="R1368">
        <x:v>65</x:v>
      </x:c>
      <x:c r="S1368">
        <x:v>65</x:v>
      </x:c>
      <x:c r="T1368">
        <x:v>51</x:v>
      </x:c>
      <x:c r="U1368">
        <x:v>47</x:v>
      </x:c>
    </x:row>
    <x:row r="1369">
      <x:c r="A1369" t="s">
        <x:v>1728</x:v>
      </x:c>
      <x:c r="C1369" t="s">
        <x:v>358</x:v>
      </x:c>
      <x:c r="D1369">
        <x:v>8484234</x:v>
      </x:c>
      <x:c r="E1369">
        <x:v>62</x:v>
      </x:c>
      <x:c r="F1369">
        <x:v>38</x:v>
      </x:c>
      <x:c r="G1369">
        <x:v>90</x:v>
      </x:c>
      <x:c r="H1369">
        <x:v>40</x:v>
      </x:c>
      <x:c r="I1369">
        <x:v>82</x:v>
      </x:c>
      <x:c r="J1369">
        <x:v>84</x:v>
      </x:c>
      <x:c r="K1369">
        <x:v>88</x:v>
      </x:c>
      <x:c r="L1369">
        <x:v>40</x:v>
      </x:c>
      <x:c r="M1369">
        <x:v>64</x:v>
      </x:c>
      <x:c r="N1369">
        <x:v>41</x:v>
      </x:c>
      <x:c r="O1369">
        <x:v>45</x:v>
      </x:c>
      <x:c r="P1369">
        <x:v>59</x:v>
      </x:c>
      <x:c r="Q1369">
        <x:v>63</x:v>
      </x:c>
      <x:c r="R1369">
        <x:v>65</x:v>
      </x:c>
      <x:c r="S1369">
        <x:v>65</x:v>
      </x:c>
      <x:c r="T1369">
        <x:v>51</x:v>
      </x:c>
      <x:c r="U1369">
        <x:v>47</x:v>
      </x:c>
    </x:row>
    <x:row r="1370">
      <x:c r="A1370" t="s">
        <x:v>1729</x:v>
      </x:c>
      <x:c r="C1370" t="s">
        <x:v>329</x:v>
      </x:c>
      <x:c r="D1370">
        <x:v>8485485</x:v>
      </x:c>
      <x:c r="E1370">
        <x:v>70</x:v>
      </x:c>
      <x:c r="F1370">
        <x:v>43</x:v>
      </x:c>
      <x:c r="G1370">
        <x:v>82</x:v>
      </x:c>
      <x:c r="H1370">
        <x:v>37</x:v>
      </x:c>
      <x:c r="I1370">
        <x:v>76</x:v>
      </x:c>
      <x:c r="J1370">
        <x:v>85</x:v>
      </x:c>
      <x:c r="K1370">
        <x:v>92</x:v>
      </x:c>
      <x:c r="L1370">
        <x:v>36</x:v>
      </x:c>
      <x:c r="M1370">
        <x:v>64</x:v>
      </x:c>
      <x:c r="N1370">
        <x:v>41</x:v>
      </x:c>
      <x:c r="O1370">
        <x:v>43</x:v>
      </x:c>
      <x:c r="P1370">
        <x:v>60</x:v>
      </x:c>
      <x:c r="Q1370">
        <x:v>58</x:v>
      </x:c>
      <x:c r="R1370">
        <x:v>69</x:v>
      </x:c>
      <x:c r="S1370">
        <x:v>69</x:v>
      </x:c>
      <x:c r="T1370">
        <x:v>51</x:v>
      </x:c>
      <x:c r="U1370">
        <x:v>47</x:v>
      </x:c>
    </x:row>
    <x:row r="1371">
      <x:c r="A1371" t="s">
        <x:v>1730</x:v>
      </x:c>
      <x:c r="B1371" t="s">
        <x:v>584</x:v>
      </x:c>
      <x:c r="C1371" t="s">
        <x:v>326</x:v>
      </x:c>
      <x:c r="D1371">
        <x:v>8483300</x:v>
      </x:c>
      <x:c r="E1371">
        <x:v>66</x:v>
      </x:c>
      <x:c r="F1371">
        <x:v>39</x:v>
      </x:c>
      <x:c r="G1371">
        <x:v>82</x:v>
      </x:c>
      <x:c r="H1371">
        <x:v>38</x:v>
      </x:c>
      <x:c r="I1371">
        <x:v>84</x:v>
      </x:c>
      <x:c r="J1371">
        <x:v>75</x:v>
      </x:c>
      <x:c r="K1371">
        <x:v>75</x:v>
      </x:c>
      <x:c r="L1371">
        <x:v>37</x:v>
      </x:c>
      <x:c r="M1371">
        <x:v>47</x:v>
      </x:c>
      <x:c r="N1371">
        <x:v>40</x:v>
      </x:c>
      <x:c r="O1371">
        <x:v>40</x:v>
      </x:c>
      <x:c r="P1371">
        <x:v>57</x:v>
      </x:c>
      <x:c r="Q1371">
        <x:v>58</x:v>
      </x:c>
      <x:c r="R1371">
        <x:v>74</x:v>
      </x:c>
      <x:c r="S1371">
        <x:v>75</x:v>
      </x:c>
      <x:c r="T1371">
        <x:v>51</x:v>
      </x:c>
      <x:c r="U1371">
        <x:v>47</x:v>
      </x:c>
    </x:row>
    <x:row r="1372">
      <x:c r="A1372" t="s">
        <x:v>1731</x:v>
      </x:c>
      <x:c r="C1372" t="s">
        <x:v>319</x:v>
      </x:c>
      <x:c r="D1372">
        <x:v>8480793</x:v>
      </x:c>
      <x:c r="E1372">
        <x:v>62</x:v>
      </x:c>
      <x:c r="F1372">
        <x:v>36</x:v>
      </x:c>
      <x:c r="G1372">
        <x:v>88</x:v>
      </x:c>
      <x:c r="H1372">
        <x:v>40</x:v>
      </x:c>
      <x:c r="I1372">
        <x:v>76</x:v>
      </x:c>
      <x:c r="J1372">
        <x:v>81</x:v>
      </x:c>
      <x:c r="K1372">
        <x:v>83</x:v>
      </x:c>
      <x:c r="L1372">
        <x:v>39</x:v>
      </x:c>
      <x:c r="M1372">
        <x:v>76</x:v>
      </x:c>
      <x:c r="N1372">
        <x:v>43</x:v>
      </x:c>
      <x:c r="O1372">
        <x:v>41</x:v>
      </x:c>
      <x:c r="P1372">
        <x:v>58</x:v>
      </x:c>
      <x:c r="Q1372">
        <x:v>61</x:v>
      </x:c>
      <x:c r="R1372">
        <x:v>69</x:v>
      </x:c>
      <x:c r="S1372">
        <x:v>70</x:v>
      </x:c>
      <x:c r="T1372">
        <x:v>51</x:v>
      </x:c>
      <x:c r="U1372">
        <x:v>47</x:v>
      </x:c>
    </x:row>
    <x:row r="1373">
      <x:c r="A1373" t="s">
        <x:v>1732</x:v>
      </x:c>
      <x:c r="C1373" t="s">
        <x:v>339</x:v>
      </x:c>
      <x:c r="D1373">
        <x:v>8482507</x:v>
      </x:c>
      <x:c r="E1373">
        <x:v>59</x:v>
      </x:c>
      <x:c r="F1373">
        <x:v>46</x:v>
      </x:c>
      <x:c r="G1373">
        <x:v>77</x:v>
      </x:c>
      <x:c r="H1373">
        <x:v>40</x:v>
      </x:c>
      <x:c r="I1373">
        <x:v>75</x:v>
      </x:c>
      <x:c r="J1373">
        <x:v>81</x:v>
      </x:c>
      <x:c r="K1373">
        <x:v>82</x:v>
      </x:c>
      <x:c r="L1373">
        <x:v>39</x:v>
      </x:c>
      <x:c r="M1373">
        <x:v>75</x:v>
      </x:c>
      <x:c r="N1373">
        <x:v>40</x:v>
      </x:c>
      <x:c r="O1373">
        <x:v>44</x:v>
      </x:c>
      <x:c r="P1373">
        <x:v>59</x:v>
      </x:c>
      <x:c r="Q1373">
        <x:v>62</x:v>
      </x:c>
      <x:c r="R1373">
        <x:v>67</x:v>
      </x:c>
      <x:c r="S1373">
        <x:v>68</x:v>
      </x:c>
      <x:c r="T1373">
        <x:v>51</x:v>
      </x:c>
      <x:c r="U1373">
        <x:v>47</x:v>
      </x:c>
    </x:row>
    <x:row r="1374">
      <x:c r="A1374" t="s">
        <x:v>1733</x:v>
      </x:c>
      <x:c r="C1374" t="s">
        <x:v>339</x:v>
      </x:c>
      <x:c r="D1374">
        <x:v>8484989</x:v>
      </x:c>
      <x:c r="E1374">
        <x:v>66</x:v>
      </x:c>
      <x:c r="F1374">
        <x:v>42</x:v>
      </x:c>
      <x:c r="G1374">
        <x:v>90</x:v>
      </x:c>
      <x:c r="H1374">
        <x:v>39</x:v>
      </x:c>
      <x:c r="I1374">
        <x:v>86</x:v>
      </x:c>
      <x:c r="J1374">
        <x:v>88</x:v>
      </x:c>
      <x:c r="K1374">
        <x:v>93</x:v>
      </x:c>
      <x:c r="L1374">
        <x:v>38</x:v>
      </x:c>
      <x:c r="M1374">
        <x:v>74</x:v>
      </x:c>
      <x:c r="N1374">
        <x:v>42</x:v>
      </x:c>
      <x:c r="O1374">
        <x:v>42</x:v>
      </x:c>
      <x:c r="P1374">
        <x:v>59</x:v>
      </x:c>
      <x:c r="Q1374">
        <x:v>60</x:v>
      </x:c>
      <x:c r="R1374">
        <x:v>69</x:v>
      </x:c>
      <x:c r="S1374">
        <x:v>70</x:v>
      </x:c>
      <x:c r="T1374">
        <x:v>47</x:v>
      </x:c>
      <x:c r="U1374">
        <x:v>47</x:v>
      </x:c>
    </x:row>
    <x:row r="1375">
      <x:c r="A1375" t="s">
        <x:v>1734</x:v>
      </x:c>
      <x:c r="B1375" t="s">
        <x:v>584</x:v>
      </x:c>
      <x:c r="C1375" t="s">
        <x:v>339</x:v>
      </x:c>
      <x:c r="D1375">
        <x:v>8481681</x:v>
      </x:c>
      <x:c r="E1375">
        <x:v>69</x:v>
      </x:c>
      <x:c r="F1375">
        <x:v>38</x:v>
      </x:c>
      <x:c r="G1375">
        <x:v>89</x:v>
      </x:c>
      <x:c r="H1375">
        <x:v>40</x:v>
      </x:c>
      <x:c r="I1375">
        <x:v>77</x:v>
      </x:c>
      <x:c r="J1375">
        <x:v>81</x:v>
      </x:c>
      <x:c r="K1375">
        <x:v>86</x:v>
      </x:c>
      <x:c r="L1375">
        <x:v>41</x:v>
      </x:c>
      <x:c r="M1375">
        <x:v>71</x:v>
      </x:c>
      <x:c r="N1375">
        <x:v>42</x:v>
      </x:c>
      <x:c r="O1375">
        <x:v>42</x:v>
      </x:c>
      <x:c r="P1375">
        <x:v>60</x:v>
      </x:c>
      <x:c r="Q1375">
        <x:v>61</x:v>
      </x:c>
      <x:c r="R1375">
        <x:v>68</x:v>
      </x:c>
      <x:c r="S1375">
        <x:v>69</x:v>
      </x:c>
      <x:c r="T1375">
        <x:v>51</x:v>
      </x:c>
      <x:c r="U1375">
        <x:v>47</x:v>
      </x:c>
    </x:row>
    <x:row r="1376">
      <x:c r="A1376" t="s">
        <x:v>1735</x:v>
      </x:c>
      <x:c r="C1376" t="s">
        <x:v>323</x:v>
      </x:c>
      <x:c r="D1376">
        <x:v>8486183</x:v>
      </x:c>
      <x:c r="E1376">
        <x:v>58</x:v>
      </x:c>
      <x:c r="F1376">
        <x:v>39</x:v>
      </x:c>
      <x:c r="G1376">
        <x:v>90</x:v>
      </x:c>
      <x:c r="H1376">
        <x:v>39</x:v>
      </x:c>
      <x:c r="I1376">
        <x:v>83</x:v>
      </x:c>
      <x:c r="J1376">
        <x:v>68</x:v>
      </x:c>
      <x:c r="K1376">
        <x:v>71</x:v>
      </x:c>
      <x:c r="L1376">
        <x:v>39</x:v>
      </x:c>
      <x:c r="M1376">
        <x:v>68</x:v>
      </x:c>
      <x:c r="N1376">
        <x:v>42</x:v>
      </x:c>
      <x:c r="O1376">
        <x:v>42</x:v>
      </x:c>
      <x:c r="P1376">
        <x:v>58</x:v>
      </x:c>
      <x:c r="Q1376">
        <x:v>61</x:v>
      </x:c>
      <x:c r="R1376">
        <x:v>66</x:v>
      </x:c>
      <x:c r="S1376">
        <x:v>65</x:v>
      </x:c>
      <x:c r="T1376">
        <x:v>51</x:v>
      </x:c>
      <x:c r="U1376">
        <x:v>47</x:v>
      </x:c>
    </x:row>
    <x:row r="1377">
      <x:c r="A1377" t="s">
        <x:v>1736</x:v>
      </x:c>
      <x:c r="C1377" t="s">
        <x:v>319</x:v>
      </x:c>
      <x:c r="D1377">
        <x:v>8482784</x:v>
      </x:c>
      <x:c r="E1377">
        <x:v>63</x:v>
      </x:c>
      <x:c r="F1377">
        <x:v>31</x:v>
      </x:c>
      <x:c r="G1377">
        <x:v>82</x:v>
      </x:c>
      <x:c r="H1377">
        <x:v>39</x:v>
      </x:c>
      <x:c r="I1377">
        <x:v>77</x:v>
      </x:c>
      <x:c r="J1377">
        <x:v>76</x:v>
      </x:c>
      <x:c r="K1377">
        <x:v>79</x:v>
      </x:c>
      <x:c r="L1377">
        <x:v>38</x:v>
      </x:c>
      <x:c r="M1377">
        <x:v>75</x:v>
      </x:c>
      <x:c r="N1377">
        <x:v>43</x:v>
      </x:c>
      <x:c r="O1377">
        <x:v>42</x:v>
      </x:c>
      <x:c r="P1377">
        <x:v>58</x:v>
      </x:c>
      <x:c r="Q1377">
        <x:v>60</x:v>
      </x:c>
      <x:c r="R1377">
        <x:v>66</x:v>
      </x:c>
      <x:c r="S1377">
        <x:v>65</x:v>
      </x:c>
      <x:c r="T1377">
        <x:v>51</x:v>
      </x:c>
      <x:c r="U1377">
        <x:v>47</x:v>
      </x:c>
    </x:row>
    <x:row r="1378">
      <x:c r="A1378" t="s">
        <x:v>1737</x:v>
      </x:c>
      <x:c r="C1378" t="s">
        <x:v>333</x:v>
      </x:c>
      <x:c r="D1378">
        <x:v>8483671</x:v>
      </x:c>
      <x:c r="E1378">
        <x:v>72</x:v>
      </x:c>
      <x:c r="F1378">
        <x:v>46</x:v>
      </x:c>
      <x:c r="G1378">
        <x:v>87</x:v>
      </x:c>
      <x:c r="H1378">
        <x:v>38</x:v>
      </x:c>
      <x:c r="I1378">
        <x:v>83</x:v>
      </x:c>
      <x:c r="J1378">
        <x:v>79</x:v>
      </x:c>
      <x:c r="K1378">
        <x:v>82</x:v>
      </x:c>
      <x:c r="L1378">
        <x:v>38</x:v>
      </x:c>
      <x:c r="M1378">
        <x:v>72</x:v>
      </x:c>
      <x:c r="N1378">
        <x:v>41</x:v>
      </x:c>
      <x:c r="O1378">
        <x:v>41</x:v>
      </x:c>
      <x:c r="P1378">
        <x:v>66</x:v>
      </x:c>
      <x:c r="Q1378">
        <x:v>60</x:v>
      </x:c>
      <x:c r="R1378">
        <x:v>66</x:v>
      </x:c>
      <x:c r="S1378">
        <x:v>67</x:v>
      </x:c>
      <x:c r="T1378">
        <x:v>51</x:v>
      </x:c>
      <x:c r="U1378">
        <x:v>47</x:v>
      </x:c>
    </x:row>
    <x:row r="1379">
      <x:c r="A1379" t="s">
        <x:v>1738</x:v>
      </x:c>
      <x:c r="C1379" t="s">
        <x:v>319</x:v>
      </x:c>
      <x:c r="D1379">
        <x:v>8482863</x:v>
      </x:c>
      <x:c r="E1379">
        <x:v>65</x:v>
      </x:c>
      <x:c r="F1379">
        <x:v>31</x:v>
      </x:c>
      <x:c r="G1379">
        <x:v>88</x:v>
      </x:c>
      <x:c r="H1379">
        <x:v>40</x:v>
      </x:c>
      <x:c r="I1379">
        <x:v>80</x:v>
      </x:c>
      <x:c r="J1379">
        <x:v>88</x:v>
      </x:c>
      <x:c r="K1379">
        <x:v>91</x:v>
      </x:c>
      <x:c r="L1379">
        <x:v>39</x:v>
      </x:c>
      <x:c r="M1379">
        <x:v>83</x:v>
      </x:c>
      <x:c r="N1379">
        <x:v>42</x:v>
      </x:c>
      <x:c r="O1379">
        <x:v>43</x:v>
      </x:c>
      <x:c r="P1379">
        <x:v>59</x:v>
      </x:c>
      <x:c r="Q1379">
        <x:v>62</x:v>
      </x:c>
      <x:c r="R1379">
        <x:v>66</x:v>
      </x:c>
      <x:c r="S1379">
        <x:v>65</x:v>
      </x:c>
      <x:c r="T1379">
        <x:v>51</x:v>
      </x:c>
      <x:c r="U1379">
        <x:v>47</x:v>
      </x:c>
    </x:row>
    <x:row r="1380">
      <x:c r="A1380" t="s">
        <x:v>1739</x:v>
      </x:c>
      <x:c r="C1380" t="s">
        <x:v>319</x:v>
      </x:c>
      <x:c r="D1380">
        <x:v>8483549</x:v>
      </x:c>
      <x:c r="E1380">
        <x:v>67</x:v>
      </x:c>
      <x:c r="F1380">
        <x:v>35</x:v>
      </x:c>
      <x:c r="G1380">
        <x:v>76</x:v>
      </x:c>
      <x:c r="H1380">
        <x:v>39</x:v>
      </x:c>
      <x:c r="I1380">
        <x:v>85</x:v>
      </x:c>
      <x:c r="J1380">
        <x:v>92</x:v>
      </x:c>
      <x:c r="K1380">
        <x:v>95</x:v>
      </x:c>
      <x:c r="L1380">
        <x:v>38</x:v>
      </x:c>
      <x:c r="M1380">
        <x:v>71</x:v>
      </x:c>
      <x:c r="N1380">
        <x:v>45</x:v>
      </x:c>
      <x:c r="O1380">
        <x:v>46</x:v>
      </x:c>
      <x:c r="P1380">
        <x:v>60</x:v>
      </x:c>
      <x:c r="Q1380">
        <x:v>60</x:v>
      </x:c>
      <x:c r="R1380">
        <x:v>71</x:v>
      </x:c>
      <x:c r="S1380">
        <x:v>72</x:v>
      </x:c>
      <x:c r="T1380">
        <x:v>51</x:v>
      </x:c>
      <x:c r="U1380">
        <x:v>47</x:v>
      </x:c>
    </x:row>
    <x:row r="1381">
      <x:c r="A1381" t="s">
        <x:v>1740</x:v>
      </x:c>
      <x:c r="C1381" t="s">
        <x:v>339</x:v>
      </x:c>
      <x:c r="D1381">
        <x:v>8482903</x:v>
      </x:c>
      <x:c r="E1381">
        <x:v>62</x:v>
      </x:c>
      <x:c r="F1381">
        <x:v>32</x:v>
      </x:c>
      <x:c r="G1381">
        <x:v>89</x:v>
      </x:c>
      <x:c r="H1381">
        <x:v>40</x:v>
      </x:c>
      <x:c r="I1381">
        <x:v>73</x:v>
      </x:c>
      <x:c r="J1381">
        <x:v>77</x:v>
      </x:c>
      <x:c r="K1381">
        <x:v>79</x:v>
      </x:c>
      <x:c r="L1381">
        <x:v>41</x:v>
      </x:c>
      <x:c r="M1381">
        <x:v>80</x:v>
      </x:c>
      <x:c r="N1381">
        <x:v>40</x:v>
      </x:c>
      <x:c r="O1381">
        <x:v>44</x:v>
      </x:c>
      <x:c r="P1381">
        <x:v>60</x:v>
      </x:c>
      <x:c r="Q1381">
        <x:v>61</x:v>
      </x:c>
      <x:c r="R1381">
        <x:v>67</x:v>
      </x:c>
      <x:c r="S1381">
        <x:v>68</x:v>
      </x:c>
      <x:c r="T1381">
        <x:v>51</x:v>
      </x:c>
      <x:c r="U1381">
        <x:v>47</x:v>
      </x:c>
    </x:row>
    <x:row r="1382">
      <x:c r="A1382" t="s">
        <x:v>1741</x:v>
      </x:c>
      <x:c r="C1382" t="s">
        <x:v>319</x:v>
      </x:c>
      <x:c r="D1382">
        <x:v>8485462</x:v>
      </x:c>
      <x:c r="E1382">
        <x:v>74</x:v>
      </x:c>
      <x:c r="F1382">
        <x:v>42</x:v>
      </x:c>
      <x:c r="G1382">
        <x:v>83</x:v>
      </x:c>
      <x:c r="H1382">
        <x:v>38</x:v>
      </x:c>
      <x:c r="I1382">
        <x:v>83</x:v>
      </x:c>
      <x:c r="J1382">
        <x:v>73</x:v>
      </x:c>
      <x:c r="K1382">
        <x:v>76</x:v>
      </x:c>
      <x:c r="L1382">
        <x:v>37</x:v>
      </x:c>
      <x:c r="M1382">
        <x:v>66</x:v>
      </x:c>
      <x:c r="N1382">
        <x:v>40</x:v>
      </x:c>
      <x:c r="O1382">
        <x:v>42</x:v>
      </x:c>
      <x:c r="P1382">
        <x:v>58</x:v>
      </x:c>
      <x:c r="Q1382">
        <x:v>60</x:v>
      </x:c>
      <x:c r="R1382">
        <x:v>65</x:v>
      </x:c>
      <x:c r="S1382">
        <x:v>66</x:v>
      </x:c>
      <x:c r="T1382">
        <x:v>51</x:v>
      </x:c>
      <x:c r="U1382">
        <x:v>47</x:v>
      </x:c>
    </x:row>
    <x:row r="1383">
      <x:c r="A1383" t="s">
        <x:v>1742</x:v>
      </x:c>
      <x:c r="C1383" t="s">
        <x:v>333</x:v>
      </x:c>
      <x:c r="D1383">
        <x:v>8482757</x:v>
      </x:c>
      <x:c r="E1383">
        <x:v>66</x:v>
      </x:c>
      <x:c r="F1383">
        <x:v>38</x:v>
      </x:c>
      <x:c r="G1383">
        <x:v>70</x:v>
      </x:c>
      <x:c r="H1383">
        <x:v>39</x:v>
      </x:c>
      <x:c r="I1383">
        <x:v>82</x:v>
      </x:c>
      <x:c r="J1383">
        <x:v>74</x:v>
      </x:c>
      <x:c r="K1383">
        <x:v>76</x:v>
      </x:c>
      <x:c r="L1383">
        <x:v>39</x:v>
      </x:c>
      <x:c r="M1383">
        <x:v>76</x:v>
      </x:c>
      <x:c r="N1383">
        <x:v>43</x:v>
      </x:c>
      <x:c r="O1383">
        <x:v>40</x:v>
      </x:c>
      <x:c r="P1383">
        <x:v>59</x:v>
      </x:c>
      <x:c r="Q1383">
        <x:v>61</x:v>
      </x:c>
      <x:c r="R1383">
        <x:v>66</x:v>
      </x:c>
      <x:c r="S1383">
        <x:v>66</x:v>
      </x:c>
      <x:c r="T1383">
        <x:v>51</x:v>
      </x:c>
      <x:c r="U1383">
        <x:v>47</x:v>
      </x:c>
    </x:row>
    <x:row r="1384">
      <x:c r="A1384" t="s">
        <x:v>1743</x:v>
      </x:c>
      <x:c r="C1384" t="s">
        <x:v>319</x:v>
      </x:c>
      <x:c r="D1384">
        <x:v>8484277</x:v>
      </x:c>
      <x:c r="E1384">
        <x:v>64</x:v>
      </x:c>
      <x:c r="F1384">
        <x:v>34</x:v>
      </x:c>
      <x:c r="G1384">
        <x:v>83</x:v>
      </x:c>
      <x:c r="H1384">
        <x:v>40</x:v>
      </x:c>
      <x:c r="I1384">
        <x:v>76</x:v>
      </x:c>
      <x:c r="J1384">
        <x:v>84</x:v>
      </x:c>
      <x:c r="K1384">
        <x:v>89</x:v>
      </x:c>
      <x:c r="L1384">
        <x:v>39</x:v>
      </x:c>
      <x:c r="M1384">
        <x:v>69</x:v>
      </x:c>
      <x:c r="N1384">
        <x:v>41</x:v>
      </x:c>
      <x:c r="O1384">
        <x:v>43</x:v>
      </x:c>
      <x:c r="P1384">
        <x:v>59</x:v>
      </x:c>
      <x:c r="Q1384">
        <x:v>61</x:v>
      </x:c>
      <x:c r="R1384">
        <x:v>70</x:v>
      </x:c>
      <x:c r="S1384">
        <x:v>69</x:v>
      </x:c>
      <x:c r="T1384">
        <x:v>51</x:v>
      </x:c>
      <x:c r="U1384">
        <x:v>47</x:v>
      </x:c>
    </x:row>
    <x:row r="1385">
      <x:c r="A1385" t="s">
        <x:v>1744</x:v>
      </x:c>
      <x:c r="C1385" t="s">
        <x:v>326</x:v>
      </x:c>
      <x:c r="D1385">
        <x:v>8482250</x:v>
      </x:c>
      <x:c r="E1385">
        <x:v>59</x:v>
      </x:c>
      <x:c r="F1385">
        <x:v>37</x:v>
      </x:c>
      <x:c r="G1385">
        <x:v>92</x:v>
      </x:c>
      <x:c r="H1385">
        <x:v>39</x:v>
      </x:c>
      <x:c r="I1385">
        <x:v>76</x:v>
      </x:c>
      <x:c r="J1385">
        <x:v>85</x:v>
      </x:c>
      <x:c r="K1385">
        <x:v>87</x:v>
      </x:c>
      <x:c r="L1385">
        <x:v>38</x:v>
      </x:c>
      <x:c r="M1385">
        <x:v>60</x:v>
      </x:c>
      <x:c r="N1385">
        <x:v>43</x:v>
      </x:c>
      <x:c r="O1385">
        <x:v>41</x:v>
      </x:c>
      <x:c r="P1385">
        <x:v>63</x:v>
      </x:c>
      <x:c r="Q1385">
        <x:v>61</x:v>
      </x:c>
      <x:c r="R1385">
        <x:v>71</x:v>
      </x:c>
      <x:c r="S1385">
        <x:v>71</x:v>
      </x:c>
      <x:c r="T1385">
        <x:v>51</x:v>
      </x:c>
      <x:c r="U1385">
        <x:v>47</x:v>
      </x:c>
    </x:row>
    <x:row r="1386">
      <x:c r="A1386" t="s">
        <x:v>1745</x:v>
      </x:c>
      <x:c r="C1386" t="s">
        <x:v>319</x:v>
      </x:c>
      <x:c r="D1386">
        <x:v>8484529</x:v>
      </x:c>
      <x:c r="E1386">
        <x:v>81</x:v>
      </x:c>
      <x:c r="F1386">
        <x:v>46</x:v>
      </x:c>
      <x:c r="G1386">
        <x:v>65</x:v>
      </x:c>
      <x:c r="H1386">
        <x:v>37</x:v>
      </x:c>
      <x:c r="I1386">
        <x:v>85</x:v>
      </x:c>
      <x:c r="J1386">
        <x:v>76</x:v>
      </x:c>
      <x:c r="K1386">
        <x:v>79</x:v>
      </x:c>
      <x:c r="L1386">
        <x:v>37</x:v>
      </x:c>
      <x:c r="M1386">
        <x:v>53</x:v>
      </x:c>
      <x:c r="N1386">
        <x:v>40</x:v>
      </x:c>
      <x:c r="O1386">
        <x:v>40</x:v>
      </x:c>
      <x:c r="P1386">
        <x:v>62</x:v>
      </x:c>
      <x:c r="Q1386">
        <x:v>58</x:v>
      </x:c>
      <x:c r="R1386">
        <x:v>65</x:v>
      </x:c>
      <x:c r="S1386">
        <x:v>69</x:v>
      </x:c>
      <x:c r="T1386">
        <x:v>51</x:v>
      </x:c>
      <x:c r="U1386">
        <x:v>47</x:v>
      </x:c>
    </x:row>
    <x:row r="1387">
      <x:c r="A1387" t="s">
        <x:v>1746</x:v>
      </x:c>
      <x:c r="C1387" t="s">
        <x:v>358</x:v>
      </x:c>
      <x:c r="D1387">
        <x:v>8484143</x:v>
      </x:c>
      <x:c r="E1387">
        <x:v>69</x:v>
      </x:c>
      <x:c r="F1387">
        <x:v>37</x:v>
      </x:c>
      <x:c r="G1387">
        <x:v>89</x:v>
      </x:c>
      <x:c r="H1387">
        <x:v>40</x:v>
      </x:c>
      <x:c r="I1387">
        <x:v>80</x:v>
      </x:c>
      <x:c r="J1387">
        <x:v>85</x:v>
      </x:c>
      <x:c r="K1387">
        <x:v>89</x:v>
      </x:c>
      <x:c r="L1387">
        <x:v>39</x:v>
      </x:c>
      <x:c r="M1387">
        <x:v>67</x:v>
      </x:c>
      <x:c r="N1387">
        <x:v>41</x:v>
      </x:c>
      <x:c r="O1387">
        <x:v>42</x:v>
      </x:c>
      <x:c r="P1387">
        <x:v>64</x:v>
      </x:c>
      <x:c r="Q1387">
        <x:v>60</x:v>
      </x:c>
      <x:c r="R1387">
        <x:v>65</x:v>
      </x:c>
      <x:c r="S1387">
        <x:v>65</x:v>
      </x:c>
      <x:c r="T1387">
        <x:v>51</x:v>
      </x:c>
      <x:c r="U1387">
        <x:v>47</x:v>
      </x:c>
    </x:row>
    <x:row r="1388">
      <x:c r="A1388" t="s">
        <x:v>1747</x:v>
      </x:c>
      <x:c r="B1388" t="s">
        <x:v>584</x:v>
      </x:c>
      <x:c r="C1388" t="s">
        <x:v>339</x:v>
      </x:c>
      <x:c r="D1388">
        <x:v>8485784</x:v>
      </x:c>
      <x:c r="E1388">
        <x:v>61</x:v>
      </x:c>
      <x:c r="F1388">
        <x:v>35</x:v>
      </x:c>
      <x:c r="G1388">
        <x:v>91</x:v>
      </x:c>
      <x:c r="H1388">
        <x:v>39</x:v>
      </x:c>
      <x:c r="I1388">
        <x:v>80</x:v>
      </x:c>
      <x:c r="J1388">
        <x:v>78</x:v>
      </x:c>
      <x:c r="K1388">
        <x:v>81</x:v>
      </x:c>
      <x:c r="L1388">
        <x:v>40</x:v>
      </x:c>
      <x:c r="M1388">
        <x:v>58</x:v>
      </x:c>
      <x:c r="N1388">
        <x:v>41</x:v>
      </x:c>
      <x:c r="O1388">
        <x:v>42</x:v>
      </x:c>
      <x:c r="P1388">
        <x:v>61</x:v>
      </x:c>
      <x:c r="Q1388">
        <x:v>60</x:v>
      </x:c>
      <x:c r="R1388">
        <x:v>67</x:v>
      </x:c>
      <x:c r="S1388">
        <x:v>67</x:v>
      </x:c>
      <x:c r="T1388">
        <x:v>51</x:v>
      </x:c>
      <x:c r="U1388">
        <x:v>47</x:v>
      </x:c>
    </x:row>
    <x:row r="1389">
      <x:c r="A1389" t="s">
        <x:v>1748</x:v>
      </x:c>
      <x:c r="C1389" t="s">
        <x:v>319</x:v>
      </x:c>
      <x:c r="D1389">
        <x:v>8484899</x:v>
      </x:c>
      <x:c r="E1389">
        <x:v>65</x:v>
      </x:c>
      <x:c r="F1389">
        <x:v>35</x:v>
      </x:c>
      <x:c r="G1389">
        <x:v>91</x:v>
      </x:c>
      <x:c r="H1389">
        <x:v>38</x:v>
      </x:c>
      <x:c r="I1389">
        <x:v>89</x:v>
      </x:c>
      <x:c r="J1389">
        <x:v>75</x:v>
      </x:c>
      <x:c r="K1389">
        <x:v>77</x:v>
      </x:c>
      <x:c r="L1389">
        <x:v>38</x:v>
      </x:c>
      <x:c r="M1389">
        <x:v>79</x:v>
      </x:c>
      <x:c r="N1389">
        <x:v>41</x:v>
      </x:c>
      <x:c r="O1389">
        <x:v>42</x:v>
      </x:c>
      <x:c r="P1389">
        <x:v>60</x:v>
      </x:c>
      <x:c r="Q1389">
        <x:v>59</x:v>
      </x:c>
      <x:c r="R1389">
        <x:v>69</x:v>
      </x:c>
      <x:c r="S1389">
        <x:v>68</x:v>
      </x:c>
      <x:c r="T1389">
        <x:v>51</x:v>
      </x:c>
      <x:c r="U1389">
        <x:v>47</x:v>
      </x:c>
    </x:row>
    <x:row r="1390">
      <x:c r="A1390" t="s">
        <x:v>1749</x:v>
      </x:c>
      <x:c r="B1390" t="s">
        <x:v>584</x:v>
      </x:c>
      <x:c r="C1390" t="s">
        <x:v>319</x:v>
      </x:c>
      <x:c r="D1390">
        <x:v>8481737</x:v>
      </x:c>
      <x:c r="E1390">
        <x:v>64</x:v>
      </x:c>
      <x:c r="F1390">
        <x:v>35</x:v>
      </x:c>
      <x:c r="G1390">
        <x:v>75</x:v>
      </x:c>
      <x:c r="H1390">
        <x:v>39</x:v>
      </x:c>
      <x:c r="I1390">
        <x:v>78</x:v>
      </x:c>
      <x:c r="J1390">
        <x:v>71</x:v>
      </x:c>
      <x:c r="K1390">
        <x:v>71</x:v>
      </x:c>
      <x:c r="L1390">
        <x:v>39</x:v>
      </x:c>
      <x:c r="M1390">
        <x:v>68</x:v>
      </x:c>
      <x:c r="N1390">
        <x:v>40</x:v>
      </x:c>
      <x:c r="O1390">
        <x:v>42</x:v>
      </x:c>
      <x:c r="P1390">
        <x:v>60</x:v>
      </x:c>
      <x:c r="Q1390">
        <x:v>60</x:v>
      </x:c>
      <x:c r="R1390">
        <x:v>70</x:v>
      </x:c>
      <x:c r="S1390">
        <x:v>68</x:v>
      </x:c>
      <x:c r="T1390">
        <x:v>51</x:v>
      </x:c>
      <x:c r="U1390">
        <x:v>47</x:v>
      </x:c>
    </x:row>
    <x:row r="1391">
      <x:c r="A1391" t="s">
        <x:v>1750</x:v>
      </x:c>
      <x:c r="C1391" t="s">
        <x:v>323</x:v>
      </x:c>
      <x:c r="D1391">
        <x:v>8481731</x:v>
      </x:c>
      <x:c r="E1391">
        <x:v>64</x:v>
      </x:c>
      <x:c r="F1391">
        <x:v>34</x:v>
      </x:c>
      <x:c r="G1391">
        <x:v>91</x:v>
      </x:c>
      <x:c r="H1391">
        <x:v>39</x:v>
      </x:c>
      <x:c r="I1391">
        <x:v>81</x:v>
      </x:c>
      <x:c r="J1391">
        <x:v>80</x:v>
      </x:c>
      <x:c r="K1391">
        <x:v>82</x:v>
      </x:c>
      <x:c r="L1391">
        <x:v>39</x:v>
      </x:c>
      <x:c r="M1391">
        <x:v>63</x:v>
      </x:c>
      <x:c r="N1391">
        <x:v>42</x:v>
      </x:c>
      <x:c r="O1391">
        <x:v>40</x:v>
      </x:c>
      <x:c r="P1391">
        <x:v>58</x:v>
      </x:c>
      <x:c r="Q1391">
        <x:v>60</x:v>
      </x:c>
      <x:c r="R1391">
        <x:v>69</x:v>
      </x:c>
      <x:c r="S1391">
        <x:v>69</x:v>
      </x:c>
      <x:c r="T1391">
        <x:v>51</x:v>
      </x:c>
      <x:c r="U1391">
        <x:v>47</x:v>
      </x:c>
    </x:row>
    <x:row r="1392">
      <x:c r="A1392" t="s">
        <x:v>1751</x:v>
      </x:c>
      <x:c r="C1392" t="s">
        <x:v>326</x:v>
      </x:c>
      <x:c r="D1392">
        <x:v>8483804</x:v>
      </x:c>
      <x:c r="E1392">
        <x:v>67</x:v>
      </x:c>
      <x:c r="F1392">
        <x:v>37</x:v>
      </x:c>
      <x:c r="G1392">
        <x:v>71</x:v>
      </x:c>
      <x:c r="H1392">
        <x:v>39</x:v>
      </x:c>
      <x:c r="I1392">
        <x:v>77</x:v>
      </x:c>
      <x:c r="J1392">
        <x:v>75</x:v>
      </x:c>
      <x:c r="K1392">
        <x:v>77</x:v>
      </x:c>
      <x:c r="L1392">
        <x:v>39</x:v>
      </x:c>
      <x:c r="M1392">
        <x:v>70</x:v>
      </x:c>
      <x:c r="N1392">
        <x:v>40</x:v>
      </x:c>
      <x:c r="O1392">
        <x:v>43</x:v>
      </x:c>
      <x:c r="P1392">
        <x:v>58</x:v>
      </x:c>
      <x:c r="Q1392">
        <x:v>61</x:v>
      </x:c>
      <x:c r="R1392">
        <x:v>67</x:v>
      </x:c>
      <x:c r="S1392">
        <x:v>66</x:v>
      </x:c>
      <x:c r="T1392">
        <x:v>51</x:v>
      </x:c>
      <x:c r="U1392">
        <x:v>47</x:v>
      </x:c>
    </x:row>
    <x:row r="1393">
      <x:c r="A1393" t="s">
        <x:v>1752</x:v>
      </x:c>
      <x:c r="C1393" t="s">
        <x:v>358</x:v>
      </x:c>
      <x:c r="D1393">
        <x:v>8484594</x:v>
      </x:c>
      <x:c r="E1393">
        <x:v>64</x:v>
      </x:c>
      <x:c r="F1393">
        <x:v>35</x:v>
      </x:c>
      <x:c r="G1393">
        <x:v>92</x:v>
      </x:c>
      <x:c r="H1393">
        <x:v>40</x:v>
      </x:c>
      <x:c r="I1393">
        <x:v>77</x:v>
      </x:c>
      <x:c r="J1393">
        <x:v>73</x:v>
      </x:c>
      <x:c r="K1393">
        <x:v>76</x:v>
      </x:c>
      <x:c r="L1393">
        <x:v>41</x:v>
      </x:c>
      <x:c r="M1393">
        <x:v>68</x:v>
      </x:c>
      <x:c r="N1393">
        <x:v>44</x:v>
      </x:c>
      <x:c r="O1393">
        <x:v>40</x:v>
      </x:c>
      <x:c r="P1393">
        <x:v>62</x:v>
      </x:c>
      <x:c r="Q1393">
        <x:v>61</x:v>
      </x:c>
      <x:c r="R1393">
        <x:v>66</x:v>
      </x:c>
      <x:c r="S1393">
        <x:v>66</x:v>
      </x:c>
      <x:c r="T1393">
        <x:v>51</x:v>
      </x:c>
      <x:c r="U1393">
        <x:v>47</x:v>
      </x:c>
    </x:row>
    <x:row r="1394">
      <x:c r="A1394" t="s">
        <x:v>1753</x:v>
      </x:c>
      <x:c r="C1394" t="s">
        <x:v>339</x:v>
      </x:c>
      <x:c r="E1394">
        <x:v>59</x:v>
      </x:c>
      <x:c r="F1394">
        <x:v>35</x:v>
      </x:c>
      <x:c r="G1394">
        <x:v>85</x:v>
      </x:c>
      <x:c r="H1394">
        <x:v>39</x:v>
      </x:c>
      <x:c r="I1394">
        <x:v>78</x:v>
      </x:c>
      <x:c r="J1394">
        <x:v>82</x:v>
      </x:c>
      <x:c r="K1394">
        <x:v>86</x:v>
      </x:c>
      <x:c r="L1394">
        <x:v>40</x:v>
      </x:c>
      <x:c r="M1394">
        <x:v>77</x:v>
      </x:c>
      <x:c r="N1394">
        <x:v>43</x:v>
      </x:c>
      <x:c r="O1394">
        <x:v>41</x:v>
      </x:c>
      <x:c r="P1394">
        <x:v>60</x:v>
      </x:c>
      <x:c r="Q1394">
        <x:v>61</x:v>
      </x:c>
      <x:c r="R1394">
        <x:v>65</x:v>
      </x:c>
      <x:c r="S1394">
        <x:v>66</x:v>
      </x:c>
      <x:c r="T1394">
        <x:v>51</x:v>
      </x:c>
      <x:c r="U1394">
        <x:v>47</x:v>
      </x:c>
    </x:row>
    <x:row r="1395">
      <x:c r="A1395" t="s">
        <x:v>1754</x:v>
      </x:c>
      <x:c r="C1395" t="s">
        <x:v>358</x:v>
      </x:c>
      <x:c r="D1395">
        <x:v>8484116</x:v>
      </x:c>
      <x:c r="E1395">
        <x:v>72</x:v>
      </x:c>
      <x:c r="F1395">
        <x:v>37</x:v>
      </x:c>
      <x:c r="G1395">
        <x:v>88</x:v>
      </x:c>
      <x:c r="H1395">
        <x:v>38</x:v>
      </x:c>
      <x:c r="I1395">
        <x:v>77</x:v>
      </x:c>
      <x:c r="J1395">
        <x:v>70</x:v>
      </x:c>
      <x:c r="K1395">
        <x:v>72</x:v>
      </x:c>
      <x:c r="L1395">
        <x:v>39</x:v>
      </x:c>
      <x:c r="M1395">
        <x:v>71</x:v>
      </x:c>
      <x:c r="N1395">
        <x:v>42</x:v>
      </x:c>
      <x:c r="O1395">
        <x:v>39</x:v>
      </x:c>
      <x:c r="P1395">
        <x:v>59</x:v>
      </x:c>
      <x:c r="Q1395">
        <x:v>59</x:v>
      </x:c>
      <x:c r="R1395">
        <x:v>69</x:v>
      </x:c>
      <x:c r="S1395">
        <x:v>68</x:v>
      </x:c>
      <x:c r="T1395">
        <x:v>51</x:v>
      </x:c>
      <x:c r="U1395">
        <x:v>47</x:v>
      </x:c>
    </x:row>
    <x:row r="1396">
      <x:c r="A1396" t="s">
        <x:v>1755</x:v>
      </x:c>
      <x:c r="C1396" t="s">
        <x:v>319</x:v>
      </x:c>
      <x:c r="D1396">
        <x:v>8481794</x:v>
      </x:c>
      <x:c r="E1396">
        <x:v>65</x:v>
      </x:c>
      <x:c r="F1396">
        <x:v>37</x:v>
      </x:c>
      <x:c r="G1396">
        <x:v>75</x:v>
      </x:c>
      <x:c r="H1396">
        <x:v>39</x:v>
      </x:c>
      <x:c r="I1396">
        <x:v>74</x:v>
      </x:c>
      <x:c r="J1396">
        <x:v>81</x:v>
      </x:c>
      <x:c r="K1396">
        <x:v>83</x:v>
      </x:c>
      <x:c r="L1396">
        <x:v>39</x:v>
      </x:c>
      <x:c r="M1396">
        <x:v>62</x:v>
      </x:c>
      <x:c r="N1396">
        <x:v>43</x:v>
      </x:c>
      <x:c r="O1396">
        <x:v>39</x:v>
      </x:c>
      <x:c r="P1396">
        <x:v>61</x:v>
      </x:c>
      <x:c r="Q1396">
        <x:v>60</x:v>
      </x:c>
      <x:c r="R1396">
        <x:v>68</x:v>
      </x:c>
      <x:c r="S1396">
        <x:v>68</x:v>
      </x:c>
      <x:c r="T1396">
        <x:v>51</x:v>
      </x:c>
      <x:c r="U1396">
        <x:v>47</x:v>
      </x:c>
    </x:row>
    <x:row r="1397">
      <x:c r="A1397" t="s">
        <x:v>1756</x:v>
      </x:c>
      <x:c r="C1397" t="s">
        <x:v>319</x:v>
      </x:c>
      <x:c r="D1397">
        <x:v>8484775</x:v>
      </x:c>
      <x:c r="E1397">
        <x:v>78</x:v>
      </x:c>
      <x:c r="F1397">
        <x:v>42</x:v>
      </x:c>
      <x:c r="G1397">
        <x:v>83</x:v>
      </x:c>
      <x:c r="H1397">
        <x:v>38</x:v>
      </x:c>
      <x:c r="I1397">
        <x:v>82</x:v>
      </x:c>
      <x:c r="J1397">
        <x:v>74</x:v>
      </x:c>
      <x:c r="K1397">
        <x:v>77</x:v>
      </x:c>
      <x:c r="L1397">
        <x:v>39</x:v>
      </x:c>
      <x:c r="M1397">
        <x:v>70</x:v>
      </x:c>
      <x:c r="N1397">
        <x:v>42</x:v>
      </x:c>
      <x:c r="O1397">
        <x:v>40</x:v>
      </x:c>
      <x:c r="P1397">
        <x:v>62</x:v>
      </x:c>
      <x:c r="Q1397">
        <x:v>60</x:v>
      </x:c>
      <x:c r="R1397">
        <x:v>64</x:v>
      </x:c>
      <x:c r="S1397">
        <x:v>66</x:v>
      </x:c>
      <x:c r="T1397">
        <x:v>51</x:v>
      </x:c>
      <x:c r="U1397">
        <x:v>47</x:v>
      </x:c>
    </x:row>
    <x:row r="1398">
      <x:c r="A1398" t="s">
        <x:v>1757</x:v>
      </x:c>
      <x:c r="B1398" t="s">
        <x:v>584</x:v>
      </x:c>
      <x:c r="C1398" t="s">
        <x:v>319</x:v>
      </x:c>
      <x:c r="D1398">
        <x:v>8481760</x:v>
      </x:c>
      <x:c r="E1398">
        <x:v>61</x:v>
      </x:c>
      <x:c r="F1398">
        <x:v>46</x:v>
      </x:c>
      <x:c r="G1398">
        <x:v>90</x:v>
      </x:c>
      <x:c r="H1398">
        <x:v>41</x:v>
      </x:c>
      <x:c r="I1398">
        <x:v>75</x:v>
      </x:c>
      <x:c r="J1398">
        <x:v>75</x:v>
      </x:c>
      <x:c r="K1398">
        <x:v>77</x:v>
      </x:c>
      <x:c r="L1398">
        <x:v>40</x:v>
      </x:c>
      <x:c r="M1398">
        <x:v>83</x:v>
      </x:c>
      <x:c r="N1398">
        <x:v>43</x:v>
      </x:c>
      <x:c r="O1398">
        <x:v>42</x:v>
      </x:c>
      <x:c r="P1398">
        <x:v>62</x:v>
      </x:c>
      <x:c r="Q1398">
        <x:v>62</x:v>
      </x:c>
      <x:c r="R1398">
        <x:v>68</x:v>
      </x:c>
      <x:c r="S1398">
        <x:v>67</x:v>
      </x:c>
      <x:c r="T1398">
        <x:v>51</x:v>
      </x:c>
      <x:c r="U1398">
        <x:v>47</x:v>
      </x:c>
    </x:row>
    <x:row r="1399">
      <x:c r="A1399" t="s">
        <x:v>1758</x:v>
      </x:c>
      <x:c r="C1399" t="s">
        <x:v>319</x:v>
      </x:c>
      <x:c r="D1399">
        <x:v>8483010</x:v>
      </x:c>
      <x:c r="E1399">
        <x:v>60</x:v>
      </x:c>
      <x:c r="F1399">
        <x:v>34</x:v>
      </x:c>
      <x:c r="G1399">
        <x:v>89</x:v>
      </x:c>
      <x:c r="H1399">
        <x:v>40</x:v>
      </x:c>
      <x:c r="I1399">
        <x:v>77</x:v>
      </x:c>
      <x:c r="J1399">
        <x:v>81</x:v>
      </x:c>
      <x:c r="K1399">
        <x:v>83</x:v>
      </x:c>
      <x:c r="L1399">
        <x:v>40</x:v>
      </x:c>
      <x:c r="M1399">
        <x:v>77</x:v>
      </x:c>
      <x:c r="N1399">
        <x:v>44</x:v>
      </x:c>
      <x:c r="O1399">
        <x:v>44</x:v>
      </x:c>
      <x:c r="P1399">
        <x:v>60</x:v>
      </x:c>
      <x:c r="Q1399">
        <x:v>61</x:v>
      </x:c>
      <x:c r="R1399">
        <x:v>66</x:v>
      </x:c>
      <x:c r="S1399">
        <x:v>65</x:v>
      </x:c>
      <x:c r="T1399">
        <x:v>51</x:v>
      </x:c>
      <x:c r="U1399">
        <x:v>47</x:v>
      </x:c>
    </x:row>
    <x:row r="1400">
      <x:c r="A1400" t="s">
        <x:v>1759</x:v>
      </x:c>
      <x:c r="C1400" t="s">
        <x:v>358</x:v>
      </x:c>
      <x:c r="D1400">
        <x:v>8484219</x:v>
      </x:c>
      <x:c r="E1400">
        <x:v>63</x:v>
      </x:c>
      <x:c r="F1400">
        <x:v>38</x:v>
      </x:c>
      <x:c r="G1400">
        <x:v>86</x:v>
      </x:c>
      <x:c r="H1400">
        <x:v>39</x:v>
      </x:c>
      <x:c r="I1400">
        <x:v>81</x:v>
      </x:c>
      <x:c r="J1400">
        <x:v>89</x:v>
      </x:c>
      <x:c r="K1400">
        <x:v>93</x:v>
      </x:c>
      <x:c r="L1400">
        <x:v>38</x:v>
      </x:c>
      <x:c r="M1400">
        <x:v>64</x:v>
      </x:c>
      <x:c r="N1400">
        <x:v>40</x:v>
      </x:c>
      <x:c r="O1400">
        <x:v>44</x:v>
      </x:c>
      <x:c r="P1400">
        <x:v>60</x:v>
      </x:c>
      <x:c r="Q1400">
        <x:v>61</x:v>
      </x:c>
      <x:c r="R1400">
        <x:v>65</x:v>
      </x:c>
      <x:c r="S1400">
        <x:v>66</x:v>
      </x:c>
      <x:c r="T1400">
        <x:v>51</x:v>
      </x:c>
      <x:c r="U1400">
        <x:v>47</x:v>
      </x:c>
    </x:row>
    <x:row r="1401">
      <x:c r="A1401" t="s">
        <x:v>1760</x:v>
      </x:c>
      <x:c r="C1401" t="s">
        <x:v>319</x:v>
      </x:c>
      <x:c r="D1401">
        <x:v>8483685</x:v>
      </x:c>
      <x:c r="E1401">
        <x:v>66</x:v>
      </x:c>
      <x:c r="F1401">
        <x:v>36</x:v>
      </x:c>
      <x:c r="G1401">
        <x:v>86</x:v>
      </x:c>
      <x:c r="H1401">
        <x:v>40</x:v>
      </x:c>
      <x:c r="I1401">
        <x:v>79</x:v>
      </x:c>
      <x:c r="J1401">
        <x:v>81</x:v>
      </x:c>
      <x:c r="K1401">
        <x:v>85</x:v>
      </x:c>
      <x:c r="L1401">
        <x:v>39</x:v>
      </x:c>
      <x:c r="M1401">
        <x:v>62</x:v>
      </x:c>
      <x:c r="N1401">
        <x:v>43</x:v>
      </x:c>
      <x:c r="O1401">
        <x:v>42</x:v>
      </x:c>
      <x:c r="P1401">
        <x:v>59</x:v>
      </x:c>
      <x:c r="Q1401">
        <x:v>62</x:v>
      </x:c>
      <x:c r="R1401">
        <x:v>66</x:v>
      </x:c>
      <x:c r="S1401">
        <x:v>66</x:v>
      </x:c>
      <x:c r="T1401">
        <x:v>51</x:v>
      </x:c>
      <x:c r="U1401">
        <x:v>47</x:v>
      </x:c>
    </x:row>
    <x:row r="1402">
      <x:c r="A1402" t="s">
        <x:v>1761</x:v>
      </x:c>
      <x:c r="C1402" t="s">
        <x:v>339</x:v>
      </x:c>
      <x:c r="D1402">
        <x:v>8485510</x:v>
      </x:c>
      <x:c r="E1402">
        <x:v>74</x:v>
      </x:c>
      <x:c r="F1402">
        <x:v>37</x:v>
      </x:c>
      <x:c r="G1402">
        <x:v>90</x:v>
      </x:c>
      <x:c r="H1402">
        <x:v>39</x:v>
      </x:c>
      <x:c r="I1402">
        <x:v>77</x:v>
      </x:c>
      <x:c r="J1402">
        <x:v>81</x:v>
      </x:c>
      <x:c r="K1402">
        <x:v>87</x:v>
      </x:c>
      <x:c r="L1402">
        <x:v>39</x:v>
      </x:c>
      <x:c r="M1402">
        <x:v>76</x:v>
      </x:c>
      <x:c r="N1402">
        <x:v>41</x:v>
      </x:c>
      <x:c r="O1402">
        <x:v>41</x:v>
      </x:c>
      <x:c r="P1402">
        <x:v>61</x:v>
      </x:c>
      <x:c r="Q1402">
        <x:v>60</x:v>
      </x:c>
      <x:c r="R1402">
        <x:v>68</x:v>
      </x:c>
      <x:c r="S1402">
        <x:v>69</x:v>
      </x:c>
      <x:c r="T1402">
        <x:v>51</x:v>
      </x:c>
      <x:c r="U1402">
        <x:v>47</x:v>
      </x:c>
    </x:row>
    <x:row r="1403">
      <x:c r="A1403" t="s">
        <x:v>1762</x:v>
      </x:c>
      <x:c r="C1403" t="s">
        <x:v>319</x:v>
      </x:c>
      <x:c r="D1403">
        <x:v>8484125</x:v>
      </x:c>
      <x:c r="E1403">
        <x:v>58</x:v>
      </x:c>
      <x:c r="F1403">
        <x:v>34</x:v>
      </x:c>
      <x:c r="G1403">
        <x:v>84</x:v>
      </x:c>
      <x:c r="H1403">
        <x:v>40</x:v>
      </x:c>
      <x:c r="I1403">
        <x:v>82</x:v>
      </x:c>
      <x:c r="J1403">
        <x:v>87</x:v>
      </x:c>
      <x:c r="K1403">
        <x:v>89</x:v>
      </x:c>
      <x:c r="L1403">
        <x:v>39</x:v>
      </x:c>
      <x:c r="M1403">
        <x:v>79</x:v>
      </x:c>
      <x:c r="N1403">
        <x:v>43</x:v>
      </x:c>
      <x:c r="O1403">
        <x:v>42</x:v>
      </x:c>
      <x:c r="P1403">
        <x:v>60</x:v>
      </x:c>
      <x:c r="Q1403">
        <x:v>63</x:v>
      </x:c>
      <x:c r="R1403">
        <x:v>67</x:v>
      </x:c>
      <x:c r="S1403">
        <x:v>67</x:v>
      </x:c>
      <x:c r="T1403">
        <x:v>51</x:v>
      </x:c>
      <x:c r="U1403">
        <x:v>47</x:v>
      </x:c>
    </x:row>
    <x:row r="1404">
      <x:c r="A1404" t="s">
        <x:v>1763</x:v>
      </x:c>
      <x:c r="C1404" t="s">
        <x:v>326</x:v>
      </x:c>
      <x:c r="D1404">
        <x:v>8485045</x:v>
      </x:c>
      <x:c r="E1404">
        <x:v>64</x:v>
      </x:c>
      <x:c r="F1404">
        <x:v>40</x:v>
      </x:c>
      <x:c r="G1404">
        <x:v>81</x:v>
      </x:c>
      <x:c r="H1404">
        <x:v>39</x:v>
      </x:c>
      <x:c r="I1404">
        <x:v>83</x:v>
      </x:c>
      <x:c r="J1404">
        <x:v>72</x:v>
      </x:c>
      <x:c r="K1404">
        <x:v>75</x:v>
      </x:c>
      <x:c r="L1404">
        <x:v>40</x:v>
      </x:c>
      <x:c r="M1404">
        <x:v>67</x:v>
      </x:c>
      <x:c r="N1404">
        <x:v>41</x:v>
      </x:c>
      <x:c r="O1404">
        <x:v>42</x:v>
      </x:c>
      <x:c r="P1404">
        <x:v>62</x:v>
      </x:c>
      <x:c r="Q1404">
        <x:v>60</x:v>
      </x:c>
      <x:c r="R1404">
        <x:v>65</x:v>
      </x:c>
      <x:c r="S1404">
        <x:v>64</x:v>
      </x:c>
      <x:c r="T1404">
        <x:v>51</x:v>
      </x:c>
      <x:c r="U1404">
        <x:v>47</x:v>
      </x:c>
    </x:row>
    <x:row r="1405">
      <x:c r="A1405" t="s">
        <x:v>1764</x:v>
      </x:c>
      <x:c r="C1405" t="s">
        <x:v>339</x:v>
      </x:c>
      <x:c r="D1405">
        <x:v>8484310</x:v>
      </x:c>
      <x:c r="E1405">
        <x:v>60</x:v>
      </x:c>
      <x:c r="F1405">
        <x:v>34</x:v>
      </x:c>
      <x:c r="G1405">
        <x:v>78</x:v>
      </x:c>
      <x:c r="H1405">
        <x:v>40</x:v>
      </x:c>
      <x:c r="I1405">
        <x:v>82</x:v>
      </x:c>
      <x:c r="J1405">
        <x:v>88</x:v>
      </x:c>
      <x:c r="K1405">
        <x:v>93</x:v>
      </x:c>
      <x:c r="L1405">
        <x:v>40</x:v>
      </x:c>
      <x:c r="M1405">
        <x:v>56</x:v>
      </x:c>
      <x:c r="N1405">
        <x:v>43</x:v>
      </x:c>
      <x:c r="O1405">
        <x:v>41</x:v>
      </x:c>
      <x:c r="P1405">
        <x:v>59</x:v>
      </x:c>
      <x:c r="Q1405">
        <x:v>62</x:v>
      </x:c>
      <x:c r="R1405">
        <x:v>67</x:v>
      </x:c>
      <x:c r="S1405">
        <x:v>67</x:v>
      </x:c>
      <x:c r="T1405">
        <x:v>51</x:v>
      </x:c>
      <x:c r="U1405">
        <x:v>47</x:v>
      </x:c>
    </x:row>
    <x:row r="1406">
      <x:c r="A1406" t="s">
        <x:v>1765</x:v>
      </x:c>
      <x:c r="C1406" t="s">
        <x:v>326</x:v>
      </x:c>
      <x:c r="D1406">
        <x:v>8484533</x:v>
      </x:c>
      <x:c r="E1406">
        <x:v>74</x:v>
      </x:c>
      <x:c r="F1406">
        <x:v>60</x:v>
      </x:c>
      <x:c r="G1406">
        <x:v>76</x:v>
      </x:c>
      <x:c r="H1406">
        <x:v>38</x:v>
      </x:c>
      <x:c r="I1406">
        <x:v>84</x:v>
      </x:c>
      <x:c r="J1406">
        <x:v>88</x:v>
      </x:c>
      <x:c r="K1406">
        <x:v>92</x:v>
      </x:c>
      <x:c r="L1406">
        <x:v>37</x:v>
      </x:c>
      <x:c r="M1406">
        <x:v>67</x:v>
      </x:c>
      <x:c r="N1406">
        <x:v>42</x:v>
      </x:c>
      <x:c r="O1406">
        <x:v>40</x:v>
      </x:c>
      <x:c r="P1406">
        <x:v>58</x:v>
      </x:c>
      <x:c r="Q1406">
        <x:v>60</x:v>
      </x:c>
      <x:c r="R1406">
        <x:v>65</x:v>
      </x:c>
      <x:c r="S1406">
        <x:v>65</x:v>
      </x:c>
      <x:c r="T1406">
        <x:v>51</x:v>
      </x:c>
      <x:c r="U1406">
        <x:v>47</x:v>
      </x:c>
    </x:row>
    <x:row r="1407">
      <x:c r="A1407" t="s">
        <x:v>1766</x:v>
      </x:c>
      <x:c r="C1407" t="s">
        <x:v>358</x:v>
      </x:c>
      <x:c r="D1407">
        <x:v>8484187</x:v>
      </x:c>
      <x:c r="E1407">
        <x:v>60</x:v>
      </x:c>
      <x:c r="F1407">
        <x:v>46</x:v>
      </x:c>
      <x:c r="G1407">
        <x:v>71</x:v>
      </x:c>
      <x:c r="H1407">
        <x:v>40</x:v>
      </x:c>
      <x:c r="I1407">
        <x:v>77</x:v>
      </x:c>
      <x:c r="J1407">
        <x:v>74</x:v>
      </x:c>
      <x:c r="K1407">
        <x:v>77</x:v>
      </x:c>
      <x:c r="L1407">
        <x:v>41</x:v>
      </x:c>
      <x:c r="M1407">
        <x:v>60</x:v>
      </x:c>
      <x:c r="N1407">
        <x:v>41</x:v>
      </x:c>
      <x:c r="O1407">
        <x:v>44</x:v>
      </x:c>
      <x:c r="P1407">
        <x:v>60</x:v>
      </x:c>
      <x:c r="Q1407">
        <x:v>62</x:v>
      </x:c>
      <x:c r="R1407">
        <x:v>65</x:v>
      </x:c>
      <x:c r="S1407">
        <x:v>65</x:v>
      </x:c>
      <x:c r="T1407">
        <x:v>51</x:v>
      </x:c>
      <x:c r="U1407">
        <x:v>47</x:v>
      </x:c>
    </x:row>
    <x:row r="1408">
      <x:c r="A1408" t="s">
        <x:v>1767</x:v>
      </x:c>
      <x:c r="C1408" t="s">
        <x:v>329</x:v>
      </x:c>
      <x:c r="D1408">
        <x:v>8482082</x:v>
      </x:c>
      <x:c r="E1408">
        <x:v>62</x:v>
      </x:c>
      <x:c r="F1408">
        <x:v>35</x:v>
      </x:c>
      <x:c r="G1408">
        <x:v>92</x:v>
      </x:c>
      <x:c r="H1408">
        <x:v>40</x:v>
      </x:c>
      <x:c r="I1408">
        <x:v>81</x:v>
      </x:c>
      <x:c r="J1408">
        <x:v>84</x:v>
      </x:c>
      <x:c r="K1408">
        <x:v>86</x:v>
      </x:c>
      <x:c r="L1408">
        <x:v>41</x:v>
      </x:c>
      <x:c r="M1408">
        <x:v>63</x:v>
      </x:c>
      <x:c r="N1408">
        <x:v>41</x:v>
      </x:c>
      <x:c r="O1408">
        <x:v>43</x:v>
      </x:c>
      <x:c r="P1408">
        <x:v>59</x:v>
      </x:c>
      <x:c r="Q1408">
        <x:v>62</x:v>
      </x:c>
      <x:c r="R1408">
        <x:v>68</x:v>
      </x:c>
      <x:c r="S1408">
        <x:v>69</x:v>
      </x:c>
      <x:c r="T1408">
        <x:v>51</x:v>
      </x:c>
      <x:c r="U1408">
        <x:v>47</x:v>
      </x:c>
    </x:row>
    <x:row r="1409">
      <x:c r="A1409" t="s">
        <x:v>1768</x:v>
      </x:c>
      <x:c r="C1409" t="s">
        <x:v>319</x:v>
      </x:c>
      <x:c r="D1409">
        <x:v>8482219</x:v>
      </x:c>
      <x:c r="E1409">
        <x:v>58</x:v>
      </x:c>
      <x:c r="F1409">
        <x:v>37</x:v>
      </x:c>
      <x:c r="G1409">
        <x:v>92</x:v>
      </x:c>
      <x:c r="H1409">
        <x:v>40</x:v>
      </x:c>
      <x:c r="I1409">
        <x:v>81</x:v>
      </x:c>
      <x:c r="J1409">
        <x:v>75</x:v>
      </x:c>
      <x:c r="K1409">
        <x:v>78</x:v>
      </x:c>
      <x:c r="L1409">
        <x:v>41</x:v>
      </x:c>
      <x:c r="M1409">
        <x:v>59</x:v>
      </x:c>
      <x:c r="N1409">
        <x:v>40</x:v>
      </x:c>
      <x:c r="O1409">
        <x:v>44</x:v>
      </x:c>
      <x:c r="P1409">
        <x:v>59</x:v>
      </x:c>
      <x:c r="Q1409">
        <x:v>61</x:v>
      </x:c>
      <x:c r="R1409">
        <x:v>66</x:v>
      </x:c>
      <x:c r="S1409">
        <x:v>66</x:v>
      </x:c>
      <x:c r="T1409">
        <x:v>51</x:v>
      </x:c>
      <x:c r="U1409">
        <x:v>47</x:v>
      </x:c>
    </x:row>
    <x:row r="1410">
      <x:c r="A1410" t="s">
        <x:v>1769</x:v>
      </x:c>
      <x:c r="C1410" t="s">
        <x:v>326</x:v>
      </x:c>
      <x:c r="D1410">
        <x:v>8483488</x:v>
      </x:c>
      <x:c r="E1410">
        <x:v>57</x:v>
      </x:c>
      <x:c r="F1410">
        <x:v>32</x:v>
      </x:c>
      <x:c r="G1410">
        <x:v>87</x:v>
      </x:c>
      <x:c r="H1410">
        <x:v>42</x:v>
      </x:c>
      <x:c r="I1410">
        <x:v>77</x:v>
      </x:c>
      <x:c r="J1410">
        <x:v>87</x:v>
      </x:c>
      <x:c r="K1410">
        <x:v>93</x:v>
      </x:c>
      <x:c r="L1410">
        <x:v>42</x:v>
      </x:c>
      <x:c r="M1410">
        <x:v>64</x:v>
      </x:c>
      <x:c r="N1410">
        <x:v>43</x:v>
      </x:c>
      <x:c r="O1410">
        <x:v>42</x:v>
      </x:c>
      <x:c r="P1410">
        <x:v>61</x:v>
      </x:c>
      <x:c r="Q1410">
        <x:v>62</x:v>
      </x:c>
      <x:c r="R1410">
        <x:v>65</x:v>
      </x:c>
      <x:c r="S1410">
        <x:v>65</x:v>
      </x:c>
      <x:c r="T1410">
        <x:v>51</x:v>
      </x:c>
      <x:c r="U1410">
        <x:v>47</x:v>
      </x:c>
    </x:row>
    <x:row r="1411">
      <x:c r="A1411" t="s">
        <x:v>1770</x:v>
      </x:c>
      <x:c r="C1411" t="s">
        <x:v>329</x:v>
      </x:c>
      <x:c r="D1411">
        <x:v>8485253</x:v>
      </x:c>
      <x:c r="E1411">
        <x:v>70</x:v>
      </x:c>
      <x:c r="F1411">
        <x:v>36</x:v>
      </x:c>
      <x:c r="G1411">
        <x:v>94</x:v>
      </x:c>
      <x:c r="H1411">
        <x:v>39</x:v>
      </x:c>
      <x:c r="I1411">
        <x:v>77</x:v>
      </x:c>
      <x:c r="J1411">
        <x:v>73</x:v>
      </x:c>
      <x:c r="K1411">
        <x:v>76</x:v>
      </x:c>
      <x:c r="L1411">
        <x:v>40</x:v>
      </x:c>
      <x:c r="M1411">
        <x:v>66</x:v>
      </x:c>
      <x:c r="N1411">
        <x:v>42</x:v>
      </x:c>
      <x:c r="O1411">
        <x:v>40</x:v>
      </x:c>
      <x:c r="P1411">
        <x:v>64</x:v>
      </x:c>
      <x:c r="Q1411">
        <x:v>60</x:v>
      </x:c>
      <x:c r="R1411">
        <x:v>69</x:v>
      </x:c>
      <x:c r="S1411">
        <x:v>69</x:v>
      </x:c>
      <x:c r="T1411">
        <x:v>51</x:v>
      </x:c>
      <x:c r="U1411">
        <x:v>47</x:v>
      </x:c>
    </x:row>
    <x:row r="1412">
      <x:c r="A1412" t="s">
        <x:v>1771</x:v>
      </x:c>
      <x:c r="C1412" t="s">
        <x:v>358</x:v>
      </x:c>
      <x:c r="D1412">
        <x:v>8484408</x:v>
      </x:c>
      <x:c r="E1412">
        <x:v>76</x:v>
      </x:c>
      <x:c r="F1412">
        <x:v>46</x:v>
      </x:c>
      <x:c r="G1412">
        <x:v>75</x:v>
      </x:c>
      <x:c r="H1412">
        <x:v>38</x:v>
      </x:c>
      <x:c r="I1412">
        <x:v>84</x:v>
      </x:c>
      <x:c r="J1412">
        <x:v>78</x:v>
      </x:c>
      <x:c r="K1412">
        <x:v>81</x:v>
      </x:c>
      <x:c r="L1412">
        <x:v>39</x:v>
      </x:c>
      <x:c r="M1412">
        <x:v>58</x:v>
      </x:c>
      <x:c r="N1412">
        <x:v>40</x:v>
      </x:c>
      <x:c r="O1412">
        <x:v>42</x:v>
      </x:c>
      <x:c r="P1412">
        <x:v>62</x:v>
      </x:c>
      <x:c r="Q1412">
        <x:v>60</x:v>
      </x:c>
      <x:c r="R1412">
        <x:v>65</x:v>
      </x:c>
      <x:c r="S1412">
        <x:v>65</x:v>
      </x:c>
      <x:c r="T1412">
        <x:v>51</x:v>
      </x:c>
      <x:c r="U1412">
        <x:v>47</x:v>
      </x:c>
    </x:row>
    <x:row r="1413">
      <x:c r="A1413" t="s">
        <x:v>1772</x:v>
      </x:c>
      <x:c r="B1413" t="s">
        <x:v>584</x:v>
      </x:c>
      <x:c r="C1413" t="s">
        <x:v>326</x:v>
      </x:c>
      <x:c r="D1413">
        <x:v>8481741</x:v>
      </x:c>
      <x:c r="E1413">
        <x:v>61</x:v>
      </x:c>
      <x:c r="F1413">
        <x:v>38</x:v>
      </x:c>
      <x:c r="G1413">
        <x:v>85</x:v>
      </x:c>
      <x:c r="H1413">
        <x:v>39</x:v>
      </x:c>
      <x:c r="I1413">
        <x:v>79</x:v>
      </x:c>
      <x:c r="J1413">
        <x:v>79</x:v>
      </x:c>
      <x:c r="K1413">
        <x:v>83</x:v>
      </x:c>
      <x:c r="L1413">
        <x:v>39</x:v>
      </x:c>
      <x:c r="M1413">
        <x:v>53</x:v>
      </x:c>
      <x:c r="N1413">
        <x:v>42</x:v>
      </x:c>
      <x:c r="O1413">
        <x:v>42</x:v>
      </x:c>
      <x:c r="P1413">
        <x:v>59</x:v>
      </x:c>
      <x:c r="Q1413">
        <x:v>61</x:v>
      </x:c>
      <x:c r="R1413">
        <x:v>67</x:v>
      </x:c>
      <x:c r="S1413">
        <x:v>66</x:v>
      </x:c>
      <x:c r="T1413">
        <x:v>51</x:v>
      </x:c>
      <x:c r="U1413">
        <x:v>47</x:v>
      </x:c>
    </x:row>
    <x:row r="1414">
      <x:c r="A1414" t="s">
        <x:v>1773</x:v>
      </x:c>
      <x:c r="C1414" t="s">
        <x:v>319</x:v>
      </x:c>
      <x:c r="D1414">
        <x:v>8485368</x:v>
      </x:c>
      <x:c r="E1414">
        <x:v>69</x:v>
      </x:c>
      <x:c r="F1414">
        <x:v>45</x:v>
      </x:c>
      <x:c r="G1414">
        <x:v>72</x:v>
      </x:c>
      <x:c r="H1414">
        <x:v>39</x:v>
      </x:c>
      <x:c r="I1414">
        <x:v>80</x:v>
      </x:c>
      <x:c r="J1414">
        <x:v>75</x:v>
      </x:c>
      <x:c r="K1414">
        <x:v>78</x:v>
      </x:c>
      <x:c r="L1414">
        <x:v>39</x:v>
      </x:c>
      <x:c r="M1414">
        <x:v>74</x:v>
      </x:c>
      <x:c r="N1414">
        <x:v>44</x:v>
      </x:c>
      <x:c r="O1414">
        <x:v>40</x:v>
      </x:c>
      <x:c r="P1414">
        <x:v>59</x:v>
      </x:c>
      <x:c r="Q1414">
        <x:v>61</x:v>
      </x:c>
      <x:c r="R1414">
        <x:v>64</x:v>
      </x:c>
      <x:c r="S1414">
        <x:v>64</x:v>
      </x:c>
      <x:c r="T1414">
        <x:v>56</x:v>
      </x:c>
      <x:c r="U1414">
        <x:v>47</x:v>
      </x:c>
    </x:row>
    <x:row r="1415">
      <x:c r="A1415" t="s">
        <x:v>1774</x:v>
      </x:c>
      <x:c r="C1415" t="s">
        <x:v>333</x:v>
      </x:c>
      <x:c r="D1415">
        <x:v>8484195</x:v>
      </x:c>
      <x:c r="E1415">
        <x:v>63</x:v>
      </x:c>
      <x:c r="F1415">
        <x:v>39</x:v>
      </x:c>
      <x:c r="G1415">
        <x:v>83</x:v>
      </x:c>
      <x:c r="H1415">
        <x:v>39</x:v>
      </x:c>
      <x:c r="I1415">
        <x:v>81</x:v>
      </x:c>
      <x:c r="J1415">
        <x:v>84</x:v>
      </x:c>
      <x:c r="K1415">
        <x:v>88</x:v>
      </x:c>
      <x:c r="L1415">
        <x:v>40</x:v>
      </x:c>
      <x:c r="M1415">
        <x:v>58</x:v>
      </x:c>
      <x:c r="N1415">
        <x:v>42</x:v>
      </x:c>
      <x:c r="O1415">
        <x:v>40</x:v>
      </x:c>
      <x:c r="P1415">
        <x:v>62</x:v>
      </x:c>
      <x:c r="Q1415">
        <x:v>60</x:v>
      </x:c>
      <x:c r="R1415">
        <x:v>65</x:v>
      </x:c>
      <x:c r="S1415">
        <x:v>64</x:v>
      </x:c>
      <x:c r="T1415">
        <x:v>51</x:v>
      </x:c>
      <x:c r="U1415">
        <x:v>47</x:v>
      </x:c>
    </x:row>
    <x:row r="1416">
      <x:c r="A1416" t="s">
        <x:v>1775</x:v>
      </x:c>
      <x:c r="C1416" t="s">
        <x:v>326</x:v>
      </x:c>
      <x:c r="D1416">
        <x:v>8483461</x:v>
      </x:c>
      <x:c r="E1416">
        <x:v>62</x:v>
      </x:c>
      <x:c r="F1416">
        <x:v>41</x:v>
      </x:c>
      <x:c r="G1416">
        <x:v>74</x:v>
      </x:c>
      <x:c r="H1416">
        <x:v>40</x:v>
      </x:c>
      <x:c r="I1416">
        <x:v>82</x:v>
      </x:c>
      <x:c r="J1416">
        <x:v>78</x:v>
      </x:c>
      <x:c r="K1416">
        <x:v>82</x:v>
      </x:c>
      <x:c r="L1416">
        <x:v>39</x:v>
      </x:c>
      <x:c r="M1416">
        <x:v>65</x:v>
      </x:c>
      <x:c r="N1416">
        <x:v>42</x:v>
      </x:c>
      <x:c r="O1416">
        <x:v>41</x:v>
      </x:c>
      <x:c r="P1416">
        <x:v>59</x:v>
      </x:c>
      <x:c r="Q1416">
        <x:v>60</x:v>
      </x:c>
      <x:c r="R1416">
        <x:v>65</x:v>
      </x:c>
      <x:c r="S1416">
        <x:v>64</x:v>
      </x:c>
      <x:c r="T1416">
        <x:v>51</x:v>
      </x:c>
      <x:c r="U1416">
        <x:v>47</x:v>
      </x:c>
    </x:row>
    <x:row r="1417">
      <x:c r="A1417" t="s">
        <x:v>1776</x:v>
      </x:c>
      <x:c r="B1417" t="s">
        <x:v>584</x:v>
      </x:c>
      <x:c r="C1417" t="s">
        <x:v>319</x:v>
      </x:c>
      <x:c r="D1417">
        <x:v>8485772</x:v>
      </x:c>
      <x:c r="E1417">
        <x:v>62</x:v>
      </x:c>
      <x:c r="F1417">
        <x:v>38</x:v>
      </x:c>
      <x:c r="G1417">
        <x:v>85</x:v>
      </x:c>
      <x:c r="H1417">
        <x:v>40</x:v>
      </x:c>
      <x:c r="I1417">
        <x:v>81</x:v>
      </x:c>
      <x:c r="J1417">
        <x:v>75</x:v>
      </x:c>
      <x:c r="K1417">
        <x:v>78</x:v>
      </x:c>
      <x:c r="L1417">
        <x:v>40</x:v>
      </x:c>
      <x:c r="M1417">
        <x:v>54</x:v>
      </x:c>
      <x:c r="N1417">
        <x:v>42</x:v>
      </x:c>
      <x:c r="O1417">
        <x:v>43</x:v>
      </x:c>
      <x:c r="P1417">
        <x:v>60</x:v>
      </x:c>
      <x:c r="Q1417">
        <x:v>62</x:v>
      </x:c>
      <x:c r="R1417">
        <x:v>69</x:v>
      </x:c>
      <x:c r="S1417">
        <x:v>70</x:v>
      </x:c>
      <x:c r="T1417">
        <x:v>51</x:v>
      </x:c>
      <x:c r="U1417">
        <x:v>47</x:v>
      </x:c>
    </x:row>
    <x:row r="1418">
      <x:c r="A1418" t="s">
        <x:v>1777</x:v>
      </x:c>
      <x:c r="C1418" t="s">
        <x:v>323</x:v>
      </x:c>
      <x:c r="E1418">
        <x:v>60</x:v>
      </x:c>
      <x:c r="F1418">
        <x:v>37</x:v>
      </x:c>
      <x:c r="G1418">
        <x:v>79</x:v>
      </x:c>
      <x:c r="H1418">
        <x:v>39</x:v>
      </x:c>
      <x:c r="I1418">
        <x:v>83</x:v>
      </x:c>
      <x:c r="J1418">
        <x:v>85</x:v>
      </x:c>
      <x:c r="K1418">
        <x:v>89</x:v>
      </x:c>
      <x:c r="L1418">
        <x:v>40</x:v>
      </x:c>
      <x:c r="M1418">
        <x:v>62</x:v>
      </x:c>
      <x:c r="N1418">
        <x:v>41</x:v>
      </x:c>
      <x:c r="O1418">
        <x:v>40</x:v>
      </x:c>
      <x:c r="P1418">
        <x:v>62</x:v>
      </x:c>
      <x:c r="Q1418">
        <x:v>59</x:v>
      </x:c>
      <x:c r="R1418">
        <x:v>68</x:v>
      </x:c>
      <x:c r="S1418">
        <x:v>67</x:v>
      </x:c>
      <x:c r="T1418">
        <x:v>51</x:v>
      </x:c>
      <x:c r="U1418">
        <x:v>47</x:v>
      </x:c>
    </x:row>
    <x:row r="1419">
      <x:c r="A1419" t="s">
        <x:v>1778</x:v>
      </x:c>
      <x:c r="C1419" t="s">
        <x:v>358</x:v>
      </x:c>
      <x:c r="D1419">
        <x:v>8482512</x:v>
      </x:c>
      <x:c r="E1419">
        <x:v>61</x:v>
      </x:c>
      <x:c r="F1419">
        <x:v>39</x:v>
      </x:c>
      <x:c r="G1419">
        <x:v>81</x:v>
      </x:c>
      <x:c r="H1419">
        <x:v>40</x:v>
      </x:c>
      <x:c r="I1419">
        <x:v>80</x:v>
      </x:c>
      <x:c r="J1419">
        <x:v>89</x:v>
      </x:c>
      <x:c r="K1419">
        <x:v>93</x:v>
      </x:c>
      <x:c r="L1419">
        <x:v>40</x:v>
      </x:c>
      <x:c r="M1419">
        <x:v>63</x:v>
      </x:c>
      <x:c r="N1419">
        <x:v>43</x:v>
      </x:c>
      <x:c r="O1419">
        <x:v>42</x:v>
      </x:c>
      <x:c r="P1419">
        <x:v>58</x:v>
      </x:c>
      <x:c r="Q1419">
        <x:v>62</x:v>
      </x:c>
      <x:c r="R1419">
        <x:v>66</x:v>
      </x:c>
      <x:c r="S1419">
        <x:v>66</x:v>
      </x:c>
      <x:c r="T1419">
        <x:v>40</x:v>
      </x:c>
      <x:c r="U1419">
        <x:v>47</x:v>
      </x:c>
    </x:row>
    <x:row r="1420">
      <x:c r="A1420" t="s">
        <x:v>1779</x:v>
      </x:c>
      <x:c r="C1420" t="s">
        <x:v>319</x:v>
      </x:c>
      <x:c r="D1420">
        <x:v>8483844</x:v>
      </x:c>
      <x:c r="E1420">
        <x:v>61</x:v>
      </x:c>
      <x:c r="F1420">
        <x:v>38</x:v>
      </x:c>
      <x:c r="G1420">
        <x:v>83</x:v>
      </x:c>
      <x:c r="H1420">
        <x:v>38</x:v>
      </x:c>
      <x:c r="I1420">
        <x:v>80</x:v>
      </x:c>
      <x:c r="J1420">
        <x:v>77</x:v>
      </x:c>
      <x:c r="K1420">
        <x:v>80</x:v>
      </x:c>
      <x:c r="L1420">
        <x:v>37</x:v>
      </x:c>
      <x:c r="M1420">
        <x:v>62</x:v>
      </x:c>
      <x:c r="N1420">
        <x:v>42</x:v>
      </x:c>
      <x:c r="O1420">
        <x:v>40</x:v>
      </x:c>
      <x:c r="P1420">
        <x:v>62</x:v>
      </x:c>
      <x:c r="Q1420">
        <x:v>60</x:v>
      </x:c>
      <x:c r="R1420">
        <x:v>66</x:v>
      </x:c>
      <x:c r="S1420">
        <x:v>76</x:v>
      </x:c>
      <x:c r="T1420">
        <x:v>51</x:v>
      </x:c>
      <x:c r="U1420">
        <x:v>47</x:v>
      </x:c>
    </x:row>
    <x:row r="1421">
      <x:c r="A1421" t="s">
        <x:v>1780</x:v>
      </x:c>
      <x:c r="C1421" t="s">
        <x:v>326</x:v>
      </x:c>
      <x:c r="D1421">
        <x:v>8482714</x:v>
      </x:c>
      <x:c r="E1421">
        <x:v>64</x:v>
      </x:c>
      <x:c r="F1421">
        <x:v>32</x:v>
      </x:c>
      <x:c r="G1421">
        <x:v>74</x:v>
      </x:c>
      <x:c r="H1421">
        <x:v>40</x:v>
      </x:c>
      <x:c r="I1421">
        <x:v>79</x:v>
      </x:c>
      <x:c r="J1421">
        <x:v>79</x:v>
      </x:c>
      <x:c r="K1421">
        <x:v>79</x:v>
      </x:c>
      <x:c r="L1421">
        <x:v>39</x:v>
      </x:c>
      <x:c r="M1421">
        <x:v>55</x:v>
      </x:c>
      <x:c r="N1421">
        <x:v>43</x:v>
      </x:c>
      <x:c r="O1421">
        <x:v>42</x:v>
      </x:c>
      <x:c r="P1421">
        <x:v>60</x:v>
      </x:c>
      <x:c r="Q1421">
        <x:v>62</x:v>
      </x:c>
      <x:c r="R1421">
        <x:v>66</x:v>
      </x:c>
      <x:c r="S1421">
        <x:v>67</x:v>
      </x:c>
      <x:c r="T1421">
        <x:v>51</x:v>
      </x:c>
      <x:c r="U1421">
        <x:v>47</x:v>
      </x:c>
    </x:row>
    <x:row r="1422">
      <x:c r="A1422" t="s">
        <x:v>1781</x:v>
      </x:c>
      <x:c r="C1422" t="s">
        <x:v>319</x:v>
      </x:c>
      <x:c r="D1422">
        <x:v>8484830</x:v>
      </x:c>
      <x:c r="E1422">
        <x:v>58</x:v>
      </x:c>
      <x:c r="F1422">
        <x:v>40</x:v>
      </x:c>
      <x:c r="G1422">
        <x:v>80</x:v>
      </x:c>
      <x:c r="H1422">
        <x:v>39</x:v>
      </x:c>
      <x:c r="I1422">
        <x:v>80</x:v>
      </x:c>
      <x:c r="J1422">
        <x:v>84</x:v>
      </x:c>
      <x:c r="K1422">
        <x:v>88</x:v>
      </x:c>
      <x:c r="L1422">
        <x:v>40</x:v>
      </x:c>
      <x:c r="M1422">
        <x:v>64</x:v>
      </x:c>
      <x:c r="N1422">
        <x:v>41</x:v>
      </x:c>
      <x:c r="O1422">
        <x:v>42</x:v>
      </x:c>
      <x:c r="P1422">
        <x:v>59</x:v>
      </x:c>
      <x:c r="Q1422">
        <x:v>60</x:v>
      </x:c>
      <x:c r="R1422">
        <x:v>67</x:v>
      </x:c>
      <x:c r="S1422">
        <x:v>67</x:v>
      </x:c>
      <x:c r="T1422">
        <x:v>51</x:v>
      </x:c>
      <x:c r="U1422">
        <x:v>47</x:v>
      </x:c>
    </x:row>
    <x:row r="1423">
      <x:c r="A1423" t="s">
        <x:v>1782</x:v>
      </x:c>
      <x:c r="C1423" t="s">
        <x:v>329</x:v>
      </x:c>
      <x:c r="D1423">
        <x:v>8484107</x:v>
      </x:c>
      <x:c r="E1423">
        <x:v>60</x:v>
      </x:c>
      <x:c r="F1423">
        <x:v>33</x:v>
      </x:c>
      <x:c r="G1423">
        <x:v>88</x:v>
      </x:c>
      <x:c r="H1423">
        <x:v>40</x:v>
      </x:c>
      <x:c r="I1423">
        <x:v>78</x:v>
      </x:c>
      <x:c r="J1423">
        <x:v>82</x:v>
      </x:c>
      <x:c r="K1423">
        <x:v>84</x:v>
      </x:c>
      <x:c r="L1423">
        <x:v>41</x:v>
      </x:c>
      <x:c r="M1423">
        <x:v>75</x:v>
      </x:c>
      <x:c r="N1423">
        <x:v>41</x:v>
      </x:c>
      <x:c r="O1423">
        <x:v>43</x:v>
      </x:c>
      <x:c r="P1423">
        <x:v>63</x:v>
      </x:c>
      <x:c r="Q1423">
        <x:v>61</x:v>
      </x:c>
      <x:c r="R1423">
        <x:v>67</x:v>
      </x:c>
      <x:c r="S1423">
        <x:v>66</x:v>
      </x:c>
      <x:c r="T1423">
        <x:v>51</x:v>
      </x:c>
      <x:c r="U1423">
        <x:v>47</x:v>
      </x:c>
    </x:row>
    <x:row r="1424">
      <x:c r="A1424" t="s">
        <x:v>1783</x:v>
      </x:c>
      <x:c r="B1424" t="s">
        <x:v>584</x:v>
      </x:c>
      <x:c r="C1424" t="s">
        <x:v>339</x:v>
      </x:c>
      <x:c r="D1424">
        <x:v>8481183</x:v>
      </x:c>
      <x:c r="E1424">
        <x:v>71</x:v>
      </x:c>
      <x:c r="F1424">
        <x:v>40</x:v>
      </x:c>
      <x:c r="G1424">
        <x:v>74</x:v>
      </x:c>
      <x:c r="H1424">
        <x:v>37</x:v>
      </x:c>
      <x:c r="I1424">
        <x:v>86</x:v>
      </x:c>
      <x:c r="J1424">
        <x:v>81</x:v>
      </x:c>
      <x:c r="K1424">
        <x:v>83</x:v>
      </x:c>
      <x:c r="L1424">
        <x:v>36</x:v>
      </x:c>
      <x:c r="M1424">
        <x:v>77</x:v>
      </x:c>
      <x:c r="N1424">
        <x:v>40</x:v>
      </x:c>
      <x:c r="O1424">
        <x:v>41</x:v>
      </x:c>
      <x:c r="P1424">
        <x:v>60</x:v>
      </x:c>
      <x:c r="Q1424">
        <x:v>58</x:v>
      </x:c>
      <x:c r="R1424">
        <x:v>69</x:v>
      </x:c>
      <x:c r="S1424">
        <x:v>69</x:v>
      </x:c>
      <x:c r="T1424">
        <x:v>51</x:v>
      </x:c>
      <x:c r="U1424">
        <x:v>47</x:v>
      </x:c>
    </x:row>
    <x:row r="1425">
      <x:c r="A1425" t="s">
        <x:v>1784</x:v>
      </x:c>
      <x:c r="C1425" t="s">
        <x:v>358</x:v>
      </x:c>
      <x:c r="D1425">
        <x:v>8482452</x:v>
      </x:c>
      <x:c r="E1425">
        <x:v>62</x:v>
      </x:c>
      <x:c r="F1425">
        <x:v>36</x:v>
      </x:c>
      <x:c r="G1425">
        <x:v>87</x:v>
      </x:c>
      <x:c r="H1425">
        <x:v>40</x:v>
      </x:c>
      <x:c r="I1425">
        <x:v>76</x:v>
      </x:c>
      <x:c r="J1425">
        <x:v>79</x:v>
      </x:c>
      <x:c r="K1425">
        <x:v>79</x:v>
      </x:c>
      <x:c r="L1425">
        <x:v>41</x:v>
      </x:c>
      <x:c r="M1425">
        <x:v>58</x:v>
      </x:c>
      <x:c r="N1425">
        <x:v>42</x:v>
      </x:c>
      <x:c r="O1425">
        <x:v>40</x:v>
      </x:c>
      <x:c r="P1425">
        <x:v>61</x:v>
      </x:c>
      <x:c r="Q1425">
        <x:v>60</x:v>
      </x:c>
      <x:c r="R1425">
        <x:v>67</x:v>
      </x:c>
      <x:c r="S1425">
        <x:v>66</x:v>
      </x:c>
      <x:c r="T1425">
        <x:v>51</x:v>
      </x:c>
      <x:c r="U1425">
        <x:v>47</x:v>
      </x:c>
    </x:row>
    <x:row r="1426">
      <x:c r="A1426" t="s">
        <x:v>1785</x:v>
      </x:c>
      <x:c r="C1426" t="s">
        <x:v>358</x:v>
      </x:c>
      <x:c r="D1426">
        <x:v>8483390</x:v>
      </x:c>
      <x:c r="E1426">
        <x:v>60</x:v>
      </x:c>
      <x:c r="F1426">
        <x:v>38</x:v>
      </x:c>
      <x:c r="G1426">
        <x:v>78</x:v>
      </x:c>
      <x:c r="H1426">
        <x:v>41</x:v>
      </x:c>
      <x:c r="I1426">
        <x:v>73</x:v>
      </x:c>
      <x:c r="J1426">
        <x:v>89</x:v>
      </x:c>
      <x:c r="K1426">
        <x:v>92</x:v>
      </x:c>
      <x:c r="L1426">
        <x:v>41</x:v>
      </x:c>
      <x:c r="M1426">
        <x:v>57</x:v>
      </x:c>
      <x:c r="N1426">
        <x:v>41</x:v>
      </x:c>
      <x:c r="O1426">
        <x:v>45</x:v>
      </x:c>
      <x:c r="P1426">
        <x:v>59</x:v>
      </x:c>
      <x:c r="Q1426">
        <x:v>63</x:v>
      </x:c>
      <x:c r="R1426">
        <x:v>69</x:v>
      </x:c>
      <x:c r="S1426">
        <x:v>68</x:v>
      </x:c>
      <x:c r="T1426">
        <x:v>51</x:v>
      </x:c>
      <x:c r="U1426">
        <x:v>47</x:v>
      </x:c>
    </x:row>
    <x:row r="1427">
      <x:c r="A1427" t="s">
        <x:v>1786</x:v>
      </x:c>
      <x:c r="C1427" t="s">
        <x:v>333</x:v>
      </x:c>
      <x:c r="D1427">
        <x:v>8485496</x:v>
      </x:c>
      <x:c r="E1427">
        <x:v>72</x:v>
      </x:c>
      <x:c r="F1427">
        <x:v>40</x:v>
      </x:c>
      <x:c r="G1427">
        <x:v>82</x:v>
      </x:c>
      <x:c r="H1427">
        <x:v>38</x:v>
      </x:c>
      <x:c r="I1427">
        <x:v>84</x:v>
      </x:c>
      <x:c r="J1427">
        <x:v>77</x:v>
      </x:c>
      <x:c r="K1427">
        <x:v>81</x:v>
      </x:c>
      <x:c r="L1427">
        <x:v>39</x:v>
      </x:c>
      <x:c r="M1427">
        <x:v>69</x:v>
      </x:c>
      <x:c r="N1427">
        <x:v>40</x:v>
      </x:c>
      <x:c r="O1427">
        <x:v>40</x:v>
      </x:c>
      <x:c r="P1427">
        <x:v>60</x:v>
      </x:c>
      <x:c r="Q1427">
        <x:v>59</x:v>
      </x:c>
      <x:c r="R1427">
        <x:v>68</x:v>
      </x:c>
      <x:c r="S1427">
        <x:v>68</x:v>
      </x:c>
      <x:c r="T1427">
        <x:v>51</x:v>
      </x:c>
      <x:c r="U1427">
        <x:v>47</x:v>
      </x:c>
    </x:row>
    <x:row r="1428">
      <x:c r="A1428" t="s">
        <x:v>1787</x:v>
      </x:c>
      <x:c r="C1428" t="s">
        <x:v>319</x:v>
      </x:c>
      <x:c r="D1428">
        <x:v>8481579</x:v>
      </x:c>
      <x:c r="E1428">
        <x:v>66</x:v>
      </x:c>
      <x:c r="F1428">
        <x:v>37</x:v>
      </x:c>
      <x:c r="G1428">
        <x:v>82</x:v>
      </x:c>
      <x:c r="H1428">
        <x:v>39</x:v>
      </x:c>
      <x:c r="I1428">
        <x:v>77</x:v>
      </x:c>
      <x:c r="J1428">
        <x:v>83</x:v>
      </x:c>
      <x:c r="K1428">
        <x:v>87</x:v>
      </x:c>
      <x:c r="L1428">
        <x:v>39</x:v>
      </x:c>
      <x:c r="M1428">
        <x:v>76</x:v>
      </x:c>
      <x:c r="N1428">
        <x:v>42</x:v>
      </x:c>
      <x:c r="O1428">
        <x:v>41</x:v>
      </x:c>
      <x:c r="P1428">
        <x:v>58</x:v>
      </x:c>
      <x:c r="Q1428">
        <x:v>61</x:v>
      </x:c>
      <x:c r="R1428">
        <x:v>68</x:v>
      </x:c>
      <x:c r="S1428">
        <x:v>67</x:v>
      </x:c>
      <x:c r="T1428">
        <x:v>51</x:v>
      </x:c>
      <x:c r="U1428">
        <x:v>47</x:v>
      </x:c>
    </x:row>
    <x:row r="1429">
      <x:c r="A1429" t="s">
        <x:v>1788</x:v>
      </x:c>
      <x:c r="C1429" t="s">
        <x:v>358</x:v>
      </x:c>
      <x:c r="D1429">
        <x:v>8484566</x:v>
      </x:c>
      <x:c r="E1429">
        <x:v>77</x:v>
      </x:c>
      <x:c r="F1429">
        <x:v>35</x:v>
      </x:c>
      <x:c r="G1429">
        <x:v>77</x:v>
      </x:c>
      <x:c r="H1429">
        <x:v>39</x:v>
      </x:c>
      <x:c r="I1429">
        <x:v>86</x:v>
      </x:c>
      <x:c r="J1429">
        <x:v>82</x:v>
      </x:c>
      <x:c r="K1429">
        <x:v>85</x:v>
      </x:c>
      <x:c r="L1429">
        <x:v>39</x:v>
      </x:c>
      <x:c r="M1429">
        <x:v>60</x:v>
      </x:c>
      <x:c r="N1429">
        <x:v>40</x:v>
      </x:c>
      <x:c r="O1429">
        <x:v>42</x:v>
      </x:c>
      <x:c r="P1429">
        <x:v>59</x:v>
      </x:c>
      <x:c r="Q1429">
        <x:v>60</x:v>
      </x:c>
      <x:c r="R1429">
        <x:v>69</x:v>
      </x:c>
      <x:c r="S1429">
        <x:v>70</x:v>
      </x:c>
      <x:c r="T1429">
        <x:v>51</x:v>
      </x:c>
      <x:c r="U1429">
        <x:v>47</x:v>
      </x:c>
    </x:row>
    <x:row r="1430">
      <x:c r="A1430" t="s">
        <x:v>1789</x:v>
      </x:c>
      <x:c r="C1430" t="s">
        <x:v>319</x:v>
      </x:c>
      <x:c r="D1430">
        <x:v>8482518</x:v>
      </x:c>
      <x:c r="E1430">
        <x:v>64</x:v>
      </x:c>
      <x:c r="F1430">
        <x:v>36</x:v>
      </x:c>
      <x:c r="G1430">
        <x:v>74</x:v>
      </x:c>
      <x:c r="H1430">
        <x:v>40</x:v>
      </x:c>
      <x:c r="I1430">
        <x:v>78</x:v>
      </x:c>
      <x:c r="J1430">
        <x:v>82</x:v>
      </x:c>
      <x:c r="K1430">
        <x:v>88</x:v>
      </x:c>
      <x:c r="L1430">
        <x:v>41</x:v>
      </x:c>
      <x:c r="M1430">
        <x:v>74</x:v>
      </x:c>
      <x:c r="N1430">
        <x:v>41</x:v>
      </x:c>
      <x:c r="O1430">
        <x:v>43</x:v>
      </x:c>
      <x:c r="P1430">
        <x:v>60</x:v>
      </x:c>
      <x:c r="Q1430">
        <x:v>61</x:v>
      </x:c>
      <x:c r="R1430">
        <x:v>67</x:v>
      </x:c>
      <x:c r="S1430">
        <x:v>66</x:v>
      </x:c>
      <x:c r="T1430">
        <x:v>47</x:v>
      </x:c>
      <x:c r="U1430">
        <x:v>47</x:v>
      </x:c>
    </x:row>
    <x:row r="1431">
      <x:c r="A1431" t="s">
        <x:v>1790</x:v>
      </x:c>
      <x:c r="C1431" t="s">
        <x:v>326</x:v>
      </x:c>
      <x:c r="D1431">
        <x:v>8484222</x:v>
      </x:c>
      <x:c r="E1431">
        <x:v>65</x:v>
      </x:c>
      <x:c r="F1431">
        <x:v>36</x:v>
      </x:c>
      <x:c r="G1431">
        <x:v>90</x:v>
      </x:c>
      <x:c r="H1431">
        <x:v>40</x:v>
      </x:c>
      <x:c r="I1431">
        <x:v>75</x:v>
      </x:c>
      <x:c r="J1431">
        <x:v>82</x:v>
      </x:c>
      <x:c r="K1431">
        <x:v>85</x:v>
      </x:c>
      <x:c r="L1431">
        <x:v>40</x:v>
      </x:c>
      <x:c r="M1431">
        <x:v>68</x:v>
      </x:c>
      <x:c r="N1431">
        <x:v>43</x:v>
      </x:c>
      <x:c r="O1431">
        <x:v>44</x:v>
      </x:c>
      <x:c r="P1431">
        <x:v>58</x:v>
      </x:c>
      <x:c r="Q1431">
        <x:v>61</x:v>
      </x:c>
      <x:c r="R1431">
        <x:v>66</x:v>
      </x:c>
      <x:c r="S1431">
        <x:v>65</x:v>
      </x:c>
      <x:c r="T1431">
        <x:v>51</x:v>
      </x:c>
      <x:c r="U1431">
        <x:v>47</x:v>
      </x:c>
    </x:row>
    <x:row r="1432">
      <x:c r="A1432" t="s">
        <x:v>1791</x:v>
      </x:c>
      <x:c r="C1432" t="s">
        <x:v>323</x:v>
      </x:c>
      <x:c r="D1432">
        <x:v>8482976</x:v>
      </x:c>
      <x:c r="E1432">
        <x:v>68</x:v>
      </x:c>
      <x:c r="F1432">
        <x:v>34</x:v>
      </x:c>
      <x:c r="G1432">
        <x:v>78</x:v>
      </x:c>
      <x:c r="H1432">
        <x:v>39</x:v>
      </x:c>
      <x:c r="I1432">
        <x:v>85</x:v>
      </x:c>
      <x:c r="J1432">
        <x:v>79</x:v>
      </x:c>
      <x:c r="K1432">
        <x:v>79</x:v>
      </x:c>
      <x:c r="L1432">
        <x:v>40</x:v>
      </x:c>
      <x:c r="M1432">
        <x:v>72</x:v>
      </x:c>
      <x:c r="N1432">
        <x:v>41</x:v>
      </x:c>
      <x:c r="O1432">
        <x:v>42</x:v>
      </x:c>
      <x:c r="P1432">
        <x:v>61</x:v>
      </x:c>
      <x:c r="Q1432">
        <x:v>61</x:v>
      </x:c>
      <x:c r="R1432">
        <x:v>67</x:v>
      </x:c>
      <x:c r="S1432">
        <x:v>68</x:v>
      </x:c>
      <x:c r="T1432">
        <x:v>51</x:v>
      </x:c>
      <x:c r="U1432">
        <x:v>47</x:v>
      </x:c>
    </x:row>
    <x:row r="1433">
      <x:c r="A1433" t="s">
        <x:v>1792</x:v>
      </x:c>
      <x:c r="C1433" t="s">
        <x:v>333</x:v>
      </x:c>
      <x:c r="D1433">
        <x:v>8485337</x:v>
      </x:c>
      <x:c r="E1433">
        <x:v>59</x:v>
      </x:c>
      <x:c r="F1433">
        <x:v>36</x:v>
      </x:c>
      <x:c r="G1433">
        <x:v>82</x:v>
      </x:c>
      <x:c r="H1433">
        <x:v>38</x:v>
      </x:c>
      <x:c r="I1433">
        <x:v>76</x:v>
      </x:c>
      <x:c r="J1433">
        <x:v>73</x:v>
      </x:c>
      <x:c r="K1433">
        <x:v>75</x:v>
      </x:c>
      <x:c r="L1433">
        <x:v>38</x:v>
      </x:c>
      <x:c r="M1433">
        <x:v>72</x:v>
      </x:c>
      <x:c r="N1433">
        <x:v>42</x:v>
      </x:c>
      <x:c r="O1433">
        <x:v>45</x:v>
      </x:c>
      <x:c r="P1433">
        <x:v>59</x:v>
      </x:c>
      <x:c r="Q1433">
        <x:v>59</x:v>
      </x:c>
      <x:c r="R1433">
        <x:v>69</x:v>
      </x:c>
      <x:c r="S1433">
        <x:v>69</x:v>
      </x:c>
      <x:c r="T1433">
        <x:v>51</x:v>
      </x:c>
      <x:c r="U1433">
        <x:v>47</x:v>
      </x:c>
    </x:row>
    <x:row r="1434">
      <x:c r="A1434" t="s">
        <x:v>1793</x:v>
      </x:c>
      <x:c r="C1434" t="s">
        <x:v>319</x:v>
      </x:c>
      <x:c r="D1434">
        <x:v>8481666</x:v>
      </x:c>
      <x:c r="E1434">
        <x:v>59</x:v>
      </x:c>
      <x:c r="F1434">
        <x:v>39</x:v>
      </x:c>
      <x:c r="G1434">
        <x:v>75</x:v>
      </x:c>
      <x:c r="H1434">
        <x:v>40</x:v>
      </x:c>
      <x:c r="I1434">
        <x:v>77</x:v>
      </x:c>
      <x:c r="J1434">
        <x:v>74</x:v>
      </x:c>
      <x:c r="K1434">
        <x:v>76</x:v>
      </x:c>
      <x:c r="L1434">
        <x:v>39</x:v>
      </x:c>
      <x:c r="M1434">
        <x:v>72</x:v>
      </x:c>
      <x:c r="N1434">
        <x:v>44</x:v>
      </x:c>
      <x:c r="O1434">
        <x:v>39</x:v>
      </x:c>
      <x:c r="P1434">
        <x:v>62</x:v>
      </x:c>
      <x:c r="Q1434">
        <x:v>61</x:v>
      </x:c>
      <x:c r="R1434">
        <x:v>68</x:v>
      </x:c>
      <x:c r="S1434">
        <x:v>68</x:v>
      </x:c>
      <x:c r="T1434">
        <x:v>51</x:v>
      </x:c>
      <x:c r="U1434">
        <x:v>47</x:v>
      </x:c>
    </x:row>
    <x:row r="1435">
      <x:c r="A1435" t="s">
        <x:v>1794</x:v>
      </x:c>
      <x:c r="C1435" t="s">
        <x:v>358</x:v>
      </x:c>
      <x:c r="D1435">
        <x:v>8483519</x:v>
      </x:c>
      <x:c r="E1435">
        <x:v>69</x:v>
      </x:c>
      <x:c r="F1435">
        <x:v>38</x:v>
      </x:c>
      <x:c r="G1435">
        <x:v>83</x:v>
      </x:c>
      <x:c r="H1435">
        <x:v>40</x:v>
      </x:c>
      <x:c r="I1435">
        <x:v>77</x:v>
      </x:c>
      <x:c r="J1435">
        <x:v>78</x:v>
      </x:c>
      <x:c r="K1435">
        <x:v>81</x:v>
      </x:c>
      <x:c r="L1435">
        <x:v>41</x:v>
      </x:c>
      <x:c r="M1435">
        <x:v>72</x:v>
      </x:c>
      <x:c r="N1435">
        <x:v>40</x:v>
      </x:c>
      <x:c r="O1435">
        <x:v>43</x:v>
      </x:c>
      <x:c r="P1435">
        <x:v>62</x:v>
      </x:c>
      <x:c r="Q1435">
        <x:v>60</x:v>
      </x:c>
      <x:c r="R1435">
        <x:v>65</x:v>
      </x:c>
      <x:c r="S1435">
        <x:v>64</x:v>
      </x:c>
      <x:c r="T1435">
        <x:v>51</x:v>
      </x:c>
      <x:c r="U1435">
        <x:v>47</x:v>
      </x:c>
    </x:row>
    <x:row r="1436">
      <x:c r="A1436" t="s">
        <x:v>1795</x:v>
      </x:c>
      <x:c r="C1436" t="s">
        <x:v>326</x:v>
      </x:c>
      <x:c r="D1436">
        <x:v>8483673</x:v>
      </x:c>
      <x:c r="E1436">
        <x:v>64</x:v>
      </x:c>
      <x:c r="F1436">
        <x:v>35</x:v>
      </x:c>
      <x:c r="G1436">
        <x:v>90</x:v>
      </x:c>
      <x:c r="H1436">
        <x:v>39</x:v>
      </x:c>
      <x:c r="I1436">
        <x:v>82</x:v>
      </x:c>
      <x:c r="J1436">
        <x:v>89</x:v>
      </x:c>
      <x:c r="K1436">
        <x:v>93</x:v>
      </x:c>
      <x:c r="L1436">
        <x:v>39</x:v>
      </x:c>
      <x:c r="M1436">
        <x:v>67</x:v>
      </x:c>
      <x:c r="N1436">
        <x:v>41</x:v>
      </x:c>
      <x:c r="O1436">
        <x:v>42</x:v>
      </x:c>
      <x:c r="P1436">
        <x:v>61</x:v>
      </x:c>
      <x:c r="Q1436">
        <x:v>61</x:v>
      </x:c>
      <x:c r="R1436">
        <x:v>65</x:v>
      </x:c>
      <x:c r="S1436">
        <x:v>65</x:v>
      </x:c>
      <x:c r="T1436">
        <x:v>51</x:v>
      </x:c>
      <x:c r="U1436">
        <x:v>47</x:v>
      </x:c>
    </x:row>
    <x:row r="1437">
      <x:c r="A1437" t="s">
        <x:v>1796</x:v>
      </x:c>
      <x:c r="C1437" t="s">
        <x:v>339</x:v>
      </x:c>
      <x:c r="D1437">
        <x:v>8483921</x:v>
      </x:c>
      <x:c r="E1437">
        <x:v>82</x:v>
      </x:c>
      <x:c r="F1437">
        <x:v>33</x:v>
      </x:c>
      <x:c r="G1437">
        <x:v>81</x:v>
      </x:c>
      <x:c r="H1437">
        <x:v>38</x:v>
      </x:c>
      <x:c r="I1437">
        <x:v>88</x:v>
      </x:c>
      <x:c r="J1437">
        <x:v>75</x:v>
      </x:c>
      <x:c r="K1437">
        <x:v>77</x:v>
      </x:c>
      <x:c r="L1437">
        <x:v>39</x:v>
      </x:c>
      <x:c r="M1437">
        <x:v>77</x:v>
      </x:c>
      <x:c r="N1437">
        <x:v>42</x:v>
      </x:c>
      <x:c r="O1437">
        <x:v>40</x:v>
      </x:c>
      <x:c r="P1437">
        <x:v>59</x:v>
      </x:c>
      <x:c r="Q1437">
        <x:v>59</x:v>
      </x:c>
      <x:c r="R1437">
        <x:v>66</x:v>
      </x:c>
      <x:c r="S1437">
        <x:v>65</x:v>
      </x:c>
      <x:c r="T1437">
        <x:v>51</x:v>
      </x:c>
      <x:c r="U1437">
        <x:v>47</x:v>
      </x:c>
    </x:row>
    <x:row r="1438">
      <x:c r="A1438" t="s">
        <x:v>1797</x:v>
      </x:c>
      <x:c r="C1438" t="s">
        <x:v>319</x:v>
      </x:c>
      <x:c r="D1438">
        <x:v>8482198</x:v>
      </x:c>
      <x:c r="E1438">
        <x:v>73</x:v>
      </x:c>
      <x:c r="F1438">
        <x:v>38</x:v>
      </x:c>
      <x:c r="G1438">
        <x:v>94</x:v>
      </x:c>
      <x:c r="H1438">
        <x:v>38</x:v>
      </x:c>
      <x:c r="I1438">
        <x:v>84</x:v>
      </x:c>
      <x:c r="J1438">
        <x:v>73</x:v>
      </x:c>
      <x:c r="K1438">
        <x:v>76</x:v>
      </x:c>
      <x:c r="L1438">
        <x:v>39</x:v>
      </x:c>
      <x:c r="M1438">
        <x:v>70</x:v>
      </x:c>
      <x:c r="N1438">
        <x:v>41</x:v>
      </x:c>
      <x:c r="O1438">
        <x:v>39</x:v>
      </x:c>
      <x:c r="P1438">
        <x:v>62</x:v>
      </x:c>
      <x:c r="Q1438">
        <x:v>58</x:v>
      </x:c>
      <x:c r="R1438">
        <x:v>66</x:v>
      </x:c>
      <x:c r="S1438">
        <x:v>65</x:v>
      </x:c>
      <x:c r="T1438">
        <x:v>51</x:v>
      </x:c>
      <x:c r="U1438">
        <x:v>47</x:v>
      </x:c>
    </x:row>
    <x:row r="1439">
      <x:c r="A1439" t="s">
        <x:v>1798</x:v>
      </x:c>
      <x:c r="C1439" t="s">
        <x:v>319</x:v>
      </x:c>
      <x:c r="D1439">
        <x:v>8481667</x:v>
      </x:c>
      <x:c r="E1439">
        <x:v>62</x:v>
      </x:c>
      <x:c r="F1439">
        <x:v>39</x:v>
      </x:c>
      <x:c r="G1439">
        <x:v>75</x:v>
      </x:c>
      <x:c r="H1439">
        <x:v>40</x:v>
      </x:c>
      <x:c r="I1439">
        <x:v>76</x:v>
      </x:c>
      <x:c r="J1439">
        <x:v>88</x:v>
      </x:c>
      <x:c r="K1439">
        <x:v>89</x:v>
      </x:c>
      <x:c r="L1439">
        <x:v>41</x:v>
      </x:c>
      <x:c r="M1439">
        <x:v>65</x:v>
      </x:c>
      <x:c r="N1439">
        <x:v>41</x:v>
      </x:c>
      <x:c r="O1439">
        <x:v>43</x:v>
      </x:c>
      <x:c r="P1439">
        <x:v>58</x:v>
      </x:c>
      <x:c r="Q1439">
        <x:v>61</x:v>
      </x:c>
      <x:c r="R1439">
        <x:v>68</x:v>
      </x:c>
      <x:c r="S1439">
        <x:v>69</x:v>
      </x:c>
      <x:c r="T1439">
        <x:v>51</x:v>
      </x:c>
      <x:c r="U1439">
        <x:v>47</x:v>
      </x:c>
    </x:row>
    <x:row r="1440">
      <x:c r="A1440" t="s">
        <x:v>1799</x:v>
      </x:c>
      <x:c r="C1440" t="s">
        <x:v>339</x:v>
      </x:c>
      <x:c r="D1440">
        <x:v>8484507</x:v>
      </x:c>
      <x:c r="E1440">
        <x:v>65</x:v>
      </x:c>
      <x:c r="F1440">
        <x:v>46</x:v>
      </x:c>
      <x:c r="G1440">
        <x:v>87</x:v>
      </x:c>
      <x:c r="H1440">
        <x:v>40</x:v>
      </x:c>
      <x:c r="I1440">
        <x:v>76</x:v>
      </x:c>
      <x:c r="J1440">
        <x:v>83</x:v>
      </x:c>
      <x:c r="K1440">
        <x:v>86</x:v>
      </x:c>
      <x:c r="L1440">
        <x:v>39</x:v>
      </x:c>
      <x:c r="M1440">
        <x:v>73</x:v>
      </x:c>
      <x:c r="N1440">
        <x:v>42</x:v>
      </x:c>
      <x:c r="O1440">
        <x:v>43</x:v>
      </x:c>
      <x:c r="P1440">
        <x:v>63</x:v>
      </x:c>
      <x:c r="Q1440">
        <x:v>62</x:v>
      </x:c>
      <x:c r="R1440">
        <x:v>66</x:v>
      </x:c>
      <x:c r="S1440">
        <x:v>65</x:v>
      </x:c>
      <x:c r="T1440">
        <x:v>51</x:v>
      </x:c>
      <x:c r="U1440">
        <x:v>47</x:v>
      </x:c>
    </x:row>
    <x:row r="1441">
      <x:c r="A1441" t="s">
        <x:v>1800</x:v>
      </x:c>
      <x:c r="C1441" t="s">
        <x:v>339</x:v>
      </x:c>
      <x:c r="D1441">
        <x:v>8483218</x:v>
      </x:c>
      <x:c r="E1441">
        <x:v>67</x:v>
      </x:c>
      <x:c r="F1441">
        <x:v>37</x:v>
      </x:c>
      <x:c r="G1441">
        <x:v>71</x:v>
      </x:c>
      <x:c r="H1441">
        <x:v>38</x:v>
      </x:c>
      <x:c r="I1441">
        <x:v>81</x:v>
      </x:c>
      <x:c r="J1441">
        <x:v>77</x:v>
      </x:c>
      <x:c r="K1441">
        <x:v>78</x:v>
      </x:c>
      <x:c r="L1441">
        <x:v>39</x:v>
      </x:c>
      <x:c r="M1441">
        <x:v>76</x:v>
      </x:c>
      <x:c r="N1441">
        <x:v>40</x:v>
      </x:c>
      <x:c r="O1441">
        <x:v>40</x:v>
      </x:c>
      <x:c r="P1441">
        <x:v>57</x:v>
      </x:c>
      <x:c r="Q1441">
        <x:v>59</x:v>
      </x:c>
      <x:c r="R1441">
        <x:v>74</x:v>
      </x:c>
      <x:c r="S1441">
        <x:v>75</x:v>
      </x:c>
      <x:c r="T1441">
        <x:v>51</x:v>
      </x:c>
      <x:c r="U1441">
        <x:v>47</x:v>
      </x:c>
    </x:row>
    <x:row r="1442">
      <x:c r="A1442" t="s">
        <x:v>1801</x:v>
      </x:c>
      <x:c r="C1442" t="s">
        <x:v>319</x:v>
      </x:c>
      <x:c r="D1442">
        <x:v>8483798</x:v>
      </x:c>
      <x:c r="E1442">
        <x:v>60</x:v>
      </x:c>
      <x:c r="F1442">
        <x:v>38</x:v>
      </x:c>
      <x:c r="G1442">
        <x:v>90</x:v>
      </x:c>
      <x:c r="H1442">
        <x:v>39</x:v>
      </x:c>
      <x:c r="I1442">
        <x:v>80</x:v>
      </x:c>
      <x:c r="J1442">
        <x:v>89</x:v>
      </x:c>
      <x:c r="K1442">
        <x:v>93</x:v>
      </x:c>
      <x:c r="L1442">
        <x:v>38</x:v>
      </x:c>
      <x:c r="M1442">
        <x:v>69</x:v>
      </x:c>
      <x:c r="N1442">
        <x:v>42</x:v>
      </x:c>
      <x:c r="O1442">
        <x:v>42</x:v>
      </x:c>
      <x:c r="P1442">
        <x:v>62</x:v>
      </x:c>
      <x:c r="Q1442">
        <x:v>61</x:v>
      </x:c>
      <x:c r="R1442">
        <x:v>66</x:v>
      </x:c>
      <x:c r="S1442">
        <x:v>71</x:v>
      </x:c>
      <x:c r="T1442">
        <x:v>51</x:v>
      </x:c>
      <x:c r="U1442">
        <x:v>47</x:v>
      </x:c>
    </x:row>
    <x:row r="1443">
      <x:c r="A1443" t="s">
        <x:v>1802</x:v>
      </x:c>
      <x:c r="C1443" t="s">
        <x:v>319</x:v>
      </x:c>
      <x:c r="D1443">
        <x:v>8483526</x:v>
      </x:c>
      <x:c r="E1443">
        <x:v>62</x:v>
      </x:c>
      <x:c r="F1443">
        <x:v>33</x:v>
      </x:c>
      <x:c r="G1443">
        <x:v>88</x:v>
      </x:c>
      <x:c r="H1443">
        <x:v>40</x:v>
      </x:c>
      <x:c r="I1443">
        <x:v>81</x:v>
      </x:c>
      <x:c r="J1443">
        <x:v>84</x:v>
      </x:c>
      <x:c r="K1443">
        <x:v>87</x:v>
      </x:c>
      <x:c r="L1443">
        <x:v>41</x:v>
      </x:c>
      <x:c r="M1443">
        <x:v>79</x:v>
      </x:c>
      <x:c r="N1443">
        <x:v>42</x:v>
      </x:c>
      <x:c r="O1443">
        <x:v>43</x:v>
      </x:c>
      <x:c r="P1443">
        <x:v>57</x:v>
      </x:c>
      <x:c r="Q1443">
        <x:v>62</x:v>
      </x:c>
      <x:c r="R1443">
        <x:v>66</x:v>
      </x:c>
      <x:c r="S1443">
        <x:v>65</x:v>
      </x:c>
      <x:c r="T1443">
        <x:v>51</x:v>
      </x:c>
      <x:c r="U1443">
        <x:v>47</x:v>
      </x:c>
    </x:row>
    <x:row r="1444">
      <x:c r="A1444" t="s">
        <x:v>1803</x:v>
      </x:c>
      <x:c r="C1444" t="s">
        <x:v>339</x:v>
      </x:c>
      <x:c r="D1444">
        <x:v>8481078</x:v>
      </x:c>
      <x:c r="E1444">
        <x:v>63</x:v>
      </x:c>
      <x:c r="F1444">
        <x:v>31</x:v>
      </x:c>
      <x:c r="G1444">
        <x:v>84</x:v>
      </x:c>
      <x:c r="H1444">
        <x:v>39</x:v>
      </x:c>
      <x:c r="I1444">
        <x:v>84</x:v>
      </x:c>
      <x:c r="J1444">
        <x:v>75</x:v>
      </x:c>
      <x:c r="K1444">
        <x:v>79</x:v>
      </x:c>
      <x:c r="L1444">
        <x:v>39</x:v>
      </x:c>
      <x:c r="M1444">
        <x:v>59</x:v>
      </x:c>
      <x:c r="N1444">
        <x:v>42</x:v>
      </x:c>
      <x:c r="O1444">
        <x:v>41</x:v>
      </x:c>
      <x:c r="P1444">
        <x:v>61</x:v>
      </x:c>
      <x:c r="Q1444">
        <x:v>61</x:v>
      </x:c>
      <x:c r="R1444">
        <x:v>70</x:v>
      </x:c>
      <x:c r="S1444">
        <x:v>71</x:v>
      </x:c>
      <x:c r="T1444">
        <x:v>48</x:v>
      </x:c>
      <x:c r="U1444">
        <x:v>47</x:v>
      </x:c>
    </x:row>
    <x:row r="1445">
      <x:c r="A1445" t="s">
        <x:v>1804</x:v>
      </x:c>
      <x:c r="C1445" t="s">
        <x:v>358</x:v>
      </x:c>
      <x:c r="D1445">
        <x:v>8482889</x:v>
      </x:c>
      <x:c r="E1445">
        <x:v>70</x:v>
      </x:c>
      <x:c r="F1445">
        <x:v>31</x:v>
      </x:c>
      <x:c r="G1445">
        <x:v>75</x:v>
      </x:c>
      <x:c r="H1445">
        <x:v>38</x:v>
      </x:c>
      <x:c r="I1445">
        <x:v>88</x:v>
      </x:c>
      <x:c r="J1445">
        <x:v>83</x:v>
      </x:c>
      <x:c r="K1445">
        <x:v>85</x:v>
      </x:c>
      <x:c r="L1445">
        <x:v>37</x:v>
      </x:c>
      <x:c r="M1445">
        <x:v>55</x:v>
      </x:c>
      <x:c r="N1445">
        <x:v>40</x:v>
      </x:c>
      <x:c r="O1445">
        <x:v>42</x:v>
      </x:c>
      <x:c r="P1445">
        <x:v>58</x:v>
      </x:c>
      <x:c r="Q1445">
        <x:v>59</x:v>
      </x:c>
      <x:c r="R1445">
        <x:v>66</x:v>
      </x:c>
      <x:c r="S1445">
        <x:v>65</x:v>
      </x:c>
      <x:c r="T1445">
        <x:v>51</x:v>
      </x:c>
      <x:c r="U1445">
        <x:v>47</x:v>
      </x:c>
    </x:row>
    <x:row r="1446">
      <x:c r="A1446" t="s">
        <x:v>1805</x:v>
      </x:c>
      <x:c r="C1446" t="s">
        <x:v>319</x:v>
      </x:c>
      <x:c r="D1446">
        <x:v>8484131</x:v>
      </x:c>
      <x:c r="E1446">
        <x:v>64</x:v>
      </x:c>
      <x:c r="F1446">
        <x:v>36</x:v>
      </x:c>
      <x:c r="G1446">
        <x:v>85</x:v>
      </x:c>
      <x:c r="H1446">
        <x:v>40</x:v>
      </x:c>
      <x:c r="I1446">
        <x:v>78</x:v>
      </x:c>
      <x:c r="J1446">
        <x:v>82</x:v>
      </x:c>
      <x:c r="K1446">
        <x:v>85</x:v>
      </x:c>
      <x:c r="L1446">
        <x:v>40</x:v>
      </x:c>
      <x:c r="M1446">
        <x:v>65</x:v>
      </x:c>
      <x:c r="N1446">
        <x:v>42</x:v>
      </x:c>
      <x:c r="O1446">
        <x:v>41</x:v>
      </x:c>
      <x:c r="P1446">
        <x:v>58</x:v>
      </x:c>
      <x:c r="Q1446">
        <x:v>61</x:v>
      </x:c>
      <x:c r="R1446">
        <x:v>70</x:v>
      </x:c>
      <x:c r="S1446">
        <x:v>70</x:v>
      </x:c>
      <x:c r="T1446">
        <x:v>51</x:v>
      </x:c>
      <x:c r="U1446">
        <x:v>47</x:v>
      </x:c>
    </x:row>
    <x:row r="1447">
      <x:c r="A1447" t="s">
        <x:v>1806</x:v>
      </x:c>
      <x:c r="C1447" t="s">
        <x:v>358</x:v>
      </x:c>
      <x:c r="D1447">
        <x:v>8484420</x:v>
      </x:c>
      <x:c r="E1447">
        <x:v>76</x:v>
      </x:c>
      <x:c r="F1447">
        <x:v>34</x:v>
      </x:c>
      <x:c r="G1447">
        <x:v>83</x:v>
      </x:c>
      <x:c r="H1447">
        <x:v>38</x:v>
      </x:c>
      <x:c r="I1447">
        <x:v>94</x:v>
      </x:c>
      <x:c r="J1447">
        <x:v>75</x:v>
      </x:c>
      <x:c r="K1447">
        <x:v>77</x:v>
      </x:c>
      <x:c r="L1447">
        <x:v>39</x:v>
      </x:c>
      <x:c r="M1447">
        <x:v>58</x:v>
      </x:c>
      <x:c r="N1447">
        <x:v>40</x:v>
      </x:c>
      <x:c r="O1447">
        <x:v>41</x:v>
      </x:c>
      <x:c r="P1447">
        <x:v>60</x:v>
      </x:c>
      <x:c r="Q1447">
        <x:v>59</x:v>
      </x:c>
      <x:c r="R1447">
        <x:v>66</x:v>
      </x:c>
      <x:c r="S1447">
        <x:v>65</x:v>
      </x:c>
      <x:c r="T1447">
        <x:v>51</x:v>
      </x:c>
      <x:c r="U1447">
        <x:v>47</x:v>
      </x:c>
    </x:row>
    <x:row r="1448">
      <x:c r="A1448" t="s">
        <x:v>1807</x:v>
      </x:c>
      <x:c r="C1448" t="s">
        <x:v>333</x:v>
      </x:c>
      <x:c r="D1448">
        <x:v>8482718</x:v>
      </x:c>
      <x:c r="E1448">
        <x:v>61</x:v>
      </x:c>
      <x:c r="F1448">
        <x:v>31</x:v>
      </x:c>
      <x:c r="G1448">
        <x:v>92</x:v>
      </x:c>
      <x:c r="H1448">
        <x:v>40</x:v>
      </x:c>
      <x:c r="I1448">
        <x:v>79</x:v>
      </x:c>
      <x:c r="J1448">
        <x:v>79</x:v>
      </x:c>
      <x:c r="K1448">
        <x:v>81</x:v>
      </x:c>
      <x:c r="L1448">
        <x:v>41</x:v>
      </x:c>
      <x:c r="M1448">
        <x:v>64</x:v>
      </x:c>
      <x:c r="N1448">
        <x:v>42</x:v>
      </x:c>
      <x:c r="O1448">
        <x:v>42</x:v>
      </x:c>
      <x:c r="P1448">
        <x:v>60</x:v>
      </x:c>
      <x:c r="Q1448">
        <x:v>62</x:v>
      </x:c>
      <x:c r="R1448">
        <x:v>66</x:v>
      </x:c>
      <x:c r="S1448">
        <x:v>66</x:v>
      </x:c>
      <x:c r="T1448">
        <x:v>51</x:v>
      </x:c>
      <x:c r="U1448">
        <x:v>47</x:v>
      </x:c>
    </x:row>
    <x:row r="1449">
      <x:c r="A1449" t="s">
        <x:v>1808</x:v>
      </x:c>
      <x:c r="C1449" t="s">
        <x:v>339</x:v>
      </x:c>
      <x:c r="D1449">
        <x:v>8482842</x:v>
      </x:c>
      <x:c r="E1449">
        <x:v>67</x:v>
      </x:c>
      <x:c r="F1449">
        <x:v>37</x:v>
      </x:c>
      <x:c r="G1449">
        <x:v>81</x:v>
      </x:c>
      <x:c r="H1449">
        <x:v>38</x:v>
      </x:c>
      <x:c r="I1449">
        <x:v>79</x:v>
      </x:c>
      <x:c r="J1449">
        <x:v>81</x:v>
      </x:c>
      <x:c r="K1449">
        <x:v>82</x:v>
      </x:c>
      <x:c r="L1449">
        <x:v>39</x:v>
      </x:c>
      <x:c r="M1449">
        <x:v>75</x:v>
      </x:c>
      <x:c r="N1449">
        <x:v>39</x:v>
      </x:c>
      <x:c r="O1449">
        <x:v>42</x:v>
      </x:c>
      <x:c r="P1449">
        <x:v>60</x:v>
      </x:c>
      <x:c r="Q1449">
        <x:v>59</x:v>
      </x:c>
      <x:c r="R1449">
        <x:v>69</x:v>
      </x:c>
      <x:c r="S1449">
        <x:v>68</x:v>
      </x:c>
      <x:c r="T1449">
        <x:v>51</x:v>
      </x:c>
      <x:c r="U1449">
        <x:v>47</x:v>
      </x:c>
    </x:row>
    <x:row r="1450">
      <x:c r="A1450" t="s">
        <x:v>1809</x:v>
      </x:c>
      <x:c r="B1450" t="s">
        <x:v>584</x:v>
      </x:c>
      <x:c r="C1450" t="s">
        <x:v>329</x:v>
      </x:c>
      <x:c r="D1450">
        <x:v>8485460</x:v>
      </x:c>
      <x:c r="E1450">
        <x:v>59</x:v>
      </x:c>
      <x:c r="F1450">
        <x:v>34</x:v>
      </x:c>
      <x:c r="G1450">
        <x:v>89</x:v>
      </x:c>
      <x:c r="H1450">
        <x:v>39</x:v>
      </x:c>
      <x:c r="I1450">
        <x:v>86</x:v>
      </x:c>
      <x:c r="J1450">
        <x:v>70</x:v>
      </x:c>
      <x:c r="K1450">
        <x:v>72</x:v>
      </x:c>
      <x:c r="L1450">
        <x:v>40</x:v>
      </x:c>
      <x:c r="M1450">
        <x:v>77</x:v>
      </x:c>
      <x:c r="N1450">
        <x:v>41</x:v>
      </x:c>
      <x:c r="O1450">
        <x:v>41</x:v>
      </x:c>
      <x:c r="P1450">
        <x:v>59</x:v>
      </x:c>
      <x:c r="Q1450">
        <x:v>60</x:v>
      </x:c>
      <x:c r="R1450">
        <x:v>68</x:v>
      </x:c>
      <x:c r="S1450">
        <x:v>67</x:v>
      </x:c>
      <x:c r="T1450">
        <x:v>51</x:v>
      </x:c>
      <x:c r="U1450">
        <x:v>47</x:v>
      </x:c>
    </x:row>
    <x:row r="1451">
      <x:c r="A1451" t="s">
        <x:v>1810</x:v>
      </x:c>
      <x:c r="C1451" t="s">
        <x:v>358</x:v>
      </x:c>
      <x:c r="D1451">
        <x:v>8484412</x:v>
      </x:c>
      <x:c r="E1451">
        <x:v>62</x:v>
      </x:c>
      <x:c r="F1451">
        <x:v>37</x:v>
      </x:c>
      <x:c r="G1451">
        <x:v>86</x:v>
      </x:c>
      <x:c r="H1451">
        <x:v>40</x:v>
      </x:c>
      <x:c r="I1451">
        <x:v>80</x:v>
      </x:c>
      <x:c r="J1451">
        <x:v>80</x:v>
      </x:c>
      <x:c r="K1451">
        <x:v>84</x:v>
      </x:c>
      <x:c r="L1451">
        <x:v>41</x:v>
      </x:c>
      <x:c r="M1451">
        <x:v>60</x:v>
      </x:c>
      <x:c r="N1451">
        <x:v>43</x:v>
      </x:c>
      <x:c r="O1451">
        <x:v>42</x:v>
      </x:c>
      <x:c r="P1451">
        <x:v>59</x:v>
      </x:c>
      <x:c r="Q1451">
        <x:v>62</x:v>
      </x:c>
      <x:c r="R1451">
        <x:v>65</x:v>
      </x:c>
      <x:c r="S1451">
        <x:v>66</x:v>
      </x:c>
      <x:c r="T1451">
        <x:v>51</x:v>
      </x:c>
      <x:c r="U1451">
        <x:v>47</x:v>
      </x:c>
    </x:row>
    <x:row r="1452">
      <x:c r="A1452" t="s">
        <x:v>1811</x:v>
      </x:c>
      <x:c r="C1452" t="s">
        <x:v>333</x:v>
      </x:c>
      <x:c r="D1452">
        <x:v>8482168</x:v>
      </x:c>
      <x:c r="E1452">
        <x:v>66</x:v>
      </x:c>
      <x:c r="F1452">
        <x:v>33</x:v>
      </x:c>
      <x:c r="G1452">
        <x:v>87</x:v>
      </x:c>
      <x:c r="H1452">
        <x:v>40</x:v>
      </x:c>
      <x:c r="I1452">
        <x:v>81</x:v>
      </x:c>
      <x:c r="J1452">
        <x:v>84</x:v>
      </x:c>
      <x:c r="K1452">
        <x:v>87</x:v>
      </x:c>
      <x:c r="L1452">
        <x:v>40</x:v>
      </x:c>
      <x:c r="M1452">
        <x:v>57</x:v>
      </x:c>
      <x:c r="N1452">
        <x:v>44</x:v>
      </x:c>
      <x:c r="O1452">
        <x:v>40</x:v>
      </x:c>
      <x:c r="P1452">
        <x:v>59</x:v>
      </x:c>
      <x:c r="Q1452">
        <x:v>62</x:v>
      </x:c>
      <x:c r="R1452">
        <x:v>68</x:v>
      </x:c>
      <x:c r="S1452">
        <x:v>67</x:v>
      </x:c>
      <x:c r="T1452">
        <x:v>51</x:v>
      </x:c>
      <x:c r="U1452">
        <x:v>47</x:v>
      </x:c>
    </x:row>
    <x:row r="1453">
      <x:c r="A1453" t="s">
        <x:v>1812</x:v>
      </x:c>
      <x:c r="C1453" t="s">
        <x:v>358</x:v>
      </x:c>
      <x:c r="D1453">
        <x:v>8485483</x:v>
      </x:c>
      <x:c r="E1453">
        <x:v>63</x:v>
      </x:c>
      <x:c r="F1453">
        <x:v>37</x:v>
      </x:c>
      <x:c r="G1453">
        <x:v>89</x:v>
      </x:c>
      <x:c r="H1453">
        <x:v>39</x:v>
      </x:c>
      <x:c r="I1453">
        <x:v>81</x:v>
      </x:c>
      <x:c r="J1453">
        <x:v>90</x:v>
      </x:c>
      <x:c r="K1453">
        <x:v>94</x:v>
      </x:c>
      <x:c r="L1453">
        <x:v>40</x:v>
      </x:c>
      <x:c r="M1453">
        <x:v>63</x:v>
      </x:c>
      <x:c r="N1453">
        <x:v>42</x:v>
      </x:c>
      <x:c r="O1453">
        <x:v>42</x:v>
      </x:c>
      <x:c r="P1453">
        <x:v>60</x:v>
      </x:c>
      <x:c r="Q1453">
        <x:v>61</x:v>
      </x:c>
      <x:c r="R1453">
        <x:v>66</x:v>
      </x:c>
      <x:c r="S1453">
        <x:v>65</x:v>
      </x:c>
      <x:c r="T1453">
        <x:v>51</x:v>
      </x:c>
      <x:c r="U1453">
        <x:v>47</x:v>
      </x:c>
    </x:row>
    <x:row r="1454">
      <x:c r="A1454" t="s">
        <x:v>1813</x:v>
      </x:c>
      <x:c r="C1454" t="s">
        <x:v>319</x:v>
      </x:c>
      <x:c r="D1454">
        <x:v>8482881</x:v>
      </x:c>
      <x:c r="E1454">
        <x:v>66</x:v>
      </x:c>
      <x:c r="F1454">
        <x:v>46</x:v>
      </x:c>
      <x:c r="G1454">
        <x:v>73</x:v>
      </x:c>
      <x:c r="H1454">
        <x:v>40</x:v>
      </x:c>
      <x:c r="I1454">
        <x:v>78</x:v>
      </x:c>
      <x:c r="J1454">
        <x:v>77</x:v>
      </x:c>
      <x:c r="K1454">
        <x:v>79</x:v>
      </x:c>
      <x:c r="L1454">
        <x:v>41</x:v>
      </x:c>
      <x:c r="M1454">
        <x:v>73</x:v>
      </x:c>
      <x:c r="N1454">
        <x:v>43</x:v>
      </x:c>
      <x:c r="O1454">
        <x:v>41</x:v>
      </x:c>
      <x:c r="P1454">
        <x:v>65</x:v>
      </x:c>
      <x:c r="Q1454">
        <x:v>61</x:v>
      </x:c>
      <x:c r="R1454">
        <x:v>66</x:v>
      </x:c>
      <x:c r="S1454">
        <x:v>67</x:v>
      </x:c>
      <x:c r="T1454">
        <x:v>51</x:v>
      </x:c>
      <x:c r="U1454">
        <x:v>47</x:v>
      </x:c>
    </x:row>
    <x:row r="1455">
      <x:c r="A1455" t="s">
        <x:v>1814</x:v>
      </x:c>
      <x:c r="C1455" t="s">
        <x:v>326</x:v>
      </x:c>
      <x:c r="D1455">
        <x:v>8480032</x:v>
      </x:c>
      <x:c r="E1455">
        <x:v>69</x:v>
      </x:c>
      <x:c r="F1455">
        <x:v>38</x:v>
      </x:c>
      <x:c r="G1455">
        <x:v>78</x:v>
      </x:c>
      <x:c r="H1455">
        <x:v>39</x:v>
      </x:c>
      <x:c r="I1455">
        <x:v>81</x:v>
      </x:c>
      <x:c r="J1455">
        <x:v>80</x:v>
      </x:c>
      <x:c r="K1455">
        <x:v>80</x:v>
      </x:c>
      <x:c r="L1455">
        <x:v>40</x:v>
      </x:c>
      <x:c r="M1455">
        <x:v>58</x:v>
      </x:c>
      <x:c r="N1455">
        <x:v>45</x:v>
      </x:c>
      <x:c r="O1455">
        <x:v>44</x:v>
      </x:c>
      <x:c r="P1455">
        <x:v>64</x:v>
      </x:c>
      <x:c r="Q1455">
        <x:v>60</x:v>
      </x:c>
      <x:c r="R1455">
        <x:v>69</x:v>
      </x:c>
      <x:c r="S1455">
        <x:v>70</x:v>
      </x:c>
      <x:c r="T1455">
        <x:v>51</x:v>
      </x:c>
      <x:c r="U1455">
        <x:v>47</x:v>
      </x:c>
    </x:row>
    <x:row r="1456">
      <x:c r="A1456" t="s">
        <x:v>1815</x:v>
      </x:c>
      <x:c r="C1456" t="s">
        <x:v>326</x:v>
      </x:c>
      <x:c r="D1456">
        <x:v>8480025</x:v>
      </x:c>
      <x:c r="E1456">
        <x:v>76</x:v>
      </x:c>
      <x:c r="F1456">
        <x:v>83</x:v>
      </x:c>
      <x:c r="G1456">
        <x:v>81</x:v>
      </x:c>
      <x:c r="H1456">
        <x:v>38</x:v>
      </x:c>
      <x:c r="I1456">
        <x:v>82</x:v>
      </x:c>
      <x:c r="J1456">
        <x:v>78</x:v>
      </x:c>
      <x:c r="K1456">
        <x:v>82</x:v>
      </x:c>
      <x:c r="L1456">
        <x:v>37</x:v>
      </x:c>
      <x:c r="M1456">
        <x:v>79</x:v>
      </x:c>
      <x:c r="N1456">
        <x:v>47</x:v>
      </x:c>
      <x:c r="O1456">
        <x:v>48</x:v>
      </x:c>
      <x:c r="P1456">
        <x:v>62</x:v>
      </x:c>
      <x:c r="Q1456">
        <x:v>60</x:v>
      </x:c>
      <x:c r="R1456">
        <x:v>69</x:v>
      </x:c>
      <x:c r="S1456">
        <x:v>68</x:v>
      </x:c>
      <x:c r="T1456">
        <x:v>51</x:v>
      </x:c>
      <x:c r="U1456">
        <x:v>47</x:v>
      </x:c>
    </x:row>
    <x:row r="1457">
      <x:c r="A1457" t="s">
        <x:v>1816</x:v>
      </x:c>
      <x:c r="C1457" t="s">
        <x:v>358</x:v>
      </x:c>
      <x:c r="D1457">
        <x:v>8485470</x:v>
      </x:c>
      <x:c r="E1457">
        <x:v>77</x:v>
      </x:c>
      <x:c r="F1457">
        <x:v>39</x:v>
      </x:c>
      <x:c r="G1457">
        <x:v>80</x:v>
      </x:c>
      <x:c r="H1457">
        <x:v>38</x:v>
      </x:c>
      <x:c r="I1457">
        <x:v>83</x:v>
      </x:c>
      <x:c r="J1457">
        <x:v>75</x:v>
      </x:c>
      <x:c r="K1457">
        <x:v>78</x:v>
      </x:c>
      <x:c r="L1457">
        <x:v>38</x:v>
      </x:c>
      <x:c r="M1457">
        <x:v>70</x:v>
      </x:c>
      <x:c r="N1457">
        <x:v>41</x:v>
      </x:c>
      <x:c r="O1457">
        <x:v>40</x:v>
      </x:c>
      <x:c r="P1457">
        <x:v>62</x:v>
      </x:c>
      <x:c r="Q1457">
        <x:v>59</x:v>
      </x:c>
      <x:c r="R1457">
        <x:v>65</x:v>
      </x:c>
      <x:c r="S1457">
        <x:v>65</x:v>
      </x:c>
      <x:c r="T1457">
        <x:v>51</x:v>
      </x:c>
      <x:c r="U1457">
        <x:v>47</x:v>
      </x:c>
    </x:row>
    <x:row r="1458">
      <x:c r="A1458" t="s">
        <x:v>1817</x:v>
      </x:c>
      <x:c r="C1458" t="s">
        <x:v>326</x:v>
      </x:c>
      <x:c r="D1458">
        <x:v>8483063</x:v>
      </x:c>
      <x:c r="E1458">
        <x:v>57</x:v>
      </x:c>
      <x:c r="F1458">
        <x:v>37</x:v>
      </x:c>
      <x:c r="G1458">
        <x:v>85</x:v>
      </x:c>
      <x:c r="H1458">
        <x:v>40</x:v>
      </x:c>
      <x:c r="I1458">
        <x:v>76</x:v>
      </x:c>
      <x:c r="J1458">
        <x:v>88</x:v>
      </x:c>
      <x:c r="K1458">
        <x:v>91</x:v>
      </x:c>
      <x:c r="L1458">
        <x:v>39</x:v>
      </x:c>
      <x:c r="M1458">
        <x:v>67</x:v>
      </x:c>
      <x:c r="N1458">
        <x:v>42</x:v>
      </x:c>
      <x:c r="O1458">
        <x:v>41</x:v>
      </x:c>
      <x:c r="P1458">
        <x:v>59</x:v>
      </x:c>
      <x:c r="Q1458">
        <x:v>61</x:v>
      </x:c>
      <x:c r="R1458">
        <x:v>68</x:v>
      </x:c>
      <x:c r="S1458">
        <x:v>68</x:v>
      </x:c>
      <x:c r="T1458">
        <x:v>51</x:v>
      </x:c>
      <x:c r="U1458">
        <x:v>47</x:v>
      </x:c>
    </x:row>
    <x:row r="1459">
      <x:c r="A1459" t="s">
        <x:v>1818</x:v>
      </x:c>
      <x:c r="C1459" t="s">
        <x:v>333</x:v>
      </x:c>
      <x:c r="D1459">
        <x:v>8482919</x:v>
      </x:c>
      <x:c r="E1459">
        <x:v>68</x:v>
      </x:c>
      <x:c r="F1459">
        <x:v>37</x:v>
      </x:c>
      <x:c r="G1459">
        <x:v>84</x:v>
      </x:c>
      <x:c r="H1459">
        <x:v>39</x:v>
      </x:c>
      <x:c r="I1459">
        <x:v>79</x:v>
      </x:c>
      <x:c r="J1459">
        <x:v>77</x:v>
      </x:c>
      <x:c r="K1459">
        <x:v>81</x:v>
      </x:c>
      <x:c r="L1459">
        <x:v>38</x:v>
      </x:c>
      <x:c r="M1459">
        <x:v>69</x:v>
      </x:c>
      <x:c r="N1459">
        <x:v>42</x:v>
      </x:c>
      <x:c r="O1459">
        <x:v>40</x:v>
      </x:c>
      <x:c r="P1459">
        <x:v>64</x:v>
      </x:c>
      <x:c r="Q1459">
        <x:v>60</x:v>
      </x:c>
      <x:c r="R1459">
        <x:v>66</x:v>
      </x:c>
      <x:c r="S1459">
        <x:v>66</x:v>
      </x:c>
      <x:c r="T1459">
        <x:v>51</x:v>
      </x:c>
      <x:c r="U1459">
        <x:v>47</x:v>
      </x:c>
    </x:row>
    <x:row r="1460">
      <x:c r="A1460" t="s">
        <x:v>1819</x:v>
      </x:c>
      <x:c r="C1460" t="s">
        <x:v>358</x:v>
      </x:c>
      <x:c r="D1460">
        <x:v>8478429</x:v>
      </x:c>
      <x:c r="E1460">
        <x:v>63</x:v>
      </x:c>
      <x:c r="F1460">
        <x:v>38</x:v>
      </x:c>
      <x:c r="G1460">
        <x:v>85</x:v>
      </x:c>
      <x:c r="H1460">
        <x:v>39</x:v>
      </x:c>
      <x:c r="I1460">
        <x:v>79</x:v>
      </x:c>
      <x:c r="J1460">
        <x:v>85</x:v>
      </x:c>
      <x:c r="K1460">
        <x:v>88</x:v>
      </x:c>
      <x:c r="L1460">
        <x:v>39</x:v>
      </x:c>
      <x:c r="M1460">
        <x:v>53</x:v>
      </x:c>
      <x:c r="N1460">
        <x:v>41</x:v>
      </x:c>
      <x:c r="O1460">
        <x:v>41</x:v>
      </x:c>
      <x:c r="P1460">
        <x:v>59</x:v>
      </x:c>
      <x:c r="Q1460">
        <x:v>60</x:v>
      </x:c>
      <x:c r="R1460">
        <x:v>71</x:v>
      </x:c>
      <x:c r="S1460">
        <x:v>71</x:v>
      </x:c>
      <x:c r="T1460">
        <x:v>51</x:v>
      </x:c>
      <x:c r="U1460">
        <x:v>47</x:v>
      </x:c>
    </x:row>
    <x:row r="1461">
      <x:c r="A1461" t="s">
        <x:v>1820</x:v>
      </x:c>
      <x:c r="C1461" t="s">
        <x:v>319</x:v>
      </x:c>
      <x:c r="D1461">
        <x:v>8483043</x:v>
      </x:c>
      <x:c r="E1461">
        <x:v>63</x:v>
      </x:c>
      <x:c r="F1461">
        <x:v>35</x:v>
      </x:c>
      <x:c r="G1461">
        <x:v>84</x:v>
      </x:c>
      <x:c r="H1461">
        <x:v>40</x:v>
      </x:c>
      <x:c r="I1461">
        <x:v>77</x:v>
      </x:c>
      <x:c r="J1461">
        <x:v>83</x:v>
      </x:c>
      <x:c r="K1461">
        <x:v>87</x:v>
      </x:c>
      <x:c r="L1461">
        <x:v>41</x:v>
      </x:c>
      <x:c r="M1461">
        <x:v>73</x:v>
      </x:c>
      <x:c r="N1461">
        <x:v>43</x:v>
      </x:c>
      <x:c r="O1461">
        <x:v>43</x:v>
      </x:c>
      <x:c r="P1461">
        <x:v>60</x:v>
      </x:c>
      <x:c r="Q1461">
        <x:v>63</x:v>
      </x:c>
      <x:c r="R1461">
        <x:v>66</x:v>
      </x:c>
      <x:c r="S1461">
        <x:v>66</x:v>
      </x:c>
      <x:c r="T1461">
        <x:v>51</x:v>
      </x:c>
      <x:c r="U1461">
        <x:v>47</x:v>
      </x:c>
    </x:row>
    <x:row r="1462">
      <x:c r="A1462" t="s">
        <x:v>1821</x:v>
      </x:c>
      <x:c r="C1462" t="s">
        <x:v>326</x:v>
      </x:c>
      <x:c r="D1462">
        <x:v>8484466</x:v>
      </x:c>
      <x:c r="E1462">
        <x:v>62</x:v>
      </x:c>
      <x:c r="F1462">
        <x:v>39</x:v>
      </x:c>
      <x:c r="G1462">
        <x:v>82</x:v>
      </x:c>
      <x:c r="H1462">
        <x:v>40</x:v>
      </x:c>
      <x:c r="I1462">
        <x:v>82</x:v>
      </x:c>
      <x:c r="J1462">
        <x:v>81</x:v>
      </x:c>
      <x:c r="K1462">
        <x:v>85</x:v>
      </x:c>
      <x:c r="L1462">
        <x:v>40</x:v>
      </x:c>
      <x:c r="M1462">
        <x:v>69</x:v>
      </x:c>
      <x:c r="N1462">
        <x:v>41</x:v>
      </x:c>
      <x:c r="O1462">
        <x:v>44</x:v>
      </x:c>
      <x:c r="P1462">
        <x:v>59</x:v>
      </x:c>
      <x:c r="Q1462">
        <x:v>62</x:v>
      </x:c>
      <x:c r="R1462">
        <x:v>65</x:v>
      </x:c>
      <x:c r="S1462">
        <x:v>65</x:v>
      </x:c>
      <x:c r="T1462">
        <x:v>51</x:v>
      </x:c>
      <x:c r="U1462">
        <x:v>47</x:v>
      </x:c>
    </x:row>
    <x:row r="1463">
      <x:c r="A1463" t="s">
        <x:v>1822</x:v>
      </x:c>
      <x:c r="C1463" t="s">
        <x:v>329</x:v>
      </x:c>
      <x:c r="D1463">
        <x:v>8484497</x:v>
      </x:c>
      <x:c r="E1463">
        <x:v>68</x:v>
      </x:c>
      <x:c r="F1463">
        <x:v>37</x:v>
      </x:c>
      <x:c r="G1463">
        <x:v>84</x:v>
      </x:c>
      <x:c r="H1463">
        <x:v>39</x:v>
      </x:c>
      <x:c r="I1463">
        <x:v>78</x:v>
      </x:c>
      <x:c r="J1463">
        <x:v>77</x:v>
      </x:c>
      <x:c r="K1463">
        <x:v>81</x:v>
      </x:c>
      <x:c r="L1463">
        <x:v>39</x:v>
      </x:c>
      <x:c r="M1463">
        <x:v>78</x:v>
      </x:c>
      <x:c r="N1463">
        <x:v>41</x:v>
      </x:c>
      <x:c r="O1463">
        <x:v>42</x:v>
      </x:c>
      <x:c r="P1463">
        <x:v>61</x:v>
      </x:c>
      <x:c r="Q1463">
        <x:v>60</x:v>
      </x:c>
      <x:c r="R1463">
        <x:v>67</x:v>
      </x:c>
      <x:c r="S1463">
        <x:v>68</x:v>
      </x:c>
      <x:c r="T1463">
        <x:v>51</x:v>
      </x:c>
      <x:c r="U1463">
        <x:v>47</x:v>
      </x:c>
    </x:row>
    <x:row r="1464">
      <x:c r="A1464" t="s">
        <x:v>1823</x:v>
      </x:c>
      <x:c r="B1464" t="s">
        <x:v>584</x:v>
      </x:c>
      <x:c r="C1464" t="s">
        <x:v>323</x:v>
      </x:c>
      <x:c r="E1464">
        <x:v>60</x:v>
      </x:c>
      <x:c r="F1464">
        <x:v>32</x:v>
      </x:c>
      <x:c r="G1464">
        <x:v>79</x:v>
      </x:c>
      <x:c r="H1464">
        <x:v>40</x:v>
      </x:c>
      <x:c r="I1464">
        <x:v>82</x:v>
      </x:c>
      <x:c r="J1464">
        <x:v>77</x:v>
      </x:c>
      <x:c r="K1464">
        <x:v>80</x:v>
      </x:c>
      <x:c r="L1464">
        <x:v>40</x:v>
      </x:c>
      <x:c r="M1464">
        <x:v>63</x:v>
      </x:c>
      <x:c r="N1464">
        <x:v>43</x:v>
      </x:c>
      <x:c r="O1464">
        <x:v>41</x:v>
      </x:c>
      <x:c r="P1464">
        <x:v>59</x:v>
      </x:c>
      <x:c r="Q1464">
        <x:v>61</x:v>
      </x:c>
      <x:c r="R1464">
        <x:v>69</x:v>
      </x:c>
      <x:c r="S1464">
        <x:v>69</x:v>
      </x:c>
      <x:c r="T1464">
        <x:v>51</x:v>
      </x:c>
      <x:c r="U1464">
        <x:v>47</x:v>
      </x:c>
    </x:row>
    <x:row r="1465">
      <x:c r="A1465" t="s">
        <x:v>1824</x:v>
      </x:c>
      <x:c r="C1465" t="s">
        <x:v>319</x:v>
      </x:c>
      <x:c r="D1465">
        <x:v>8484236</x:v>
      </x:c>
      <x:c r="E1465">
        <x:v>58</x:v>
      </x:c>
      <x:c r="F1465">
        <x:v>39</x:v>
      </x:c>
      <x:c r="G1465">
        <x:v>82</x:v>
      </x:c>
      <x:c r="H1465">
        <x:v>39</x:v>
      </x:c>
      <x:c r="I1465">
        <x:v>82</x:v>
      </x:c>
      <x:c r="J1465">
        <x:v>88</x:v>
      </x:c>
      <x:c r="K1465">
        <x:v>92</x:v>
      </x:c>
      <x:c r="L1465">
        <x:v>40</x:v>
      </x:c>
      <x:c r="M1465">
        <x:v>69</x:v>
      </x:c>
      <x:c r="N1465">
        <x:v>41</x:v>
      </x:c>
      <x:c r="O1465">
        <x:v>42</x:v>
      </x:c>
      <x:c r="P1465">
        <x:v>62</x:v>
      </x:c>
      <x:c r="Q1465">
        <x:v>60</x:v>
      </x:c>
      <x:c r="R1465">
        <x:v>65</x:v>
      </x:c>
      <x:c r="S1465">
        <x:v>66</x:v>
      </x:c>
      <x:c r="T1465">
        <x:v>51</x:v>
      </x:c>
      <x:c r="U1465">
        <x:v>47</x:v>
      </x:c>
    </x:row>
    <x:row r="1466">
      <x:c r="A1466" t="s">
        <x:v>1825</x:v>
      </x:c>
      <x:c r="C1466" t="s">
        <x:v>323</x:v>
      </x:c>
      <x:c r="E1466">
        <x:v>60</x:v>
      </x:c>
      <x:c r="F1466">
        <x:v>32</x:v>
      </x:c>
      <x:c r="G1466">
        <x:v>79</x:v>
      </x:c>
      <x:c r="H1466">
        <x:v>40</x:v>
      </x:c>
      <x:c r="I1466">
        <x:v>82</x:v>
      </x:c>
      <x:c r="J1466">
        <x:v>77</x:v>
      </x:c>
      <x:c r="K1466">
        <x:v>80</x:v>
      </x:c>
      <x:c r="L1466">
        <x:v>40</x:v>
      </x:c>
      <x:c r="M1466">
        <x:v>63</x:v>
      </x:c>
      <x:c r="N1466">
        <x:v>43</x:v>
      </x:c>
      <x:c r="O1466">
        <x:v>41</x:v>
      </x:c>
      <x:c r="P1466">
        <x:v>59</x:v>
      </x:c>
      <x:c r="Q1466">
        <x:v>61</x:v>
      </x:c>
      <x:c r="R1466">
        <x:v>69</x:v>
      </x:c>
      <x:c r="S1466">
        <x:v>69</x:v>
      </x:c>
      <x:c r="T1466">
        <x:v>51</x:v>
      </x:c>
      <x:c r="U1466">
        <x:v>47</x:v>
      </x:c>
    </x:row>
    <x:row r="1467">
      <x:c r="A1467" t="s">
        <x:v>1826</x:v>
      </x:c>
      <x:c r="C1467" t="s">
        <x:v>323</x:v>
      </x:c>
      <x:c r="D1467">
        <x:v>8482150</x:v>
      </x:c>
      <x:c r="E1467">
        <x:v>59</x:v>
      </x:c>
      <x:c r="F1467">
        <x:v>39</x:v>
      </x:c>
      <x:c r="G1467">
        <x:v>91</x:v>
      </x:c>
      <x:c r="H1467">
        <x:v>40</x:v>
      </x:c>
      <x:c r="I1467">
        <x:v>79</x:v>
      </x:c>
      <x:c r="J1467">
        <x:v>76</x:v>
      </x:c>
      <x:c r="K1467">
        <x:v>77</x:v>
      </x:c>
      <x:c r="L1467">
        <x:v>41</x:v>
      </x:c>
      <x:c r="M1467">
        <x:v>61</x:v>
      </x:c>
      <x:c r="N1467">
        <x:v>41</x:v>
      </x:c>
      <x:c r="O1467">
        <x:v>43</x:v>
      </x:c>
      <x:c r="P1467">
        <x:v>58</x:v>
      </x:c>
      <x:c r="Q1467">
        <x:v>62</x:v>
      </x:c>
      <x:c r="R1467">
        <x:v>67</x:v>
      </x:c>
      <x:c r="S1467">
        <x:v>67</x:v>
      </x:c>
      <x:c r="T1467">
        <x:v>51</x:v>
      </x:c>
      <x:c r="U1467">
        <x:v>47</x:v>
      </x:c>
    </x:row>
    <x:row r="1468">
      <x:c r="A1468" t="s">
        <x:v>1827</x:v>
      </x:c>
      <x:c r="B1468" t="s">
        <x:v>584</x:v>
      </x:c>
      <x:c r="C1468" t="s">
        <x:v>329</x:v>
      </x:c>
      <x:c r="D1468">
        <x:v>8484909</x:v>
      </x:c>
      <x:c r="E1468">
        <x:v>62</x:v>
      </x:c>
      <x:c r="F1468">
        <x:v>32</x:v>
      </x:c>
      <x:c r="G1468">
        <x:v>82</x:v>
      </x:c>
      <x:c r="H1468">
        <x:v>39</x:v>
      </x:c>
      <x:c r="I1468">
        <x:v>73</x:v>
      </x:c>
      <x:c r="J1468">
        <x:v>72</x:v>
      </x:c>
      <x:c r="K1468">
        <x:v>75</x:v>
      </x:c>
      <x:c r="L1468">
        <x:v>40</x:v>
      </x:c>
      <x:c r="M1468">
        <x:v>69</x:v>
      </x:c>
      <x:c r="N1468">
        <x:v>39</x:v>
      </x:c>
      <x:c r="O1468">
        <x:v>43</x:v>
      </x:c>
      <x:c r="P1468">
        <x:v>58</x:v>
      </x:c>
      <x:c r="Q1468">
        <x:v>60</x:v>
      </x:c>
      <x:c r="R1468">
        <x:v>69</x:v>
      </x:c>
      <x:c r="S1468">
        <x:v>69</x:v>
      </x:c>
      <x:c r="T1468">
        <x:v>51</x:v>
      </x:c>
      <x:c r="U1468">
        <x:v>46</x:v>
      </x:c>
    </x:row>
    <x:row r="1469">
      <x:c r="A1469" t="s">
        <x:v>1828</x:v>
      </x:c>
      <x:c r="B1469" t="s">
        <x:v>584</x:v>
      </x:c>
      <x:c r="C1469" t="s">
        <x:v>358</x:v>
      </x:c>
      <x:c r="D1469">
        <x:v>8485554</x:v>
      </x:c>
      <x:c r="E1469">
        <x:v>61</x:v>
      </x:c>
      <x:c r="F1469">
        <x:v>47</x:v>
      </x:c>
      <x:c r="G1469">
        <x:v>71</x:v>
      </x:c>
      <x:c r="H1469">
        <x:v>37</x:v>
      </x:c>
      <x:c r="I1469">
        <x:v>86</x:v>
      </x:c>
      <x:c r="J1469">
        <x:v>80</x:v>
      </x:c>
      <x:c r="K1469">
        <x:v>84</x:v>
      </x:c>
      <x:c r="L1469">
        <x:v>38</x:v>
      </x:c>
      <x:c r="M1469">
        <x:v>57</x:v>
      </x:c>
      <x:c r="N1469">
        <x:v>40</x:v>
      </x:c>
      <x:c r="O1469">
        <x:v>40</x:v>
      </x:c>
      <x:c r="P1469">
        <x:v>59</x:v>
      </x:c>
      <x:c r="Q1469">
        <x:v>58</x:v>
      </x:c>
      <x:c r="R1469">
        <x:v>70</x:v>
      </x:c>
      <x:c r="S1469">
        <x:v>69</x:v>
      </x:c>
      <x:c r="T1469">
        <x:v>51</x:v>
      </x:c>
      <x:c r="U1469">
        <x:v>46</x:v>
      </x:c>
    </x:row>
    <x:row r="1470">
      <x:c r="A1470" t="s">
        <x:v>1829</x:v>
      </x:c>
      <x:c r="C1470" t="s">
        <x:v>333</x:v>
      </x:c>
      <x:c r="D1470">
        <x:v>8486141</x:v>
      </x:c>
      <x:c r="E1470">
        <x:v>62</x:v>
      </x:c>
      <x:c r="F1470">
        <x:v>33</x:v>
      </x:c>
      <x:c r="G1470">
        <x:v>78</x:v>
      </x:c>
      <x:c r="H1470">
        <x:v>38</x:v>
      </x:c>
      <x:c r="I1470">
        <x:v>78</x:v>
      </x:c>
      <x:c r="J1470">
        <x:v>70</x:v>
      </x:c>
      <x:c r="K1470">
        <x:v>73</x:v>
      </x:c>
      <x:c r="L1470">
        <x:v>37</x:v>
      </x:c>
      <x:c r="M1470">
        <x:v>59</x:v>
      </x:c>
      <x:c r="N1470">
        <x:v>40</x:v>
      </x:c>
      <x:c r="O1470">
        <x:v>41</x:v>
      </x:c>
      <x:c r="P1470">
        <x:v>58</x:v>
      </x:c>
      <x:c r="Q1470">
        <x:v>59</x:v>
      </x:c>
      <x:c r="R1470">
        <x:v>67</x:v>
      </x:c>
      <x:c r="S1470">
        <x:v>66</x:v>
      </x:c>
      <x:c r="T1470">
        <x:v>51</x:v>
      </x:c>
      <x:c r="U1470">
        <x:v>46</x:v>
      </x:c>
    </x:row>
    <x:row r="1471">
      <x:c r="A1471" t="s">
        <x:v>1830</x:v>
      </x:c>
      <x:c r="C1471" t="s">
        <x:v>319</x:v>
      </x:c>
      <x:c r="D1471">
        <x:v>8482114</x:v>
      </x:c>
      <x:c r="E1471">
        <x:v>64</x:v>
      </x:c>
      <x:c r="F1471">
        <x:v>37</x:v>
      </x:c>
      <x:c r="G1471">
        <x:v>86</x:v>
      </x:c>
      <x:c r="H1471">
        <x:v>37</x:v>
      </x:c>
      <x:c r="I1471">
        <x:v>82</x:v>
      </x:c>
      <x:c r="J1471">
        <x:v>75</x:v>
      </x:c>
      <x:c r="K1471">
        <x:v>78</x:v>
      </x:c>
      <x:c r="L1471">
        <x:v>36</x:v>
      </x:c>
      <x:c r="M1471">
        <x:v>65</x:v>
      </x:c>
      <x:c r="N1471">
        <x:v>39</x:v>
      </x:c>
      <x:c r="O1471">
        <x:v>41</x:v>
      </x:c>
      <x:c r="P1471">
        <x:v>62</x:v>
      </x:c>
      <x:c r="Q1471">
        <x:v>58</x:v>
      </x:c>
      <x:c r="R1471">
        <x:v>66</x:v>
      </x:c>
      <x:c r="S1471">
        <x:v>66</x:v>
      </x:c>
      <x:c r="T1471">
        <x:v>51</x:v>
      </x:c>
      <x:c r="U1471">
        <x:v>46</x:v>
      </x:c>
    </x:row>
    <x:row r="1472">
      <x:c r="A1472" t="s">
        <x:v>1831</x:v>
      </x:c>
      <x:c r="C1472" t="s">
        <x:v>358</x:v>
      </x:c>
      <x:c r="D1472">
        <x:v>8482829</x:v>
      </x:c>
      <x:c r="E1472">
        <x:v>62</x:v>
      </x:c>
      <x:c r="F1472">
        <x:v>33</x:v>
      </x:c>
      <x:c r="G1472">
        <x:v>80</x:v>
      </x:c>
      <x:c r="H1472">
        <x:v>39</x:v>
      </x:c>
      <x:c r="I1472">
        <x:v>77</x:v>
      </x:c>
      <x:c r="J1472">
        <x:v>80</x:v>
      </x:c>
      <x:c r="K1472">
        <x:v>82</x:v>
      </x:c>
      <x:c r="L1472">
        <x:v>38</x:v>
      </x:c>
      <x:c r="M1472">
        <x:v>72</x:v>
      </x:c>
      <x:c r="N1472">
        <x:v>41</x:v>
      </x:c>
      <x:c r="O1472">
        <x:v>41</x:v>
      </x:c>
      <x:c r="P1472">
        <x:v>58</x:v>
      </x:c>
      <x:c r="Q1472">
        <x:v>60</x:v>
      </x:c>
      <x:c r="R1472">
        <x:v>67</x:v>
      </x:c>
      <x:c r="S1472">
        <x:v>67</x:v>
      </x:c>
      <x:c r="T1472">
        <x:v>51</x:v>
      </x:c>
      <x:c r="U1472">
        <x:v>46</x:v>
      </x:c>
    </x:row>
    <x:row r="1473">
      <x:c r="A1473" t="s">
        <x:v>1832</x:v>
      </x:c>
      <x:c r="B1473" t="s">
        <x:v>584</x:v>
      </x:c>
      <x:c r="C1473" t="s">
        <x:v>358</x:v>
      </x:c>
      <x:c r="D1473">
        <x:v>8478956</x:v>
      </x:c>
      <x:c r="E1473">
        <x:v>72</x:v>
      </x:c>
      <x:c r="F1473">
        <x:v>33</x:v>
      </x:c>
      <x:c r="G1473">
        <x:v>67</x:v>
      </x:c>
      <x:c r="H1473">
        <x:v>37</x:v>
      </x:c>
      <x:c r="I1473">
        <x:v>83</x:v>
      </x:c>
      <x:c r="J1473">
        <x:v>76</x:v>
      </x:c>
      <x:c r="K1473">
        <x:v>76</x:v>
      </x:c>
      <x:c r="L1473">
        <x:v>37</x:v>
      </x:c>
      <x:c r="M1473">
        <x:v>61</x:v>
      </x:c>
      <x:c r="N1473">
        <x:v>39</x:v>
      </x:c>
      <x:c r="O1473">
        <x:v>39</x:v>
      </x:c>
      <x:c r="P1473">
        <x:v>59</x:v>
      </x:c>
      <x:c r="Q1473">
        <x:v>58</x:v>
      </x:c>
      <x:c r="R1473">
        <x:v>71</x:v>
      </x:c>
      <x:c r="S1473">
        <x:v>71</x:v>
      </x:c>
      <x:c r="T1473">
        <x:v>51</x:v>
      </x:c>
      <x:c r="U1473">
        <x:v>46</x:v>
      </x:c>
    </x:row>
    <x:row r="1474">
      <x:c r="A1474" t="s">
        <x:v>1833</x:v>
      </x:c>
      <x:c r="C1474" t="s">
        <x:v>329</x:v>
      </x:c>
      <x:c r="D1474">
        <x:v>8483483</x:v>
      </x:c>
      <x:c r="E1474">
        <x:v>64</x:v>
      </x:c>
      <x:c r="F1474">
        <x:v>34</x:v>
      </x:c>
      <x:c r="G1474">
        <x:v>79</x:v>
      </x:c>
      <x:c r="H1474">
        <x:v>38</x:v>
      </x:c>
      <x:c r="I1474">
        <x:v>78</x:v>
      </x:c>
      <x:c r="J1474">
        <x:v>81</x:v>
      </x:c>
      <x:c r="K1474">
        <x:v>84</x:v>
      </x:c>
      <x:c r="L1474">
        <x:v>38</x:v>
      </x:c>
      <x:c r="M1474">
        <x:v>69</x:v>
      </x:c>
      <x:c r="N1474">
        <x:v>41</x:v>
      </x:c>
      <x:c r="O1474">
        <x:v>41</x:v>
      </x:c>
      <x:c r="P1474">
        <x:v>58</x:v>
      </x:c>
      <x:c r="Q1474">
        <x:v>59</x:v>
      </x:c>
      <x:c r="R1474">
        <x:v>65</x:v>
      </x:c>
      <x:c r="S1474">
        <x:v>65</x:v>
      </x:c>
      <x:c r="T1474">
        <x:v>51</x:v>
      </x:c>
      <x:c r="U1474">
        <x:v>46</x:v>
      </x:c>
    </x:row>
    <x:row r="1475">
      <x:c r="A1475" t="s">
        <x:v>1834</x:v>
      </x:c>
      <x:c r="C1475" t="s">
        <x:v>358</x:v>
      </x:c>
      <x:c r="D1475">
        <x:v>8483013</x:v>
      </x:c>
      <x:c r="E1475">
        <x:v>64</x:v>
      </x:c>
      <x:c r="F1475">
        <x:v>53</x:v>
      </x:c>
      <x:c r="G1475">
        <x:v>94</x:v>
      </x:c>
      <x:c r="H1475">
        <x:v>38</x:v>
      </x:c>
      <x:c r="I1475">
        <x:v>81</x:v>
      </x:c>
      <x:c r="J1475">
        <x:v>72</x:v>
      </x:c>
      <x:c r="K1475">
        <x:v>75</x:v>
      </x:c>
      <x:c r="L1475">
        <x:v>37</x:v>
      </x:c>
      <x:c r="M1475">
        <x:v>53</x:v>
      </x:c>
      <x:c r="N1475">
        <x:v>40</x:v>
      </x:c>
      <x:c r="O1475">
        <x:v>41</x:v>
      </x:c>
      <x:c r="P1475">
        <x:v>59</x:v>
      </x:c>
      <x:c r="Q1475">
        <x:v>59</x:v>
      </x:c>
      <x:c r="R1475">
        <x:v>66</x:v>
      </x:c>
      <x:c r="S1475">
        <x:v>67</x:v>
      </x:c>
      <x:c r="T1475">
        <x:v>51</x:v>
      </x:c>
      <x:c r="U1475">
        <x:v>46</x:v>
      </x:c>
    </x:row>
    <x:row r="1476">
      <x:c r="A1476" t="s">
        <x:v>1835</x:v>
      </x:c>
      <x:c r="C1476" t="s">
        <x:v>323</x:v>
      </x:c>
      <x:c r="D1476">
        <x:v>8484216</x:v>
      </x:c>
      <x:c r="E1476">
        <x:v>64</x:v>
      </x:c>
      <x:c r="F1476">
        <x:v>34</x:v>
      </x:c>
      <x:c r="G1476">
        <x:v>91</x:v>
      </x:c>
      <x:c r="H1476">
        <x:v>39</x:v>
      </x:c>
      <x:c r="I1476">
        <x:v>76</x:v>
      </x:c>
      <x:c r="J1476">
        <x:v>78</x:v>
      </x:c>
      <x:c r="K1476">
        <x:v>79</x:v>
      </x:c>
      <x:c r="L1476">
        <x:v>39</x:v>
      </x:c>
      <x:c r="M1476">
        <x:v>63</x:v>
      </x:c>
      <x:c r="N1476">
        <x:v>41</x:v>
      </x:c>
      <x:c r="O1476">
        <x:v>41</x:v>
      </x:c>
      <x:c r="P1476">
        <x:v>60</x:v>
      </x:c>
      <x:c r="Q1476">
        <x:v>60</x:v>
      </x:c>
      <x:c r="R1476">
        <x:v>65</x:v>
      </x:c>
      <x:c r="S1476">
        <x:v>65</x:v>
      </x:c>
      <x:c r="T1476">
        <x:v>51</x:v>
      </x:c>
      <x:c r="U1476">
        <x:v>46</x:v>
      </x:c>
    </x:row>
    <x:row r="1477">
      <x:c r="A1477" t="s">
        <x:v>1836</x:v>
      </x:c>
      <x:c r="C1477" t="s">
        <x:v>339</x:v>
      </x:c>
      <x:c r="D1477">
        <x:v>8486005</x:v>
      </x:c>
      <x:c r="E1477">
        <x:v>59</x:v>
      </x:c>
      <x:c r="F1477">
        <x:v>31</x:v>
      </x:c>
      <x:c r="G1477">
        <x:v>80</x:v>
      </x:c>
      <x:c r="H1477">
        <x:v>37</x:v>
      </x:c>
      <x:c r="I1477">
        <x:v>82</x:v>
      </x:c>
      <x:c r="J1477">
        <x:v>69</x:v>
      </x:c>
      <x:c r="K1477">
        <x:v>72</x:v>
      </x:c>
      <x:c r="L1477">
        <x:v>38</x:v>
      </x:c>
      <x:c r="M1477">
        <x:v>66</x:v>
      </x:c>
      <x:c r="N1477">
        <x:v>40</x:v>
      </x:c>
      <x:c r="O1477">
        <x:v>39</x:v>
      </x:c>
      <x:c r="P1477">
        <x:v>61</x:v>
      </x:c>
      <x:c r="Q1477">
        <x:v>58</x:v>
      </x:c>
      <x:c r="R1477">
        <x:v>67</x:v>
      </x:c>
      <x:c r="S1477">
        <x:v>66</x:v>
      </x:c>
      <x:c r="T1477">
        <x:v>51</x:v>
      </x:c>
      <x:c r="U1477">
        <x:v>46</x:v>
      </x:c>
    </x:row>
    <x:row r="1478">
      <x:c r="A1478" t="s">
        <x:v>1837</x:v>
      </x:c>
      <x:c r="C1478" t="s">
        <x:v>329</x:v>
      </x:c>
      <x:c r="D1478">
        <x:v>8482195</x:v>
      </x:c>
      <x:c r="E1478">
        <x:v>63</x:v>
      </x:c>
      <x:c r="F1478">
        <x:v>37</x:v>
      </x:c>
      <x:c r="G1478">
        <x:v>85</x:v>
      </x:c>
      <x:c r="H1478">
        <x:v>36</x:v>
      </x:c>
      <x:c r="I1478">
        <x:v>79</x:v>
      </x:c>
      <x:c r="J1478">
        <x:v>73</x:v>
      </x:c>
      <x:c r="K1478">
        <x:v>76</x:v>
      </x:c>
      <x:c r="L1478">
        <x:v>37</x:v>
      </x:c>
      <x:c r="M1478">
        <x:v>57</x:v>
      </x:c>
      <x:c r="N1478">
        <x:v>40</x:v>
      </x:c>
      <x:c r="O1478">
        <x:v>41</x:v>
      </x:c>
      <x:c r="P1478">
        <x:v>60</x:v>
      </x:c>
      <x:c r="Q1478">
        <x:v>58</x:v>
      </x:c>
      <x:c r="R1478">
        <x:v>66</x:v>
      </x:c>
      <x:c r="S1478">
        <x:v>66</x:v>
      </x:c>
      <x:c r="T1478">
        <x:v>51</x:v>
      </x:c>
      <x:c r="U1478">
        <x:v>46</x:v>
      </x:c>
    </x:row>
    <x:row r="1479">
      <x:c r="A1479" t="s">
        <x:v>1838</x:v>
      </x:c>
      <x:c r="C1479" t="s">
        <x:v>329</x:v>
      </x:c>
      <x:c r="D1479">
        <x:v>8486156</x:v>
      </x:c>
      <x:c r="E1479">
        <x:v>62</x:v>
      </x:c>
      <x:c r="F1479">
        <x:v>33</x:v>
      </x:c>
      <x:c r="G1479">
        <x:v>89</x:v>
      </x:c>
      <x:c r="H1479">
        <x:v>37</x:v>
      </x:c>
      <x:c r="I1479">
        <x:v>81</x:v>
      </x:c>
      <x:c r="J1479">
        <x:v>70</x:v>
      </x:c>
      <x:c r="K1479">
        <x:v>73</x:v>
      </x:c>
      <x:c r="L1479">
        <x:v>37</x:v>
      </x:c>
      <x:c r="M1479">
        <x:v>55</x:v>
      </x:c>
      <x:c r="N1479">
        <x:v>40</x:v>
      </x:c>
      <x:c r="O1479">
        <x:v>39</x:v>
      </x:c>
      <x:c r="P1479">
        <x:v>62</x:v>
      </x:c>
      <x:c r="Q1479">
        <x:v>58</x:v>
      </x:c>
      <x:c r="R1479">
        <x:v>67</x:v>
      </x:c>
      <x:c r="S1479">
        <x:v>68</x:v>
      </x:c>
      <x:c r="T1479">
        <x:v>51</x:v>
      </x:c>
      <x:c r="U1479">
        <x:v>46</x:v>
      </x:c>
    </x:row>
    <x:row r="1480">
      <x:c r="A1480" t="s">
        <x:v>1839</x:v>
      </x:c>
      <x:c r="C1480" t="s">
        <x:v>323</x:v>
      </x:c>
      <x:c r="D1480">
        <x:v>8483520</x:v>
      </x:c>
      <x:c r="E1480">
        <x:v>68</x:v>
      </x:c>
      <x:c r="F1480">
        <x:v>39</x:v>
      </x:c>
      <x:c r="G1480">
        <x:v>91</x:v>
      </x:c>
      <x:c r="H1480">
        <x:v>38</x:v>
      </x:c>
      <x:c r="I1480">
        <x:v>75</x:v>
      </x:c>
      <x:c r="J1480">
        <x:v>78</x:v>
      </x:c>
      <x:c r="K1480">
        <x:v>80</x:v>
      </x:c>
      <x:c r="L1480">
        <x:v>38</x:v>
      </x:c>
      <x:c r="M1480">
        <x:v>78</x:v>
      </x:c>
      <x:c r="N1480">
        <x:v>40</x:v>
      </x:c>
      <x:c r="O1480">
        <x:v>41</x:v>
      </x:c>
      <x:c r="P1480">
        <x:v>62</x:v>
      </x:c>
      <x:c r="Q1480">
        <x:v>59</x:v>
      </x:c>
      <x:c r="R1480">
        <x:v>65</x:v>
      </x:c>
      <x:c r="S1480">
        <x:v>66</x:v>
      </x:c>
      <x:c r="T1480">
        <x:v>51</x:v>
      </x:c>
      <x:c r="U1480">
        <x:v>46</x:v>
      </x:c>
    </x:row>
    <x:row r="1481">
      <x:c r="A1481" t="s">
        <x:v>1840</x:v>
      </x:c>
      <x:c r="C1481" t="s">
        <x:v>339</x:v>
      </x:c>
      <x:c r="D1481">
        <x:v>8484511</x:v>
      </x:c>
      <x:c r="E1481">
        <x:v>68</x:v>
      </x:c>
      <x:c r="F1481">
        <x:v>38</x:v>
      </x:c>
      <x:c r="G1481">
        <x:v>91</x:v>
      </x:c>
      <x:c r="H1481">
        <x:v>37</x:v>
      </x:c>
      <x:c r="I1481">
        <x:v>75</x:v>
      </x:c>
      <x:c r="J1481">
        <x:v>71</x:v>
      </x:c>
      <x:c r="K1481">
        <x:v>73</x:v>
      </x:c>
      <x:c r="L1481">
        <x:v>36</x:v>
      </x:c>
      <x:c r="M1481">
        <x:v>82</x:v>
      </x:c>
      <x:c r="N1481">
        <x:v>39</x:v>
      </x:c>
      <x:c r="O1481">
        <x:v>40</x:v>
      </x:c>
      <x:c r="P1481">
        <x:v>63</x:v>
      </x:c>
      <x:c r="Q1481">
        <x:v>58</x:v>
      </x:c>
      <x:c r="R1481">
        <x:v>66</x:v>
      </x:c>
      <x:c r="S1481">
        <x:v>67</x:v>
      </x:c>
      <x:c r="T1481">
        <x:v>51</x:v>
      </x:c>
      <x:c r="U1481">
        <x:v>46</x:v>
      </x:c>
    </x:row>
    <x:row r="1482">
      <x:c r="A1482" t="s">
        <x:v>1841</x:v>
      </x:c>
      <x:c r="C1482" t="s">
        <x:v>323</x:v>
      </x:c>
      <x:c r="D1482">
        <x:v>8483124</x:v>
      </x:c>
      <x:c r="E1482">
        <x:v>67</x:v>
      </x:c>
      <x:c r="F1482">
        <x:v>33</x:v>
      </x:c>
      <x:c r="G1482">
        <x:v>86</x:v>
      </x:c>
      <x:c r="H1482">
        <x:v>37</x:v>
      </x:c>
      <x:c r="I1482">
        <x:v>77</x:v>
      </x:c>
      <x:c r="J1482">
        <x:v>73</x:v>
      </x:c>
      <x:c r="K1482">
        <x:v>76</x:v>
      </x:c>
      <x:c r="L1482">
        <x:v>36</x:v>
      </x:c>
      <x:c r="M1482">
        <x:v>70</x:v>
      </x:c>
      <x:c r="N1482">
        <x:v>40</x:v>
      </x:c>
      <x:c r="O1482">
        <x:v>39</x:v>
      </x:c>
      <x:c r="P1482">
        <x:v>61</x:v>
      </x:c>
      <x:c r="Q1482">
        <x:v>58</x:v>
      </x:c>
      <x:c r="R1482">
        <x:v>68</x:v>
      </x:c>
      <x:c r="S1482">
        <x:v>67</x:v>
      </x:c>
      <x:c r="T1482">
        <x:v>51</x:v>
      </x:c>
      <x:c r="U1482">
        <x:v>46</x:v>
      </x:c>
    </x:row>
    <x:row r="1483">
      <x:c r="A1483" t="s">
        <x:v>1842</x:v>
      </x:c>
      <x:c r="C1483" t="s">
        <x:v>358</x:v>
      </x:c>
      <x:c r="D1483">
        <x:v>8483439</x:v>
      </x:c>
      <x:c r="E1483">
        <x:v>59</x:v>
      </x:c>
      <x:c r="F1483">
        <x:v>37</x:v>
      </x:c>
      <x:c r="G1483">
        <x:v>84</x:v>
      </x:c>
      <x:c r="H1483">
        <x:v>38</x:v>
      </x:c>
      <x:c r="I1483">
        <x:v>76</x:v>
      </x:c>
      <x:c r="J1483">
        <x:v>75</x:v>
      </x:c>
      <x:c r="K1483">
        <x:v>78</x:v>
      </x:c>
      <x:c r="L1483">
        <x:v>38</x:v>
      </x:c>
      <x:c r="M1483">
        <x:v>65</x:v>
      </x:c>
      <x:c r="N1483">
        <x:v>40</x:v>
      </x:c>
      <x:c r="O1483">
        <x:v>42</x:v>
      </x:c>
      <x:c r="P1483">
        <x:v>59</x:v>
      </x:c>
      <x:c r="Q1483">
        <x:v>60</x:v>
      </x:c>
      <x:c r="R1483">
        <x:v>65</x:v>
      </x:c>
      <x:c r="S1483">
        <x:v>66</x:v>
      </x:c>
      <x:c r="T1483">
        <x:v>51</x:v>
      </x:c>
      <x:c r="U1483">
        <x:v>46</x:v>
      </x:c>
    </x:row>
    <x:row r="1484">
      <x:c r="A1484" t="s">
        <x:v>1843</x:v>
      </x:c>
      <x:c r="B1484" t="s">
        <x:v>584</x:v>
      </x:c>
      <x:c r="C1484" t="s">
        <x:v>358</x:v>
      </x:c>
      <x:c r="D1484">
        <x:v>8478069</x:v>
      </x:c>
      <x:c r="E1484">
        <x:v>80</x:v>
      </x:c>
      <x:c r="F1484">
        <x:v>42</x:v>
      </x:c>
      <x:c r="G1484">
        <x:v>77</x:v>
      </x:c>
      <x:c r="H1484">
        <x:v>33</x:v>
      </x:c>
      <x:c r="I1484">
        <x:v>77</x:v>
      </x:c>
      <x:c r="J1484">
        <x:v>81</x:v>
      </x:c>
      <x:c r="K1484">
        <x:v>82</x:v>
      </x:c>
      <x:c r="L1484">
        <x:v>32</x:v>
      </x:c>
      <x:c r="M1484">
        <x:v>30</x:v>
      </x:c>
      <x:c r="N1484">
        <x:v>39</x:v>
      </x:c>
      <x:c r="O1484">
        <x:v>41</x:v>
      </x:c>
      <x:c r="P1484">
        <x:v>65</x:v>
      </x:c>
      <x:c r="Q1484">
        <x:v>45</x:v>
      </x:c>
      <x:c r="R1484">
        <x:v>76</x:v>
      </x:c>
      <x:c r="S1484">
        <x:v>75</x:v>
      </x:c>
      <x:c r="T1484">
        <x:v>51</x:v>
      </x:c>
      <x:c r="U1484">
        <x:v>46</x:v>
      </x:c>
    </x:row>
    <x:row r="1485">
      <x:c r="A1485" t="s">
        <x:v>1844</x:v>
      </x:c>
      <x:c r="C1485" t="s">
        <x:v>319</x:v>
      </x:c>
      <x:c r="D1485">
        <x:v>8482925</x:v>
      </x:c>
      <x:c r="E1485">
        <x:v>60</x:v>
      </x:c>
      <x:c r="F1485">
        <x:v>36</x:v>
      </x:c>
      <x:c r="G1485">
        <x:v>85</x:v>
      </x:c>
      <x:c r="H1485">
        <x:v>38</x:v>
      </x:c>
      <x:c r="I1485">
        <x:v>82</x:v>
      </x:c>
      <x:c r="J1485">
        <x:v>79</x:v>
      </x:c>
      <x:c r="K1485">
        <x:v>79</x:v>
      </x:c>
      <x:c r="L1485">
        <x:v>39</x:v>
      </x:c>
      <x:c r="M1485">
        <x:v>70</x:v>
      </x:c>
      <x:c r="N1485">
        <x:v>40</x:v>
      </x:c>
      <x:c r="O1485">
        <x:v>40</x:v>
      </x:c>
      <x:c r="P1485">
        <x:v>57</x:v>
      </x:c>
      <x:c r="Q1485">
        <x:v>58</x:v>
      </x:c>
      <x:c r="R1485">
        <x:v>68</x:v>
      </x:c>
      <x:c r="S1485">
        <x:v>67</x:v>
      </x:c>
      <x:c r="T1485">
        <x:v>51</x:v>
      </x:c>
      <x:c r="U1485">
        <x:v>46</x:v>
      </x:c>
    </x:row>
    <x:row r="1486">
      <x:c r="A1486" t="s">
        <x:v>1845</x:v>
      </x:c>
      <x:c r="C1486" t="s">
        <x:v>326</x:v>
      </x:c>
      <x:c r="D1486">
        <x:v>8482129</x:v>
      </x:c>
      <x:c r="E1486">
        <x:v>63</x:v>
      </x:c>
      <x:c r="F1486">
        <x:v>37</x:v>
      </x:c>
      <x:c r="G1486">
        <x:v>94</x:v>
      </x:c>
      <x:c r="H1486">
        <x:v>37</x:v>
      </x:c>
      <x:c r="I1486">
        <x:v>85</x:v>
      </x:c>
      <x:c r="J1486">
        <x:v>75</x:v>
      </x:c>
      <x:c r="K1486">
        <x:v>78</x:v>
      </x:c>
      <x:c r="L1486">
        <x:v>37</x:v>
      </x:c>
      <x:c r="M1486">
        <x:v>68</x:v>
      </x:c>
      <x:c r="N1486">
        <x:v>39</x:v>
      </x:c>
      <x:c r="O1486">
        <x:v>41</x:v>
      </x:c>
      <x:c r="P1486">
        <x:v>61</x:v>
      </x:c>
      <x:c r="Q1486">
        <x:v>58</x:v>
      </x:c>
      <x:c r="R1486">
        <x:v>67</x:v>
      </x:c>
      <x:c r="S1486">
        <x:v>68</x:v>
      </x:c>
      <x:c r="T1486">
        <x:v>51</x:v>
      </x:c>
      <x:c r="U1486">
        <x:v>46</x:v>
      </x:c>
    </x:row>
    <x:row r="1487">
      <x:c r="A1487" t="s">
        <x:v>1846</x:v>
      </x:c>
      <x:c r="C1487" t="s">
        <x:v>319</x:v>
      </x:c>
      <x:c r="D1487">
        <x:v>8484155</x:v>
      </x:c>
      <x:c r="E1487">
        <x:v>61</x:v>
      </x:c>
      <x:c r="F1487">
        <x:v>38</x:v>
      </x:c>
      <x:c r="G1487">
        <x:v>84</x:v>
      </x:c>
      <x:c r="H1487">
        <x:v>38</x:v>
      </x:c>
      <x:c r="I1487">
        <x:v>81</x:v>
      </x:c>
      <x:c r="J1487">
        <x:v>81</x:v>
      </x:c>
      <x:c r="K1487">
        <x:v>85</x:v>
      </x:c>
      <x:c r="L1487">
        <x:v>37</x:v>
      </x:c>
      <x:c r="M1487">
        <x:v>62</x:v>
      </x:c>
      <x:c r="N1487">
        <x:v>42</x:v>
      </x:c>
      <x:c r="O1487">
        <x:v>40</x:v>
      </x:c>
      <x:c r="P1487">
        <x:v>62</x:v>
      </x:c>
      <x:c r="Q1487">
        <x:v>60</x:v>
      </x:c>
      <x:c r="R1487">
        <x:v>65</x:v>
      </x:c>
      <x:c r="S1487">
        <x:v>64</x:v>
      </x:c>
      <x:c r="T1487">
        <x:v>51</x:v>
      </x:c>
      <x:c r="U1487">
        <x:v>46</x:v>
      </x:c>
    </x:row>
    <x:row r="1488">
      <x:c r="A1488" t="s">
        <x:v>1847</x:v>
      </x:c>
      <x:c r="C1488" t="s">
        <x:v>358</x:v>
      </x:c>
      <x:c r="D1488">
        <x:v>8484904</x:v>
      </x:c>
      <x:c r="E1488">
        <x:v>61</x:v>
      </x:c>
      <x:c r="F1488">
        <x:v>34</x:v>
      </x:c>
      <x:c r="G1488">
        <x:v>88</x:v>
      </x:c>
      <x:c r="H1488">
        <x:v>36</x:v>
      </x:c>
      <x:c r="I1488">
        <x:v>85</x:v>
      </x:c>
      <x:c r="J1488">
        <x:v>73</x:v>
      </x:c>
      <x:c r="K1488">
        <x:v>74</x:v>
      </x:c>
      <x:c r="L1488">
        <x:v>37</x:v>
      </x:c>
      <x:c r="M1488">
        <x:v>61</x:v>
      </x:c>
      <x:c r="N1488">
        <x:v>38</x:v>
      </x:c>
      <x:c r="O1488">
        <x:v>39</x:v>
      </x:c>
      <x:c r="P1488">
        <x:v>63</x:v>
      </x:c>
      <x:c r="Q1488">
        <x:v>57</x:v>
      </x:c>
      <x:c r="R1488">
        <x:v>70</x:v>
      </x:c>
      <x:c r="S1488">
        <x:v>71</x:v>
      </x:c>
      <x:c r="T1488">
        <x:v>51</x:v>
      </x:c>
      <x:c r="U1488">
        <x:v>46</x:v>
      </x:c>
    </x:row>
    <x:row r="1489">
      <x:c r="A1489" t="s">
        <x:v>1848</x:v>
      </x:c>
      <x:c r="C1489" t="s">
        <x:v>326</x:v>
      </x:c>
      <x:c r="D1489">
        <x:v>8484405</x:v>
      </x:c>
      <x:c r="E1489">
        <x:v>60</x:v>
      </x:c>
      <x:c r="F1489">
        <x:v>38</x:v>
      </x:c>
      <x:c r="G1489">
        <x:v>86</x:v>
      </x:c>
      <x:c r="H1489">
        <x:v>38</x:v>
      </x:c>
      <x:c r="I1489">
        <x:v>77</x:v>
      </x:c>
      <x:c r="J1489">
        <x:v>78</x:v>
      </x:c>
      <x:c r="K1489">
        <x:v>82</x:v>
      </x:c>
      <x:c r="L1489">
        <x:v>37</x:v>
      </x:c>
      <x:c r="M1489">
        <x:v>63</x:v>
      </x:c>
      <x:c r="N1489">
        <x:v>43</x:v>
      </x:c>
      <x:c r="O1489">
        <x:v>42</x:v>
      </x:c>
      <x:c r="P1489">
        <x:v>61</x:v>
      </x:c>
      <x:c r="Q1489">
        <x:v>60</x:v>
      </x:c>
      <x:c r="R1489">
        <x:v>65</x:v>
      </x:c>
      <x:c r="S1489">
        <x:v>65</x:v>
      </x:c>
      <x:c r="T1489">
        <x:v>51</x:v>
      </x:c>
      <x:c r="U1489">
        <x:v>46</x:v>
      </x:c>
    </x:row>
    <x:row r="1490">
      <x:c r="A1490" t="s">
        <x:v>1849</x:v>
      </x:c>
      <x:c r="C1490" t="s">
        <x:v>323</x:v>
      </x:c>
      <x:c r="D1490">
        <x:v>8482706</x:v>
      </x:c>
      <x:c r="E1490">
        <x:v>72</x:v>
      </x:c>
      <x:c r="F1490">
        <x:v>34</x:v>
      </x:c>
      <x:c r="G1490">
        <x:v>91</x:v>
      </x:c>
      <x:c r="H1490">
        <x:v>36</x:v>
      </x:c>
      <x:c r="I1490">
        <x:v>82</x:v>
      </x:c>
      <x:c r="J1490">
        <x:v>75</x:v>
      </x:c>
      <x:c r="K1490">
        <x:v>77</x:v>
      </x:c>
      <x:c r="L1490">
        <x:v>37</x:v>
      </x:c>
      <x:c r="M1490">
        <x:v>64</x:v>
      </x:c>
      <x:c r="N1490">
        <x:v>39</x:v>
      </x:c>
      <x:c r="O1490">
        <x:v>39</x:v>
      </x:c>
      <x:c r="P1490">
        <x:v>57</x:v>
      </x:c>
      <x:c r="Q1490">
        <x:v>57</x:v>
      </x:c>
      <x:c r="R1490">
        <x:v>66</x:v>
      </x:c>
      <x:c r="S1490">
        <x:v>67</x:v>
      </x:c>
      <x:c r="T1490">
        <x:v>51</x:v>
      </x:c>
      <x:c r="U1490">
        <x:v>46</x:v>
      </x:c>
    </x:row>
    <x:row r="1491">
      <x:c r="A1491" t="s">
        <x:v>1850</x:v>
      </x:c>
      <x:c r="C1491" t="s">
        <x:v>323</x:v>
      </x:c>
      <x:c r="D1491">
        <x:v>8483856</x:v>
      </x:c>
      <x:c r="E1491">
        <x:v>63</x:v>
      </x:c>
      <x:c r="F1491">
        <x:v>35</x:v>
      </x:c>
      <x:c r="G1491">
        <x:v>87</x:v>
      </x:c>
      <x:c r="H1491">
        <x:v>38</x:v>
      </x:c>
      <x:c r="I1491">
        <x:v>82</x:v>
      </x:c>
      <x:c r="J1491">
        <x:v>75</x:v>
      </x:c>
      <x:c r="K1491">
        <x:v>79</x:v>
      </x:c>
      <x:c r="L1491">
        <x:v>37</x:v>
      </x:c>
      <x:c r="M1491">
        <x:v>56</x:v>
      </x:c>
      <x:c r="N1491">
        <x:v>40</x:v>
      </x:c>
      <x:c r="O1491">
        <x:v>40</x:v>
      </x:c>
      <x:c r="P1491">
        <x:v>58</x:v>
      </x:c>
      <x:c r="Q1491">
        <x:v>59</x:v>
      </x:c>
      <x:c r="R1491">
        <x:v>67</x:v>
      </x:c>
      <x:c r="S1491">
        <x:v>67</x:v>
      </x:c>
      <x:c r="T1491">
        <x:v>51</x:v>
      </x:c>
      <x:c r="U1491">
        <x:v>46</x:v>
      </x:c>
    </x:row>
    <x:row r="1492">
      <x:c r="A1492" t="s">
        <x:v>1851</x:v>
      </x:c>
      <x:c r="C1492" t="s">
        <x:v>326</x:v>
      </x:c>
      <x:c r="D1492">
        <x:v>8484916</x:v>
      </x:c>
      <x:c r="E1492">
        <x:v>63</x:v>
      </x:c>
      <x:c r="F1492">
        <x:v>31</x:v>
      </x:c>
      <x:c r="G1492">
        <x:v>85</x:v>
      </x:c>
      <x:c r="H1492">
        <x:v>38</x:v>
      </x:c>
      <x:c r="I1492">
        <x:v>79</x:v>
      </x:c>
      <x:c r="J1492">
        <x:v>74</x:v>
      </x:c>
      <x:c r="K1492">
        <x:v>77</x:v>
      </x:c>
      <x:c r="L1492">
        <x:v>37</x:v>
      </x:c>
      <x:c r="M1492">
        <x:v>62</x:v>
      </x:c>
      <x:c r="N1492">
        <x:v>42</x:v>
      </x:c>
      <x:c r="O1492">
        <x:v>39</x:v>
      </x:c>
      <x:c r="P1492">
        <x:v>58</x:v>
      </x:c>
      <x:c r="Q1492">
        <x:v>59</x:v>
      </x:c>
      <x:c r="R1492">
        <x:v>68</x:v>
      </x:c>
      <x:c r="S1492">
        <x:v>67</x:v>
      </x:c>
      <x:c r="T1492">
        <x:v>51</x:v>
      </x:c>
      <x:c r="U1492">
        <x:v>46</x:v>
      </x:c>
    </x:row>
    <x:row r="1493">
      <x:c r="A1493" t="s">
        <x:v>1852</x:v>
      </x:c>
      <x:c r="B1493" t="s">
        <x:v>584</x:v>
      </x:c>
      <x:c r="C1493" t="s">
        <x:v>319</x:v>
      </x:c>
      <x:c r="D1493">
        <x:v>8482213</x:v>
      </x:c>
      <x:c r="E1493">
        <x:v>60</x:v>
      </x:c>
      <x:c r="F1493">
        <x:v>31</x:v>
      </x:c>
      <x:c r="G1493">
        <x:v>88</x:v>
      </x:c>
      <x:c r="H1493">
        <x:v>39</x:v>
      </x:c>
      <x:c r="I1493">
        <x:v>79</x:v>
      </x:c>
      <x:c r="J1493">
        <x:v>89</x:v>
      </x:c>
      <x:c r="K1493">
        <x:v>95</x:v>
      </x:c>
      <x:c r="L1493">
        <x:v>39</x:v>
      </x:c>
      <x:c r="M1493">
        <x:v>86</x:v>
      </x:c>
      <x:c r="N1493">
        <x:v>42</x:v>
      </x:c>
      <x:c r="O1493">
        <x:v>41</x:v>
      </x:c>
      <x:c r="P1493">
        <x:v>57</x:v>
      </x:c>
      <x:c r="Q1493">
        <x:v>61</x:v>
      </x:c>
      <x:c r="R1493">
        <x:v>67</x:v>
      </x:c>
      <x:c r="S1493">
        <x:v>67</x:v>
      </x:c>
      <x:c r="T1493">
        <x:v>51</x:v>
      </x:c>
      <x:c r="U1493">
        <x:v>46</x:v>
      </x:c>
    </x:row>
    <x:row r="1494">
      <x:c r="A1494" t="s">
        <x:v>1853</x:v>
      </x:c>
      <x:c r="C1494" t="s">
        <x:v>319</x:v>
      </x:c>
      <x:c r="D1494">
        <x:v>8485491</x:v>
      </x:c>
      <x:c r="E1494">
        <x:v>71</x:v>
      </x:c>
      <x:c r="F1494">
        <x:v>42</x:v>
      </x:c>
      <x:c r="G1494">
        <x:v>89</x:v>
      </x:c>
      <x:c r="H1494">
        <x:v>37</x:v>
      </x:c>
      <x:c r="I1494">
        <x:v>78</x:v>
      </x:c>
      <x:c r="J1494">
        <x:v>71</x:v>
      </x:c>
      <x:c r="K1494">
        <x:v>73</x:v>
      </x:c>
      <x:c r="L1494">
        <x:v>37</x:v>
      </x:c>
      <x:c r="M1494">
        <x:v>72</x:v>
      </x:c>
      <x:c r="N1494">
        <x:v>39</x:v>
      </x:c>
      <x:c r="O1494">
        <x:v>41</x:v>
      </x:c>
      <x:c r="P1494">
        <x:v>58</x:v>
      </x:c>
      <x:c r="Q1494">
        <x:v>58</x:v>
      </x:c>
      <x:c r="R1494">
        <x:v>68</x:v>
      </x:c>
      <x:c r="S1494">
        <x:v>69</x:v>
      </x:c>
      <x:c r="T1494">
        <x:v>51</x:v>
      </x:c>
      <x:c r="U1494">
        <x:v>46</x:v>
      </x:c>
    </x:row>
    <x:row r="1495">
      <x:c r="A1495" t="s">
        <x:v>1854</x:v>
      </x:c>
      <x:c r="C1495" t="s">
        <x:v>358</x:v>
      </x:c>
      <x:c r="D1495">
        <x:v>8480242</x:v>
      </x:c>
      <x:c r="E1495">
        <x:v>62</x:v>
      </x:c>
      <x:c r="F1495">
        <x:v>38</x:v>
      </x:c>
      <x:c r="G1495">
        <x:v>84</x:v>
      </x:c>
      <x:c r="H1495">
        <x:v>38</x:v>
      </x:c>
      <x:c r="I1495">
        <x:v>80</x:v>
      </x:c>
      <x:c r="J1495">
        <x:v>73</x:v>
      </x:c>
      <x:c r="K1495">
        <x:v>76</x:v>
      </x:c>
      <x:c r="L1495">
        <x:v>37</x:v>
      </x:c>
      <x:c r="M1495">
        <x:v>66</x:v>
      </x:c>
      <x:c r="N1495">
        <x:v>42</x:v>
      </x:c>
      <x:c r="O1495">
        <x:v>39</x:v>
      </x:c>
      <x:c r="P1495">
        <x:v>58</x:v>
      </x:c>
      <x:c r="Q1495">
        <x:v>59</x:v>
      </x:c>
      <x:c r="R1495">
        <x:v>69</x:v>
      </x:c>
      <x:c r="S1495">
        <x:v>68</x:v>
      </x:c>
      <x:c r="T1495">
        <x:v>51</x:v>
      </x:c>
      <x:c r="U1495">
        <x:v>46</x:v>
      </x:c>
    </x:row>
    <x:row r="1496">
      <x:c r="A1496" t="s">
        <x:v>1855</x:v>
      </x:c>
      <x:c r="C1496" t="s">
        <x:v>358</x:v>
      </x:c>
      <x:c r="D1496">
        <x:v>8482490</x:v>
      </x:c>
      <x:c r="E1496">
        <x:v>68</x:v>
      </x:c>
      <x:c r="F1496">
        <x:v>38</x:v>
      </x:c>
      <x:c r="G1496">
        <x:v>78</x:v>
      </x:c>
      <x:c r="H1496">
        <x:v>38</x:v>
      </x:c>
      <x:c r="I1496">
        <x:v>85</x:v>
      </x:c>
      <x:c r="J1496">
        <x:v>78</x:v>
      </x:c>
      <x:c r="K1496">
        <x:v>82</x:v>
      </x:c>
      <x:c r="L1496">
        <x:v>37</x:v>
      </x:c>
      <x:c r="M1496">
        <x:v>66</x:v>
      </x:c>
      <x:c r="N1496">
        <x:v>40</x:v>
      </x:c>
      <x:c r="O1496">
        <x:v>40</x:v>
      </x:c>
      <x:c r="P1496">
        <x:v>60</x:v>
      </x:c>
      <x:c r="Q1496">
        <x:v>58</x:v>
      </x:c>
      <x:c r="R1496">
        <x:v>67</x:v>
      </x:c>
      <x:c r="S1496">
        <x:v>68</x:v>
      </x:c>
      <x:c r="T1496">
        <x:v>51</x:v>
      </x:c>
      <x:c r="U1496">
        <x:v>46</x:v>
      </x:c>
    </x:row>
    <x:row r="1497">
      <x:c r="A1497" t="s">
        <x:v>1856</x:v>
      </x:c>
      <x:c r="C1497" t="s">
        <x:v>319</x:v>
      </x:c>
      <x:c r="D1497">
        <x:v>8484641</x:v>
      </x:c>
      <x:c r="E1497">
        <x:v>79</x:v>
      </x:c>
      <x:c r="F1497">
        <x:v>31</x:v>
      </x:c>
      <x:c r="G1497">
        <x:v>87</x:v>
      </x:c>
      <x:c r="H1497">
        <x:v>36</x:v>
      </x:c>
      <x:c r="I1497">
        <x:v>87</x:v>
      </x:c>
      <x:c r="J1497">
        <x:v>73</x:v>
      </x:c>
      <x:c r="K1497">
        <x:v>75</x:v>
      </x:c>
      <x:c r="L1497">
        <x:v>35</x:v>
      </x:c>
      <x:c r="M1497">
        <x:v>76</x:v>
      </x:c>
      <x:c r="N1497">
        <x:v>39</x:v>
      </x:c>
      <x:c r="O1497">
        <x:v>39</x:v>
      </x:c>
      <x:c r="P1497">
        <x:v>60</x:v>
      </x:c>
      <x:c r="Q1497">
        <x:v>57</x:v>
      </x:c>
      <x:c r="R1497">
        <x:v>67</x:v>
      </x:c>
      <x:c r="S1497">
        <x:v>67</x:v>
      </x:c>
      <x:c r="T1497">
        <x:v>51</x:v>
      </x:c>
      <x:c r="U1497">
        <x:v>46</x:v>
      </x:c>
    </x:row>
    <x:row r="1498">
      <x:c r="A1498" t="s">
        <x:v>1857</x:v>
      </x:c>
      <x:c r="B1498" t="s">
        <x:v>584</x:v>
      </x:c>
      <x:c r="C1498" t="s">
        <x:v>326</x:v>
      </x:c>
      <x:c r="D1498">
        <x:v>8483045</x:v>
      </x:c>
      <x:c r="E1498">
        <x:v>80</x:v>
      </x:c>
      <x:c r="F1498">
        <x:v>36</x:v>
      </x:c>
      <x:c r="G1498">
        <x:v>74</x:v>
      </x:c>
      <x:c r="H1498">
        <x:v>37</x:v>
      </x:c>
      <x:c r="I1498">
        <x:v>85</x:v>
      </x:c>
      <x:c r="J1498">
        <x:v>75</x:v>
      </x:c>
      <x:c r="K1498">
        <x:v>77</x:v>
      </x:c>
      <x:c r="L1498">
        <x:v>36</x:v>
      </x:c>
      <x:c r="M1498">
        <x:v>72</x:v>
      </x:c>
      <x:c r="N1498">
        <x:v>39</x:v>
      </x:c>
      <x:c r="O1498">
        <x:v>40</x:v>
      </x:c>
      <x:c r="P1498">
        <x:v>62</x:v>
      </x:c>
      <x:c r="Q1498">
        <x:v>58</x:v>
      </x:c>
      <x:c r="R1498">
        <x:v>67</x:v>
      </x:c>
      <x:c r="S1498">
        <x:v>67</x:v>
      </x:c>
      <x:c r="T1498">
        <x:v>51</x:v>
      </x:c>
      <x:c r="U1498">
        <x:v>46</x:v>
      </x:c>
    </x:row>
    <x:row r="1499">
      <x:c r="A1499" t="s">
        <x:v>1858</x:v>
      </x:c>
      <x:c r="C1499" t="s">
        <x:v>319</x:v>
      </x:c>
      <x:c r="D1499">
        <x:v>8483449</x:v>
      </x:c>
      <x:c r="E1499">
        <x:v>67</x:v>
      </x:c>
      <x:c r="F1499">
        <x:v>32</x:v>
      </x:c>
      <x:c r="G1499">
        <x:v>76</x:v>
      </x:c>
      <x:c r="H1499">
        <x:v>39</x:v>
      </x:c>
      <x:c r="I1499">
        <x:v>74</x:v>
      </x:c>
      <x:c r="J1499">
        <x:v>80</x:v>
      </x:c>
      <x:c r="K1499">
        <x:v>84</x:v>
      </x:c>
      <x:c r="L1499">
        <x:v>40</x:v>
      </x:c>
      <x:c r="M1499">
        <x:v>73</x:v>
      </x:c>
      <x:c r="N1499">
        <x:v>41</x:v>
      </x:c>
      <x:c r="O1499">
        <x:v>40</x:v>
      </x:c>
      <x:c r="P1499">
        <x:v>61</x:v>
      </x:c>
      <x:c r="Q1499">
        <x:v>60</x:v>
      </x:c>
      <x:c r="R1499">
        <x:v>65</x:v>
      </x:c>
      <x:c r="S1499">
        <x:v>66</x:v>
      </x:c>
      <x:c r="T1499">
        <x:v>51</x:v>
      </x:c>
      <x:c r="U1499">
        <x:v>46</x:v>
      </x:c>
    </x:row>
    <x:row r="1500">
      <x:c r="A1500" t="s">
        <x:v>1859</x:v>
      </x:c>
      <x:c r="B1500" t="s">
        <x:v>584</x:v>
      </x:c>
      <x:c r="C1500" t="s">
        <x:v>323</x:v>
      </x:c>
      <x:c r="D1500">
        <x:v>8483058</x:v>
      </x:c>
      <x:c r="E1500">
        <x:v>76</x:v>
      </x:c>
      <x:c r="F1500">
        <x:v>41</x:v>
      </x:c>
      <x:c r="G1500">
        <x:v>71</x:v>
      </x:c>
      <x:c r="H1500">
        <x:v>36</x:v>
      </x:c>
      <x:c r="I1500">
        <x:v>73</x:v>
      </x:c>
      <x:c r="J1500">
        <x:v>69</x:v>
      </x:c>
      <x:c r="K1500">
        <x:v>72</x:v>
      </x:c>
      <x:c r="L1500">
        <x:v>35</x:v>
      </x:c>
      <x:c r="M1500">
        <x:v>82</x:v>
      </x:c>
      <x:c r="N1500">
        <x:v>38</x:v>
      </x:c>
      <x:c r="O1500">
        <x:v>40</x:v>
      </x:c>
      <x:c r="P1500">
        <x:v>60</x:v>
      </x:c>
      <x:c r="Q1500">
        <x:v>57</x:v>
      </x:c>
      <x:c r="R1500">
        <x:v>69</x:v>
      </x:c>
      <x:c r="S1500">
        <x:v>68</x:v>
      </x:c>
      <x:c r="T1500">
        <x:v>51</x:v>
      </x:c>
      <x:c r="U1500">
        <x:v>46</x:v>
      </x:c>
    </x:row>
    <x:row r="1501">
      <x:c r="A1501" t="s">
        <x:v>1860</x:v>
      </x:c>
      <x:c r="C1501" t="s">
        <x:v>319</x:v>
      </x:c>
      <x:c r="D1501">
        <x:v>8482147</x:v>
      </x:c>
      <x:c r="E1501">
        <x:v>58</x:v>
      </x:c>
      <x:c r="F1501">
        <x:v>36</x:v>
      </x:c>
      <x:c r="G1501">
        <x:v>85</x:v>
      </x:c>
      <x:c r="H1501">
        <x:v>39</x:v>
      </x:c>
      <x:c r="I1501">
        <x:v>76</x:v>
      </x:c>
      <x:c r="J1501">
        <x:v>86</x:v>
      </x:c>
      <x:c r="K1501">
        <x:v>91</x:v>
      </x:c>
      <x:c r="L1501">
        <x:v>40</x:v>
      </x:c>
      <x:c r="M1501">
        <x:v>56</x:v>
      </x:c>
      <x:c r="N1501">
        <x:v>44</x:v>
      </x:c>
      <x:c r="O1501">
        <x:v>39</x:v>
      </x:c>
      <x:c r="P1501">
        <x:v>58</x:v>
      </x:c>
      <x:c r="Q1501">
        <x:v>61</x:v>
      </x:c>
      <x:c r="R1501">
        <x:v>67</x:v>
      </x:c>
      <x:c r="S1501">
        <x:v>68</x:v>
      </x:c>
      <x:c r="T1501">
        <x:v>51</x:v>
      </x:c>
      <x:c r="U1501">
        <x:v>46</x:v>
      </x:c>
    </x:row>
    <x:row r="1502">
      <x:c r="A1502" t="s">
        <x:v>1861</x:v>
      </x:c>
      <x:c r="C1502" t="s">
        <x:v>358</x:v>
      </x:c>
      <x:c r="D1502">
        <x:v>8485182</x:v>
      </x:c>
      <x:c r="E1502">
        <x:v>67</x:v>
      </x:c>
      <x:c r="F1502">
        <x:v>39</x:v>
      </x:c>
      <x:c r="G1502">
        <x:v>79</x:v>
      </x:c>
      <x:c r="H1502">
        <x:v>36</x:v>
      </x:c>
      <x:c r="I1502">
        <x:v>88</x:v>
      </x:c>
      <x:c r="J1502">
        <x:v>71</x:v>
      </x:c>
      <x:c r="K1502">
        <x:v>73</x:v>
      </x:c>
      <x:c r="L1502">
        <x:v>37</x:v>
      </x:c>
      <x:c r="M1502">
        <x:v>71</x:v>
      </x:c>
      <x:c r="N1502">
        <x:v>39</x:v>
      </x:c>
      <x:c r="O1502">
        <x:v>39</x:v>
      </x:c>
      <x:c r="P1502">
        <x:v>62</x:v>
      </x:c>
      <x:c r="Q1502">
        <x:v>57</x:v>
      </x:c>
      <x:c r="R1502">
        <x:v>69</x:v>
      </x:c>
      <x:c r="S1502">
        <x:v>69</x:v>
      </x:c>
      <x:c r="T1502">
        <x:v>51</x:v>
      </x:c>
      <x:c r="U1502">
        <x:v>46</x:v>
      </x:c>
    </x:row>
    <x:row r="1503">
      <x:c r="A1503" t="s">
        <x:v>1862</x:v>
      </x:c>
      <x:c r="C1503" t="s">
        <x:v>326</x:v>
      </x:c>
      <x:c r="D1503">
        <x:v>8485884</x:v>
      </x:c>
      <x:c r="E1503">
        <x:v>60</x:v>
      </x:c>
      <x:c r="F1503">
        <x:v>42</x:v>
      </x:c>
      <x:c r="G1503">
        <x:v>78</x:v>
      </x:c>
      <x:c r="H1503">
        <x:v>37</x:v>
      </x:c>
      <x:c r="I1503">
        <x:v>82</x:v>
      </x:c>
      <x:c r="J1503">
        <x:v>72</x:v>
      </x:c>
      <x:c r="K1503">
        <x:v>75</x:v>
      </x:c>
      <x:c r="L1503">
        <x:v>37</x:v>
      </x:c>
      <x:c r="M1503">
        <x:v>61</x:v>
      </x:c>
      <x:c r="N1503">
        <x:v>40</x:v>
      </x:c>
      <x:c r="O1503">
        <x:v>40</x:v>
      </x:c>
      <x:c r="P1503">
        <x:v>62</x:v>
      </x:c>
      <x:c r="Q1503">
        <x:v>58</x:v>
      </x:c>
      <x:c r="R1503">
        <x:v>69</x:v>
      </x:c>
      <x:c r="S1503">
        <x:v>68</x:v>
      </x:c>
      <x:c r="T1503">
        <x:v>51</x:v>
      </x:c>
      <x:c r="U1503">
        <x:v>46</x:v>
      </x:c>
    </x:row>
    <x:row r="1504">
      <x:c r="A1504" t="s">
        <x:v>1863</x:v>
      </x:c>
      <x:c r="C1504" t="s">
        <x:v>358</x:v>
      </x:c>
      <x:c r="D1504">
        <x:v>8485071</x:v>
      </x:c>
      <x:c r="E1504">
        <x:v>60</x:v>
      </x:c>
      <x:c r="F1504">
        <x:v>39</x:v>
      </x:c>
      <x:c r="G1504">
        <x:v>80</x:v>
      </x:c>
      <x:c r="H1504">
        <x:v>38</x:v>
      </x:c>
      <x:c r="I1504">
        <x:v>79</x:v>
      </x:c>
      <x:c r="J1504">
        <x:v>78</x:v>
      </x:c>
      <x:c r="K1504">
        <x:v>82</x:v>
      </x:c>
      <x:c r="L1504">
        <x:v>37</x:v>
      </x:c>
      <x:c r="M1504">
        <x:v>67</x:v>
      </x:c>
      <x:c r="N1504">
        <x:v>42</x:v>
      </x:c>
      <x:c r="O1504">
        <x:v>42</x:v>
      </x:c>
      <x:c r="P1504">
        <x:v>60</x:v>
      </x:c>
      <x:c r="Q1504">
        <x:v>59</x:v>
      </x:c>
      <x:c r="R1504">
        <x:v>65</x:v>
      </x:c>
      <x:c r="S1504">
        <x:v>65</x:v>
      </x:c>
      <x:c r="T1504">
        <x:v>51</x:v>
      </x:c>
      <x:c r="U1504">
        <x:v>46</x:v>
      </x:c>
    </x:row>
    <x:row r="1505">
      <x:c r="A1505" t="s">
        <x:v>1864</x:v>
      </x:c>
      <x:c r="C1505" t="s">
        <x:v>319</x:v>
      </x:c>
      <x:c r="D1505">
        <x:v>8483050</x:v>
      </x:c>
      <x:c r="E1505">
        <x:v>73</x:v>
      </x:c>
      <x:c r="F1505">
        <x:v>35</x:v>
      </x:c>
      <x:c r="G1505">
        <x:v>91</x:v>
      </x:c>
      <x:c r="H1505">
        <x:v>36</x:v>
      </x:c>
      <x:c r="I1505">
        <x:v>84</x:v>
      </x:c>
      <x:c r="J1505">
        <x:v>74</x:v>
      </x:c>
      <x:c r="K1505">
        <x:v>76</x:v>
      </x:c>
      <x:c r="L1505">
        <x:v>36</x:v>
      </x:c>
      <x:c r="M1505">
        <x:v>65</x:v>
      </x:c>
      <x:c r="N1505">
        <x:v>39</x:v>
      </x:c>
      <x:c r="O1505">
        <x:v>39</x:v>
      </x:c>
      <x:c r="P1505">
        <x:v>59</x:v>
      </x:c>
      <x:c r="Q1505">
        <x:v>57</x:v>
      </x:c>
      <x:c r="R1505">
        <x:v>68</x:v>
      </x:c>
      <x:c r="S1505">
        <x:v>67</x:v>
      </x:c>
      <x:c r="T1505">
        <x:v>51</x:v>
      </x:c>
      <x:c r="U1505">
        <x:v>46</x:v>
      </x:c>
    </x:row>
    <x:row r="1506">
      <x:c r="A1506" t="s">
        <x:v>1865</x:v>
      </x:c>
      <x:c r="C1506" t="s">
        <x:v>358</x:v>
      </x:c>
      <x:c r="D1506">
        <x:v>8481660</x:v>
      </x:c>
      <x:c r="E1506">
        <x:v>66</x:v>
      </x:c>
      <x:c r="F1506">
        <x:v>39</x:v>
      </x:c>
      <x:c r="G1506">
        <x:v>77</x:v>
      </x:c>
      <x:c r="H1506">
        <x:v>38</x:v>
      </x:c>
      <x:c r="I1506">
        <x:v>85</x:v>
      </x:c>
      <x:c r="J1506">
        <x:v>77</x:v>
      </x:c>
      <x:c r="K1506">
        <x:v>81</x:v>
      </x:c>
      <x:c r="L1506">
        <x:v>38</x:v>
      </x:c>
      <x:c r="M1506">
        <x:v>62</x:v>
      </x:c>
      <x:c r="N1506">
        <x:v>40</x:v>
      </x:c>
      <x:c r="O1506">
        <x:v>41</x:v>
      </x:c>
      <x:c r="P1506">
        <x:v>58</x:v>
      </x:c>
      <x:c r="Q1506">
        <x:v>59</x:v>
      </x:c>
      <x:c r="R1506">
        <x:v>68</x:v>
      </x:c>
      <x:c r="S1506">
        <x:v>68</x:v>
      </x:c>
      <x:c r="T1506">
        <x:v>51</x:v>
      </x:c>
      <x:c r="U1506">
        <x:v>46</x:v>
      </x:c>
    </x:row>
    <x:row r="1507">
      <x:c r="A1507" t="s">
        <x:v>1866</x:v>
      </x:c>
      <x:c r="C1507" t="s">
        <x:v>333</x:v>
      </x:c>
      <x:c r="D1507">
        <x:v>8485166</x:v>
      </x:c>
      <x:c r="E1507">
        <x:v>71</x:v>
      </x:c>
      <x:c r="F1507">
        <x:v>44</x:v>
      </x:c>
      <x:c r="G1507">
        <x:v>68</x:v>
      </x:c>
      <x:c r="H1507">
        <x:v>38</x:v>
      </x:c>
      <x:c r="I1507">
        <x:v>79</x:v>
      </x:c>
      <x:c r="J1507">
        <x:v>78</x:v>
      </x:c>
      <x:c r="K1507">
        <x:v>82</x:v>
      </x:c>
      <x:c r="L1507">
        <x:v>37</x:v>
      </x:c>
      <x:c r="M1507">
        <x:v>69</x:v>
      </x:c>
      <x:c r="N1507">
        <x:v>40</x:v>
      </x:c>
      <x:c r="O1507">
        <x:v>39</x:v>
      </x:c>
      <x:c r="P1507">
        <x:v>60</x:v>
      </x:c>
      <x:c r="Q1507">
        <x:v>58</x:v>
      </x:c>
      <x:c r="R1507">
        <x:v>69</x:v>
      </x:c>
      <x:c r="S1507">
        <x:v>70</x:v>
      </x:c>
      <x:c r="T1507">
        <x:v>51</x:v>
      </x:c>
      <x:c r="U1507">
        <x:v>46</x:v>
      </x:c>
    </x:row>
    <x:row r="1508">
      <x:c r="A1508" t="s">
        <x:v>1867</x:v>
      </x:c>
      <x:c r="C1508" t="s">
        <x:v>358</x:v>
      </x:c>
      <x:c r="D1508">
        <x:v>8483016</x:v>
      </x:c>
      <x:c r="E1508">
        <x:v>68</x:v>
      </x:c>
      <x:c r="F1508">
        <x:v>43</x:v>
      </x:c>
      <x:c r="G1508">
        <x:v>70</x:v>
      </x:c>
      <x:c r="H1508">
        <x:v>36</x:v>
      </x:c>
      <x:c r="I1508">
        <x:v>83</x:v>
      </x:c>
      <x:c r="J1508">
        <x:v>74</x:v>
      </x:c>
      <x:c r="K1508">
        <x:v>78</x:v>
      </x:c>
      <x:c r="L1508">
        <x:v>37</x:v>
      </x:c>
      <x:c r="M1508">
        <x:v>69</x:v>
      </x:c>
      <x:c r="N1508">
        <x:v>39</x:v>
      </x:c>
      <x:c r="O1508">
        <x:v>39</x:v>
      </x:c>
      <x:c r="P1508">
        <x:v>60</x:v>
      </x:c>
      <x:c r="Q1508">
        <x:v>57</x:v>
      </x:c>
      <x:c r="R1508">
        <x:v>69</x:v>
      </x:c>
      <x:c r="S1508">
        <x:v>70</x:v>
      </x:c>
      <x:c r="T1508">
        <x:v>51</x:v>
      </x:c>
      <x:c r="U1508">
        <x:v>46</x:v>
      </x:c>
    </x:row>
    <x:row r="1509">
      <x:c r="A1509" t="s">
        <x:v>1868</x:v>
      </x:c>
      <x:c r="B1509" t="s">
        <x:v>584</x:v>
      </x:c>
      <x:c r="C1509" t="s">
        <x:v>319</x:v>
      </x:c>
      <x:c r="D1509">
        <x:v>8485555</x:v>
      </x:c>
      <x:c r="E1509">
        <x:v>64</x:v>
      </x:c>
      <x:c r="F1509">
        <x:v>40</x:v>
      </x:c>
      <x:c r="G1509">
        <x:v>83</x:v>
      </x:c>
      <x:c r="H1509">
        <x:v>37</x:v>
      </x:c>
      <x:c r="I1509">
        <x:v>83</x:v>
      </x:c>
      <x:c r="J1509">
        <x:v>75</x:v>
      </x:c>
      <x:c r="K1509">
        <x:v>78</x:v>
      </x:c>
      <x:c r="L1509">
        <x:v>37</x:v>
      </x:c>
      <x:c r="M1509">
        <x:v>67</x:v>
      </x:c>
      <x:c r="N1509">
        <x:v>40</x:v>
      </x:c>
      <x:c r="O1509">
        <x:v>40</x:v>
      </x:c>
      <x:c r="P1509">
        <x:v>58</x:v>
      </x:c>
      <x:c r="Q1509">
        <x:v>58</x:v>
      </x:c>
      <x:c r="R1509">
        <x:v>69</x:v>
      </x:c>
      <x:c r="S1509">
        <x:v>69</x:v>
      </x:c>
      <x:c r="T1509">
        <x:v>51</x:v>
      </x:c>
      <x:c r="U1509">
        <x:v>46</x:v>
      </x:c>
    </x:row>
    <x:row r="1510">
      <x:c r="A1510" t="s">
        <x:v>1869</x:v>
      </x:c>
      <x:c r="C1510" t="s">
        <x:v>333</x:v>
      </x:c>
      <x:c r="D1510">
        <x:v>8485488</x:v>
      </x:c>
      <x:c r="E1510">
        <x:v>62</x:v>
      </x:c>
      <x:c r="F1510">
        <x:v>39</x:v>
      </x:c>
      <x:c r="G1510">
        <x:v>92</x:v>
      </x:c>
      <x:c r="H1510">
        <x:v>38</x:v>
      </x:c>
      <x:c r="I1510">
        <x:v>85</x:v>
      </x:c>
      <x:c r="J1510">
        <x:v>71</x:v>
      </x:c>
      <x:c r="K1510">
        <x:v>74</x:v>
      </x:c>
      <x:c r="L1510">
        <x:v>37</x:v>
      </x:c>
      <x:c r="M1510">
        <x:v>64</x:v>
      </x:c>
      <x:c r="N1510">
        <x:v>40</x:v>
      </x:c>
      <x:c r="O1510">
        <x:v>41</x:v>
      </x:c>
      <x:c r="P1510">
        <x:v>59</x:v>
      </x:c>
      <x:c r="Q1510">
        <x:v>59</x:v>
      </x:c>
      <x:c r="R1510">
        <x:v>66</x:v>
      </x:c>
      <x:c r="S1510">
        <x:v>66</x:v>
      </x:c>
      <x:c r="T1510">
        <x:v>51</x:v>
      </x:c>
      <x:c r="U1510">
        <x:v>46</x:v>
      </x:c>
    </x:row>
    <x:row r="1511">
      <x:c r="A1511" t="s">
        <x:v>1870</x:v>
      </x:c>
      <x:c r="C1511" t="s">
        <x:v>339</x:v>
      </x:c>
      <x:c r="D1511">
        <x:v>8483838</x:v>
      </x:c>
      <x:c r="E1511">
        <x:v>57</x:v>
      </x:c>
      <x:c r="F1511">
        <x:v>34</x:v>
      </x:c>
      <x:c r="G1511">
        <x:v>82</x:v>
      </x:c>
      <x:c r="H1511">
        <x:v>39</x:v>
      </x:c>
      <x:c r="I1511">
        <x:v>79</x:v>
      </x:c>
      <x:c r="J1511">
        <x:v>75</x:v>
      </x:c>
      <x:c r="K1511">
        <x:v>76</x:v>
      </x:c>
      <x:c r="L1511">
        <x:v>38</x:v>
      </x:c>
      <x:c r="M1511">
        <x:v>74</x:v>
      </x:c>
      <x:c r="N1511">
        <x:v>38</x:v>
      </x:c>
      <x:c r="O1511">
        <x:v>42</x:v>
      </x:c>
      <x:c r="P1511">
        <x:v>58</x:v>
      </x:c>
      <x:c r="Q1511">
        <x:v>59</x:v>
      </x:c>
      <x:c r="R1511">
        <x:v>71</x:v>
      </x:c>
      <x:c r="S1511">
        <x:v>70</x:v>
      </x:c>
      <x:c r="T1511">
        <x:v>51</x:v>
      </x:c>
      <x:c r="U1511">
        <x:v>46</x:v>
      </x:c>
    </x:row>
    <x:row r="1512">
      <x:c r="A1512" t="s">
        <x:v>1871</x:v>
      </x:c>
      <x:c r="B1512" t="s">
        <x:v>584</x:v>
      </x:c>
      <x:c r="C1512" t="s">
        <x:v>339</x:v>
      </x:c>
      <x:c r="E1512">
        <x:v>64</x:v>
      </x:c>
      <x:c r="F1512">
        <x:v>34</x:v>
      </x:c>
      <x:c r="G1512">
        <x:v>91</x:v>
      </x:c>
      <x:c r="H1512">
        <x:v>36</x:v>
      </x:c>
      <x:c r="I1512">
        <x:v>79</x:v>
      </x:c>
      <x:c r="J1512">
        <x:v>67</x:v>
      </x:c>
      <x:c r="K1512">
        <x:v>70</x:v>
      </x:c>
      <x:c r="L1512">
        <x:v>37</x:v>
      </x:c>
      <x:c r="M1512">
        <x:v>66</x:v>
      </x:c>
      <x:c r="N1512">
        <x:v>38</x:v>
      </x:c>
      <x:c r="O1512">
        <x:v>39</x:v>
      </x:c>
      <x:c r="P1512">
        <x:v>62</x:v>
      </x:c>
      <x:c r="Q1512">
        <x:v>56</x:v>
      </x:c>
      <x:c r="R1512">
        <x:v>69</x:v>
      </x:c>
      <x:c r="S1512">
        <x:v>70</x:v>
      </x:c>
      <x:c r="T1512">
        <x:v>51</x:v>
      </x:c>
      <x:c r="U1512">
        <x:v>46</x:v>
      </x:c>
    </x:row>
    <x:row r="1513">
      <x:c r="A1513" t="s">
        <x:v>1872</x:v>
      </x:c>
      <x:c r="C1513" t="s">
        <x:v>329</x:v>
      </x:c>
      <x:c r="D1513">
        <x:v>8486129</x:v>
      </x:c>
      <x:c r="E1513">
        <x:v>61</x:v>
      </x:c>
      <x:c r="F1513">
        <x:v>35</x:v>
      </x:c>
      <x:c r="G1513">
        <x:v>81</x:v>
      </x:c>
      <x:c r="H1513">
        <x:v>38</x:v>
      </x:c>
      <x:c r="I1513">
        <x:v>83</x:v>
      </x:c>
      <x:c r="J1513">
        <x:v>70</x:v>
      </x:c>
      <x:c r="K1513">
        <x:v>73</x:v>
      </x:c>
      <x:c r="L1513">
        <x:v>38</x:v>
      </x:c>
      <x:c r="M1513">
        <x:v>70</x:v>
      </x:c>
      <x:c r="N1513">
        <x:v>41</x:v>
      </x:c>
      <x:c r="O1513">
        <x:v>39</x:v>
      </x:c>
      <x:c r="P1513">
        <x:v>60</x:v>
      </x:c>
      <x:c r="Q1513">
        <x:v>58</x:v>
      </x:c>
      <x:c r="R1513">
        <x:v>66</x:v>
      </x:c>
      <x:c r="S1513">
        <x:v>66</x:v>
      </x:c>
      <x:c r="T1513">
        <x:v>51</x:v>
      </x:c>
      <x:c r="U1513">
        <x:v>46</x:v>
      </x:c>
    </x:row>
    <x:row r="1514">
      <x:c r="A1514" t="s">
        <x:v>1873</x:v>
      </x:c>
      <x:c r="C1514" t="s">
        <x:v>333</x:v>
      </x:c>
      <x:c r="D1514">
        <x:v>8485486</x:v>
      </x:c>
      <x:c r="E1514">
        <x:v>64</x:v>
      </x:c>
      <x:c r="F1514">
        <x:v>36</x:v>
      </x:c>
      <x:c r="G1514">
        <x:v>84</x:v>
      </x:c>
      <x:c r="H1514">
        <x:v>39</x:v>
      </x:c>
      <x:c r="I1514">
        <x:v>76</x:v>
      </x:c>
      <x:c r="J1514">
        <x:v>73</x:v>
      </x:c>
      <x:c r="K1514">
        <x:v>76</x:v>
      </x:c>
      <x:c r="L1514">
        <x:v>38</x:v>
      </x:c>
      <x:c r="M1514">
        <x:v>76</x:v>
      </x:c>
      <x:c r="N1514">
        <x:v>41</x:v>
      </x:c>
      <x:c r="O1514">
        <x:v>41</x:v>
      </x:c>
      <x:c r="P1514">
        <x:v>59</x:v>
      </x:c>
      <x:c r="Q1514">
        <x:v>60</x:v>
      </x:c>
      <x:c r="R1514">
        <x:v>68</x:v>
      </x:c>
      <x:c r="S1514">
        <x:v>69</x:v>
      </x:c>
      <x:c r="T1514">
        <x:v>51</x:v>
      </x:c>
      <x:c r="U1514">
        <x:v>46</x:v>
      </x:c>
    </x:row>
    <x:row r="1515">
      <x:c r="A1515" t="s">
        <x:v>1874</x:v>
      </x:c>
      <x:c r="C1515" t="s">
        <x:v>339</x:v>
      </x:c>
      <x:c r="D1515">
        <x:v>8482924</x:v>
      </x:c>
      <x:c r="E1515">
        <x:v>58</x:v>
      </x:c>
      <x:c r="F1515">
        <x:v>33</x:v>
      </x:c>
      <x:c r="G1515">
        <x:v>82</x:v>
      </x:c>
      <x:c r="H1515">
        <x:v>39</x:v>
      </x:c>
      <x:c r="I1515">
        <x:v>80</x:v>
      </x:c>
      <x:c r="J1515">
        <x:v>80</x:v>
      </x:c>
      <x:c r="K1515">
        <x:v>82</x:v>
      </x:c>
      <x:c r="L1515">
        <x:v>39</x:v>
      </x:c>
      <x:c r="M1515">
        <x:v>56</x:v>
      </x:c>
      <x:c r="N1515">
        <x:v>42</x:v>
      </x:c>
      <x:c r="O1515">
        <x:v>41</x:v>
      </x:c>
      <x:c r="P1515">
        <x:v>58</x:v>
      </x:c>
      <x:c r="Q1515">
        <x:v>60</x:v>
      </x:c>
      <x:c r="R1515">
        <x:v>66</x:v>
      </x:c>
      <x:c r="S1515">
        <x:v>66</x:v>
      </x:c>
      <x:c r="T1515">
        <x:v>51</x:v>
      </x:c>
      <x:c r="U1515">
        <x:v>46</x:v>
      </x:c>
    </x:row>
    <x:row r="1516">
      <x:c r="A1516" t="s">
        <x:v>1875</x:v>
      </x:c>
      <x:c r="C1516" t="s">
        <x:v>326</x:v>
      </x:c>
      <x:c r="D1516">
        <x:v>8486117</x:v>
      </x:c>
      <x:c r="E1516">
        <x:v>60</x:v>
      </x:c>
      <x:c r="F1516">
        <x:v>41</x:v>
      </x:c>
      <x:c r="G1516">
        <x:v>80</x:v>
      </x:c>
      <x:c r="H1516">
        <x:v>36</x:v>
      </x:c>
      <x:c r="I1516">
        <x:v>81</x:v>
      </x:c>
      <x:c r="J1516">
        <x:v>71</x:v>
      </x:c>
      <x:c r="K1516">
        <x:v>74</x:v>
      </x:c>
      <x:c r="L1516">
        <x:v>37</x:v>
      </x:c>
      <x:c r="M1516">
        <x:v>62</x:v>
      </x:c>
      <x:c r="N1516">
        <x:v>39</x:v>
      </x:c>
      <x:c r="O1516">
        <x:v>41</x:v>
      </x:c>
      <x:c r="P1516">
        <x:v>62</x:v>
      </x:c>
      <x:c r="Q1516">
        <x:v>57</x:v>
      </x:c>
      <x:c r="R1516">
        <x:v>68</x:v>
      </x:c>
      <x:c r="S1516">
        <x:v>69</x:v>
      </x:c>
      <x:c r="T1516">
        <x:v>51</x:v>
      </x:c>
      <x:c r="U1516">
        <x:v>46</x:v>
      </x:c>
    </x:row>
    <x:row r="1517">
      <x:c r="A1517" t="s">
        <x:v>1876</x:v>
      </x:c>
      <x:c r="C1517" t="s">
        <x:v>319</x:v>
      </x:c>
      <x:c r="D1517">
        <x:v>8482704</x:v>
      </x:c>
      <x:c r="E1517">
        <x:v>59</x:v>
      </x:c>
      <x:c r="F1517">
        <x:v>33</x:v>
      </x:c>
      <x:c r="G1517">
        <x:v>78</x:v>
      </x:c>
      <x:c r="H1517">
        <x:v>37</x:v>
      </x:c>
      <x:c r="I1517">
        <x:v>84</x:v>
      </x:c>
      <x:c r="J1517">
        <x:v>75</x:v>
      </x:c>
      <x:c r="K1517">
        <x:v>75</x:v>
      </x:c>
      <x:c r="L1517">
        <x:v>38</x:v>
      </x:c>
      <x:c r="M1517">
        <x:v>79</x:v>
      </x:c>
      <x:c r="N1517">
        <x:v>39</x:v>
      </x:c>
      <x:c r="O1517">
        <x:v>42</x:v>
      </x:c>
      <x:c r="P1517">
        <x:v>61</x:v>
      </x:c>
      <x:c r="Q1517">
        <x:v>59</x:v>
      </x:c>
      <x:c r="R1517">
        <x:v>66</x:v>
      </x:c>
      <x:c r="S1517">
        <x:v>66</x:v>
      </x:c>
      <x:c r="T1517">
        <x:v>51</x:v>
      </x:c>
      <x:c r="U1517">
        <x:v>46</x:v>
      </x:c>
    </x:row>
    <x:row r="1518">
      <x:c r="A1518" t="s">
        <x:v>1877</x:v>
      </x:c>
      <x:c r="C1518" t="s">
        <x:v>339</x:v>
      </x:c>
      <x:c r="D1518">
        <x:v>8484382</x:v>
      </x:c>
      <x:c r="E1518">
        <x:v>61</x:v>
      </x:c>
      <x:c r="F1518">
        <x:v>31</x:v>
      </x:c>
      <x:c r="G1518">
        <x:v>90</x:v>
      </x:c>
      <x:c r="H1518">
        <x:v>38</x:v>
      </x:c>
      <x:c r="I1518">
        <x:v>79</x:v>
      </x:c>
      <x:c r="J1518">
        <x:v>77</x:v>
      </x:c>
      <x:c r="K1518">
        <x:v>79</x:v>
      </x:c>
      <x:c r="L1518">
        <x:v>39</x:v>
      </x:c>
      <x:c r="M1518">
        <x:v>63</x:v>
      </x:c>
      <x:c r="N1518">
        <x:v>40</x:v>
      </x:c>
      <x:c r="O1518">
        <x:v>42</x:v>
      </x:c>
      <x:c r="P1518">
        <x:v>60</x:v>
      </x:c>
      <x:c r="Q1518">
        <x:v>60</x:v>
      </x:c>
      <x:c r="R1518">
        <x:v>67</x:v>
      </x:c>
      <x:c r="S1518">
        <x:v>67</x:v>
      </x:c>
      <x:c r="T1518">
        <x:v>51</x:v>
      </x:c>
      <x:c r="U1518">
        <x:v>46</x:v>
      </x:c>
    </x:row>
    <x:row r="1519">
      <x:c r="A1519" t="s">
        <x:v>1878</x:v>
      </x:c>
      <x:c r="C1519" t="s">
        <x:v>358</x:v>
      </x:c>
      <x:c r="D1519">
        <x:v>8482865</x:v>
      </x:c>
      <x:c r="E1519">
        <x:v>64</x:v>
      </x:c>
      <x:c r="F1519">
        <x:v>37</x:v>
      </x:c>
      <x:c r="G1519">
        <x:v>94</x:v>
      </x:c>
      <x:c r="H1519">
        <x:v>37</x:v>
      </x:c>
      <x:c r="I1519">
        <x:v>79</x:v>
      </x:c>
      <x:c r="J1519">
        <x:v>73</x:v>
      </x:c>
      <x:c r="K1519">
        <x:v>76</x:v>
      </x:c>
      <x:c r="L1519">
        <x:v>37</x:v>
      </x:c>
      <x:c r="M1519">
        <x:v>63</x:v>
      </x:c>
      <x:c r="N1519">
        <x:v>40</x:v>
      </x:c>
      <x:c r="O1519">
        <x:v>41</x:v>
      </x:c>
      <x:c r="P1519">
        <x:v>60</x:v>
      </x:c>
      <x:c r="Q1519">
        <x:v>58</x:v>
      </x:c>
      <x:c r="R1519">
        <x:v>65</x:v>
      </x:c>
      <x:c r="S1519">
        <x:v>65</x:v>
      </x:c>
      <x:c r="T1519">
        <x:v>51</x:v>
      </x:c>
      <x:c r="U1519">
        <x:v>46</x:v>
      </x:c>
    </x:row>
    <x:row r="1520">
      <x:c r="A1520" t="s">
        <x:v>1879</x:v>
      </x:c>
      <x:c r="C1520" t="s">
        <x:v>319</x:v>
      </x:c>
      <x:c r="D1520">
        <x:v>8484415</x:v>
      </x:c>
      <x:c r="E1520">
        <x:v>59</x:v>
      </x:c>
      <x:c r="F1520">
        <x:v>38</x:v>
      </x:c>
      <x:c r="G1520">
        <x:v>88</x:v>
      </x:c>
      <x:c r="H1520">
        <x:v>39</x:v>
      </x:c>
      <x:c r="I1520">
        <x:v>80</x:v>
      </x:c>
      <x:c r="J1520">
        <x:v>79</x:v>
      </x:c>
      <x:c r="K1520">
        <x:v>83</x:v>
      </x:c>
      <x:c r="L1520">
        <x:v>39</x:v>
      </x:c>
      <x:c r="M1520">
        <x:v>60</x:v>
      </x:c>
      <x:c r="N1520">
        <x:v>42</x:v>
      </x:c>
      <x:c r="O1520">
        <x:v>41</x:v>
      </x:c>
      <x:c r="P1520">
        <x:v>59</x:v>
      </x:c>
      <x:c r="Q1520">
        <x:v>60</x:v>
      </x:c>
      <x:c r="R1520">
        <x:v>66</x:v>
      </x:c>
      <x:c r="S1520">
        <x:v>65</x:v>
      </x:c>
      <x:c r="T1520">
        <x:v>51</x:v>
      </x:c>
      <x:c r="U1520">
        <x:v>46</x:v>
      </x:c>
    </x:row>
    <x:row r="1521">
      <x:c r="A1521" t="s">
        <x:v>1880</x:v>
      </x:c>
      <x:c r="B1521" t="s">
        <x:v>584</x:v>
      </x:c>
      <x:c r="C1521" t="s">
        <x:v>358</x:v>
      </x:c>
      <x:c r="D1521">
        <x:v>8481817</x:v>
      </x:c>
      <x:c r="E1521">
        <x:v>66</x:v>
      </x:c>
      <x:c r="F1521">
        <x:v>33</x:v>
      </x:c>
      <x:c r="G1521">
        <x:v>71</x:v>
      </x:c>
      <x:c r="H1521">
        <x:v>37</x:v>
      </x:c>
      <x:c r="I1521">
        <x:v>82</x:v>
      </x:c>
      <x:c r="J1521">
        <x:v>78</x:v>
      </x:c>
      <x:c r="K1521">
        <x:v>81</x:v>
      </x:c>
      <x:c r="L1521">
        <x:v>38</x:v>
      </x:c>
      <x:c r="M1521">
        <x:v>69</x:v>
      </x:c>
      <x:c r="N1521">
        <x:v>39</x:v>
      </x:c>
      <x:c r="O1521">
        <x:v>40</x:v>
      </x:c>
      <x:c r="P1521">
        <x:v>58</x:v>
      </x:c>
      <x:c r="Q1521">
        <x:v>58</x:v>
      </x:c>
      <x:c r="R1521">
        <x:v>68</x:v>
      </x:c>
      <x:c r="S1521">
        <x:v>67</x:v>
      </x:c>
      <x:c r="T1521">
        <x:v>51</x:v>
      </x:c>
      <x:c r="U1521">
        <x:v>46</x:v>
      </x:c>
    </x:row>
    <x:row r="1522">
      <x:c r="A1522" t="s">
        <x:v>1881</x:v>
      </x:c>
      <x:c r="C1522" t="s">
        <x:v>339</x:v>
      </x:c>
      <x:c r="D1522">
        <x:v>8486055</x:v>
      </x:c>
      <x:c r="E1522">
        <x:v>63</x:v>
      </x:c>
      <x:c r="F1522">
        <x:v>40</x:v>
      </x:c>
      <x:c r="G1522">
        <x:v>81</x:v>
      </x:c>
      <x:c r="H1522">
        <x:v>38</x:v>
      </x:c>
      <x:c r="I1522">
        <x:v>83</x:v>
      </x:c>
      <x:c r="J1522">
        <x:v>71</x:v>
      </x:c>
      <x:c r="K1522">
        <x:v>74</x:v>
      </x:c>
      <x:c r="L1522">
        <x:v>39</x:v>
      </x:c>
      <x:c r="M1522">
        <x:v>64</x:v>
      </x:c>
      <x:c r="N1522">
        <x:v>38</x:v>
      </x:c>
      <x:c r="O1522">
        <x:v>42</x:v>
      </x:c>
      <x:c r="P1522">
        <x:v>61</x:v>
      </x:c>
      <x:c r="Q1522">
        <x:v>58</x:v>
      </x:c>
      <x:c r="R1522">
        <x:v>66</x:v>
      </x:c>
      <x:c r="S1522">
        <x:v>67</x:v>
      </x:c>
      <x:c r="T1522">
        <x:v>51</x:v>
      </x:c>
      <x:c r="U1522">
        <x:v>46</x:v>
      </x:c>
    </x:row>
    <x:row r="1523">
      <x:c r="A1523" t="s">
        <x:v>1882</x:v>
      </x:c>
      <x:c r="C1523" t="s">
        <x:v>319</x:v>
      </x:c>
      <x:c r="D1523">
        <x:v>8480016</x:v>
      </x:c>
      <x:c r="E1523">
        <x:v>59</x:v>
      </x:c>
      <x:c r="F1523">
        <x:v>42</x:v>
      </x:c>
      <x:c r="G1523">
        <x:v>75</x:v>
      </x:c>
      <x:c r="H1523">
        <x:v>38</x:v>
      </x:c>
      <x:c r="I1523">
        <x:v>78</x:v>
      </x:c>
      <x:c r="J1523">
        <x:v>76</x:v>
      </x:c>
      <x:c r="K1523">
        <x:v>80</x:v>
      </x:c>
      <x:c r="L1523">
        <x:v>38</x:v>
      </x:c>
      <x:c r="M1523">
        <x:v>77</x:v>
      </x:c>
      <x:c r="N1523">
        <x:v>41</x:v>
      </x:c>
      <x:c r="O1523">
        <x:v>40</x:v>
      </x:c>
      <x:c r="P1523">
        <x:v>66</x:v>
      </x:c>
      <x:c r="Q1523">
        <x:v>59</x:v>
      </x:c>
      <x:c r="R1523">
        <x:v>69</x:v>
      </x:c>
      <x:c r="S1523">
        <x:v>70</x:v>
      </x:c>
      <x:c r="T1523">
        <x:v>51</x:v>
      </x:c>
      <x:c r="U1523">
        <x:v>46</x:v>
      </x:c>
    </x:row>
    <x:row r="1524">
      <x:c r="A1524" t="s">
        <x:v>1883</x:v>
      </x:c>
      <x:c r="C1524" t="s">
        <x:v>333</x:v>
      </x:c>
      <x:c r="D1524">
        <x:v>8485455</x:v>
      </x:c>
      <x:c r="E1524">
        <x:v>65</x:v>
      </x:c>
      <x:c r="F1524">
        <x:v>36</x:v>
      </x:c>
      <x:c r="G1524">
        <x:v>78</x:v>
      </x:c>
      <x:c r="H1524">
        <x:v>37</x:v>
      </x:c>
      <x:c r="I1524">
        <x:v>80</x:v>
      </x:c>
      <x:c r="J1524">
        <x:v>75</x:v>
      </x:c>
      <x:c r="K1524">
        <x:v>79</x:v>
      </x:c>
      <x:c r="L1524">
        <x:v>36</x:v>
      </x:c>
      <x:c r="M1524">
        <x:v>68</x:v>
      </x:c>
      <x:c r="N1524">
        <x:v>40</x:v>
      </x:c>
      <x:c r="O1524">
        <x:v>39</x:v>
      </x:c>
      <x:c r="P1524">
        <x:v>63</x:v>
      </x:c>
      <x:c r="Q1524">
        <x:v>58</x:v>
      </x:c>
      <x:c r="R1524">
        <x:v>69</x:v>
      </x:c>
      <x:c r="S1524">
        <x:v>69</x:v>
      </x:c>
      <x:c r="T1524">
        <x:v>51</x:v>
      </x:c>
      <x:c r="U1524">
        <x:v>46</x:v>
      </x:c>
    </x:row>
    <x:row r="1525">
      <x:c r="A1525" t="s">
        <x:v>1884</x:v>
      </x:c>
      <x:c r="B1525" t="s">
        <x:v>584</x:v>
      </x:c>
      <x:c r="C1525" t="s">
        <x:v>339</x:v>
      </x:c>
      <x:c r="D1525">
        <x:v>8481172</x:v>
      </x:c>
      <x:c r="E1525">
        <x:v>60</x:v>
      </x:c>
      <x:c r="F1525">
        <x:v>37</x:v>
      </x:c>
      <x:c r="G1525">
        <x:v>67</x:v>
      </x:c>
      <x:c r="H1525">
        <x:v>37</x:v>
      </x:c>
      <x:c r="I1525">
        <x:v>83</x:v>
      </x:c>
      <x:c r="J1525">
        <x:v>71</x:v>
      </x:c>
      <x:c r="K1525">
        <x:v>74</x:v>
      </x:c>
      <x:c r="L1525">
        <x:v>38</x:v>
      </x:c>
      <x:c r="M1525">
        <x:v>65</x:v>
      </x:c>
      <x:c r="N1525">
        <x:v>39</x:v>
      </x:c>
      <x:c r="O1525">
        <x:v>41</x:v>
      </x:c>
      <x:c r="P1525">
        <x:v>58</x:v>
      </x:c>
      <x:c r="Q1525">
        <x:v>58</x:v>
      </x:c>
      <x:c r="R1525">
        <x:v>68</x:v>
      </x:c>
      <x:c r="S1525">
        <x:v>67</x:v>
      </x:c>
      <x:c r="T1525">
        <x:v>51</x:v>
      </x:c>
      <x:c r="U1525">
        <x:v>46</x:v>
      </x:c>
    </x:row>
    <x:row r="1526">
      <x:c r="A1526" t="s">
        <x:v>1885</x:v>
      </x:c>
      <x:c r="C1526" t="s">
        <x:v>333</x:v>
      </x:c>
      <x:c r="D1526">
        <x:v>8485492</x:v>
      </x:c>
      <x:c r="E1526">
        <x:v>64</x:v>
      </x:c>
      <x:c r="F1526">
        <x:v>37</x:v>
      </x:c>
      <x:c r="G1526">
        <x:v>80</x:v>
      </x:c>
      <x:c r="H1526">
        <x:v>38</x:v>
      </x:c>
      <x:c r="I1526">
        <x:v>85</x:v>
      </x:c>
      <x:c r="J1526">
        <x:v>76</x:v>
      </x:c>
      <x:c r="K1526">
        <x:v>80</x:v>
      </x:c>
      <x:c r="L1526">
        <x:v>38</x:v>
      </x:c>
      <x:c r="M1526">
        <x:v>69</x:v>
      </x:c>
      <x:c r="N1526">
        <x:v>40</x:v>
      </x:c>
      <x:c r="O1526">
        <x:v>40</x:v>
      </x:c>
      <x:c r="P1526">
        <x:v>59</x:v>
      </x:c>
      <x:c r="Q1526">
        <x:v>59</x:v>
      </x:c>
      <x:c r="R1526">
        <x:v>68</x:v>
      </x:c>
      <x:c r="S1526">
        <x:v>67</x:v>
      </x:c>
      <x:c r="T1526">
        <x:v>51</x:v>
      </x:c>
      <x:c r="U1526">
        <x:v>46</x:v>
      </x:c>
    </x:row>
    <x:row r="1527">
      <x:c r="A1527" t="s">
        <x:v>1886</x:v>
      </x:c>
      <x:c r="C1527" t="s">
        <x:v>319</x:v>
      </x:c>
      <x:c r="D1527">
        <x:v>8483480</x:v>
      </x:c>
      <x:c r="E1527">
        <x:v>59</x:v>
      </x:c>
      <x:c r="F1527">
        <x:v>31</x:v>
      </x:c>
      <x:c r="G1527">
        <x:v>80</x:v>
      </x:c>
      <x:c r="H1527">
        <x:v>39</x:v>
      </x:c>
      <x:c r="I1527">
        <x:v>77</x:v>
      </x:c>
      <x:c r="J1527">
        <x:v>74</x:v>
      </x:c>
      <x:c r="K1527">
        <x:v>75</x:v>
      </x:c>
      <x:c r="L1527">
        <x:v>39</x:v>
      </x:c>
      <x:c r="M1527">
        <x:v>81</x:v>
      </x:c>
      <x:c r="N1527">
        <x:v>40</x:v>
      </x:c>
      <x:c r="O1527">
        <x:v>42</x:v>
      </x:c>
      <x:c r="P1527">
        <x:v>62</x:v>
      </x:c>
      <x:c r="Q1527">
        <x:v>60</x:v>
      </x:c>
      <x:c r="R1527">
        <x:v>65</x:v>
      </x:c>
      <x:c r="S1527">
        <x:v>65</x:v>
      </x:c>
      <x:c r="T1527">
        <x:v>51</x:v>
      </x:c>
      <x:c r="U1527">
        <x:v>46</x:v>
      </x:c>
    </x:row>
    <x:row r="1528">
      <x:c r="A1528" t="s">
        <x:v>1887</x:v>
      </x:c>
      <x:c r="C1528" t="s">
        <x:v>339</x:v>
      </x:c>
      <x:c r="D1528">
        <x:v>8484201</x:v>
      </x:c>
      <x:c r="E1528">
        <x:v>61</x:v>
      </x:c>
      <x:c r="F1528">
        <x:v>35</x:v>
      </x:c>
      <x:c r="G1528">
        <x:v>86</x:v>
      </x:c>
      <x:c r="H1528">
        <x:v>39</x:v>
      </x:c>
      <x:c r="I1528">
        <x:v>80</x:v>
      </x:c>
      <x:c r="J1528">
        <x:v>89</x:v>
      </x:c>
      <x:c r="K1528">
        <x:v>94</x:v>
      </x:c>
      <x:c r="L1528">
        <x:v>38</x:v>
      </x:c>
      <x:c r="M1528">
        <x:v>56</x:v>
      </x:c>
      <x:c r="N1528">
        <x:v>42</x:v>
      </x:c>
      <x:c r="O1528">
        <x:v>41</x:v>
      </x:c>
      <x:c r="P1528">
        <x:v>58</x:v>
      </x:c>
      <x:c r="Q1528">
        <x:v>61</x:v>
      </x:c>
      <x:c r="R1528">
        <x:v>65</x:v>
      </x:c>
      <x:c r="S1528">
        <x:v>65</x:v>
      </x:c>
      <x:c r="T1528">
        <x:v>51</x:v>
      </x:c>
      <x:c r="U1528">
        <x:v>46</x:v>
      </x:c>
    </x:row>
    <x:row r="1529">
      <x:c r="A1529" t="s">
        <x:v>1888</x:v>
      </x:c>
      <x:c r="C1529" t="s">
        <x:v>329</x:v>
      </x:c>
      <x:c r="D1529">
        <x:v>8482828</x:v>
      </x:c>
      <x:c r="E1529">
        <x:v>57</x:v>
      </x:c>
      <x:c r="F1529">
        <x:v>32</x:v>
      </x:c>
      <x:c r="G1529">
        <x:v>82</x:v>
      </x:c>
      <x:c r="H1529">
        <x:v>39</x:v>
      </x:c>
      <x:c r="I1529">
        <x:v>76</x:v>
      </x:c>
      <x:c r="J1529">
        <x:v>77</x:v>
      </x:c>
      <x:c r="K1529">
        <x:v>77</x:v>
      </x:c>
      <x:c r="L1529">
        <x:v>40</x:v>
      </x:c>
      <x:c r="M1529">
        <x:v>53</x:v>
      </x:c>
      <x:c r="N1529">
        <x:v>44</x:v>
      </x:c>
      <x:c r="O1529">
        <x:v>39</x:v>
      </x:c>
      <x:c r="P1529">
        <x:v>61</x:v>
      </x:c>
      <x:c r="Q1529">
        <x:v>61</x:v>
      </x:c>
      <x:c r="R1529">
        <x:v>66</x:v>
      </x:c>
      <x:c r="S1529">
        <x:v>65</x:v>
      </x:c>
      <x:c r="T1529">
        <x:v>51</x:v>
      </x:c>
      <x:c r="U1529">
        <x:v>46</x:v>
      </x:c>
    </x:row>
    <x:row r="1530">
      <x:c r="A1530" t="s">
        <x:v>1889</x:v>
      </x:c>
      <x:c r="C1530" t="s">
        <x:v>326</x:v>
      </x:c>
      <x:c r="E1530">
        <x:v>60</x:v>
      </x:c>
      <x:c r="F1530">
        <x:v>37</x:v>
      </x:c>
      <x:c r="G1530">
        <x:v>87</x:v>
      </x:c>
      <x:c r="H1530">
        <x:v>38</x:v>
      </x:c>
      <x:c r="I1530">
        <x:v>78</x:v>
      </x:c>
      <x:c r="J1530">
        <x:v>76</x:v>
      </x:c>
      <x:c r="K1530">
        <x:v>79</x:v>
      </x:c>
      <x:c r="L1530">
        <x:v>39</x:v>
      </x:c>
      <x:c r="M1530">
        <x:v>62</x:v>
      </x:c>
      <x:c r="N1530">
        <x:v>42</x:v>
      </x:c>
      <x:c r="O1530">
        <x:v>40</x:v>
      </x:c>
      <x:c r="P1530">
        <x:v>60</x:v>
      </x:c>
      <x:c r="Q1530">
        <x:v>60</x:v>
      </x:c>
      <x:c r="R1530">
        <x:v>65</x:v>
      </x:c>
      <x:c r="S1530">
        <x:v>65</x:v>
      </x:c>
      <x:c r="T1530">
        <x:v>51</x:v>
      </x:c>
      <x:c r="U1530">
        <x:v>46</x:v>
      </x:c>
    </x:row>
    <x:row r="1531">
      <x:c r="A1531" t="s">
        <x:v>1890</x:v>
      </x:c>
      <x:c r="B1531" t="s">
        <x:v>584</x:v>
      </x:c>
      <x:c r="C1531" t="s">
        <x:v>333</x:v>
      </x:c>
      <x:c r="D1531">
        <x:v>8483065</x:v>
      </x:c>
      <x:c r="E1531">
        <x:v>62</x:v>
      </x:c>
      <x:c r="F1531">
        <x:v>36</x:v>
      </x:c>
      <x:c r="G1531">
        <x:v>91</x:v>
      </x:c>
      <x:c r="H1531">
        <x:v>37</x:v>
      </x:c>
      <x:c r="I1531">
        <x:v>79</x:v>
      </x:c>
      <x:c r="J1531">
        <x:v>70</x:v>
      </x:c>
      <x:c r="K1531">
        <x:v>73</x:v>
      </x:c>
      <x:c r="L1531">
        <x:v>37</x:v>
      </x:c>
      <x:c r="M1531">
        <x:v>64</x:v>
      </x:c>
      <x:c r="N1531">
        <x:v>38</x:v>
      </x:c>
      <x:c r="O1531">
        <x:v>41</x:v>
      </x:c>
      <x:c r="P1531">
        <x:v>61</x:v>
      </x:c>
      <x:c r="Q1531">
        <x:v>58</x:v>
      </x:c>
      <x:c r="R1531">
        <x:v>68</x:v>
      </x:c>
      <x:c r="S1531">
        <x:v>67</x:v>
      </x:c>
      <x:c r="T1531">
        <x:v>51</x:v>
      </x:c>
      <x:c r="U1531">
        <x:v>46</x:v>
      </x:c>
    </x:row>
    <x:row r="1532">
      <x:c r="A1532" t="s">
        <x:v>1891</x:v>
      </x:c>
      <x:c r="C1532" t="s">
        <x:v>319</x:v>
      </x:c>
      <x:c r="D1532">
        <x:v>8484430</x:v>
      </x:c>
      <x:c r="E1532">
        <x:v>70</x:v>
      </x:c>
      <x:c r="F1532">
        <x:v>39</x:v>
      </x:c>
      <x:c r="G1532">
        <x:v>86</x:v>
      </x:c>
      <x:c r="H1532">
        <x:v>38</x:v>
      </x:c>
      <x:c r="I1532">
        <x:v>79</x:v>
      </x:c>
      <x:c r="J1532">
        <x:v>75</x:v>
      </x:c>
      <x:c r="K1532">
        <x:v>78</x:v>
      </x:c>
      <x:c r="L1532">
        <x:v>37</x:v>
      </x:c>
      <x:c r="M1532">
        <x:v>62</x:v>
      </x:c>
      <x:c r="N1532">
        <x:v>41</x:v>
      </x:c>
      <x:c r="O1532">
        <x:v>41</x:v>
      </x:c>
      <x:c r="P1532">
        <x:v>59</x:v>
      </x:c>
      <x:c r="Q1532">
        <x:v>60</x:v>
      </x:c>
      <x:c r="R1532">
        <x:v>65</x:v>
      </x:c>
      <x:c r="S1532">
        <x:v>65</x:v>
      </x:c>
      <x:c r="T1532">
        <x:v>51</x:v>
      </x:c>
      <x:c r="U1532">
        <x:v>46</x:v>
      </x:c>
    </x:row>
    <x:row r="1533">
      <x:c r="A1533" t="s">
        <x:v>1892</x:v>
      </x:c>
      <x:c r="C1533" t="s">
        <x:v>358</x:v>
      </x:c>
      <x:c r="D1533">
        <x:v>8485732</x:v>
      </x:c>
      <x:c r="E1533">
        <x:v>64</x:v>
      </x:c>
      <x:c r="F1533">
        <x:v>40</x:v>
      </x:c>
      <x:c r="G1533">
        <x:v>80</x:v>
      </x:c>
      <x:c r="H1533">
        <x:v>38</x:v>
      </x:c>
      <x:c r="I1533">
        <x:v>79</x:v>
      </x:c>
      <x:c r="J1533">
        <x:v>73</x:v>
      </x:c>
      <x:c r="K1533">
        <x:v>76</x:v>
      </x:c>
      <x:c r="L1533">
        <x:v>37</x:v>
      </x:c>
      <x:c r="M1533">
        <x:v>66</x:v>
      </x:c>
      <x:c r="N1533">
        <x:v>43</x:v>
      </x:c>
      <x:c r="O1533">
        <x:v>39</x:v>
      </x:c>
      <x:c r="P1533">
        <x:v>62</x:v>
      </x:c>
      <x:c r="Q1533">
        <x:v>60</x:v>
      </x:c>
      <x:c r="R1533">
        <x:v>68</x:v>
      </x:c>
      <x:c r="S1533">
        <x:v>68</x:v>
      </x:c>
      <x:c r="T1533">
        <x:v>51</x:v>
      </x:c>
      <x:c r="U1533">
        <x:v>46</x:v>
      </x:c>
    </x:row>
    <x:row r="1534">
      <x:c r="A1534" t="s">
        <x:v>1893</x:v>
      </x:c>
      <x:c r="B1534" t="s">
        <x:v>584</x:v>
      </x:c>
      <x:c r="C1534" t="s">
        <x:v>319</x:v>
      </x:c>
      <x:c r="D1534">
        <x:v>8486162</x:v>
      </x:c>
      <x:c r="E1534">
        <x:v>63</x:v>
      </x:c>
      <x:c r="F1534">
        <x:v>33</x:v>
      </x:c>
      <x:c r="G1534">
        <x:v>90</x:v>
      </x:c>
      <x:c r="H1534">
        <x:v>37</x:v>
      </x:c>
      <x:c r="I1534">
        <x:v>80</x:v>
      </x:c>
      <x:c r="J1534">
        <x:v>69</x:v>
      </x:c>
      <x:c r="K1534">
        <x:v>72</x:v>
      </x:c>
      <x:c r="L1534">
        <x:v>38</x:v>
      </x:c>
      <x:c r="M1534">
        <x:v>63</x:v>
      </x:c>
      <x:c r="N1534">
        <x:v>41</x:v>
      </x:c>
      <x:c r="O1534">
        <x:v>39</x:v>
      </x:c>
      <x:c r="P1534">
        <x:v>61</x:v>
      </x:c>
      <x:c r="Q1534">
        <x:v>58</x:v>
      </x:c>
      <x:c r="R1534">
        <x:v>67</x:v>
      </x:c>
      <x:c r="S1534">
        <x:v>67</x:v>
      </x:c>
      <x:c r="T1534">
        <x:v>51</x:v>
      </x:c>
      <x:c r="U1534">
        <x:v>46</x:v>
      </x:c>
    </x:row>
    <x:row r="1535">
      <x:c r="A1535" t="s">
        <x:v>1894</x:v>
      </x:c>
      <x:c r="C1535" t="s">
        <x:v>358</x:v>
      </x:c>
      <x:c r="D1535">
        <x:v>8483772</x:v>
      </x:c>
      <x:c r="E1535">
        <x:v>69</x:v>
      </x:c>
      <x:c r="F1535">
        <x:v>38</x:v>
      </x:c>
      <x:c r="G1535">
        <x:v>83</x:v>
      </x:c>
      <x:c r="H1535">
        <x:v>37</x:v>
      </x:c>
      <x:c r="I1535">
        <x:v>82</x:v>
      </x:c>
      <x:c r="J1535">
        <x:v>83</x:v>
      </x:c>
      <x:c r="K1535">
        <x:v>85</x:v>
      </x:c>
      <x:c r="L1535">
        <x:v>37</x:v>
      </x:c>
      <x:c r="M1535">
        <x:v>67</x:v>
      </x:c>
      <x:c r="N1535">
        <x:v>40</x:v>
      </x:c>
      <x:c r="O1535">
        <x:v>40</x:v>
      </x:c>
      <x:c r="P1535">
        <x:v>58</x:v>
      </x:c>
      <x:c r="Q1535">
        <x:v>59</x:v>
      </x:c>
      <x:c r="R1535">
        <x:v>66</x:v>
      </x:c>
      <x:c r="S1535">
        <x:v>65</x:v>
      </x:c>
      <x:c r="T1535">
        <x:v>51</x:v>
      </x:c>
      <x:c r="U1535">
        <x:v>46</x:v>
      </x:c>
    </x:row>
    <x:row r="1536">
      <x:c r="A1536" t="s">
        <x:v>1895</x:v>
      </x:c>
      <x:c r="C1536" t="s">
        <x:v>358</x:v>
      </x:c>
      <x:c r="D1536">
        <x:v>8483110</x:v>
      </x:c>
      <x:c r="E1536">
        <x:v>63</x:v>
      </x:c>
      <x:c r="F1536">
        <x:v>38</x:v>
      </x:c>
      <x:c r="G1536">
        <x:v>88</x:v>
      </x:c>
      <x:c r="H1536">
        <x:v>37</x:v>
      </x:c>
      <x:c r="I1536">
        <x:v>80</x:v>
      </x:c>
      <x:c r="J1536">
        <x:v>75</x:v>
      </x:c>
      <x:c r="K1536">
        <x:v>78</x:v>
      </x:c>
      <x:c r="L1536">
        <x:v>36</x:v>
      </x:c>
      <x:c r="M1536">
        <x:v>53</x:v>
      </x:c>
      <x:c r="N1536">
        <x:v>40</x:v>
      </x:c>
      <x:c r="O1536">
        <x:v>40</x:v>
      </x:c>
      <x:c r="P1536">
        <x:v>59</x:v>
      </x:c>
      <x:c r="Q1536">
        <x:v>58</x:v>
      </x:c>
      <x:c r="R1536">
        <x:v>65</x:v>
      </x:c>
      <x:c r="S1536">
        <x:v>66</x:v>
      </x:c>
      <x:c r="T1536">
        <x:v>51</x:v>
      </x:c>
      <x:c r="U1536">
        <x:v>46</x:v>
      </x:c>
    </x:row>
    <x:row r="1537">
      <x:c r="A1537" t="s">
        <x:v>1896</x:v>
      </x:c>
      <x:c r="C1537" t="s">
        <x:v>319</x:v>
      </x:c>
      <x:c r="D1537">
        <x:v>8482969</x:v>
      </x:c>
      <x:c r="E1537">
        <x:v>58</x:v>
      </x:c>
      <x:c r="F1537">
        <x:v>35</x:v>
      </x:c>
      <x:c r="G1537">
        <x:v>90</x:v>
      </x:c>
      <x:c r="H1537">
        <x:v>39</x:v>
      </x:c>
      <x:c r="I1537">
        <x:v>77</x:v>
      </x:c>
      <x:c r="J1537">
        <x:v>77</x:v>
      </x:c>
      <x:c r="K1537">
        <x:v>80</x:v>
      </x:c>
      <x:c r="L1537">
        <x:v>38</x:v>
      </x:c>
      <x:c r="M1537">
        <x:v>82</x:v>
      </x:c>
      <x:c r="N1537">
        <x:v>41</x:v>
      </x:c>
      <x:c r="O1537">
        <x:v>41</x:v>
      </x:c>
      <x:c r="P1537">
        <x:v>63</x:v>
      </x:c>
      <x:c r="Q1537">
        <x:v>60</x:v>
      </x:c>
      <x:c r="R1537">
        <x:v>67</x:v>
      </x:c>
      <x:c r="S1537">
        <x:v>67</x:v>
      </x:c>
      <x:c r="T1537">
        <x:v>51</x:v>
      </x:c>
      <x:c r="U1537">
        <x:v>46</x:v>
      </x:c>
    </x:row>
    <x:row r="1538">
      <x:c r="A1538" t="s">
        <x:v>1897</x:v>
      </x:c>
      <x:c r="C1538" t="s">
        <x:v>339</x:v>
      </x:c>
      <x:c r="D1538">
        <x:v>8483740</x:v>
      </x:c>
      <x:c r="E1538">
        <x:v>69</x:v>
      </x:c>
      <x:c r="F1538">
        <x:v>43</x:v>
      </x:c>
      <x:c r="G1538">
        <x:v>74</x:v>
      </x:c>
      <x:c r="H1538">
        <x:v>36</x:v>
      </x:c>
      <x:c r="I1538">
        <x:v>77</x:v>
      </x:c>
      <x:c r="J1538">
        <x:v>73</x:v>
      </x:c>
      <x:c r="K1538">
        <x:v>76</x:v>
      </x:c>
      <x:c r="L1538">
        <x:v>37</x:v>
      </x:c>
      <x:c r="M1538">
        <x:v>66</x:v>
      </x:c>
      <x:c r="N1538">
        <x:v>39</x:v>
      </x:c>
      <x:c r="O1538">
        <x:v>39</x:v>
      </x:c>
      <x:c r="P1538">
        <x:v>64</x:v>
      </x:c>
      <x:c r="Q1538">
        <x:v>57</x:v>
      </x:c>
      <x:c r="R1538">
        <x:v>65</x:v>
      </x:c>
      <x:c r="S1538">
        <x:v>65</x:v>
      </x:c>
      <x:c r="T1538">
        <x:v>51</x:v>
      </x:c>
      <x:c r="U1538">
        <x:v>46</x:v>
      </x:c>
    </x:row>
    <x:row r="1539">
      <x:c r="A1539" t="s">
        <x:v>1898</x:v>
      </x:c>
      <x:c r="C1539" t="s">
        <x:v>326</x:v>
      </x:c>
      <x:c r="D1539">
        <x:v>8482207</x:v>
      </x:c>
      <x:c r="E1539">
        <x:v>64</x:v>
      </x:c>
      <x:c r="F1539">
        <x:v>35</x:v>
      </x:c>
      <x:c r="G1539">
        <x:v>84</x:v>
      </x:c>
      <x:c r="H1539">
        <x:v>37</x:v>
      </x:c>
      <x:c r="I1539">
        <x:v>84</x:v>
      </x:c>
      <x:c r="J1539">
        <x:v>78</x:v>
      </x:c>
      <x:c r="K1539">
        <x:v>78</x:v>
      </x:c>
      <x:c r="L1539">
        <x:v>38</x:v>
      </x:c>
      <x:c r="M1539">
        <x:v>68</x:v>
      </x:c>
      <x:c r="N1539">
        <x:v>39</x:v>
      </x:c>
      <x:c r="O1539">
        <x:v>41</x:v>
      </x:c>
      <x:c r="P1539">
        <x:v>62</x:v>
      </x:c>
      <x:c r="Q1539">
        <x:v>59</x:v>
      </x:c>
      <x:c r="R1539">
        <x:v>67</x:v>
      </x:c>
      <x:c r="S1539">
        <x:v>68</x:v>
      </x:c>
      <x:c r="T1539">
        <x:v>51</x:v>
      </x:c>
      <x:c r="U1539">
        <x:v>46</x:v>
      </x:c>
    </x:row>
    <x:row r="1540">
      <x:c r="A1540" t="s">
        <x:v>1899</x:v>
      </x:c>
      <x:c r="C1540" t="s">
        <x:v>358</x:v>
      </x:c>
      <x:c r="D1540">
        <x:v>8485215</x:v>
      </x:c>
      <x:c r="E1540">
        <x:v>61</x:v>
      </x:c>
      <x:c r="F1540">
        <x:v>36</x:v>
      </x:c>
      <x:c r="G1540">
        <x:v>92</x:v>
      </x:c>
      <x:c r="H1540">
        <x:v>37</x:v>
      </x:c>
      <x:c r="I1540">
        <x:v>79</x:v>
      </x:c>
      <x:c r="J1540">
        <x:v>74</x:v>
      </x:c>
      <x:c r="K1540">
        <x:v>77</x:v>
      </x:c>
      <x:c r="L1540">
        <x:v>36</x:v>
      </x:c>
      <x:c r="M1540">
        <x:v>53</x:v>
      </x:c>
      <x:c r="N1540">
        <x:v>41</x:v>
      </x:c>
      <x:c r="O1540">
        <x:v>42</x:v>
      </x:c>
      <x:c r="P1540">
        <x:v>62</x:v>
      </x:c>
      <x:c r="Q1540">
        <x:v>58</x:v>
      </x:c>
      <x:c r="R1540">
        <x:v>68</x:v>
      </x:c>
      <x:c r="S1540">
        <x:v>66</x:v>
      </x:c>
      <x:c r="T1540">
        <x:v>51</x:v>
      </x:c>
      <x:c r="U1540">
        <x:v>46</x:v>
      </x:c>
    </x:row>
    <x:row r="1541">
      <x:c r="A1541" t="s">
        <x:v>1900</x:v>
      </x:c>
      <x:c r="B1541" t="s">
        <x:v>584</x:v>
      </x:c>
      <x:c r="C1541" t="s">
        <x:v>339</x:v>
      </x:c>
      <x:c r="D1541">
        <x:v>8485477</x:v>
      </x:c>
      <x:c r="E1541">
        <x:v>67</x:v>
      </x:c>
      <x:c r="F1541">
        <x:v>46</x:v>
      </x:c>
      <x:c r="G1541">
        <x:v>78</x:v>
      </x:c>
      <x:c r="H1541">
        <x:v>38</x:v>
      </x:c>
      <x:c r="I1541">
        <x:v>78</x:v>
      </x:c>
      <x:c r="J1541">
        <x:v>77</x:v>
      </x:c>
      <x:c r="K1541">
        <x:v>82</x:v>
      </x:c>
      <x:c r="L1541">
        <x:v>39</x:v>
      </x:c>
      <x:c r="M1541">
        <x:v>80</x:v>
      </x:c>
      <x:c r="N1541">
        <x:v>40</x:v>
      </x:c>
      <x:c r="O1541">
        <x:v>40</x:v>
      </x:c>
      <x:c r="P1541">
        <x:v>61</x:v>
      </x:c>
      <x:c r="Q1541">
        <x:v>59</x:v>
      </x:c>
      <x:c r="R1541">
        <x:v>68</x:v>
      </x:c>
      <x:c r="S1541">
        <x:v>68</x:v>
      </x:c>
      <x:c r="T1541">
        <x:v>51</x:v>
      </x:c>
      <x:c r="U1541">
        <x:v>46</x:v>
      </x:c>
    </x:row>
    <x:row r="1542">
      <x:c r="A1542" t="s">
        <x:v>1901</x:v>
      </x:c>
      <x:c r="C1542" t="s">
        <x:v>323</x:v>
      </x:c>
      <x:c r="E1542">
        <x:v>63</x:v>
      </x:c>
      <x:c r="F1542">
        <x:v>33</x:v>
      </x:c>
      <x:c r="G1542">
        <x:v>75</x:v>
      </x:c>
      <x:c r="H1542">
        <x:v>38</x:v>
      </x:c>
      <x:c r="I1542">
        <x:v>80</x:v>
      </x:c>
      <x:c r="J1542">
        <x:v>71</x:v>
      </x:c>
      <x:c r="K1542">
        <x:v>74</x:v>
      </x:c>
      <x:c r="L1542">
        <x:v>39</x:v>
      </x:c>
      <x:c r="M1542">
        <x:v>66</x:v>
      </x:c>
      <x:c r="N1542">
        <x:v>38</x:v>
      </x:c>
      <x:c r="O1542">
        <x:v>42</x:v>
      </x:c>
      <x:c r="P1542">
        <x:v>58</x:v>
      </x:c>
      <x:c r="Q1542">
        <x:v>58</x:v>
      </x:c>
      <x:c r="R1542">
        <x:v>68</x:v>
      </x:c>
      <x:c r="S1542">
        <x:v>69</x:v>
      </x:c>
      <x:c r="T1542">
        <x:v>51</x:v>
      </x:c>
      <x:c r="U1542">
        <x:v>46</x:v>
      </x:c>
    </x:row>
    <x:row r="1543">
      <x:c r="A1543" t="s">
        <x:v>1902</x:v>
      </x:c>
      <x:c r="C1543" t="s">
        <x:v>339</x:v>
      </x:c>
      <x:c r="D1543">
        <x:v>8483904</x:v>
      </x:c>
      <x:c r="E1543">
        <x:v>72</x:v>
      </x:c>
      <x:c r="F1543">
        <x:v>33</x:v>
      </x:c>
      <x:c r="G1543">
        <x:v>56</x:v>
      </x:c>
      <x:c r="H1543">
        <x:v>38</x:v>
      </x:c>
      <x:c r="I1543">
        <x:v>82</x:v>
      </x:c>
      <x:c r="J1543">
        <x:v>79</x:v>
      </x:c>
      <x:c r="K1543">
        <x:v>82</x:v>
      </x:c>
      <x:c r="L1543">
        <x:v>39</x:v>
      </x:c>
      <x:c r="M1543">
        <x:v>80</x:v>
      </x:c>
      <x:c r="N1543">
        <x:v>39</x:v>
      </x:c>
      <x:c r="O1543">
        <x:v>41</x:v>
      </x:c>
      <x:c r="P1543">
        <x:v>58</x:v>
      </x:c>
      <x:c r="Q1543">
        <x:v>59</x:v>
      </x:c>
      <x:c r="R1543">
        <x:v>68</x:v>
      </x:c>
      <x:c r="S1543">
        <x:v>67</x:v>
      </x:c>
      <x:c r="T1543">
        <x:v>51</x:v>
      </x:c>
      <x:c r="U1543">
        <x:v>46</x:v>
      </x:c>
    </x:row>
    <x:row r="1544">
      <x:c r="A1544" t="s">
        <x:v>1903</x:v>
      </x:c>
      <x:c r="C1544" t="s">
        <x:v>323</x:v>
      </x:c>
      <x:c r="D1544">
        <x:v>8484253</x:v>
      </x:c>
      <x:c r="E1544">
        <x:v>63</x:v>
      </x:c>
      <x:c r="F1544">
        <x:v>33</x:v>
      </x:c>
      <x:c r="G1544">
        <x:v>88</x:v>
      </x:c>
      <x:c r="H1544">
        <x:v>38</x:v>
      </x:c>
      <x:c r="I1544">
        <x:v>77</x:v>
      </x:c>
      <x:c r="J1544">
        <x:v>82</x:v>
      </x:c>
      <x:c r="K1544">
        <x:v>85</x:v>
      </x:c>
      <x:c r="L1544">
        <x:v>38</x:v>
      </x:c>
      <x:c r="M1544">
        <x:v>70</x:v>
      </x:c>
      <x:c r="N1544">
        <x:v>40</x:v>
      </x:c>
      <x:c r="O1544">
        <x:v>40</x:v>
      </x:c>
      <x:c r="P1544">
        <x:v>60</x:v>
      </x:c>
      <x:c r="Q1544">
        <x:v>59</x:v>
      </x:c>
      <x:c r="R1544">
        <x:v>69</x:v>
      </x:c>
      <x:c r="S1544">
        <x:v>68</x:v>
      </x:c>
      <x:c r="T1544">
        <x:v>51</x:v>
      </x:c>
      <x:c r="U1544">
        <x:v>46</x:v>
      </x:c>
    </x:row>
    <x:row r="1545">
      <x:c r="A1545" t="s">
        <x:v>1904</x:v>
      </x:c>
      <x:c r="C1545" t="s">
        <x:v>333</x:v>
      </x:c>
      <x:c r="D1545">
        <x:v>8482456</x:v>
      </x:c>
      <x:c r="E1545">
        <x:v>65</x:v>
      </x:c>
      <x:c r="F1545">
        <x:v>35</x:v>
      </x:c>
      <x:c r="G1545">
        <x:v>83</x:v>
      </x:c>
      <x:c r="H1545">
        <x:v>38</x:v>
      </x:c>
      <x:c r="I1545">
        <x:v>79</x:v>
      </x:c>
      <x:c r="J1545">
        <x:v>76</x:v>
      </x:c>
      <x:c r="K1545">
        <x:v>78</x:v>
      </x:c>
      <x:c r="L1545">
        <x:v>38</x:v>
      </x:c>
      <x:c r="M1545">
        <x:v>67</x:v>
      </x:c>
      <x:c r="N1545">
        <x:v>40</x:v>
      </x:c>
      <x:c r="O1545">
        <x:v>40</x:v>
      </x:c>
      <x:c r="P1545">
        <x:v>60</x:v>
      </x:c>
      <x:c r="Q1545">
        <x:v>59</x:v>
      </x:c>
      <x:c r="R1545">
        <x:v>67</x:v>
      </x:c>
      <x:c r="S1545">
        <x:v>67</x:v>
      </x:c>
      <x:c r="T1545">
        <x:v>51</x:v>
      </x:c>
      <x:c r="U1545">
        <x:v>46</x:v>
      </x:c>
    </x:row>
    <x:row r="1546">
      <x:c r="A1546" t="s">
        <x:v>1905</x:v>
      </x:c>
      <x:c r="C1546" t="s">
        <x:v>326</x:v>
      </x:c>
      <x:c r="D1546">
        <x:v>8482933</x:v>
      </x:c>
      <x:c r="E1546">
        <x:v>64</x:v>
      </x:c>
      <x:c r="F1546">
        <x:v>31</x:v>
      </x:c>
      <x:c r="G1546">
        <x:v>91</x:v>
      </x:c>
      <x:c r="H1546">
        <x:v>38</x:v>
      </x:c>
      <x:c r="I1546">
        <x:v>85</x:v>
      </x:c>
      <x:c r="J1546">
        <x:v>73</x:v>
      </x:c>
      <x:c r="K1546">
        <x:v>74</x:v>
      </x:c>
      <x:c r="L1546">
        <x:v>39</x:v>
      </x:c>
      <x:c r="M1546">
        <x:v>51</x:v>
      </x:c>
      <x:c r="N1546">
        <x:v>41</x:v>
      </x:c>
      <x:c r="O1546">
        <x:v>40</x:v>
      </x:c>
      <x:c r="P1546">
        <x:v>59</x:v>
      </x:c>
      <x:c r="Q1546">
        <x:v>60</x:v>
      </x:c>
      <x:c r="R1546">
        <x:v>66</x:v>
      </x:c>
      <x:c r="S1546">
        <x:v>65</x:v>
      </x:c>
      <x:c r="T1546">
        <x:v>51</x:v>
      </x:c>
      <x:c r="U1546">
        <x:v>46</x:v>
      </x:c>
    </x:row>
    <x:row r="1547">
      <x:c r="A1547" t="s">
        <x:v>1906</x:v>
      </x:c>
      <x:c r="C1547" t="s">
        <x:v>358</x:v>
      </x:c>
      <x:c r="D1547">
        <x:v>8486134</x:v>
      </x:c>
      <x:c r="E1547">
        <x:v>64</x:v>
      </x:c>
      <x:c r="F1547">
        <x:v>36</x:v>
      </x:c>
      <x:c r="G1547">
        <x:v>86</x:v>
      </x:c>
      <x:c r="H1547">
        <x:v>38</x:v>
      </x:c>
      <x:c r="I1547">
        <x:v>80</x:v>
      </x:c>
      <x:c r="J1547">
        <x:v>71</x:v>
      </x:c>
      <x:c r="K1547">
        <x:v>74</x:v>
      </x:c>
      <x:c r="L1547">
        <x:v>39</x:v>
      </x:c>
      <x:c r="M1547">
        <x:v>55</x:v>
      </x:c>
      <x:c r="N1547">
        <x:v>39</x:v>
      </x:c>
      <x:c r="O1547">
        <x:v>41</x:v>
      </x:c>
      <x:c r="P1547">
        <x:v>59</x:v>
      </x:c>
      <x:c r="Q1547">
        <x:v>58</x:v>
      </x:c>
      <x:c r="R1547">
        <x:v>66</x:v>
      </x:c>
      <x:c r="S1547">
        <x:v>67</x:v>
      </x:c>
      <x:c r="T1547">
        <x:v>51</x:v>
      </x:c>
      <x:c r="U1547">
        <x:v>46</x:v>
      </x:c>
    </x:row>
    <x:row r="1548">
      <x:c r="A1548" t="s">
        <x:v>1907</x:v>
      </x:c>
      <x:c r="C1548" t="s">
        <x:v>319</x:v>
      </x:c>
      <x:c r="D1548">
        <x:v>8484919</x:v>
      </x:c>
      <x:c r="E1548">
        <x:v>59</x:v>
      </x:c>
      <x:c r="F1548">
        <x:v>31</x:v>
      </x:c>
      <x:c r="G1548">
        <x:v>84</x:v>
      </x:c>
      <x:c r="H1548">
        <x:v>38</x:v>
      </x:c>
      <x:c r="I1548">
        <x:v>77</x:v>
      </x:c>
      <x:c r="J1548">
        <x:v>82</x:v>
      </x:c>
      <x:c r="K1548">
        <x:v>85</x:v>
      </x:c>
      <x:c r="L1548">
        <x:v>38</x:v>
      </x:c>
      <x:c r="M1548">
        <x:v>79</x:v>
      </x:c>
      <x:c r="N1548">
        <x:v>41</x:v>
      </x:c>
      <x:c r="O1548">
        <x:v>40</x:v>
      </x:c>
      <x:c r="P1548">
        <x:v>61</x:v>
      </x:c>
      <x:c r="Q1548">
        <x:v>59</x:v>
      </x:c>
      <x:c r="R1548">
        <x:v>69</x:v>
      </x:c>
      <x:c r="S1548">
        <x:v>68</x:v>
      </x:c>
      <x:c r="T1548">
        <x:v>51</x:v>
      </x:c>
      <x:c r="U1548">
        <x:v>46</x:v>
      </x:c>
    </x:row>
    <x:row r="1549">
      <x:c r="A1549" t="s">
        <x:v>1908</x:v>
      </x:c>
      <x:c r="B1549" t="s">
        <x:v>584</x:v>
      </x:c>
      <x:c r="C1549" t="s">
        <x:v>326</x:v>
      </x:c>
      <x:c r="D1549">
        <x:v>8485505</x:v>
      </x:c>
      <x:c r="E1549">
        <x:v>64</x:v>
      </x:c>
      <x:c r="F1549">
        <x:v>37</x:v>
      </x:c>
      <x:c r="G1549">
        <x:v>81</x:v>
      </x:c>
      <x:c r="H1549">
        <x:v>38</x:v>
      </x:c>
      <x:c r="I1549">
        <x:v>77</x:v>
      </x:c>
      <x:c r="J1549">
        <x:v>71</x:v>
      </x:c>
      <x:c r="K1549">
        <x:v>74</x:v>
      </x:c>
      <x:c r="L1549">
        <x:v>39</x:v>
      </x:c>
      <x:c r="M1549">
        <x:v>71</x:v>
      </x:c>
      <x:c r="N1549">
        <x:v>39</x:v>
      </x:c>
      <x:c r="O1549">
        <x:v>41</x:v>
      </x:c>
      <x:c r="P1549">
        <x:v>59</x:v>
      </x:c>
      <x:c r="Q1549">
        <x:v>58</x:v>
      </x:c>
      <x:c r="R1549">
        <x:v>69</x:v>
      </x:c>
      <x:c r="S1549">
        <x:v>70</x:v>
      </x:c>
      <x:c r="T1549">
        <x:v>51</x:v>
      </x:c>
      <x:c r="U1549">
        <x:v>46</x:v>
      </x:c>
    </x:row>
    <x:row r="1550">
      <x:c r="A1550" t="s">
        <x:v>1909</x:v>
      </x:c>
      <x:c r="C1550" t="s">
        <x:v>326</x:v>
      </x:c>
      <x:c r="D1550">
        <x:v>8485474</x:v>
      </x:c>
      <x:c r="E1550">
        <x:v>70</x:v>
      </x:c>
      <x:c r="F1550">
        <x:v>44</x:v>
      </x:c>
      <x:c r="G1550">
        <x:v>82</x:v>
      </x:c>
      <x:c r="H1550">
        <x:v>37</x:v>
      </x:c>
      <x:c r="I1550">
        <x:v>86</x:v>
      </x:c>
      <x:c r="J1550">
        <x:v>71</x:v>
      </x:c>
      <x:c r="K1550">
        <x:v>74</x:v>
      </x:c>
      <x:c r="L1550">
        <x:v>37</x:v>
      </x:c>
      <x:c r="M1550">
        <x:v>68</x:v>
      </x:c>
      <x:c r="N1550">
        <x:v>40</x:v>
      </x:c>
      <x:c r="O1550">
        <x:v>41</x:v>
      </x:c>
      <x:c r="P1550">
        <x:v>57</x:v>
      </x:c>
      <x:c r="Q1550">
        <x:v>58</x:v>
      </x:c>
      <x:c r="R1550">
        <x:v>67</x:v>
      </x:c>
      <x:c r="S1550">
        <x:v>66</x:v>
      </x:c>
      <x:c r="T1550">
        <x:v>51</x:v>
      </x:c>
      <x:c r="U1550">
        <x:v>46</x:v>
      </x:c>
    </x:row>
    <x:row r="1551">
      <x:c r="A1551" t="s">
        <x:v>1910</x:v>
      </x:c>
      <x:c r="C1551" t="s">
        <x:v>326</x:v>
      </x:c>
      <x:c r="D1551">
        <x:v>8486021</x:v>
      </x:c>
      <x:c r="E1551">
        <x:v>79</x:v>
      </x:c>
      <x:c r="F1551">
        <x:v>45</x:v>
      </x:c>
      <x:c r="G1551">
        <x:v>77</x:v>
      </x:c>
      <x:c r="H1551">
        <x:v>36</x:v>
      </x:c>
      <x:c r="I1551">
        <x:v>86</x:v>
      </x:c>
      <x:c r="J1551">
        <x:v>72</x:v>
      </x:c>
      <x:c r="K1551">
        <x:v>75</x:v>
      </x:c>
      <x:c r="L1551">
        <x:v>37</x:v>
      </x:c>
      <x:c r="M1551">
        <x:v>69</x:v>
      </x:c>
      <x:c r="N1551">
        <x:v>40</x:v>
      </x:c>
      <x:c r="O1551">
        <x:v>39</x:v>
      </x:c>
      <x:c r="P1551">
        <x:v>60</x:v>
      </x:c>
      <x:c r="Q1551">
        <x:v>58</x:v>
      </x:c>
      <x:c r="R1551">
        <x:v>67</x:v>
      </x:c>
      <x:c r="S1551">
        <x:v>68</x:v>
      </x:c>
      <x:c r="T1551">
        <x:v>51</x:v>
      </x:c>
      <x:c r="U1551">
        <x:v>46</x:v>
      </x:c>
    </x:row>
    <x:row r="1552">
      <x:c r="A1552" t="s">
        <x:v>1911</x:v>
      </x:c>
      <x:c r="B1552" t="s">
        <x:v>584</x:v>
      </x:c>
      <x:c r="C1552" t="s">
        <x:v>358</x:v>
      </x:c>
      <x:c r="D1552">
        <x:v>8480484</x:v>
      </x:c>
      <x:c r="E1552">
        <x:v>58</x:v>
      </x:c>
      <x:c r="F1552">
        <x:v>67</x:v>
      </x:c>
      <x:c r="G1552">
        <x:v>67</x:v>
      </x:c>
      <x:c r="H1552">
        <x:v>36</x:v>
      </x:c>
      <x:c r="I1552">
        <x:v>82</x:v>
      </x:c>
      <x:c r="J1552">
        <x:v>76</x:v>
      </x:c>
      <x:c r="K1552">
        <x:v>79</x:v>
      </x:c>
      <x:c r="L1552">
        <x:v>37</x:v>
      </x:c>
      <x:c r="M1552">
        <x:v>67</x:v>
      </x:c>
      <x:c r="N1552">
        <x:v>40</x:v>
      </x:c>
      <x:c r="O1552">
        <x:v>39</x:v>
      </x:c>
      <x:c r="P1552">
        <x:v>59</x:v>
      </x:c>
      <x:c r="Q1552">
        <x:v>58</x:v>
      </x:c>
      <x:c r="R1552">
        <x:v>72</x:v>
      </x:c>
      <x:c r="S1552">
        <x:v>71</x:v>
      </x:c>
      <x:c r="T1552">
        <x:v>51</x:v>
      </x:c>
      <x:c r="U1552">
        <x:v>46</x:v>
      </x:c>
    </x:row>
    <x:row r="1553">
      <x:c r="A1553" t="s">
        <x:v>1912</x:v>
      </x:c>
      <x:c r="C1553" t="s">
        <x:v>319</x:v>
      </x:c>
      <x:c r="D1553">
        <x:v>8484178</x:v>
      </x:c>
      <x:c r="E1553">
        <x:v>58</x:v>
      </x:c>
      <x:c r="F1553">
        <x:v>38</x:v>
      </x:c>
      <x:c r="G1553">
        <x:v>83</x:v>
      </x:c>
      <x:c r="H1553">
        <x:v>38</x:v>
      </x:c>
      <x:c r="I1553">
        <x:v>79</x:v>
      </x:c>
      <x:c r="J1553">
        <x:v>91</x:v>
      </x:c>
      <x:c r="K1553">
        <x:v>95</x:v>
      </x:c>
      <x:c r="L1553">
        <x:v>37</x:v>
      </x:c>
      <x:c r="M1553">
        <x:v>82</x:v>
      </x:c>
      <x:c r="N1553">
        <x:v>43</x:v>
      </x:c>
      <x:c r="O1553">
        <x:v>42</x:v>
      </x:c>
      <x:c r="P1553">
        <x:v>59</x:v>
      </x:c>
      <x:c r="Q1553">
        <x:v>60</x:v>
      </x:c>
      <x:c r="R1553">
        <x:v>65</x:v>
      </x:c>
      <x:c r="S1553">
        <x:v>65</x:v>
      </x:c>
      <x:c r="T1553">
        <x:v>51</x:v>
      </x:c>
      <x:c r="U1553">
        <x:v>46</x:v>
      </x:c>
    </x:row>
    <x:row r="1554">
      <x:c r="A1554" t="s">
        <x:v>1913</x:v>
      </x:c>
      <x:c r="C1554" t="s">
        <x:v>319</x:v>
      </x:c>
      <x:c r="D1554">
        <x:v>8482662</x:v>
      </x:c>
      <x:c r="E1554">
        <x:v>64</x:v>
      </x:c>
      <x:c r="F1554">
        <x:v>38</x:v>
      </x:c>
      <x:c r="G1554">
        <x:v>83</x:v>
      </x:c>
      <x:c r="H1554">
        <x:v>38</x:v>
      </x:c>
      <x:c r="I1554">
        <x:v>79</x:v>
      </x:c>
      <x:c r="J1554">
        <x:v>75</x:v>
      </x:c>
      <x:c r="K1554">
        <x:v>78</x:v>
      </x:c>
      <x:c r="L1554">
        <x:v>39</x:v>
      </x:c>
      <x:c r="M1554">
        <x:v>67</x:v>
      </x:c>
      <x:c r="N1554">
        <x:v>41</x:v>
      </x:c>
      <x:c r="O1554">
        <x:v>41</x:v>
      </x:c>
      <x:c r="P1554">
        <x:v>59</x:v>
      </x:c>
      <x:c r="Q1554">
        <x:v>60</x:v>
      </x:c>
      <x:c r="R1554">
        <x:v>65</x:v>
      </x:c>
      <x:c r="S1554">
        <x:v>65</x:v>
      </x:c>
      <x:c r="T1554">
        <x:v>51</x:v>
      </x:c>
      <x:c r="U1554">
        <x:v>46</x:v>
      </x:c>
    </x:row>
    <x:row r="1555">
      <x:c r="A1555" t="s">
        <x:v>1914</x:v>
      </x:c>
      <x:c r="C1555" t="s">
        <x:v>358</x:v>
      </x:c>
      <x:c r="D1555">
        <x:v>8484782</x:v>
      </x:c>
      <x:c r="E1555">
        <x:v>62</x:v>
      </x:c>
      <x:c r="F1555">
        <x:v>41</x:v>
      </x:c>
      <x:c r="G1555">
        <x:v>74</x:v>
      </x:c>
      <x:c r="H1555">
        <x:v>38</x:v>
      </x:c>
      <x:c r="I1555">
        <x:v>79</x:v>
      </x:c>
      <x:c r="J1555">
        <x:v>74</x:v>
      </x:c>
      <x:c r="K1555">
        <x:v>77</x:v>
      </x:c>
      <x:c r="L1555">
        <x:v>39</x:v>
      </x:c>
      <x:c r="M1555">
        <x:v>62</x:v>
      </x:c>
      <x:c r="N1555">
        <x:v>42</x:v>
      </x:c>
      <x:c r="O1555">
        <x:v>40</x:v>
      </x:c>
      <x:c r="P1555">
        <x:v>60</x:v>
      </x:c>
      <x:c r="Q1555">
        <x:v>60</x:v>
      </x:c>
      <x:c r="R1555">
        <x:v>64</x:v>
      </x:c>
      <x:c r="S1555">
        <x:v>65</x:v>
      </x:c>
      <x:c r="T1555">
        <x:v>51</x:v>
      </x:c>
      <x:c r="U1555">
        <x:v>46</x:v>
      </x:c>
    </x:row>
    <x:row r="1556">
      <x:c r="A1556" t="s">
        <x:v>1915</x:v>
      </x:c>
      <x:c r="C1556" t="s">
        <x:v>358</x:v>
      </x:c>
      <x:c r="D1556">
        <x:v>8482690</x:v>
      </x:c>
      <x:c r="E1556">
        <x:v>59</x:v>
      </x:c>
      <x:c r="F1556">
        <x:v>36</x:v>
      </x:c>
      <x:c r="G1556">
        <x:v>92</x:v>
      </x:c>
      <x:c r="H1556">
        <x:v>39</x:v>
      </x:c>
      <x:c r="I1556">
        <x:v>76</x:v>
      </x:c>
      <x:c r="J1556">
        <x:v>77</x:v>
      </x:c>
      <x:c r="K1556">
        <x:v>80</x:v>
      </x:c>
      <x:c r="L1556">
        <x:v>40</x:v>
      </x:c>
      <x:c r="M1556">
        <x:v>65</x:v>
      </x:c>
      <x:c r="N1556">
        <x:v>43</x:v>
      </x:c>
      <x:c r="O1556">
        <x:v>40</x:v>
      </x:c>
      <x:c r="P1556">
        <x:v>59</x:v>
      </x:c>
      <x:c r="Q1556">
        <x:v>60</x:v>
      </x:c>
      <x:c r="R1556">
        <x:v>66</x:v>
      </x:c>
      <x:c r="S1556">
        <x:v>67</x:v>
      </x:c>
      <x:c r="T1556">
        <x:v>47</x:v>
      </x:c>
      <x:c r="U1556">
        <x:v>46</x:v>
      </x:c>
    </x:row>
    <x:row r="1557">
      <x:c r="A1557" t="s">
        <x:v>1916</x:v>
      </x:c>
      <x:c r="C1557" t="s">
        <x:v>323</x:v>
      </x:c>
      <x:c r="D1557">
        <x:v>8486119</x:v>
      </x:c>
      <x:c r="E1557">
        <x:v>59</x:v>
      </x:c>
      <x:c r="F1557">
        <x:v>32</x:v>
      </x:c>
      <x:c r="G1557">
        <x:v>76</x:v>
      </x:c>
      <x:c r="H1557">
        <x:v>36</x:v>
      </x:c>
      <x:c r="I1557">
        <x:v>81</x:v>
      </x:c>
      <x:c r="J1557">
        <x:v>70</x:v>
      </x:c>
      <x:c r="K1557">
        <x:v>73</x:v>
      </x:c>
      <x:c r="L1557">
        <x:v>36</x:v>
      </x:c>
      <x:c r="M1557">
        <x:v>66</x:v>
      </x:c>
      <x:c r="N1557">
        <x:v>38</x:v>
      </x:c>
      <x:c r="O1557">
        <x:v>39</x:v>
      </x:c>
      <x:c r="P1557">
        <x:v>60</x:v>
      </x:c>
      <x:c r="Q1557">
        <x:v>56</x:v>
      </x:c>
      <x:c r="R1557">
        <x:v>67</x:v>
      </x:c>
      <x:c r="S1557">
        <x:v>68</x:v>
      </x:c>
      <x:c r="T1557">
        <x:v>51</x:v>
      </x:c>
      <x:c r="U1557">
        <x:v>45</x:v>
      </x:c>
    </x:row>
    <x:row r="1558">
      <x:c r="A1558" t="s">
        <x:v>1917</x:v>
      </x:c>
      <x:c r="B1558" t="s">
        <x:v>584</x:v>
      </x:c>
      <x:c r="C1558" t="s">
        <x:v>323</x:v>
      </x:c>
      <x:c r="D1558">
        <x:v>8482957</x:v>
      </x:c>
      <x:c r="E1558">
        <x:v>69</x:v>
      </x:c>
      <x:c r="F1558">
        <x:v>33</x:v>
      </x:c>
      <x:c r="G1558">
        <x:v>90</x:v>
      </x:c>
      <x:c r="H1558">
        <x:v>36</x:v>
      </x:c>
      <x:c r="I1558">
        <x:v>76</x:v>
      </x:c>
      <x:c r="J1558">
        <x:v>72</x:v>
      </x:c>
      <x:c r="K1558">
        <x:v>73</x:v>
      </x:c>
      <x:c r="L1558">
        <x:v>35</x:v>
      </x:c>
      <x:c r="M1558">
        <x:v>78</x:v>
      </x:c>
      <x:c r="N1558">
        <x:v>38</x:v>
      </x:c>
      <x:c r="O1558">
        <x:v>39</x:v>
      </x:c>
      <x:c r="P1558">
        <x:v>62</x:v>
      </x:c>
      <x:c r="Q1558">
        <x:v>57</x:v>
      </x:c>
      <x:c r="R1558">
        <x:v>68</x:v>
      </x:c>
      <x:c r="S1558">
        <x:v>69</x:v>
      </x:c>
      <x:c r="T1558">
        <x:v>51</x:v>
      </x:c>
      <x:c r="U1558">
        <x:v>45</x:v>
      </x:c>
    </x:row>
    <x:row r="1559">
      <x:c r="A1559" t="s">
        <x:v>1918</x:v>
      </x:c>
      <x:c r="B1559" t="s">
        <x:v>584</x:v>
      </x:c>
      <x:c r="C1559" t="s">
        <x:v>358</x:v>
      </x:c>
      <x:c r="E1559">
        <x:v>60</x:v>
      </x:c>
      <x:c r="F1559">
        <x:v>32</x:v>
      </x:c>
      <x:c r="G1559">
        <x:v>89</x:v>
      </x:c>
      <x:c r="H1559">
        <x:v>36</x:v>
      </x:c>
      <x:c r="I1559">
        <x:v>76</x:v>
      </x:c>
      <x:c r="J1559">
        <x:v>73</x:v>
      </x:c>
      <x:c r="K1559">
        <x:v>76</x:v>
      </x:c>
      <x:c r="L1559">
        <x:v>35</x:v>
      </x:c>
      <x:c r="M1559">
        <x:v>59</x:v>
      </x:c>
      <x:c r="N1559">
        <x:v>39</x:v>
      </x:c>
      <x:c r="O1559">
        <x:v>39</x:v>
      </x:c>
      <x:c r="P1559">
        <x:v>59</x:v>
      </x:c>
      <x:c r="Q1559">
        <x:v>57</x:v>
      </x:c>
      <x:c r="R1559">
        <x:v>69</x:v>
      </x:c>
      <x:c r="S1559">
        <x:v>70</x:v>
      </x:c>
      <x:c r="T1559">
        <x:v>51</x:v>
      </x:c>
      <x:c r="U1559">
        <x:v>45</x:v>
      </x:c>
    </x:row>
    <x:row r="1560">
      <x:c r="A1560" t="s">
        <x:v>1919</x:v>
      </x:c>
      <x:c r="C1560" t="s">
        <x:v>326</x:v>
      </x:c>
      <x:c r="D1560">
        <x:v>8482521</x:v>
      </x:c>
      <x:c r="E1560">
        <x:v>64</x:v>
      </x:c>
      <x:c r="F1560">
        <x:v>40</x:v>
      </x:c>
      <x:c r="G1560">
        <x:v>90</x:v>
      </x:c>
      <x:c r="H1560">
        <x:v>36</x:v>
      </x:c>
      <x:c r="I1560">
        <x:v>83</x:v>
      </x:c>
      <x:c r="J1560">
        <x:v>68</x:v>
      </x:c>
      <x:c r="K1560">
        <x:v>71</x:v>
      </x:c>
      <x:c r="L1560">
        <x:v>37</x:v>
      </x:c>
      <x:c r="M1560">
        <x:v>59</x:v>
      </x:c>
      <x:c r="N1560">
        <x:v>38</x:v>
      </x:c>
      <x:c r="O1560">
        <x:v>39</x:v>
      </x:c>
      <x:c r="P1560">
        <x:v>64</x:v>
      </x:c>
      <x:c r="Q1560">
        <x:v>56</x:v>
      </x:c>
      <x:c r="R1560">
        <x:v>66</x:v>
      </x:c>
      <x:c r="S1560">
        <x:v>65</x:v>
      </x:c>
      <x:c r="T1560">
        <x:v>51</x:v>
      </x:c>
      <x:c r="U1560">
        <x:v>45</x:v>
      </x:c>
    </x:row>
    <x:row r="1561">
      <x:c r="A1561" t="s">
        <x:v>1920</x:v>
      </x:c>
      <x:c r="B1561" t="s">
        <x:v>584</x:v>
      </x:c>
      <x:c r="C1561" t="s">
        <x:v>333</x:v>
      </x:c>
      <x:c r="E1561">
        <x:v>62</x:v>
      </x:c>
      <x:c r="F1561">
        <x:v>33</x:v>
      </x:c>
      <x:c r="G1561">
        <x:v>84</x:v>
      </x:c>
      <x:c r="H1561">
        <x:v>36</x:v>
      </x:c>
      <x:c r="I1561">
        <x:v>80</x:v>
      </x:c>
      <x:c r="J1561">
        <x:v>70</x:v>
      </x:c>
      <x:c r="K1561">
        <x:v>73</x:v>
      </x:c>
      <x:c r="L1561">
        <x:v>37</x:v>
      </x:c>
      <x:c r="M1561">
        <x:v>62</x:v>
      </x:c>
      <x:c r="N1561">
        <x:v>38</x:v>
      </x:c>
      <x:c r="O1561">
        <x:v>39</x:v>
      </x:c>
      <x:c r="P1561">
        <x:v>59</x:v>
      </x:c>
      <x:c r="Q1561">
        <x:v>56</x:v>
      </x:c>
      <x:c r="R1561">
        <x:v>69</x:v>
      </x:c>
      <x:c r="S1561">
        <x:v>68</x:v>
      </x:c>
      <x:c r="T1561">
        <x:v>51</x:v>
      </x:c>
      <x:c r="U1561">
        <x:v>45</x:v>
      </x:c>
    </x:row>
    <x:row r="1562">
      <x:c r="A1562" t="s">
        <x:v>1921</x:v>
      </x:c>
      <x:c r="C1562" t="s">
        <x:v>323</x:v>
      </x:c>
      <x:c r="D1562">
        <x:v>8483707</x:v>
      </x:c>
      <x:c r="E1562">
        <x:v>62</x:v>
      </x:c>
      <x:c r="F1562">
        <x:v>38</x:v>
      </x:c>
      <x:c r="G1562">
        <x:v>88</x:v>
      </x:c>
      <x:c r="H1562">
        <x:v>36</x:v>
      </x:c>
      <x:c r="I1562">
        <x:v>83</x:v>
      </x:c>
      <x:c r="J1562">
        <x:v>68</x:v>
      </x:c>
      <x:c r="K1562">
        <x:v>71</x:v>
      </x:c>
      <x:c r="L1562">
        <x:v>36</x:v>
      </x:c>
      <x:c r="M1562">
        <x:v>59</x:v>
      </x:c>
      <x:c r="N1562">
        <x:v>38</x:v>
      </x:c>
      <x:c r="O1562">
        <x:v>39</x:v>
      </x:c>
      <x:c r="P1562">
        <x:v>62</x:v>
      </x:c>
      <x:c r="Q1562">
        <x:v>56</x:v>
      </x:c>
      <x:c r="R1562">
        <x:v>66</x:v>
      </x:c>
      <x:c r="S1562">
        <x:v>65</x:v>
      </x:c>
      <x:c r="T1562">
        <x:v>51</x:v>
      </x:c>
      <x:c r="U1562">
        <x:v>45</x:v>
      </x:c>
    </x:row>
    <x:row r="1563">
      <x:c r="A1563" t="s">
        <x:v>1922</x:v>
      </x:c>
      <x:c r="C1563" t="s">
        <x:v>339</x:v>
      </x:c>
      <x:c r="D1563">
        <x:v>8485905</x:v>
      </x:c>
      <x:c r="E1563">
        <x:v>61</x:v>
      </x:c>
      <x:c r="F1563">
        <x:v>31</x:v>
      </x:c>
      <x:c r="G1563">
        <x:v>90</x:v>
      </x:c>
      <x:c r="H1563">
        <x:v>36</x:v>
      </x:c>
      <x:c r="I1563">
        <x:v>81</x:v>
      </x:c>
      <x:c r="J1563">
        <x:v>68</x:v>
      </x:c>
      <x:c r="K1563">
        <x:v>71</x:v>
      </x:c>
      <x:c r="L1563">
        <x:v>37</x:v>
      </x:c>
      <x:c r="M1563">
        <x:v>70</x:v>
      </x:c>
      <x:c r="N1563">
        <x:v>38</x:v>
      </x:c>
      <x:c r="O1563">
        <x:v>39</x:v>
      </x:c>
      <x:c r="P1563">
        <x:v>60</x:v>
      </x:c>
      <x:c r="Q1563">
        <x:v>56</x:v>
      </x:c>
      <x:c r="R1563">
        <x:v>67</x:v>
      </x:c>
      <x:c r="S1563">
        <x:v>68</x:v>
      </x:c>
      <x:c r="T1563">
        <x:v>51</x:v>
      </x:c>
      <x:c r="U1563">
        <x:v>45</x:v>
      </x:c>
    </x:row>
    <x:row r="1564">
      <x:c r="A1564" t="s">
        <x:v>1923</x:v>
      </x:c>
      <x:c r="C1564" t="s">
        <x:v>323</x:v>
      </x:c>
      <x:c r="D1564">
        <x:v>8481531</x:v>
      </x:c>
      <x:c r="E1564">
        <x:v>64</x:v>
      </x:c>
      <x:c r="F1564">
        <x:v>45</x:v>
      </x:c>
      <x:c r="G1564">
        <x:v>92</x:v>
      </x:c>
      <x:c r="H1564">
        <x:v>36</x:v>
      </x:c>
      <x:c r="I1564">
        <x:v>78</x:v>
      </x:c>
      <x:c r="J1564">
        <x:v>70</x:v>
      </x:c>
      <x:c r="K1564">
        <x:v>72</x:v>
      </x:c>
      <x:c r="L1564">
        <x:v>37</x:v>
      </x:c>
      <x:c r="M1564">
        <x:v>70</x:v>
      </x:c>
      <x:c r="N1564">
        <x:v>38</x:v>
      </x:c>
      <x:c r="O1564">
        <x:v>39</x:v>
      </x:c>
      <x:c r="P1564">
        <x:v>60</x:v>
      </x:c>
      <x:c r="Q1564">
        <x:v>56</x:v>
      </x:c>
      <x:c r="R1564">
        <x:v>68</x:v>
      </x:c>
      <x:c r="S1564">
        <x:v>68</x:v>
      </x:c>
      <x:c r="T1564">
        <x:v>51</x:v>
      </x:c>
      <x:c r="U1564">
        <x:v>45</x:v>
      </x:c>
    </x:row>
    <x:row r="1565">
      <x:c r="A1565" t="s">
        <x:v>1924</x:v>
      </x:c>
      <x:c r="C1565" t="s">
        <x:v>319</x:v>
      </x:c>
      <x:c r="D1565">
        <x:v>8486137</x:v>
      </x:c>
      <x:c r="E1565">
        <x:v>59</x:v>
      </x:c>
      <x:c r="F1565">
        <x:v>35</x:v>
      </x:c>
      <x:c r="G1565">
        <x:v>88</x:v>
      </x:c>
      <x:c r="H1565">
        <x:v>36</x:v>
      </x:c>
      <x:c r="I1565">
        <x:v>79</x:v>
      </x:c>
      <x:c r="J1565">
        <x:v>68</x:v>
      </x:c>
      <x:c r="K1565">
        <x:v>71</x:v>
      </x:c>
      <x:c r="L1565">
        <x:v>36</x:v>
      </x:c>
      <x:c r="M1565">
        <x:v>65</x:v>
      </x:c>
      <x:c r="N1565">
        <x:v>38</x:v>
      </x:c>
      <x:c r="O1565">
        <x:v>39</x:v>
      </x:c>
      <x:c r="P1565">
        <x:v>58</x:v>
      </x:c>
      <x:c r="Q1565">
        <x:v>56</x:v>
      </x:c>
      <x:c r="R1565">
        <x:v>66</x:v>
      </x:c>
      <x:c r="S1565">
        <x:v>65</x:v>
      </x:c>
      <x:c r="T1565">
        <x:v>51</x:v>
      </x:c>
      <x:c r="U1565">
        <x:v>45</x:v>
      </x:c>
    </x:row>
    <x:row r="1566">
      <x:c r="A1566" t="s">
        <x:v>1925</x:v>
      </x:c>
      <x:c r="C1566" t="s">
        <x:v>326</x:v>
      </x:c>
      <x:c r="D1566">
        <x:v>8485495</x:v>
      </x:c>
      <x:c r="E1566">
        <x:v>63</x:v>
      </x:c>
      <x:c r="F1566">
        <x:v>32</x:v>
      </x:c>
      <x:c r="G1566">
        <x:v>80</x:v>
      </x:c>
      <x:c r="H1566">
        <x:v>36</x:v>
      </x:c>
      <x:c r="I1566">
        <x:v>81</x:v>
      </x:c>
      <x:c r="J1566">
        <x:v>71</x:v>
      </x:c>
      <x:c r="K1566">
        <x:v>74</x:v>
      </x:c>
      <x:c r="L1566">
        <x:v>36</x:v>
      </x:c>
      <x:c r="M1566">
        <x:v>57</x:v>
      </x:c>
      <x:c r="N1566">
        <x:v>38</x:v>
      </x:c>
      <x:c r="O1566">
        <x:v>39</x:v>
      </x:c>
      <x:c r="P1566">
        <x:v>62</x:v>
      </x:c>
      <x:c r="Q1566">
        <x:v>56</x:v>
      </x:c>
      <x:c r="R1566">
        <x:v>67</x:v>
      </x:c>
      <x:c r="S1566">
        <x:v>66</x:v>
      </x:c>
      <x:c r="T1566">
        <x:v>51</x:v>
      </x:c>
      <x:c r="U1566">
        <x:v>45</x:v>
      </x:c>
    </x:row>
    <x:row r="1567">
      <x:c r="A1567" t="s">
        <x:v>1926</x:v>
      </x:c>
      <x:c r="C1567" t="s">
        <x:v>339</x:v>
      </x:c>
      <x:c r="D1567">
        <x:v>8486133</x:v>
      </x:c>
      <x:c r="E1567">
        <x:v>63</x:v>
      </x:c>
      <x:c r="F1567">
        <x:v>35</x:v>
      </x:c>
      <x:c r="G1567">
        <x:v>90</x:v>
      </x:c>
      <x:c r="H1567">
        <x:v>36</x:v>
      </x:c>
      <x:c r="I1567">
        <x:v>83</x:v>
      </x:c>
      <x:c r="J1567">
        <x:v>68</x:v>
      </x:c>
      <x:c r="K1567">
        <x:v>71</x:v>
      </x:c>
      <x:c r="L1567">
        <x:v>35</x:v>
      </x:c>
      <x:c r="M1567">
        <x:v>67</x:v>
      </x:c>
      <x:c r="N1567">
        <x:v>38</x:v>
      </x:c>
      <x:c r="O1567">
        <x:v>39</x:v>
      </x:c>
      <x:c r="P1567">
        <x:v>61</x:v>
      </x:c>
      <x:c r="Q1567">
        <x:v>56</x:v>
      </x:c>
      <x:c r="R1567">
        <x:v>67</x:v>
      </x:c>
      <x:c r="S1567">
        <x:v>67</x:v>
      </x:c>
      <x:c r="T1567">
        <x:v>51</x:v>
      </x:c>
      <x:c r="U1567">
        <x:v>45</x:v>
      </x:c>
    </x:row>
    <x:row r="1568">
      <x:c r="A1568" t="s">
        <x:v>1927</x:v>
      </x:c>
      <x:c r="B1568" t="s">
        <x:v>584</x:v>
      </x:c>
      <x:c r="C1568" t="s">
        <x:v>323</x:v>
      </x:c>
      <x:c r="D1568">
        <x:v>8481729</x:v>
      </x:c>
      <x:c r="E1568">
        <x:v>59</x:v>
      </x:c>
      <x:c r="F1568">
        <x:v>32</x:v>
      </x:c>
      <x:c r="G1568">
        <x:v>76</x:v>
      </x:c>
      <x:c r="H1568">
        <x:v>36</x:v>
      </x:c>
      <x:c r="I1568">
        <x:v>77</x:v>
      </x:c>
      <x:c r="J1568">
        <x:v>72</x:v>
      </x:c>
      <x:c r="K1568">
        <x:v>73</x:v>
      </x:c>
      <x:c r="L1568">
        <x:v>36</x:v>
      </x:c>
      <x:c r="M1568">
        <x:v>75</x:v>
      </x:c>
      <x:c r="N1568">
        <x:v>39</x:v>
      </x:c>
      <x:c r="O1568">
        <x:v>39</x:v>
      </x:c>
      <x:c r="P1568">
        <x:v>59</x:v>
      </x:c>
      <x:c r="Q1568">
        <x:v>57</x:v>
      </x:c>
      <x:c r="R1568">
        <x:v>69</x:v>
      </x:c>
      <x:c r="S1568">
        <x:v>70</x:v>
      </x:c>
      <x:c r="T1568">
        <x:v>51</x:v>
      </x:c>
      <x:c r="U1568">
        <x:v>45</x:v>
      </x:c>
    </x:row>
    <x:row r="1569">
      <x:c r="A1569" t="s">
        <x:v>1928</x:v>
      </x:c>
      <x:c r="B1569" t="s">
        <x:v>584</x:v>
      </x:c>
      <x:c r="C1569" t="s">
        <x:v>329</x:v>
      </x:c>
      <x:c r="D1569">
        <x:v>8486150</x:v>
      </x:c>
      <x:c r="E1569">
        <x:v>60</x:v>
      </x:c>
      <x:c r="F1569">
        <x:v>31</x:v>
      </x:c>
      <x:c r="G1569">
        <x:v>82</x:v>
      </x:c>
      <x:c r="H1569">
        <x:v>36</x:v>
      </x:c>
      <x:c r="I1569">
        <x:v>82</x:v>
      </x:c>
      <x:c r="J1569">
        <x:v>70</x:v>
      </x:c>
      <x:c r="K1569">
        <x:v>73</x:v>
      </x:c>
      <x:c r="L1569">
        <x:v>35</x:v>
      </x:c>
      <x:c r="M1569">
        <x:v>58</x:v>
      </x:c>
      <x:c r="N1569">
        <x:v>38</x:v>
      </x:c>
      <x:c r="O1569">
        <x:v>39</x:v>
      </x:c>
      <x:c r="P1569">
        <x:v>61</x:v>
      </x:c>
      <x:c r="Q1569">
        <x:v>56</x:v>
      </x:c>
      <x:c r="R1569">
        <x:v>67</x:v>
      </x:c>
      <x:c r="S1569">
        <x:v>66</x:v>
      </x:c>
      <x:c r="T1569">
        <x:v>51</x:v>
      </x:c>
      <x:c r="U1569">
        <x:v>45</x:v>
      </x:c>
    </x:row>
    <x:row r="1570">
      <x:c r="A1570" t="s">
        <x:v>1929</x:v>
      </x:c>
      <x:c r="C1570" t="s">
        <x:v>339</x:v>
      </x:c>
      <x:c r="D1570">
        <x:v>8485504</x:v>
      </x:c>
      <x:c r="E1570">
        <x:v>70</x:v>
      </x:c>
      <x:c r="F1570">
        <x:v>35</x:v>
      </x:c>
      <x:c r="G1570">
        <x:v>78</x:v>
      </x:c>
      <x:c r="H1570">
        <x:v>36</x:v>
      </x:c>
      <x:c r="I1570">
        <x:v>78</x:v>
      </x:c>
      <x:c r="J1570">
        <x:v>69</x:v>
      </x:c>
      <x:c r="K1570">
        <x:v>72</x:v>
      </x:c>
      <x:c r="L1570">
        <x:v>35</x:v>
      </x:c>
      <x:c r="M1570">
        <x:v>68</x:v>
      </x:c>
      <x:c r="N1570">
        <x:v>38</x:v>
      </x:c>
      <x:c r="O1570">
        <x:v>39</x:v>
      </x:c>
      <x:c r="P1570">
        <x:v>59</x:v>
      </x:c>
      <x:c r="Q1570">
        <x:v>56</x:v>
      </x:c>
      <x:c r="R1570">
        <x:v>69</x:v>
      </x:c>
      <x:c r="S1570">
        <x:v>70</x:v>
      </x:c>
      <x:c r="T1570">
        <x:v>51</x:v>
      </x:c>
      <x:c r="U1570">
        <x:v>45</x:v>
      </x:c>
    </x:row>
    <x:row r="1571">
      <x:c r="A1571" t="s">
        <x:v>1930</x:v>
      </x:c>
      <x:c r="B1571" t="s">
        <x:v>584</x:v>
      </x:c>
      <x:c r="C1571" t="s">
        <x:v>358</x:v>
      </x:c>
      <x:c r="D1571">
        <x:v>8485558</x:v>
      </x:c>
      <x:c r="E1571">
        <x:v>62</x:v>
      </x:c>
      <x:c r="F1571">
        <x:v>37</x:v>
      </x:c>
      <x:c r="G1571">
        <x:v>91</x:v>
      </x:c>
      <x:c r="H1571">
        <x:v>36</x:v>
      </x:c>
      <x:c r="I1571">
        <x:v>82</x:v>
      </x:c>
      <x:c r="J1571">
        <x:v>72</x:v>
      </x:c>
      <x:c r="K1571">
        <x:v>75</x:v>
      </x:c>
      <x:c r="L1571">
        <x:v>35</x:v>
      </x:c>
      <x:c r="M1571">
        <x:v>56</x:v>
      </x:c>
      <x:c r="N1571">
        <x:v>40</x:v>
      </x:c>
      <x:c r="O1571">
        <x:v>39</x:v>
      </x:c>
      <x:c r="P1571">
        <x:v>59</x:v>
      </x:c>
      <x:c r="Q1571">
        <x:v>58</x:v>
      </x:c>
      <x:c r="R1571">
        <x:v>67</x:v>
      </x:c>
      <x:c r="S1571">
        <x:v>67</x:v>
      </x:c>
      <x:c r="T1571">
        <x:v>51</x:v>
      </x:c>
      <x:c r="U1571">
        <x:v>45</x:v>
      </x:c>
    </x:row>
    <x:row r="1572">
      <x:c r="A1572" t="s">
        <x:v>1931</x:v>
      </x:c>
      <x:c r="B1572" t="s">
        <x:v>584</x:v>
      </x:c>
      <x:c r="C1572" t="s">
        <x:v>323</x:v>
      </x:c>
      <x:c r="D1572">
        <x:v>8486173</x:v>
      </x:c>
      <x:c r="E1572">
        <x:v>58</x:v>
      </x:c>
      <x:c r="F1572">
        <x:v>44</x:v>
      </x:c>
      <x:c r="G1572">
        <x:v>91</x:v>
      </x:c>
      <x:c r="H1572">
        <x:v>36</x:v>
      </x:c>
      <x:c r="I1572">
        <x:v>85</x:v>
      </x:c>
      <x:c r="J1572">
        <x:v>67</x:v>
      </x:c>
      <x:c r="K1572">
        <x:v>70</x:v>
      </x:c>
      <x:c r="L1572">
        <x:v>37</x:v>
      </x:c>
      <x:c r="M1572">
        <x:v>63</x:v>
      </x:c>
      <x:c r="N1572">
        <x:v>38</x:v>
      </x:c>
      <x:c r="O1572">
        <x:v>39</x:v>
      </x:c>
      <x:c r="P1572">
        <x:v>61</x:v>
      </x:c>
      <x:c r="Q1572">
        <x:v>56</x:v>
      </x:c>
      <x:c r="R1572">
        <x:v>67</x:v>
      </x:c>
      <x:c r="S1572">
        <x:v>68</x:v>
      </x:c>
      <x:c r="T1572">
        <x:v>51</x:v>
      </x:c>
      <x:c r="U1572">
        <x:v>45</x:v>
      </x:c>
    </x:row>
    <x:row r="1573">
      <x:c r="A1573" t="s">
        <x:v>1932</x:v>
      </x:c>
      <x:c r="C1573" t="s">
        <x:v>358</x:v>
      </x:c>
      <x:c r="D1573">
        <x:v>8483018</x:v>
      </x:c>
      <x:c r="E1573">
        <x:v>61</x:v>
      </x:c>
      <x:c r="F1573">
        <x:v>35</x:v>
      </x:c>
      <x:c r="G1573">
        <x:v>88</x:v>
      </x:c>
      <x:c r="H1573">
        <x:v>36</x:v>
      </x:c>
      <x:c r="I1573">
        <x:v>77</x:v>
      </x:c>
      <x:c r="J1573">
        <x:v>70</x:v>
      </x:c>
      <x:c r="K1573">
        <x:v>72</x:v>
      </x:c>
      <x:c r="L1573">
        <x:v>37</x:v>
      </x:c>
      <x:c r="M1573">
        <x:v>71</x:v>
      </x:c>
      <x:c r="N1573">
        <x:v>39</x:v>
      </x:c>
      <x:c r="O1573">
        <x:v>39</x:v>
      </x:c>
      <x:c r="P1573">
        <x:v>59</x:v>
      </x:c>
      <x:c r="Q1573">
        <x:v>57</x:v>
      </x:c>
      <x:c r="R1573">
        <x:v>68</x:v>
      </x:c>
      <x:c r="S1573">
        <x:v>68</x:v>
      </x:c>
      <x:c r="T1573">
        <x:v>51</x:v>
      </x:c>
      <x:c r="U1573">
        <x:v>45</x:v>
      </x:c>
    </x:row>
    <x:row r="1574">
      <x:c r="A1574" t="s">
        <x:v>1933</x:v>
      </x:c>
      <x:c r="B1574" t="s">
        <x:v>584</x:v>
      </x:c>
      <x:c r="C1574" t="s">
        <x:v>333</x:v>
      </x:c>
      <x:c r="D1574">
        <x:v>8483658</x:v>
      </x:c>
      <x:c r="E1574">
        <x:v>62</x:v>
      </x:c>
      <x:c r="F1574">
        <x:v>34</x:v>
      </x:c>
      <x:c r="G1574">
        <x:v>82</x:v>
      </x:c>
      <x:c r="H1574">
        <x:v>36</x:v>
      </x:c>
      <x:c r="I1574">
        <x:v>79</x:v>
      </x:c>
      <x:c r="J1574">
        <x:v>70</x:v>
      </x:c>
      <x:c r="K1574">
        <x:v>73</x:v>
      </x:c>
      <x:c r="L1574">
        <x:v>37</x:v>
      </x:c>
      <x:c r="M1574">
        <x:v>69</x:v>
      </x:c>
      <x:c r="N1574">
        <x:v>38</x:v>
      </x:c>
      <x:c r="O1574">
        <x:v>39</x:v>
      </x:c>
      <x:c r="P1574">
        <x:v>59</x:v>
      </x:c>
      <x:c r="Q1574">
        <x:v>56</x:v>
      </x:c>
      <x:c r="R1574">
        <x:v>67</x:v>
      </x:c>
      <x:c r="S1574">
        <x:v>68</x:v>
      </x:c>
      <x:c r="T1574">
        <x:v>51</x:v>
      </x:c>
      <x:c r="U1574">
        <x:v>45</x:v>
      </x:c>
    </x:row>
    <x:row r="1575">
      <x:c r="A1575" t="s">
        <x:v>1934</x:v>
      </x:c>
      <x:c r="C1575" t="s">
        <x:v>329</x:v>
      </x:c>
      <x:c r="D1575">
        <x:v>8484942</x:v>
      </x:c>
      <x:c r="E1575">
        <x:v>60</x:v>
      </x:c>
      <x:c r="F1575">
        <x:v>33</x:v>
      </x:c>
      <x:c r="G1575">
        <x:v>82</x:v>
      </x:c>
      <x:c r="H1575">
        <x:v>36</x:v>
      </x:c>
      <x:c r="I1575">
        <x:v>78</x:v>
      </x:c>
      <x:c r="J1575">
        <x:v>72</x:v>
      </x:c>
      <x:c r="K1575">
        <x:v>74</x:v>
      </x:c>
      <x:c r="L1575">
        <x:v>36</x:v>
      </x:c>
      <x:c r="M1575">
        <x:v>59</x:v>
      </x:c>
      <x:c r="N1575">
        <x:v>39</x:v>
      </x:c>
      <x:c r="O1575">
        <x:v>39</x:v>
      </x:c>
      <x:c r="P1575">
        <x:v>58</x:v>
      </x:c>
      <x:c r="Q1575">
        <x:v>57</x:v>
      </x:c>
      <x:c r="R1575">
        <x:v>69</x:v>
      </x:c>
      <x:c r="S1575">
        <x:v>70</x:v>
      </x:c>
      <x:c r="T1575">
        <x:v>51</x:v>
      </x:c>
      <x:c r="U1575">
        <x:v>45</x:v>
      </x:c>
    </x:row>
    <x:row r="1576">
      <x:c r="A1576" t="s">
        <x:v>1935</x:v>
      </x:c>
      <x:c r="C1576" t="s">
        <x:v>319</x:v>
      </x:c>
      <x:c r="D1576">
        <x:v>8484184</x:v>
      </x:c>
      <x:c r="E1576">
        <x:v>61</x:v>
      </x:c>
      <x:c r="F1576">
        <x:v>39</x:v>
      </x:c>
      <x:c r="G1576">
        <x:v>84</x:v>
      </x:c>
      <x:c r="H1576">
        <x:v>36</x:v>
      </x:c>
      <x:c r="I1576">
        <x:v>81</x:v>
      </x:c>
      <x:c r="J1576">
        <x:v>78</x:v>
      </x:c>
      <x:c r="K1576">
        <x:v>82</x:v>
      </x:c>
      <x:c r="L1576">
        <x:v>36</x:v>
      </x:c>
      <x:c r="M1576">
        <x:v>69</x:v>
      </x:c>
      <x:c r="N1576">
        <x:v>40</x:v>
      </x:c>
      <x:c r="O1576">
        <x:v>40</x:v>
      </x:c>
      <x:c r="P1576">
        <x:v>58</x:v>
      </x:c>
      <x:c r="Q1576">
        <x:v>58</x:v>
      </x:c>
      <x:c r="R1576">
        <x:v>64</x:v>
      </x:c>
      <x:c r="S1576">
        <x:v>69</x:v>
      </x:c>
      <x:c r="T1576">
        <x:v>51</x:v>
      </x:c>
      <x:c r="U1576">
        <x:v>45</x:v>
      </x:c>
    </x:row>
    <x:row r="1577">
      <x:c r="A1577" t="s">
        <x:v>1936</x:v>
      </x:c>
      <x:c r="C1577" t="s">
        <x:v>319</x:v>
      </x:c>
      <x:c r="D1577">
        <x:v>8482960</x:v>
      </x:c>
      <x:c r="E1577">
        <x:v>59</x:v>
      </x:c>
      <x:c r="F1577">
        <x:v>32</x:v>
      </x:c>
      <x:c r="G1577">
        <x:v>88</x:v>
      </x:c>
      <x:c r="H1577">
        <x:v>36</x:v>
      </x:c>
      <x:c r="I1577">
        <x:v>82</x:v>
      </x:c>
      <x:c r="J1577">
        <x:v>73</x:v>
      </x:c>
      <x:c r="K1577">
        <x:v>75</x:v>
      </x:c>
      <x:c r="L1577">
        <x:v>35</x:v>
      </x:c>
      <x:c r="M1577">
        <x:v>82</x:v>
      </x:c>
      <x:c r="N1577">
        <x:v>39</x:v>
      </x:c>
      <x:c r="O1577">
        <x:v>39</x:v>
      </x:c>
      <x:c r="P1577">
        <x:v>59</x:v>
      </x:c>
      <x:c r="Q1577">
        <x:v>57</x:v>
      </x:c>
      <x:c r="R1577">
        <x:v>67</x:v>
      </x:c>
      <x:c r="S1577">
        <x:v>68</x:v>
      </x:c>
      <x:c r="T1577">
        <x:v>51</x:v>
      </x:c>
      <x:c r="U1577">
        <x:v>45</x:v>
      </x:c>
    </x:row>
    <x:row r="1578">
      <x:c r="A1578" t="s">
        <x:v>1937</x:v>
      </x:c>
      <x:c r="B1578" t="s">
        <x:v>584</x:v>
      </x:c>
      <x:c r="C1578" t="s">
        <x:v>326</x:v>
      </x:c>
      <x:c r="D1578">
        <x:v>8481756</x:v>
      </x:c>
      <x:c r="E1578">
        <x:v>60</x:v>
      </x:c>
      <x:c r="F1578">
        <x:v>35</x:v>
      </x:c>
      <x:c r="G1578">
        <x:v>85</x:v>
      </x:c>
      <x:c r="H1578">
        <x:v>36</x:v>
      </x:c>
      <x:c r="I1578">
        <x:v>78</x:v>
      </x:c>
      <x:c r="J1578">
        <x:v>75</x:v>
      </x:c>
      <x:c r="K1578">
        <x:v>76</x:v>
      </x:c>
      <x:c r="L1578">
        <x:v>37</x:v>
      </x:c>
      <x:c r="M1578">
        <x:v>55</x:v>
      </x:c>
      <x:c r="N1578">
        <x:v>39</x:v>
      </x:c>
      <x:c r="O1578">
        <x:v>39</x:v>
      </x:c>
      <x:c r="P1578">
        <x:v>57</x:v>
      </x:c>
      <x:c r="Q1578">
        <x:v>57</x:v>
      </x:c>
      <x:c r="R1578">
        <x:v>69</x:v>
      </x:c>
      <x:c r="S1578">
        <x:v>69</x:v>
      </x:c>
      <x:c r="T1578">
        <x:v>51</x:v>
      </x:c>
      <x:c r="U1578">
        <x:v>45</x:v>
      </x:c>
    </x:row>
    <x:row r="1579">
      <x:c r="A1579" t="s">
        <x:v>1938</x:v>
      </x:c>
      <x:c r="C1579" t="s">
        <x:v>326</x:v>
      </x:c>
      <x:c r="D1579">
        <x:v>8485906</x:v>
      </x:c>
      <x:c r="E1579">
        <x:v>58</x:v>
      </x:c>
      <x:c r="F1579">
        <x:v>40</x:v>
      </x:c>
      <x:c r="G1579">
        <x:v>89</x:v>
      </x:c>
      <x:c r="H1579">
        <x:v>36</x:v>
      </x:c>
      <x:c r="I1579">
        <x:v>83</x:v>
      </x:c>
      <x:c r="J1579">
        <x:v>67</x:v>
      </x:c>
      <x:c r="K1579">
        <x:v>70</x:v>
      </x:c>
      <x:c r="L1579">
        <x:v>36</x:v>
      </x:c>
      <x:c r="M1579">
        <x:v>58</x:v>
      </x:c>
      <x:c r="N1579">
        <x:v>38</x:v>
      </x:c>
      <x:c r="O1579">
        <x:v>39</x:v>
      </x:c>
      <x:c r="P1579">
        <x:v>58</x:v>
      </x:c>
      <x:c r="Q1579">
        <x:v>56</x:v>
      </x:c>
      <x:c r="R1579">
        <x:v>68</x:v>
      </x:c>
      <x:c r="S1579">
        <x:v>68</x:v>
      </x:c>
      <x:c r="T1579">
        <x:v>51</x:v>
      </x:c>
      <x:c r="U1579">
        <x:v>45</x:v>
      </x:c>
    </x:row>
    <x:row r="1580">
      <x:c r="A1580" t="s">
        <x:v>1939</x:v>
      </x:c>
      <x:c r="C1580" t="s">
        <x:v>319</x:v>
      </x:c>
      <x:c r="D1580">
        <x:v>8484491</x:v>
      </x:c>
      <x:c r="E1580">
        <x:v>59</x:v>
      </x:c>
      <x:c r="F1580">
        <x:v>37</x:v>
      </x:c>
      <x:c r="G1580">
        <x:v>83</x:v>
      </x:c>
      <x:c r="H1580">
        <x:v>36</x:v>
      </x:c>
      <x:c r="I1580">
        <x:v>79</x:v>
      </x:c>
      <x:c r="J1580">
        <x:v>75</x:v>
      </x:c>
      <x:c r="K1580">
        <x:v>78</x:v>
      </x:c>
      <x:c r="L1580">
        <x:v>36</x:v>
      </x:c>
      <x:c r="M1580">
        <x:v>65</x:v>
      </x:c>
      <x:c r="N1580">
        <x:v>39</x:v>
      </x:c>
      <x:c r="O1580">
        <x:v>39</x:v>
      </x:c>
      <x:c r="P1580">
        <x:v>58</x:v>
      </x:c>
      <x:c r="Q1580">
        <x:v>57</x:v>
      </x:c>
      <x:c r="R1580">
        <x:v>65</x:v>
      </x:c>
      <x:c r="S1580">
        <x:v>65</x:v>
      </x:c>
      <x:c r="T1580">
        <x:v>51</x:v>
      </x:c>
      <x:c r="U1580">
        <x:v>45</x:v>
      </x:c>
    </x:row>
    <x:row r="1581">
      <x:c r="A1581" t="s">
        <x:v>1940</x:v>
      </x:c>
      <x:c r="B1581" t="s">
        <x:v>584</x:v>
      </x:c>
      <x:c r="C1581" t="s">
        <x:v>329</x:v>
      </x:c>
      <x:c r="D1581">
        <x:v>8486140</x:v>
      </x:c>
      <x:c r="E1581">
        <x:v>62</x:v>
      </x:c>
      <x:c r="F1581">
        <x:v>34</x:v>
      </x:c>
      <x:c r="G1581">
        <x:v>89</x:v>
      </x:c>
      <x:c r="H1581">
        <x:v>36</x:v>
      </x:c>
      <x:c r="I1581">
        <x:v>81</x:v>
      </x:c>
      <x:c r="J1581">
        <x:v>68</x:v>
      </x:c>
      <x:c r="K1581">
        <x:v>71</x:v>
      </x:c>
      <x:c r="L1581">
        <x:v>37</x:v>
      </x:c>
      <x:c r="M1581">
        <x:v>62</x:v>
      </x:c>
      <x:c r="N1581">
        <x:v>38</x:v>
      </x:c>
      <x:c r="O1581">
        <x:v>39</x:v>
      </x:c>
      <x:c r="P1581">
        <x:v>59</x:v>
      </x:c>
      <x:c r="Q1581">
        <x:v>56</x:v>
      </x:c>
      <x:c r="R1581">
        <x:v>67</x:v>
      </x:c>
      <x:c r="S1581">
        <x:v>67</x:v>
      </x:c>
      <x:c r="T1581">
        <x:v>51</x:v>
      </x:c>
      <x:c r="U1581">
        <x:v>45</x:v>
      </x:c>
    </x:row>
    <x:row r="1582">
      <x:c r="A1582" t="s">
        <x:v>1941</x:v>
      </x:c>
      <x:c r="C1582" t="s">
        <x:v>326</x:v>
      </x:c>
      <x:c r="D1582">
        <x:v>8485487</x:v>
      </x:c>
      <x:c r="E1582">
        <x:v>77</x:v>
      </x:c>
      <x:c r="F1582">
        <x:v>41</x:v>
      </x:c>
      <x:c r="G1582">
        <x:v>82</x:v>
      </x:c>
      <x:c r="H1582">
        <x:v>31</x:v>
      </x:c>
      <x:c r="I1582">
        <x:v>81</x:v>
      </x:c>
      <x:c r="J1582">
        <x:v>74</x:v>
      </x:c>
      <x:c r="K1582">
        <x:v>77</x:v>
      </x:c>
      <x:c r="L1582">
        <x:v>31</x:v>
      </x:c>
      <x:c r="M1582">
        <x:v>30</x:v>
      </x:c>
      <x:c r="N1582">
        <x:v>40</x:v>
      </x:c>
      <x:c r="O1582">
        <x:v>39</x:v>
      </x:c>
      <x:c r="P1582">
        <x:v>63</x:v>
      </x:c>
      <x:c r="Q1582">
        <x:v>45</x:v>
      </x:c>
      <x:c r="R1582">
        <x:v>69</x:v>
      </x:c>
      <x:c r="S1582">
        <x:v>68</x:v>
      </x:c>
      <x:c r="T1582">
        <x:v>51</x:v>
      </x:c>
      <x:c r="U1582">
        <x:v>45</x:v>
      </x:c>
    </x:row>
    <x:row r="1583">
      <x:c r="A1583" t="s">
        <x:v>1942</x:v>
      </x:c>
      <x:c r="C1583" t="s">
        <x:v>333</x:v>
      </x:c>
      <x:c r="D1583">
        <x:v>8486139</x:v>
      </x:c>
      <x:c r="E1583">
        <x:v>62</x:v>
      </x:c>
      <x:c r="F1583">
        <x:v>42</x:v>
      </x:c>
      <x:c r="G1583">
        <x:v>77</x:v>
      </x:c>
      <x:c r="H1583">
        <x:v>36</x:v>
      </x:c>
      <x:c r="I1583">
        <x:v>87</x:v>
      </x:c>
      <x:c r="J1583">
        <x:v>70</x:v>
      </x:c>
      <x:c r="K1583">
        <x:v>73</x:v>
      </x:c>
      <x:c r="L1583">
        <x:v>37</x:v>
      </x:c>
      <x:c r="M1583">
        <x:v>69</x:v>
      </x:c>
      <x:c r="N1583">
        <x:v>38</x:v>
      </x:c>
      <x:c r="O1583">
        <x:v>39</x:v>
      </x:c>
      <x:c r="P1583">
        <x:v>61</x:v>
      </x:c>
      <x:c r="Q1583">
        <x:v>56</x:v>
      </x:c>
      <x:c r="R1583">
        <x:v>68</x:v>
      </x:c>
      <x:c r="S1583">
        <x:v>67</x:v>
      </x:c>
      <x:c r="T1583">
        <x:v>51</x:v>
      </x:c>
      <x:c r="U1583">
        <x:v>45</x:v>
      </x:c>
    </x:row>
    <x:row r="1584">
      <x:c r="A1584" t="s">
        <x:v>1943</x:v>
      </x:c>
      <x:c r="C1584" t="s">
        <x:v>329</x:v>
      </x:c>
      <x:c r="D1584">
        <x:v>8484124</x:v>
      </x:c>
      <x:c r="E1584">
        <x:v>60</x:v>
      </x:c>
      <x:c r="F1584">
        <x:v>35</x:v>
      </x:c>
      <x:c r="G1584">
        <x:v>82</x:v>
      </x:c>
      <x:c r="H1584">
        <x:v>36</x:v>
      </x:c>
      <x:c r="I1584">
        <x:v>78</x:v>
      </x:c>
      <x:c r="J1584">
        <x:v>78</x:v>
      </x:c>
      <x:c r="K1584">
        <x:v>78</x:v>
      </x:c>
      <x:c r="L1584">
        <x:v>36</x:v>
      </x:c>
      <x:c r="M1584">
        <x:v>58</x:v>
      </x:c>
      <x:c r="N1584">
        <x:v>39</x:v>
      </x:c>
      <x:c r="O1584">
        <x:v>40</x:v>
      </x:c>
      <x:c r="P1584">
        <x:v>59</x:v>
      </x:c>
      <x:c r="Q1584">
        <x:v>58</x:v>
      </x:c>
      <x:c r="R1584">
        <x:v>67</x:v>
      </x:c>
      <x:c r="S1584">
        <x:v>66</x:v>
      </x:c>
      <x:c r="T1584">
        <x:v>51</x:v>
      </x:c>
      <x:c r="U1584">
        <x:v>45</x:v>
      </x:c>
    </x:row>
    <x:row r="1585">
      <x:c r="A1585" t="s">
        <x:v>1944</x:v>
      </x:c>
      <x:c r="C1585" t="s">
        <x:v>319</x:v>
      </x:c>
      <x:c r="D1585">
        <x:v>8481057</x:v>
      </x:c>
      <x:c r="E1585">
        <x:v>63</x:v>
      </x:c>
      <x:c r="F1585">
        <x:v>32</x:v>
      </x:c>
      <x:c r="G1585">
        <x:v>84</x:v>
      </x:c>
      <x:c r="H1585">
        <x:v>36</x:v>
      </x:c>
      <x:c r="I1585">
        <x:v>78</x:v>
      </x:c>
      <x:c r="J1585">
        <x:v>73</x:v>
      </x:c>
      <x:c r="K1585">
        <x:v>75</x:v>
      </x:c>
      <x:c r="L1585">
        <x:v>36</x:v>
      </x:c>
      <x:c r="M1585">
        <x:v>70</x:v>
      </x:c>
      <x:c r="N1585">
        <x:v>38</x:v>
      </x:c>
      <x:c r="O1585">
        <x:v>40</x:v>
      </x:c>
      <x:c r="P1585">
        <x:v>58</x:v>
      </x:c>
      <x:c r="Q1585">
        <x:v>57</x:v>
      </x:c>
      <x:c r="R1585">
        <x:v>69</x:v>
      </x:c>
      <x:c r="S1585">
        <x:v>69</x:v>
      </x:c>
      <x:c r="T1585">
        <x:v>51</x:v>
      </x:c>
      <x:c r="U1585">
        <x:v>45</x:v>
      </x:c>
    </x:row>
    <x:row r="1586">
      <x:c r="A1586" t="s">
        <x:v>1945</x:v>
      </x:c>
      <x:c r="C1586" t="s">
        <x:v>339</x:v>
      </x:c>
      <x:c r="D1586">
        <x:v>8486174</x:v>
      </x:c>
      <x:c r="E1586">
        <x:v>61</x:v>
      </x:c>
      <x:c r="F1586">
        <x:v>34</x:v>
      </x:c>
      <x:c r="G1586">
        <x:v>91</x:v>
      </x:c>
      <x:c r="H1586">
        <x:v>36</x:v>
      </x:c>
      <x:c r="I1586">
        <x:v>80</x:v>
      </x:c>
      <x:c r="J1586">
        <x:v>68</x:v>
      </x:c>
      <x:c r="K1586">
        <x:v>71</x:v>
      </x:c>
      <x:c r="L1586">
        <x:v>36</x:v>
      </x:c>
      <x:c r="M1586">
        <x:v>67</x:v>
      </x:c>
      <x:c r="N1586">
        <x:v>38</x:v>
      </x:c>
      <x:c r="O1586">
        <x:v>39</x:v>
      </x:c>
      <x:c r="P1586">
        <x:v>58</x:v>
      </x:c>
      <x:c r="Q1586">
        <x:v>56</x:v>
      </x:c>
      <x:c r="R1586">
        <x:v>66</x:v>
      </x:c>
      <x:c r="S1586">
        <x:v>66</x:v>
      </x:c>
      <x:c r="T1586">
        <x:v>51</x:v>
      </x:c>
      <x:c r="U1586">
        <x:v>45</x:v>
      </x:c>
    </x:row>
    <x:row r="1587">
      <x:c r="A1587" t="s">
        <x:v>1946</x:v>
      </x:c>
      <x:c r="C1587" t="s">
        <x:v>323</x:v>
      </x:c>
      <x:c r="D1587">
        <x:v>8482218</x:v>
      </x:c>
      <x:c r="E1587">
        <x:v>64</x:v>
      </x:c>
      <x:c r="F1587">
        <x:v>33</x:v>
      </x:c>
      <x:c r="G1587">
        <x:v>77</x:v>
      </x:c>
      <x:c r="H1587">
        <x:v>36</x:v>
      </x:c>
      <x:c r="I1587">
        <x:v>81</x:v>
      </x:c>
      <x:c r="J1587">
        <x:v>68</x:v>
      </x:c>
      <x:c r="K1587">
        <x:v>71</x:v>
      </x:c>
      <x:c r="L1587">
        <x:v>37</x:v>
      </x:c>
      <x:c r="M1587">
        <x:v>65</x:v>
      </x:c>
      <x:c r="N1587">
        <x:v>38</x:v>
      </x:c>
      <x:c r="O1587">
        <x:v>39</x:v>
      </x:c>
      <x:c r="P1587">
        <x:v>59</x:v>
      </x:c>
      <x:c r="Q1587">
        <x:v>56</x:v>
      </x:c>
      <x:c r="R1587">
        <x:v>66</x:v>
      </x:c>
      <x:c r="S1587">
        <x:v>65</x:v>
      </x:c>
      <x:c r="T1587">
        <x:v>51</x:v>
      </x:c>
      <x:c r="U1587">
        <x:v>45</x:v>
      </x:c>
    </x:row>
    <x:row r="1588">
      <x:c r="A1588" t="s">
        <x:v>1947</x:v>
      </x:c>
      <x:c r="B1588" t="s">
        <x:v>584</x:v>
      </x:c>
      <x:c r="C1588" t="s">
        <x:v>339</x:v>
      </x:c>
      <x:c r="D1588">
        <x:v>8484276</x:v>
      </x:c>
      <x:c r="E1588">
        <x:v>57</x:v>
      </x:c>
      <x:c r="F1588">
        <x:v>35</x:v>
      </x:c>
      <x:c r="G1588">
        <x:v>90</x:v>
      </x:c>
      <x:c r="H1588">
        <x:v>36</x:v>
      </x:c>
      <x:c r="I1588">
        <x:v>82</x:v>
      </x:c>
      <x:c r="J1588">
        <x:v>72</x:v>
      </x:c>
      <x:c r="K1588">
        <x:v>74</x:v>
      </x:c>
      <x:c r="L1588">
        <x:v>36</x:v>
      </x:c>
      <x:c r="M1588">
        <x:v>71</x:v>
      </x:c>
      <x:c r="N1588">
        <x:v>39</x:v>
      </x:c>
      <x:c r="O1588">
        <x:v>39</x:v>
      </x:c>
      <x:c r="P1588">
        <x:v>57</x:v>
      </x:c>
      <x:c r="Q1588">
        <x:v>57</x:v>
      </x:c>
      <x:c r="R1588">
        <x:v>69</x:v>
      </x:c>
      <x:c r="S1588">
        <x:v>68</x:v>
      </x:c>
      <x:c r="T1588">
        <x:v>51</x:v>
      </x:c>
      <x:c r="U1588">
        <x:v>45</x:v>
      </x:c>
    </x:row>
    <x:row r="1589">
      <x:c r="A1589" t="s">
        <x:v>1948</x:v>
      </x:c>
      <x:c r="C1589" t="s">
        <x:v>358</x:v>
      </x:c>
      <x:c r="D1589">
        <x:v>8482868</x:v>
      </x:c>
      <x:c r="E1589">
        <x:v>63</x:v>
      </x:c>
      <x:c r="F1589">
        <x:v>37</x:v>
      </x:c>
      <x:c r="G1589">
        <x:v>94</x:v>
      </x:c>
      <x:c r="H1589">
        <x:v>36</x:v>
      </x:c>
      <x:c r="I1589">
        <x:v>79</x:v>
      </x:c>
      <x:c r="J1589">
        <x:v>79</x:v>
      </x:c>
      <x:c r="K1589">
        <x:v>83</x:v>
      </x:c>
      <x:c r="L1589">
        <x:v>36</x:v>
      </x:c>
      <x:c r="M1589">
        <x:v>60</x:v>
      </x:c>
      <x:c r="N1589">
        <x:v>39</x:v>
      </x:c>
      <x:c r="O1589">
        <x:v>40</x:v>
      </x:c>
      <x:c r="P1589">
        <x:v>61</x:v>
      </x:c>
      <x:c r="Q1589">
        <x:v>58</x:v>
      </x:c>
      <x:c r="R1589">
        <x:v>65</x:v>
      </x:c>
      <x:c r="S1589">
        <x:v>64</x:v>
      </x:c>
      <x:c r="T1589">
        <x:v>51</x:v>
      </x:c>
      <x:c r="U1589">
        <x:v>45</x:v>
      </x:c>
    </x:row>
    <x:row r="1590">
      <x:c r="A1590" t="s">
        <x:v>1949</x:v>
      </x:c>
      <x:c r="C1590" t="s">
        <x:v>329</x:v>
      </x:c>
      <x:c r="D1590">
        <x:v>8486144</x:v>
      </x:c>
      <x:c r="E1590">
        <x:v>64</x:v>
      </x:c>
      <x:c r="F1590">
        <x:v>34</x:v>
      </x:c>
      <x:c r="G1590">
        <x:v>82</x:v>
      </x:c>
      <x:c r="H1590">
        <x:v>36</x:v>
      </x:c>
      <x:c r="I1590">
        <x:v>80</x:v>
      </x:c>
      <x:c r="J1590">
        <x:v>70</x:v>
      </x:c>
      <x:c r="K1590">
        <x:v>73</x:v>
      </x:c>
      <x:c r="L1590">
        <x:v>37</x:v>
      </x:c>
      <x:c r="M1590">
        <x:v>64</x:v>
      </x:c>
      <x:c r="N1590">
        <x:v>38</x:v>
      </x:c>
      <x:c r="O1590">
        <x:v>39</x:v>
      </x:c>
      <x:c r="P1590">
        <x:v>62</x:v>
      </x:c>
      <x:c r="Q1590">
        <x:v>56</x:v>
      </x:c>
      <x:c r="R1590">
        <x:v>66</x:v>
      </x:c>
      <x:c r="S1590">
        <x:v>66</x:v>
      </x:c>
      <x:c r="T1590">
        <x:v>51</x:v>
      </x:c>
      <x:c r="U1590">
        <x:v>45</x:v>
      </x:c>
    </x:row>
    <x:row r="1591">
      <x:c r="A1591" t="s">
        <x:v>1950</x:v>
      </x:c>
      <x:c r="C1591" t="s">
        <x:v>323</x:v>
      </x:c>
      <x:c r="D1591">
        <x:v>8483825</x:v>
      </x:c>
      <x:c r="E1591">
        <x:v>60</x:v>
      </x:c>
      <x:c r="F1591">
        <x:v>33</x:v>
      </x:c>
      <x:c r="G1591">
        <x:v>87</x:v>
      </x:c>
      <x:c r="H1591">
        <x:v>36</x:v>
      </x:c>
      <x:c r="I1591">
        <x:v>79</x:v>
      </x:c>
      <x:c r="J1591">
        <x:v>71</x:v>
      </x:c>
      <x:c r="K1591">
        <x:v>74</x:v>
      </x:c>
      <x:c r="L1591">
        <x:v>37</x:v>
      </x:c>
      <x:c r="M1591">
        <x:v>67</x:v>
      </x:c>
      <x:c r="N1591">
        <x:v>39</x:v>
      </x:c>
      <x:c r="O1591">
        <x:v>39</x:v>
      </x:c>
      <x:c r="P1591">
        <x:v>58</x:v>
      </x:c>
      <x:c r="Q1591">
        <x:v>57</x:v>
      </x:c>
      <x:c r="R1591">
        <x:v>66</x:v>
      </x:c>
      <x:c r="S1591">
        <x:v>67</x:v>
      </x:c>
      <x:c r="T1591">
        <x:v>51</x:v>
      </x:c>
      <x:c r="U1591">
        <x:v>45</x:v>
      </x:c>
    </x:row>
    <x:row r="1592">
      <x:c r="A1592" t="s">
        <x:v>1951</x:v>
      </x:c>
      <x:c r="C1592" t="s">
        <x:v>358</x:v>
      </x:c>
      <x:c r="D1592">
        <x:v>8484299</x:v>
      </x:c>
      <x:c r="E1592">
        <x:v>64</x:v>
      </x:c>
      <x:c r="F1592">
        <x:v>37</x:v>
      </x:c>
      <x:c r="G1592">
        <x:v>80</x:v>
      </x:c>
      <x:c r="H1592">
        <x:v>30</x:v>
      </x:c>
      <x:c r="I1592">
        <x:v>79</x:v>
      </x:c>
      <x:c r="J1592">
        <x:v>72</x:v>
      </x:c>
      <x:c r="K1592">
        <x:v>75</x:v>
      </x:c>
      <x:c r="L1592">
        <x:v>31</x:v>
      </x:c>
      <x:c r="M1592">
        <x:v>30</x:v>
      </x:c>
      <x:c r="N1592">
        <x:v>40</x:v>
      </x:c>
      <x:c r="O1592">
        <x:v>38</x:v>
      </x:c>
      <x:c r="P1592">
        <x:v>57</x:v>
      </x:c>
      <x:c r="Q1592">
        <x:v>44</x:v>
      </x:c>
      <x:c r="R1592">
        <x:v>67</x:v>
      </x:c>
      <x:c r="S1592">
        <x:v>68</x:v>
      </x:c>
      <x:c r="T1592">
        <x:v>51</x:v>
      </x:c>
      <x:c r="U1592">
        <x:v>44</x:v>
      </x:c>
    </x:row>
    <x:row r="1593">
      <x:c r="A1593" t="s">
        <x:v>1952</x:v>
      </x:c>
      <x:c r="C1593" t="s">
        <x:v>358</x:v>
      </x:c>
      <x:c r="D1593">
        <x:v>8482951</x:v>
      </x:c>
      <x:c r="E1593">
        <x:v>40</x:v>
      </x:c>
      <x:c r="F1593">
        <x:v>41</x:v>
      </x:c>
      <x:c r="G1593">
        <x:v>84</x:v>
      </x:c>
      <x:c r="H1593">
        <x:v>39</x:v>
      </x:c>
      <x:c r="I1593">
        <x:v>80</x:v>
      </x:c>
      <x:c r="J1593">
        <x:v>81</x:v>
      </x:c>
      <x:c r="K1593">
        <x:v>83</x:v>
      </x:c>
      <x:c r="L1593">
        <x:v>39</x:v>
      </x:c>
      <x:c r="M1593">
        <x:v>25</x:v>
      </x:c>
      <x:c r="N1593">
        <x:v>40</x:v>
      </x:c>
      <x:c r="O1593">
        <x:v>40</x:v>
      </x:c>
      <x:c r="P1593">
        <x:v>40</x:v>
      </x:c>
      <x:c r="Q1593">
        <x:v>57</x:v>
      </x:c>
      <x:c r="R1593">
        <x:v>69</x:v>
      </x:c>
      <x:c r="S1593">
        <x:v>68</x:v>
      </x:c>
      <x:c r="T1593">
        <x:v>51</x:v>
      </x:c>
      <x:c r="U1593">
        <x:v>42</x:v>
      </x:c>
    </x:row>
    <x:row r="1594">
      <x:c r="A1594" t="s">
        <x:v>1953</x:v>
      </x:c>
      <x:c r="C1594" t="s">
        <x:v>331</x:v>
      </x:c>
      <x:c r="D1594">
        <x:v>8484525</x:v>
      </x:c>
      <x:c r="E1594">
        <x:v>40</x:v>
      </x:c>
      <x:c r="F1594">
        <x:v>41</x:v>
      </x:c>
      <x:c r="G1594">
        <x:v>84</x:v>
      </x:c>
      <x:c r="H1594">
        <x:v>39</x:v>
      </x:c>
      <x:c r="I1594">
        <x:v>80</x:v>
      </x:c>
      <x:c r="J1594">
        <x:v>81</x:v>
      </x:c>
      <x:c r="K1594">
        <x:v>83</x:v>
      </x:c>
      <x:c r="L1594">
        <x:v>39</x:v>
      </x:c>
      <x:c r="M1594">
        <x:v>25</x:v>
      </x:c>
      <x:c r="N1594">
        <x:v>40</x:v>
      </x:c>
      <x:c r="O1594">
        <x:v>40</x:v>
      </x:c>
      <x:c r="P1594">
        <x:v>40</x:v>
      </x:c>
      <x:c r="Q1594">
        <x:v>57</x:v>
      </x:c>
      <x:c r="R1594">
        <x:v>69</x:v>
      </x:c>
      <x:c r="S1594">
        <x:v>68</x:v>
      </x:c>
      <x:c r="T1594">
        <x:v>51</x:v>
      </x:c>
      <x:c r="U1594">
        <x:v>42</x:v>
      </x:c>
    </x:row>
    <x:row r="1595">
      <x:c r="A1595" t="s">
        <x:v>1954</x:v>
      </x:c>
      <x:c r="C1595" t="s">
        <x:v>358</x:v>
      </x:c>
      <x:c r="D1595">
        <x:v>8483104</x:v>
      </x:c>
      <x:c r="E1595">
        <x:v>40</x:v>
      </x:c>
      <x:c r="F1595">
        <x:v>41</x:v>
      </x:c>
      <x:c r="G1595">
        <x:v>84</x:v>
      </x:c>
      <x:c r="H1595">
        <x:v>39</x:v>
      </x:c>
      <x:c r="I1595">
        <x:v>80</x:v>
      </x:c>
      <x:c r="J1595">
        <x:v>81</x:v>
      </x:c>
      <x:c r="K1595">
        <x:v>83</x:v>
      </x:c>
      <x:c r="L1595">
        <x:v>39</x:v>
      </x:c>
      <x:c r="M1595">
        <x:v>25</x:v>
      </x:c>
      <x:c r="N1595">
        <x:v>40</x:v>
      </x:c>
      <x:c r="O1595">
        <x:v>40</x:v>
      </x:c>
      <x:c r="P1595">
        <x:v>40</x:v>
      </x:c>
      <x:c r="Q1595">
        <x:v>57</x:v>
      </x:c>
      <x:c r="R1595">
        <x:v>69</x:v>
      </x:c>
      <x:c r="S1595">
        <x:v>68</x:v>
      </x:c>
      <x:c r="T1595">
        <x:v>51</x:v>
      </x:c>
      <x:c r="U1595">
        <x:v>42</x:v>
      </x:c>
    </x:row>
    <x:row r="1596">
      <x:c r="A1596" t="s">
        <x:v>1955</x:v>
      </x:c>
      <x:c r="C1596" t="s">
        <x:v>319</x:v>
      </x:c>
      <x:c r="D1596">
        <x:v>8483833</x:v>
      </x:c>
      <x:c r="E1596">
        <x:v>40</x:v>
      </x:c>
      <x:c r="F1596">
        <x:v>41</x:v>
      </x:c>
      <x:c r="G1596">
        <x:v>84</x:v>
      </x:c>
      <x:c r="H1596">
        <x:v>39</x:v>
      </x:c>
      <x:c r="I1596">
        <x:v>80</x:v>
      </x:c>
      <x:c r="J1596">
        <x:v>81</x:v>
      </x:c>
      <x:c r="K1596">
        <x:v>83</x:v>
      </x:c>
      <x:c r="L1596">
        <x:v>39</x:v>
      </x:c>
      <x:c r="M1596">
        <x:v>51</x:v>
      </x:c>
      <x:c r="N1596">
        <x:v>40</x:v>
      </x:c>
      <x:c r="O1596">
        <x:v>40</x:v>
      </x:c>
      <x:c r="P1596">
        <x:v>40</x:v>
      </x:c>
      <x:c r="Q1596">
        <x:v>57</x:v>
      </x:c>
      <x:c r="R1596">
        <x:v>69</x:v>
      </x:c>
      <x:c r="S1596">
        <x:v>68</x:v>
      </x:c>
      <x:c r="T1596">
        <x:v>51</x:v>
      </x:c>
      <x:c r="U1596">
        <x:v>42</x:v>
      </x:c>
    </x:row>
    <x:row r="1597">
      <x:c r="A1597" t="s">
        <x:v>1956</x:v>
      </x:c>
      <x:c r="C1597" t="s">
        <x:v>331</x:v>
      </x:c>
      <x:c r="D1597">
        <x:v>8483750</x:v>
      </x:c>
      <x:c r="E1597">
        <x:v>40</x:v>
      </x:c>
      <x:c r="F1597">
        <x:v>41</x:v>
      </x:c>
      <x:c r="G1597">
        <x:v>84</x:v>
      </x:c>
      <x:c r="H1597">
        <x:v>39</x:v>
      </x:c>
      <x:c r="I1597">
        <x:v>80</x:v>
      </x:c>
      <x:c r="J1597">
        <x:v>81</x:v>
      </x:c>
      <x:c r="K1597">
        <x:v>83</x:v>
      </x:c>
      <x:c r="L1597">
        <x:v>39</x:v>
      </x:c>
      <x:c r="M1597">
        <x:v>25</x:v>
      </x:c>
      <x:c r="N1597">
        <x:v>40</x:v>
      </x:c>
      <x:c r="O1597">
        <x:v>40</x:v>
      </x:c>
      <x:c r="P1597">
        <x:v>40</x:v>
      </x:c>
      <x:c r="Q1597">
        <x:v>57</x:v>
      </x:c>
      <x:c r="R1597">
        <x:v>69</x:v>
      </x:c>
      <x:c r="S1597">
        <x:v>68</x:v>
      </x:c>
      <x:c r="T1597">
        <x:v>51</x:v>
      </x:c>
      <x:c r="U1597">
        <x:v>42</x:v>
      </x:c>
    </x:row>
    <x:row r="1598">
      <x:c r="A1598" t="s">
        <x:v>1957</x:v>
      </x:c>
      <x:c r="B1598" t="s">
        <x:v>584</x:v>
      </x:c>
      <x:c r="C1598" t="s">
        <x:v>331</x:v>
      </x:c>
      <x:c r="D1598">
        <x:v>8484540</x:v>
      </x:c>
      <x:c r="E1598">
        <x:v>40</x:v>
      </x:c>
      <x:c r="F1598">
        <x:v>41</x:v>
      </x:c>
      <x:c r="G1598">
        <x:v>84</x:v>
      </x:c>
      <x:c r="H1598">
        <x:v>39</x:v>
      </x:c>
      <x:c r="I1598">
        <x:v>80</x:v>
      </x:c>
      <x:c r="J1598">
        <x:v>81</x:v>
      </x:c>
      <x:c r="K1598">
        <x:v>83</x:v>
      </x:c>
      <x:c r="L1598">
        <x:v>39</x:v>
      </x:c>
      <x:c r="M1598">
        <x:v>25</x:v>
      </x:c>
      <x:c r="N1598">
        <x:v>40</x:v>
      </x:c>
      <x:c r="O1598">
        <x:v>40</x:v>
      </x:c>
      <x:c r="P1598">
        <x:v>40</x:v>
      </x:c>
      <x:c r="Q1598">
        <x:v>57</x:v>
      </x:c>
      <x:c r="R1598">
        <x:v>69</x:v>
      </x:c>
      <x:c r="S1598">
        <x:v>68</x:v>
      </x:c>
      <x:c r="T1598">
        <x:v>51</x:v>
      </x:c>
      <x:c r="U1598">
        <x:v>42</x:v>
      </x:c>
    </x:row>
    <x:row r="1599">
      <x:c r="A1599" t="s">
        <x:v>1958</x:v>
      </x:c>
      <x:c r="B1599" t="s">
        <x:v>584</x:v>
      </x:c>
      <x:c r="C1599" t="s">
        <x:v>326</x:v>
      </x:c>
      <x:c r="D1599">
        <x:v>8485115</x:v>
      </x:c>
      <x:c r="E1599">
        <x:v>40</x:v>
      </x:c>
      <x:c r="F1599">
        <x:v>41</x:v>
      </x:c>
      <x:c r="G1599">
        <x:v>84</x:v>
      </x:c>
      <x:c r="H1599">
        <x:v>39</x:v>
      </x:c>
      <x:c r="I1599">
        <x:v>80</x:v>
      </x:c>
      <x:c r="J1599">
        <x:v>81</x:v>
      </x:c>
      <x:c r="K1599">
        <x:v>83</x:v>
      </x:c>
      <x:c r="L1599">
        <x:v>39</x:v>
      </x:c>
      <x:c r="M1599">
        <x:v>25</x:v>
      </x:c>
      <x:c r="N1599">
        <x:v>40</x:v>
      </x:c>
      <x:c r="O1599">
        <x:v>40</x:v>
      </x:c>
      <x:c r="P1599">
        <x:v>40</x:v>
      </x:c>
      <x:c r="Q1599">
        <x:v>57</x:v>
      </x:c>
      <x:c r="R1599">
        <x:v>69</x:v>
      </x:c>
      <x:c r="S1599">
        <x:v>68</x:v>
      </x:c>
      <x:c r="T1599">
        <x:v>51</x:v>
      </x:c>
      <x:c r="U1599">
        <x:v>42</x:v>
      </x:c>
    </x:row>
    <x:row r="1600">
      <x:c r="A1600" t="s">
        <x:v>1959</x:v>
      </x:c>
      <x:c r="C1600" t="s">
        <x:v>319</x:v>
      </x:c>
      <x:c r="D1600">
        <x:v>8483052</x:v>
      </x:c>
      <x:c r="E1600">
        <x:v>40</x:v>
      </x:c>
      <x:c r="F1600">
        <x:v>41</x:v>
      </x:c>
      <x:c r="G1600">
        <x:v>84</x:v>
      </x:c>
      <x:c r="H1600">
        <x:v>39</x:v>
      </x:c>
      <x:c r="I1600">
        <x:v>80</x:v>
      </x:c>
      <x:c r="J1600">
        <x:v>81</x:v>
      </x:c>
      <x:c r="K1600">
        <x:v>83</x:v>
      </x:c>
      <x:c r="L1600">
        <x:v>39</x:v>
      </x:c>
      <x:c r="M1600">
        <x:v>51</x:v>
      </x:c>
      <x:c r="N1600">
        <x:v>40</x:v>
      </x:c>
      <x:c r="O1600">
        <x:v>40</x:v>
      </x:c>
      <x:c r="P1600">
        <x:v>40</x:v>
      </x:c>
      <x:c r="Q1600">
        <x:v>57</x:v>
      </x:c>
      <x:c r="R1600">
        <x:v>69</x:v>
      </x:c>
      <x:c r="S1600">
        <x:v>68</x:v>
      </x:c>
      <x:c r="T1600">
        <x:v>51</x:v>
      </x:c>
      <x:c r="U1600">
        <x:v>42</x:v>
      </x:c>
    </x:row>
    <x:row r="1601">
      <x:c r="A1601" t="s">
        <x:v>1960</x:v>
      </x:c>
      <x:c r="B1601" t="s">
        <x:v>584</x:v>
      </x:c>
      <x:c r="C1601" t="s">
        <x:v>326</x:v>
      </x:c>
      <x:c r="D1601">
        <x:v>8481662</x:v>
      </x:c>
      <x:c r="E1601">
        <x:v>40</x:v>
      </x:c>
      <x:c r="F1601">
        <x:v>41</x:v>
      </x:c>
      <x:c r="G1601">
        <x:v>84</x:v>
      </x:c>
      <x:c r="H1601">
        <x:v>39</x:v>
      </x:c>
      <x:c r="I1601">
        <x:v>80</x:v>
      </x:c>
      <x:c r="J1601">
        <x:v>81</x:v>
      </x:c>
      <x:c r="K1601">
        <x:v>83</x:v>
      </x:c>
      <x:c r="L1601">
        <x:v>39</x:v>
      </x:c>
      <x:c r="M1601">
        <x:v>25</x:v>
      </x:c>
      <x:c r="N1601">
        <x:v>40</x:v>
      </x:c>
      <x:c r="O1601">
        <x:v>40</x:v>
      </x:c>
      <x:c r="P1601">
        <x:v>40</x:v>
      </x:c>
      <x:c r="Q1601">
        <x:v>57</x:v>
      </x:c>
      <x:c r="R1601">
        <x:v>69</x:v>
      </x:c>
      <x:c r="S1601">
        <x:v>68</x:v>
      </x:c>
      <x:c r="T1601">
        <x:v>51</x:v>
      </x:c>
      <x:c r="U1601">
        <x:v>42</x:v>
      </x:c>
    </x:row>
    <x:row r="1602">
      <x:c r="A1602" t="s">
        <x:v>1961</x:v>
      </x:c>
      <x:c r="B1602" t="s">
        <x:v>584</x:v>
      </x:c>
      <x:c r="C1602" t="s">
        <x:v>319</x:v>
      </x:c>
      <x:c r="D1602">
        <x:v>8482741</x:v>
      </x:c>
      <x:c r="E1602">
        <x:v>39</x:v>
      </x:c>
      <x:c r="F1602">
        <x:v>41</x:v>
      </x:c>
      <x:c r="G1602">
        <x:v>51</x:v>
      </x:c>
      <x:c r="H1602">
        <x:v>42</x:v>
      </x:c>
      <x:c r="I1602">
        <x:v>41</x:v>
      </x:c>
      <x:c r="J1602">
        <x:v>56</x:v>
      </x:c>
      <x:c r="K1602">
        <x:v>57</x:v>
      </x:c>
      <x:c r="L1602">
        <x:v>57</x:v>
      </x:c>
      <x:c r="M1602">
        <x:v>57</x:v>
      </x:c>
      <x:c r="N1602">
        <x:v>43</x:v>
      </x:c>
      <x:c r="O1602">
        <x:v>44</x:v>
      </x:c>
      <x:c r="P1602">
        <x:v>38</x:v>
      </x:c>
      <x:c r="Q1602">
        <x:v>57</x:v>
      </x:c>
      <x:c r="R1602">
        <x:v>55</x:v>
      </x:c>
      <x:c r="S1602">
        <x:v>53</x:v>
      </x:c>
      <x:c r="T1602">
        <x:v>51</x:v>
      </x:c>
      <x:c r="U1602">
        <x:v>42</x:v>
      </x:c>
    </x:row>
    <x:row r="1603">
      <x:c r="A1603" t="s">
        <x:v>1962</x:v>
      </x:c>
      <x:c r="C1603" t="s">
        <x:v>326</x:v>
      </x:c>
      <x:c r="D1603">
        <x:v>8482928</x:v>
      </x:c>
      <x:c r="E1603">
        <x:v>40</x:v>
      </x:c>
      <x:c r="F1603">
        <x:v>41</x:v>
      </x:c>
      <x:c r="G1603">
        <x:v>84</x:v>
      </x:c>
      <x:c r="H1603">
        <x:v>39</x:v>
      </x:c>
      <x:c r="I1603">
        <x:v>80</x:v>
      </x:c>
      <x:c r="J1603">
        <x:v>81</x:v>
      </x:c>
      <x:c r="K1603">
        <x:v>83</x:v>
      </x:c>
      <x:c r="L1603">
        <x:v>39</x:v>
      </x:c>
      <x:c r="M1603">
        <x:v>25</x:v>
      </x:c>
      <x:c r="N1603">
        <x:v>40</x:v>
      </x:c>
      <x:c r="O1603">
        <x:v>40</x:v>
      </x:c>
      <x:c r="P1603">
        <x:v>40</x:v>
      </x:c>
      <x:c r="Q1603">
        <x:v>57</x:v>
      </x:c>
      <x:c r="R1603">
        <x:v>69</x:v>
      </x:c>
      <x:c r="S1603">
        <x:v>68</x:v>
      </x:c>
      <x:c r="T1603">
        <x:v>51</x:v>
      </x:c>
      <x:c r="U1603">
        <x:v>42</x:v>
      </x:c>
    </x:row>
    <x:row r="1604">
      <x:c r="A1604" t="s">
        <x:v>1963</x:v>
      </x:c>
      <x:c r="B1604" t="s">
        <x:v>584</x:v>
      </x:c>
      <x:c r="C1604" t="s">
        <x:v>331</x:v>
      </x:c>
      <x:c r="D1604">
        <x:v>8482934</x:v>
      </x:c>
      <x:c r="E1604">
        <x:v>44</x:v>
      </x:c>
      <x:c r="F1604">
        <x:v>41</x:v>
      </x:c>
      <x:c r="G1604">
        <x:v>59</x:v>
      </x:c>
      <x:c r="H1604">
        <x:v>42</x:v>
      </x:c>
      <x:c r="I1604">
        <x:v>41</x:v>
      </x:c>
      <x:c r="J1604">
        <x:v>56</x:v>
      </x:c>
      <x:c r="K1604">
        <x:v>57</x:v>
      </x:c>
      <x:c r="L1604">
        <x:v>51</x:v>
      </x:c>
      <x:c r="M1604">
        <x:v>45</x:v>
      </x:c>
      <x:c r="N1604">
        <x:v>40</x:v>
      </x:c>
      <x:c r="O1604">
        <x:v>36</x:v>
      </x:c>
      <x:c r="P1604">
        <x:v>44</x:v>
      </x:c>
      <x:c r="Q1604">
        <x:v>51</x:v>
      </x:c>
      <x:c r="R1604">
        <x:v>55</x:v>
      </x:c>
      <x:c r="S1604">
        <x:v>53</x:v>
      </x:c>
      <x:c r="T1604">
        <x:v>51</x:v>
      </x:c>
      <x:c r="U1604">
        <x:v>42</x:v>
      </x:c>
    </x:row>
    <x:row r="1605">
      <x:c r="A1605" t="s">
        <x:v>1964</x:v>
      </x:c>
      <x:c r="B1605" t="s">
        <x:v>584</x:v>
      </x:c>
      <x:c r="C1605" t="s">
        <x:v>326</x:v>
      </x:c>
      <x:c r="D1605">
        <x:v>8484110</x:v>
      </x:c>
      <x:c r="E1605">
        <x:v>39</x:v>
      </x:c>
      <x:c r="F1605">
        <x:v>41</x:v>
      </x:c>
      <x:c r="G1605">
        <x:v>51</x:v>
      </x:c>
      <x:c r="H1605">
        <x:v>42</x:v>
      </x:c>
      <x:c r="I1605">
        <x:v>41</x:v>
      </x:c>
      <x:c r="J1605">
        <x:v>56</x:v>
      </x:c>
      <x:c r="K1605">
        <x:v>57</x:v>
      </x:c>
      <x:c r="L1605">
        <x:v>57</x:v>
      </x:c>
      <x:c r="M1605">
        <x:v>45</x:v>
      </x:c>
      <x:c r="N1605">
        <x:v>43</x:v>
      </x:c>
      <x:c r="O1605">
        <x:v>44</x:v>
      </x:c>
      <x:c r="P1605">
        <x:v>38</x:v>
      </x:c>
      <x:c r="Q1605">
        <x:v>57</x:v>
      </x:c>
      <x:c r="R1605">
        <x:v>55</x:v>
      </x:c>
      <x:c r="S1605">
        <x:v>53</x:v>
      </x:c>
      <x:c r="T1605">
        <x:v>51</x:v>
      </x:c>
      <x:c r="U1605">
        <x:v>42</x:v>
      </x:c>
    </x:row>
    <x:row r="1606">
      <x:c r="A1606" t="s">
        <x:v>1965</x:v>
      </x:c>
      <x:c r="B1606" t="s">
        <x:v>584</x:v>
      </x:c>
      <x:c r="C1606" t="s">
        <x:v>319</x:v>
      </x:c>
      <x:c r="D1606">
        <x:v>8479366</x:v>
      </x:c>
      <x:c r="E1606">
        <x:v>39</x:v>
      </x:c>
      <x:c r="F1606">
        <x:v>41</x:v>
      </x:c>
      <x:c r="G1606">
        <x:v>51</x:v>
      </x:c>
      <x:c r="H1606">
        <x:v>42</x:v>
      </x:c>
      <x:c r="I1606">
        <x:v>41</x:v>
      </x:c>
      <x:c r="J1606">
        <x:v>56</x:v>
      </x:c>
      <x:c r="K1606">
        <x:v>57</x:v>
      </x:c>
      <x:c r="L1606">
        <x:v>57</x:v>
      </x:c>
      <x:c r="M1606">
        <x:v>57</x:v>
      </x:c>
      <x:c r="N1606">
        <x:v>43</x:v>
      </x:c>
      <x:c r="O1606">
        <x:v>44</x:v>
      </x:c>
      <x:c r="P1606">
        <x:v>38</x:v>
      </x:c>
      <x:c r="Q1606">
        <x:v>57</x:v>
      </x:c>
      <x:c r="R1606">
        <x:v>55</x:v>
      </x:c>
      <x:c r="S1606">
        <x:v>53</x:v>
      </x:c>
      <x:c r="T1606">
        <x:v>51</x:v>
      </x:c>
      <x:c r="U1606">
        <x:v>42</x:v>
      </x:c>
    </x:row>
    <x:row r="1607">
      <x:c r="A1607" t="s">
        <x:v>1966</x:v>
      </x:c>
      <x:c r="B1607" t="s">
        <x:v>584</x:v>
      </x:c>
      <x:c r="C1607" t="s">
        <x:v>326</x:v>
      </x:c>
      <x:c r="D1607">
        <x:v>8480776</x:v>
      </x:c>
      <x:c r="E1607">
        <x:v>39</x:v>
      </x:c>
      <x:c r="F1607">
        <x:v>41</x:v>
      </x:c>
      <x:c r="G1607">
        <x:v>51</x:v>
      </x:c>
      <x:c r="H1607">
        <x:v>42</x:v>
      </x:c>
      <x:c r="I1607">
        <x:v>41</x:v>
      </x:c>
      <x:c r="J1607">
        <x:v>56</x:v>
      </x:c>
      <x:c r="K1607">
        <x:v>57</x:v>
      </x:c>
      <x:c r="L1607">
        <x:v>57</x:v>
      </x:c>
      <x:c r="M1607">
        <x:v>45</x:v>
      </x:c>
      <x:c r="N1607">
        <x:v>43</x:v>
      </x:c>
      <x:c r="O1607">
        <x:v>44</x:v>
      </x:c>
      <x:c r="P1607">
        <x:v>38</x:v>
      </x:c>
      <x:c r="Q1607">
        <x:v>57</x:v>
      </x:c>
      <x:c r="R1607">
        <x:v>55</x:v>
      </x:c>
      <x:c r="S1607">
        <x:v>53</x:v>
      </x:c>
      <x:c r="T1607">
        <x:v>51</x:v>
      </x:c>
      <x:c r="U1607">
        <x:v>42</x:v>
      </x:c>
    </x:row>
    <x:row r="1608">
      <x:c r="A1608" t="s">
        <x:v>1967</x:v>
      </x:c>
      <x:c r="B1608" t="s">
        <x:v>584</x:v>
      </x:c>
      <x:c r="C1608" t="s">
        <x:v>319</x:v>
      </x:c>
      <x:c r="D1608">
        <x:v>8479545</x:v>
      </x:c>
      <x:c r="E1608">
        <x:v>39</x:v>
      </x:c>
      <x:c r="F1608">
        <x:v>41</x:v>
      </x:c>
      <x:c r="G1608">
        <x:v>51</x:v>
      </x:c>
      <x:c r="H1608">
        <x:v>42</x:v>
      </x:c>
      <x:c r="I1608">
        <x:v>41</x:v>
      </x:c>
      <x:c r="J1608">
        <x:v>56</x:v>
      </x:c>
      <x:c r="K1608">
        <x:v>57</x:v>
      </x:c>
      <x:c r="L1608">
        <x:v>57</x:v>
      </x:c>
      <x:c r="M1608">
        <x:v>57</x:v>
      </x:c>
      <x:c r="N1608">
        <x:v>43</x:v>
      </x:c>
      <x:c r="O1608">
        <x:v>44</x:v>
      </x:c>
      <x:c r="P1608">
        <x:v>38</x:v>
      </x:c>
      <x:c r="Q1608">
        <x:v>57</x:v>
      </x:c>
      <x:c r="R1608">
        <x:v>55</x:v>
      </x:c>
      <x:c r="S1608">
        <x:v>53</x:v>
      </x:c>
      <x:c r="T1608">
        <x:v>51</x:v>
      </x:c>
      <x:c r="U1608">
        <x:v>42</x:v>
      </x:c>
    </x:row>
    <x:row r="1609">
      <x:c r="A1609" t="s">
        <x:v>1968</x:v>
      </x:c>
      <x:c r="C1609" t="s">
        <x:v>331</x:v>
      </x:c>
      <x:c r="D1609">
        <x:v>8482734</x:v>
      </x:c>
      <x:c r="E1609">
        <x:v>44</x:v>
      </x:c>
      <x:c r="F1609">
        <x:v>41</x:v>
      </x:c>
      <x:c r="G1609">
        <x:v>59</x:v>
      </x:c>
      <x:c r="H1609">
        <x:v>42</x:v>
      </x:c>
      <x:c r="I1609">
        <x:v>41</x:v>
      </x:c>
      <x:c r="J1609">
        <x:v>56</x:v>
      </x:c>
      <x:c r="K1609">
        <x:v>57</x:v>
      </x:c>
      <x:c r="L1609">
        <x:v>51</x:v>
      </x:c>
      <x:c r="M1609">
        <x:v>45</x:v>
      </x:c>
      <x:c r="N1609">
        <x:v>40</x:v>
      </x:c>
      <x:c r="O1609">
        <x:v>36</x:v>
      </x:c>
      <x:c r="P1609">
        <x:v>44</x:v>
      </x:c>
      <x:c r="Q1609">
        <x:v>51</x:v>
      </x:c>
      <x:c r="R1609">
        <x:v>55</x:v>
      </x:c>
      <x:c r="S1609">
        <x:v>53</x:v>
      </x:c>
      <x:c r="T1609">
        <x:v>51</x:v>
      </x:c>
      <x:c r="U1609">
        <x:v>42</x:v>
      </x:c>
    </x:row>
    <x:row r="1610">
      <x:c r="A1610" t="s">
        <x:v>1969</x:v>
      </x:c>
      <x:c r="C1610" t="s">
        <x:v>358</x:v>
      </x:c>
      <x:c r="D1610">
        <x:v>8483878</x:v>
      </x:c>
      <x:c r="E1610">
        <x:v>40</x:v>
      </x:c>
      <x:c r="F1610">
        <x:v>41</x:v>
      </x:c>
      <x:c r="G1610">
        <x:v>84</x:v>
      </x:c>
      <x:c r="H1610">
        <x:v>39</x:v>
      </x:c>
      <x:c r="I1610">
        <x:v>80</x:v>
      </x:c>
      <x:c r="J1610">
        <x:v>81</x:v>
      </x:c>
      <x:c r="K1610">
        <x:v>83</x:v>
      </x:c>
      <x:c r="L1610">
        <x:v>39</x:v>
      </x:c>
      <x:c r="M1610">
        <x:v>25</x:v>
      </x:c>
      <x:c r="N1610">
        <x:v>40</x:v>
      </x:c>
      <x:c r="O1610">
        <x:v>40</x:v>
      </x:c>
      <x:c r="P1610">
        <x:v>40</x:v>
      </x:c>
      <x:c r="Q1610">
        <x:v>57</x:v>
      </x:c>
      <x:c r="R1610">
        <x:v>69</x:v>
      </x:c>
      <x:c r="S1610">
        <x:v>68</x:v>
      </x:c>
      <x:c r="T1610">
        <x:v>51</x:v>
      </x:c>
      <x:c r="U1610">
        <x:v>42</x:v>
      </x:c>
    </x:row>
    <x:row r="1611">
      <x:c r="A1611" t="s">
        <x:v>1970</x:v>
      </x:c>
      <x:c r="B1611" t="s">
        <x:v>584</x:v>
      </x:c>
      <x:c r="C1611" t="s">
        <x:v>331</x:v>
      </x:c>
      <x:c r="D1611">
        <x:v>8482707</x:v>
      </x:c>
      <x:c r="E1611">
        <x:v>44</x:v>
      </x:c>
      <x:c r="F1611">
        <x:v>41</x:v>
      </x:c>
      <x:c r="G1611">
        <x:v>59</x:v>
      </x:c>
      <x:c r="H1611">
        <x:v>42</x:v>
      </x:c>
      <x:c r="I1611">
        <x:v>41</x:v>
      </x:c>
      <x:c r="J1611">
        <x:v>56</x:v>
      </x:c>
      <x:c r="K1611">
        <x:v>57</x:v>
      </x:c>
      <x:c r="L1611">
        <x:v>51</x:v>
      </x:c>
      <x:c r="M1611">
        <x:v>45</x:v>
      </x:c>
      <x:c r="N1611">
        <x:v>40</x:v>
      </x:c>
      <x:c r="O1611">
        <x:v>36</x:v>
      </x:c>
      <x:c r="P1611">
        <x:v>44</x:v>
      </x:c>
      <x:c r="Q1611">
        <x:v>51</x:v>
      </x:c>
      <x:c r="R1611">
        <x:v>55</x:v>
      </x:c>
      <x:c r="S1611">
        <x:v>53</x:v>
      </x:c>
      <x:c r="T1611">
        <x:v>51</x:v>
      </x:c>
      <x:c r="U1611">
        <x:v>42</x:v>
      </x:c>
    </x:row>
    <x:row r="1612">
      <x:c r="A1612" t="s">
        <x:v>1971</x:v>
      </x:c>
      <x:c r="B1612" t="s">
        <x:v>584</x:v>
      </x:c>
      <x:c r="C1612" t="s">
        <x:v>358</x:v>
      </x:c>
      <x:c r="D1612">
        <x:v>8480836</x:v>
      </x:c>
      <x:c r="E1612">
        <x:v>52</x:v>
      </x:c>
      <x:c r="F1612">
        <x:v>41</x:v>
      </x:c>
      <x:c r="G1612">
        <x:v>51</x:v>
      </x:c>
      <x:c r="H1612">
        <x:v>42</x:v>
      </x:c>
      <x:c r="I1612">
        <x:v>41</x:v>
      </x:c>
      <x:c r="J1612">
        <x:v>56</x:v>
      </x:c>
      <x:c r="K1612">
        <x:v>57</x:v>
      </x:c>
      <x:c r="L1612">
        <x:v>57</x:v>
      </x:c>
      <x:c r="M1612">
        <x:v>45</x:v>
      </x:c>
      <x:c r="N1612">
        <x:v>45</x:v>
      </x:c>
      <x:c r="O1612">
        <x:v>47</x:v>
      </x:c>
      <x:c r="P1612">
        <x:v>45</x:v>
      </x:c>
      <x:c r="Q1612">
        <x:v>57</x:v>
      </x:c>
      <x:c r="R1612">
        <x:v>55</x:v>
      </x:c>
      <x:c r="S1612">
        <x:v>53</x:v>
      </x:c>
      <x:c r="T1612">
        <x:v>51</x:v>
      </x:c>
      <x:c r="U1612">
        <x:v>42</x:v>
      </x:c>
    </x:row>
    <x:row r="1613">
      <x:c r="A1613" t="s">
        <x:v>1972</x:v>
      </x:c>
      <x:c r="B1613" t="s">
        <x:v>584</x:v>
      </x:c>
      <x:c r="C1613" t="s">
        <x:v>326</x:v>
      </x:c>
      <x:c r="D1613">
        <x:v>8480833</x:v>
      </x:c>
      <x:c r="E1613">
        <x:v>39</x:v>
      </x:c>
      <x:c r="F1613">
        <x:v>41</x:v>
      </x:c>
      <x:c r="G1613">
        <x:v>51</x:v>
      </x:c>
      <x:c r="H1613">
        <x:v>42</x:v>
      </x:c>
      <x:c r="I1613">
        <x:v>41</x:v>
      </x:c>
      <x:c r="J1613">
        <x:v>56</x:v>
      </x:c>
      <x:c r="K1613">
        <x:v>57</x:v>
      </x:c>
      <x:c r="L1613">
        <x:v>57</x:v>
      </x:c>
      <x:c r="M1613">
        <x:v>45</x:v>
      </x:c>
      <x:c r="N1613">
        <x:v>43</x:v>
      </x:c>
      <x:c r="O1613">
        <x:v>44</x:v>
      </x:c>
      <x:c r="P1613">
        <x:v>38</x:v>
      </x:c>
      <x:c r="Q1613">
        <x:v>57</x:v>
      </x:c>
      <x:c r="R1613">
        <x:v>55</x:v>
      </x:c>
      <x:c r="S1613">
        <x:v>53</x:v>
      </x:c>
      <x:c r="T1613">
        <x:v>51</x:v>
      </x:c>
      <x:c r="U1613">
        <x:v>42</x:v>
      </x:c>
    </x:row>
    <x:row r="1614">
      <x:c r="A1614" t="s">
        <x:v>1973</x:v>
      </x:c>
      <x:c r="B1614" t="s">
        <x:v>584</x:v>
      </x:c>
      <x:c r="C1614" t="s">
        <x:v>331</x:v>
      </x:c>
      <x:c r="D1614">
        <x:v>8482927</x:v>
      </x:c>
      <x:c r="E1614">
        <x:v>44</x:v>
      </x:c>
      <x:c r="F1614">
        <x:v>41</x:v>
      </x:c>
      <x:c r="G1614">
        <x:v>59</x:v>
      </x:c>
      <x:c r="H1614">
        <x:v>42</x:v>
      </x:c>
      <x:c r="I1614">
        <x:v>41</x:v>
      </x:c>
      <x:c r="J1614">
        <x:v>56</x:v>
      </x:c>
      <x:c r="K1614">
        <x:v>57</x:v>
      </x:c>
      <x:c r="L1614">
        <x:v>51</x:v>
      </x:c>
      <x:c r="M1614">
        <x:v>45</x:v>
      </x:c>
      <x:c r="N1614">
        <x:v>40</x:v>
      </x:c>
      <x:c r="O1614">
        <x:v>36</x:v>
      </x:c>
      <x:c r="P1614">
        <x:v>44</x:v>
      </x:c>
      <x:c r="Q1614">
        <x:v>51</x:v>
      </x:c>
      <x:c r="R1614">
        <x:v>55</x:v>
      </x:c>
      <x:c r="S1614">
        <x:v>53</x:v>
      </x:c>
      <x:c r="T1614">
        <x:v>51</x:v>
      </x:c>
      <x:c r="U1614">
        <x:v>42</x:v>
      </x:c>
    </x:row>
    <x:row r="1615">
      <x:c r="A1615" t="s">
        <x:v>1974</x:v>
      </x:c>
      <x:c r="B1615" t="s">
        <x:v>584</x:v>
      </x:c>
      <x:c r="C1615" t="s">
        <x:v>319</x:v>
      </x:c>
      <x:c r="D1615">
        <x:v>8482891</x:v>
      </x:c>
      <x:c r="E1615">
        <x:v>39</x:v>
      </x:c>
      <x:c r="F1615">
        <x:v>41</x:v>
      </x:c>
      <x:c r="G1615">
        <x:v>51</x:v>
      </x:c>
      <x:c r="H1615">
        <x:v>42</x:v>
      </x:c>
      <x:c r="I1615">
        <x:v>41</x:v>
      </x:c>
      <x:c r="J1615">
        <x:v>56</x:v>
      </x:c>
      <x:c r="K1615">
        <x:v>57</x:v>
      </x:c>
      <x:c r="L1615">
        <x:v>57</x:v>
      </x:c>
      <x:c r="M1615">
        <x:v>57</x:v>
      </x:c>
      <x:c r="N1615">
        <x:v>43</x:v>
      </x:c>
      <x:c r="O1615">
        <x:v>44</x:v>
      </x:c>
      <x:c r="P1615">
        <x:v>38</x:v>
      </x:c>
      <x:c r="Q1615">
        <x:v>57</x:v>
      </x:c>
      <x:c r="R1615">
        <x:v>55</x:v>
      </x:c>
      <x:c r="S1615">
        <x:v>53</x:v>
      </x:c>
      <x:c r="T1615">
        <x:v>51</x:v>
      </x:c>
      <x:c r="U1615">
        <x:v>42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ColWidth="8.83203125" defaultRowHeight="14"/>
  <x:cols>
    <x:col min="1" max="1" width="26" customWidth="1"/>
    <x:col min="2" max="3" width="12" customWidth="1"/>
    <x:col min="4" max="4" width="12" hidden="1" customWidth="1"/>
    <x:col min="5" max="5" width="19.5" hidden="1" customWidth="1"/>
    <x:col min="6" max="7" width="18" hidden="1" customWidth="1"/>
    <x:col min="8" max="8" width="15.1640625" hidden="1" customWidth="1"/>
    <x:col min="9" max="9" width="13.5" hidden="1" customWidth="1"/>
    <x:col min="10" max="10" width="18" customWidth="1"/>
    <x:col min="11" max="27" width="8" customWidth="1"/>
  </x:cols>
  <x:sheetData>
    <x:row r="1" ht="19">
      <x:c r="A1" s="5" t="s">
        <x:v>1984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</x:row>
    <x:row r="2" ht="15">
      <x:c r="A2" s="6" t="s">
        <x:v>1985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</x:row>
    <x:row r="4" ht="16">
      <x:c r="A4" s="1" t="s">
        <x:v>315</x:v>
      </x:c>
      <x:c r="B4" s="1" t="s">
        <x:v>317</x:v>
      </x:c>
      <x:c r="C4" s="1" t="s">
        <x:v>316</x:v>
      </x:c>
      <x:c r="D4" s="1" t="s">
        <x:v>1975</x:v>
      </x:c>
      <x:c r="E4" s="1" t="s">
        <x:v>1986</x:v>
      </x:c>
      <x:c r="F4" s="1" t="s">
        <x:v>1987</x:v>
      </x:c>
      <x:c r="G4" s="1" t="s">
        <x:v>1988</x:v>
      </x:c>
      <x:c r="H4" s="1" t="s">
        <x:v>1989</x:v>
      </x:c>
      <x:c r="I4" s="1" t="s">
        <x:v>1990</x:v>
      </x:c>
      <x:c r="J4" s="1" t="s">
        <x:v>1991</x:v>
      </x:c>
      <x:c r="K4" s="1" t="s">
        <x:v>246</x:v>
      </x:c>
      <x:c r="L4" s="1" t="s">
        <x:v>1976</x:v>
      </x:c>
      <x:c r="M4" s="1" t="s">
        <x:v>250</x:v>
      </x:c>
      <x:c r="N4" s="1" t="s">
        <x:v>164</x:v>
      </x:c>
      <x:c r="O4" s="1" t="s">
        <x:v>257</x:v>
      </x:c>
      <x:c r="P4" s="1" t="s">
        <x:v>1977</x:v>
      </x:c>
      <x:c r="Q4" s="1" t="s">
        <x:v>1978</x:v>
      </x:c>
      <x:c r="R4" s="1" t="s">
        <x:v>1979</x:v>
      </x:c>
      <x:c r="S4" s="1" t="s">
        <x:v>1980</x:v>
      </x:c>
      <x:c r="T4" s="1" t="s">
        <x:v>223</x:v>
      </x:c>
      <x:c r="U4" s="1" t="s">
        <x:v>230</x:v>
      </x:c>
      <x:c r="V4" s="1" t="s">
        <x:v>235</x:v>
      </x:c>
      <x:c r="W4" s="1" t="s">
        <x:v>1981</x:v>
      </x:c>
      <x:c r="X4" s="1" t="s">
        <x:v>263</x:v>
      </x:c>
      <x:c r="Y4" s="1" t="s">
        <x:v>1982</x:v>
      </x:c>
      <x:c r="Z4" s="1" t="s">
        <x:v>1983</x:v>
      </x:c>
      <x:c r="AA4" s="1" t="s">
        <x:v>292</x:v>
      </x:c>
    </x:row>
    <x:row r="5">
      <x:c r="A5" t="s">
        <x:v>367</x:v>
      </x:c>
      <x:c r="B5" t="s">
        <x:v>368</x:v>
      </x:c>
      <x:c r="C5" t="s">
        <x:v>331</x:v>
      </x:c>
      <x:c r="D5">
        <x:v>8481542</x:v>
      </x:c>
      <x:c r="E5" t="s">
        <x:v>224</x:v>
      </x:c>
      <x:c r="F5">
        <x:v>82</x:v>
      </x:c>
      <x:c r="G5">
        <x:v>82</x:v>
      </x:c>
      <x:c r="J5" t="s">
        <x:v>1992</x:v>
      </x:c>
      <x:c r="K5">
        <x:v>75</x:v>
      </x:c>
      <x:c r="L5">
        <x:v>64</x:v>
      </x:c>
      <x:c r="M5">
        <x:v>85</x:v>
      </x:c>
      <x:c r="N5">
        <x:v>39</x:v>
      </x:c>
      <x:c r="O5">
        <x:v>84</x:v>
      </x:c>
      <x:c r="P5">
        <x:v>97</x:v>
      </x:c>
      <x:c r="Q5">
        <x:v>99</x:v>
      </x:c>
      <x:c r="R5">
        <x:v>58</x:v>
      </x:c>
      <x:c r="S5">
        <x:v>30</x:v>
      </x:c>
      <x:c r="T5">
        <x:v>59</x:v>
      </x:c>
      <x:c r="U5">
        <x:v>49</x:v>
      </x:c>
      <x:c r="V5">
        <x:v>85</x:v>
      </x:c>
      <x:c r="W5">
        <x:v>53</x:v>
      </x:c>
      <x:c r="X5">
        <x:v>72</x:v>
      </x:c>
      <x:c r="Y5">
        <x:v>84</x:v>
      </x:c>
      <x:c r="Z5">
        <x:v>51</x:v>
      </x:c>
      <x:c r="AA5">
        <x:v>66</x:v>
      </x:c>
    </x:row>
    <x:row r="6">
      <x:c r="A6" t="s">
        <x:v>369</x:v>
      </x:c>
      <x:c r="B6" t="s">
        <x:v>370</x:v>
      </x:c>
      <x:c r="C6" t="s">
        <x:v>331</x:v>
      </x:c>
      <x:c r="D6">
        <x:v>8482105</x:v>
      </x:c>
      <x:c r="E6" t="s">
        <x:v>224</x:v>
      </x:c>
      <x:c r="F6">
        <x:v>67</x:v>
      </x:c>
      <x:c r="G6">
        <x:v>80</x:v>
      </x:c>
      <x:c r="J6" t="s">
        <x:v>1993</x:v>
      </x:c>
      <x:c r="K6">
        <x:v>67</x:v>
      </x:c>
      <x:c r="L6">
        <x:v>41</x:v>
      </x:c>
      <x:c r="M6">
        <x:v>95</x:v>
      </x:c>
      <x:c r="N6">
        <x:v>64</x:v>
      </x:c>
      <x:c r="O6">
        <x:v>82</x:v>
      </x:c>
      <x:c r="P6">
        <x:v>96</x:v>
      </x:c>
      <x:c r="Q6">
        <x:v>91</x:v>
      </x:c>
      <x:c r="R6">
        <x:v>57</x:v>
      </x:c>
      <x:c r="S6">
        <x:v>30</x:v>
      </x:c>
      <x:c r="T6">
        <x:v>62</x:v>
      </x:c>
      <x:c r="U6">
        <x:v>51</x:v>
      </x:c>
      <x:c r="V6">
        <x:v>85</x:v>
      </x:c>
      <x:c r="W6">
        <x:v>52</x:v>
      </x:c>
      <x:c r="X6">
        <x:v>71</x:v>
      </x:c>
      <x:c r="Y6">
        <x:v>83</x:v>
      </x:c>
      <x:c r="Z6">
        <x:v>51</x:v>
      </x:c>
      <x:c r="AA6">
        <x:v>66</x:v>
      </x:c>
    </x:row>
    <x:row r="7">
      <x:c r="A7" t="s">
        <x:v>484</x:v>
      </x:c>
      <x:c r="B7" t="s">
        <x:v>343</x:v>
      </x:c>
      <x:c r="C7" t="s">
        <x:v>331</x:v>
      </x:c>
      <x:c r="D7">
        <x:v>8476902</x:v>
      </x:c>
      <x:c r="E7" t="s">
        <x:v>224</x:v>
      </x:c>
      <x:c r="F7">
        <x:v>82</x:v>
      </x:c>
      <x:c r="G7">
        <x:v>80</x:v>
      </x:c>
      <x:c r="J7" t="s">
        <x:v>1994</x:v>
      </x:c>
      <x:c r="K7">
        <x:v>67</x:v>
      </x:c>
      <x:c r="L7">
        <x:v>40</x:v>
      </x:c>
      <x:c r="M7">
        <x:v>91</x:v>
      </x:c>
      <x:c r="N7">
        <x:v>35</x:v>
      </x:c>
      <x:c r="O7">
        <x:v>87</x:v>
      </x:c>
      <x:c r="P7">
        <x:v>95</x:v>
      </x:c>
      <x:c r="Q7">
        <x:v>99</x:v>
      </x:c>
      <x:c r="R7">
        <x:v>44</x:v>
      </x:c>
      <x:c r="S7">
        <x:v>30</x:v>
      </x:c>
      <x:c r="T7">
        <x:v>55</x:v>
      </x:c>
      <x:c r="U7">
        <x:v>47</x:v>
      </x:c>
      <x:c r="V7">
        <x:v>85</x:v>
      </x:c>
      <x:c r="W7">
        <x:v>52</x:v>
      </x:c>
      <x:c r="X7">
        <x:v>86</x:v>
      </x:c>
      <x:c r="Y7">
        <x:v>80</x:v>
      </x:c>
      <x:c r="Z7">
        <x:v>51</x:v>
      </x:c>
      <x:c r="AA7">
        <x:v>62</x:v>
      </x:c>
    </x:row>
    <x:row r="8">
      <x:c r="A8" t="s">
        <x:v>560</x:v>
      </x:c>
      <x:c r="B8" t="s">
        <x:v>345</x:v>
      </x:c>
      <x:c r="C8" t="s">
        <x:v>331</x:v>
      </x:c>
      <x:c r="D8">
        <x:v>8476463</x:v>
      </x:c>
      <x:c r="E8" t="s">
        <x:v>224</x:v>
      </x:c>
      <x:c r="F8">
        <x:v>62</x:v>
      </x:c>
      <x:c r="G8">
        <x:v>50</x:v>
      </x:c>
      <x:c r="J8" t="s">
        <x:v>1995</x:v>
      </x:c>
      <x:c r="K8">
        <x:v>66</x:v>
      </x:c>
      <x:c r="L8">
        <x:v>39</x:v>
      </x:c>
      <x:c r="M8">
        <x:v>92</x:v>
      </x:c>
      <x:c r="N8">
        <x:v>38</x:v>
      </x:c>
      <x:c r="O8">
        <x:v>79</x:v>
      </x:c>
      <x:c r="P8">
        <x:v>92</x:v>
      </x:c>
      <x:c r="Q8">
        <x:v>83</x:v>
      </x:c>
      <x:c r="R8">
        <x:v>41</x:v>
      </x:c>
      <x:c r="S8">
        <x:v>30</x:v>
      </x:c>
      <x:c r="T8">
        <x:v>53</x:v>
      </x:c>
      <x:c r="U8">
        <x:v>47</x:v>
      </x:c>
      <x:c r="V8">
        <x:v>85</x:v>
      </x:c>
      <x:c r="W8">
        <x:v>52</x:v>
      </x:c>
      <x:c r="X8">
        <x:v>88</x:v>
      </x:c>
      <x:c r="Y8">
        <x:v>75</x:v>
      </x:c>
      <x:c r="Z8">
        <x:v>51</x:v>
      </x:c>
      <x:c r="AA8">
        <x:v>61</x:v>
      </x:c>
    </x:row>
    <x:row r="9">
      <x:c r="A9" t="s">
        <x:v>701</x:v>
      </x:c>
      <x:c r="B9" t="s">
        <x:v>402</x:v>
      </x:c>
      <x:c r="C9" t="s">
        <x:v>331</x:v>
      </x:c>
      <x:c r="D9">
        <x:v>8479576</x:v>
      </x:c>
      <x:c r="E9" t="s">
        <x:v>224</x:v>
      </x:c>
      <x:c r="F9">
        <x:v>53</x:v>
      </x:c>
      <x:c r="G9">
        <x:v>51</x:v>
      </x:c>
      <x:c r="J9" t="s">
        <x:v>1996</x:v>
      </x:c>
      <x:c r="K9">
        <x:v>79</x:v>
      </x:c>
      <x:c r="L9">
        <x:v>54</x:v>
      </x:c>
      <x:c r="M9">
        <x:v>79</x:v>
      </x:c>
      <x:c r="N9">
        <x:v>40</x:v>
      </x:c>
      <x:c r="O9">
        <x:v>89</x:v>
      </x:c>
      <x:c r="P9">
        <x:v>88</x:v>
      </x:c>
      <x:c r="Q9">
        <x:v>80</x:v>
      </x:c>
      <x:c r="R9">
        <x:v>36</x:v>
      </x:c>
      <x:c r="S9">
        <x:v>30</x:v>
      </x:c>
      <x:c r="T9">
        <x:v>49</x:v>
      </x:c>
      <x:c r="U9">
        <x:v>45</x:v>
      </x:c>
      <x:c r="V9">
        <x:v>85</x:v>
      </x:c>
      <x:c r="W9">
        <x:v>52</x:v>
      </x:c>
      <x:c r="X9">
        <x:v>71</x:v>
      </x:c>
      <x:c r="Y9">
        <x:v>72</x:v>
      </x:c>
      <x:c r="Z9">
        <x:v>51</x:v>
      </x:c>
      <x:c r="AA9">
        <x:v>59</x:v>
      </x:c>
    </x:row>
    <x:row r="10">
      <x:c r="A10" t="s">
        <x:v>415</x:v>
      </x:c>
      <x:c r="B10" t="s">
        <x:v>343</x:v>
      </x:c>
      <x:c r="C10" t="s">
        <x:v>331</x:v>
      </x:c>
      <x:c r="D10">
        <x:v>8480036</x:v>
      </x:c>
      <x:c r="E10" t="s">
        <x:v>224</x:v>
      </x:c>
      <x:c r="F10">
        <x:v>77</x:v>
      </x:c>
      <x:c r="G10">
        <x:v>50</x:v>
      </x:c>
      <x:c r="J10" t="s">
        <x:v>1997</x:v>
      </x:c>
      <x:c r="K10">
        <x:v>66</x:v>
      </x:c>
      <x:c r="L10">
        <x:v>37</x:v>
      </x:c>
      <x:c r="M10">
        <x:v>91</x:v>
      </x:c>
      <x:c r="N10">
        <x:v>45</x:v>
      </x:c>
      <x:c r="O10">
        <x:v>80</x:v>
      </x:c>
      <x:c r="P10">
        <x:v>97</x:v>
      </x:c>
      <x:c r="Q10">
        <x:v>93</x:v>
      </x:c>
      <x:c r="R10">
        <x:v>56</x:v>
      </x:c>
      <x:c r="S10">
        <x:v>30</x:v>
      </x:c>
      <x:c r="T10">
        <x:v>70</x:v>
      </x:c>
      <x:c r="U10">
        <x:v>48</x:v>
      </x:c>
      <x:c r="V10">
        <x:v>84</x:v>
      </x:c>
      <x:c r="W10">
        <x:v>56</x:v>
      </x:c>
      <x:c r="X10">
        <x:v>83</x:v>
      </x:c>
      <x:c r="Y10">
        <x:v>80</x:v>
      </x:c>
      <x:c r="Z10">
        <x:v>51</x:v>
      </x:c>
      <x:c r="AA10">
        <x:v>65</x:v>
      </x:c>
    </x:row>
    <x:row r="11">
      <x:c r="A11" t="s">
        <x:v>503</x:v>
      </x:c>
      <x:c r="B11" t="s">
        <x:v>345</x:v>
      </x:c>
      <x:c r="C11" t="s">
        <x:v>331</x:v>
      </x:c>
      <x:c r="D11">
        <x:v>8474716</x:v>
      </x:c>
      <x:c r="E11" t="s">
        <x:v>224</x:v>
      </x:c>
      <x:c r="F11">
        <x:v>79</x:v>
      </x:c>
      <x:c r="G11">
        <x:v>66</x:v>
      </x:c>
      <x:c r="J11" t="s">
        <x:v>1998</x:v>
      </x:c>
      <x:c r="K11">
        <x:v>72</x:v>
      </x:c>
      <x:c r="L11">
        <x:v>33</x:v>
      </x:c>
      <x:c r="M11">
        <x:v>92</x:v>
      </x:c>
      <x:c r="N11">
        <x:v>43</x:v>
      </x:c>
      <x:c r="O11">
        <x:v>41</x:v>
      </x:c>
      <x:c r="P11">
        <x:v>91</x:v>
      </x:c>
      <x:c r="Q11">
        <x:v>95</x:v>
      </x:c>
      <x:c r="R11">
        <x:v>43</x:v>
      </x:c>
      <x:c r="S11">
        <x:v>30</x:v>
      </x:c>
      <x:c r="T11">
        <x:v>53</x:v>
      </x:c>
      <x:c r="U11">
        <x:v>48</x:v>
      </x:c>
      <x:c r="V11">
        <x:v>84</x:v>
      </x:c>
      <x:c r="W11">
        <x:v>52</x:v>
      </x:c>
      <x:c r="X11">
        <x:v>88</x:v>
      </x:c>
      <x:c r="Y11">
        <x:v>87</x:v>
      </x:c>
      <x:c r="Z11">
        <x:v>51</x:v>
      </x:c>
      <x:c r="AA11">
        <x:v>62</x:v>
      </x:c>
    </x:row>
    <x:row r="12">
      <x:c r="A12" t="s">
        <x:v>504</x:v>
      </x:c>
      <x:c r="B12" t="s">
        <x:v>327</x:v>
      </x:c>
      <x:c r="C12" t="s">
        <x:v>331</x:v>
      </x:c>
      <x:c r="D12">
        <x:v>8474151</x:v>
      </x:c>
      <x:c r="E12" t="s">
        <x:v>224</x:v>
      </x:c>
      <x:c r="F12">
        <x:v>48</x:v>
      </x:c>
      <x:c r="G12">
        <x:v>82</x:v>
      </x:c>
      <x:c r="J12" t="s">
        <x:v>1999</x:v>
      </x:c>
      <x:c r="K12">
        <x:v>67</x:v>
      </x:c>
      <x:c r="L12">
        <x:v>42</x:v>
      </x:c>
      <x:c r="M12">
        <x:v>93</x:v>
      </x:c>
      <x:c r="N12">
        <x:v>39</x:v>
      </x:c>
      <x:c r="O12">
        <x:v>87</x:v>
      </x:c>
      <x:c r="P12">
        <x:v>91</x:v>
      </x:c>
      <x:c r="Q12">
        <x:v>81</x:v>
      </x:c>
      <x:c r="R12">
        <x:v>43</x:v>
      </x:c>
      <x:c r="S12">
        <x:v>30</x:v>
      </x:c>
      <x:c r="T12">
        <x:v>56</x:v>
      </x:c>
      <x:c r="U12">
        <x:v>48</x:v>
      </x:c>
      <x:c r="V12">
        <x:v>84</x:v>
      </x:c>
      <x:c r="W12">
        <x:v>52</x:v>
      </x:c>
      <x:c r="X12">
        <x:v>91</x:v>
      </x:c>
      <x:c r="Y12">
        <x:v>86</x:v>
      </x:c>
      <x:c r="Z12">
        <x:v>51</x:v>
      </x:c>
      <x:c r="AA12">
        <x:v>62</x:v>
      </x:c>
    </x:row>
    <x:row r="13">
      <x:c r="A13" t="s">
        <x:v>524</x:v>
      </x:c>
      <x:c r="B13" t="s">
        <x:v>354</x:v>
      </x:c>
      <x:c r="C13" t="s">
        <x:v>331</x:v>
      </x:c>
      <x:c r="D13">
        <x:v>8475188</x:v>
      </x:c>
      <x:c r="E13" t="s">
        <x:v>224</x:v>
      </x:c>
      <x:c r="F13">
        <x:v>63</x:v>
      </x:c>
      <x:c r="G13">
        <x:v>82</x:v>
      </x:c>
      <x:c r="J13" t="s">
        <x:v>2000</x:v>
      </x:c>
      <x:c r="K13">
        <x:v>77</x:v>
      </x:c>
      <x:c r="L13">
        <x:v>45</x:v>
      </x:c>
      <x:c r="M13">
        <x:v>87</x:v>
      </x:c>
      <x:c r="N13">
        <x:v>33</x:v>
      </x:c>
      <x:c r="O13">
        <x:v>86</x:v>
      </x:c>
      <x:c r="P13">
        <x:v>92</x:v>
      </x:c>
      <x:c r="Q13">
        <x:v>88</x:v>
      </x:c>
      <x:c r="R13">
        <x:v>39</x:v>
      </x:c>
      <x:c r="S13">
        <x:v>30</x:v>
      </x:c>
      <x:c r="T13">
        <x:v>50</x:v>
      </x:c>
      <x:c r="U13">
        <x:v>47</x:v>
      </x:c>
      <x:c r="V13">
        <x:v>84</x:v>
      </x:c>
      <x:c r="W13">
        <x:v>52</x:v>
      </x:c>
      <x:c r="X13">
        <x:v>88</x:v>
      </x:c>
      <x:c r="Y13">
        <x:v>78</x:v>
      </x:c>
      <x:c r="Z13">
        <x:v>43</x:v>
      </x:c>
      <x:c r="AA13">
        <x:v>61</x:v>
      </x:c>
    </x:row>
    <x:row r="14">
      <x:c r="A14" t="s">
        <x:v>539</x:v>
      </x:c>
      <x:c r="B14" t="s">
        <x:v>436</x:v>
      </x:c>
      <x:c r="C14" t="s">
        <x:v>331</x:v>
      </x:c>
      <x:c r="D14">
        <x:v>8474013</x:v>
      </x:c>
      <x:c r="E14" t="s">
        <x:v>224</x:v>
      </x:c>
      <x:c r="F14">
        <x:v>82</x:v>
      </x:c>
      <x:c r="G14">
        <x:v>82</x:v>
      </x:c>
      <x:c r="J14" t="s">
        <x:v>1992</x:v>
      </x:c>
      <x:c r="K14">
        <x:v>72</x:v>
      </x:c>
      <x:c r="L14">
        <x:v>64</x:v>
      </x:c>
      <x:c r="M14">
        <x:v>79</x:v>
      </x:c>
      <x:c r="N14">
        <x:v>36</x:v>
      </x:c>
      <x:c r="O14">
        <x:v>93</x:v>
      </x:c>
      <x:c r="P14">
        <x:v>90</x:v>
      </x:c>
      <x:c r="Q14">
        <x:v>99</x:v>
      </x:c>
      <x:c r="R14">
        <x:v>39</x:v>
      </x:c>
      <x:c r="S14">
        <x:v>30</x:v>
      </x:c>
      <x:c r="T14">
        <x:v>55</x:v>
      </x:c>
      <x:c r="U14">
        <x:v>46</x:v>
      </x:c>
      <x:c r="V14">
        <x:v>84</x:v>
      </x:c>
      <x:c r="W14">
        <x:v>52</x:v>
      </x:c>
      <x:c r="X14">
        <x:v>91</x:v>
      </x:c>
      <x:c r="Y14">
        <x:v>76</x:v>
      </x:c>
      <x:c r="Z14">
        <x:v>51</x:v>
      </x:c>
      <x:c r="AA14">
        <x:v>61</x:v>
      </x:c>
    </x:row>
    <x:row r="15">
      <x:c r="A15" t="s">
        <x:v>570</x:v>
      </x:c>
      <x:c r="B15" t="s">
        <x:v>370</x:v>
      </x:c>
      <x:c r="C15" t="s">
        <x:v>331</x:v>
      </x:c>
      <x:c r="D15">
        <x:v>8482245</x:v>
      </x:c>
      <x:c r="E15" t="s">
        <x:v>224</x:v>
      </x:c>
      <x:c r="F15">
        <x:v>81</x:v>
      </x:c>
      <x:c r="G15">
        <x:v>56</x:v>
      </x:c>
      <x:c r="J15" t="s">
        <x:v>2001</x:v>
      </x:c>
      <x:c r="K15">
        <x:v>71</x:v>
      </x:c>
      <x:c r="L15">
        <x:v>59</x:v>
      </x:c>
      <x:c r="M15">
        <x:v>77</x:v>
      </x:c>
      <x:c r="N15">
        <x:v>35</x:v>
      </x:c>
      <x:c r="O15">
        <x:v>82</x:v>
      </x:c>
      <x:c r="P15">
        <x:v>92</x:v>
      </x:c>
      <x:c r="Q15">
        <x:v>97</x:v>
      </x:c>
      <x:c r="R15">
        <x:v>42</x:v>
      </x:c>
      <x:c r="S15">
        <x:v>30</x:v>
      </x:c>
      <x:c r="T15">
        <x:v>56</x:v>
      </x:c>
      <x:c r="U15">
        <x:v>47</x:v>
      </x:c>
      <x:c r="V15">
        <x:v>84</x:v>
      </x:c>
      <x:c r="W15">
        <x:v>52</x:v>
      </x:c>
      <x:c r="X15">
        <x:v>74</x:v>
      </x:c>
      <x:c r="Y15">
        <x:v>72</x:v>
      </x:c>
      <x:c r="Z15">
        <x:v>51</x:v>
      </x:c>
      <x:c r="AA15">
        <x:v>61</x:v>
      </x:c>
    </x:row>
    <x:row r="16">
      <x:c r="A16" t="s">
        <x:v>585</x:v>
      </x:c>
      <x:c r="B16" t="s">
        <x:v>320</x:v>
      </x:c>
      <x:c r="C16" t="s">
        <x:v>331</x:v>
      </x:c>
      <x:c r="D16">
        <x:v>8476473</x:v>
      </x:c>
      <x:c r="E16" t="s">
        <x:v>224</x:v>
      </x:c>
      <x:c r="F16">
        <x:v>80</x:v>
      </x:c>
      <x:c r="G16">
        <x:v>68</x:v>
      </x:c>
      <x:c r="J16" t="s">
        <x:v>2002</x:v>
      </x:c>
      <x:c r="K16">
        <x:v>75</x:v>
      </x:c>
      <x:c r="L16">
        <x:v>87</x:v>
      </x:c>
      <x:c r="M16">
        <x:v>80</x:v>
      </x:c>
      <x:c r="N16">
        <x:v>33</x:v>
      </x:c>
      <x:c r="O16">
        <x:v>85</x:v>
      </x:c>
      <x:c r="P16">
        <x:v>89</x:v>
      </x:c>
      <x:c r="Q16">
        <x:v>97</x:v>
      </x:c>
      <x:c r="R16">
        <x:v>38</x:v>
      </x:c>
      <x:c r="S16">
        <x:v>30</x:v>
      </x:c>
      <x:c r="T16">
        <x:v>52</x:v>
      </x:c>
      <x:c r="U16">
        <x:v>47</x:v>
      </x:c>
      <x:c r="V16">
        <x:v>84</x:v>
      </x:c>
      <x:c r="W16">
        <x:v>52</x:v>
      </x:c>
      <x:c r="X16">
        <x:v>83</x:v>
      </x:c>
      <x:c r="Y16">
        <x:v>81</x:v>
      </x:c>
      <x:c r="Z16">
        <x:v>51</x:v>
      </x:c>
      <x:c r="AA16">
        <x:v>60</x:v>
      </x:c>
    </x:row>
    <x:row r="17">
      <x:c r="A17" t="s">
        <x:v>612</x:v>
      </x:c>
      <x:c r="B17" t="s">
        <x:v>379</x:v>
      </x:c>
      <x:c r="C17" t="s">
        <x:v>331</x:v>
      </x:c>
      <x:c r="D17">
        <x:v>8479998</x:v>
      </x:c>
      <x:c r="E17" t="s">
        <x:v>224</x:v>
      </x:c>
      <x:c r="F17">
        <x:v>80</x:v>
      </x:c>
      <x:c r="G17">
        <x:v>77</x:v>
      </x:c>
      <x:c r="J17" t="s">
        <x:v>2003</x:v>
      </x:c>
      <x:c r="K17">
        <x:v>75</x:v>
      </x:c>
      <x:c r="L17">
        <x:v>35</x:v>
      </x:c>
      <x:c r="M17">
        <x:v>93</x:v>
      </x:c>
      <x:c r="N17">
        <x:v>33</x:v>
      </x:c>
      <x:c r="O17">
        <x:v>79</x:v>
      </x:c>
      <x:c r="P17">
        <x:v>92</x:v>
      </x:c>
      <x:c r="Q17">
        <x:v>99</x:v>
      </x:c>
      <x:c r="R17">
        <x:v>41</x:v>
      </x:c>
      <x:c r="S17">
        <x:v>30</x:v>
      </x:c>
      <x:c r="T17">
        <x:v>53</x:v>
      </x:c>
      <x:c r="U17">
        <x:v>47</x:v>
      </x:c>
      <x:c r="V17">
        <x:v>84</x:v>
      </x:c>
      <x:c r="W17">
        <x:v>52</x:v>
      </x:c>
      <x:c r="X17">
        <x:v>77</x:v>
      </x:c>
      <x:c r="Y17">
        <x:v>75</x:v>
      </x:c>
      <x:c r="Z17">
        <x:v>51</x:v>
      </x:c>
      <x:c r="AA17">
        <x:v>60</x:v>
      </x:c>
    </x:row>
    <x:row r="18">
      <x:c r="A18" t="s">
        <x:v>742</x:v>
      </x:c>
      <x:c r="B18" t="s">
        <x:v>352</x:v>
      </x:c>
      <x:c r="C18" t="s">
        <x:v>331</x:v>
      </x:c>
      <x:c r="D18">
        <x:v>8475690</x:v>
      </x:c>
      <x:c r="E18" t="s">
        <x:v>224</x:v>
      </x:c>
      <x:c r="F18">
        <x:v>11</x:v>
      </x:c>
      <x:c r="G18">
        <x:v>75</x:v>
      </x:c>
      <x:c r="J18" t="s">
        <x:v>2004</x:v>
      </x:c>
      <x:c r="K18">
        <x:v>66</x:v>
      </x:c>
      <x:c r="L18">
        <x:v>41</x:v>
      </x:c>
      <x:c r="M18">
        <x:v>96</x:v>
      </x:c>
      <x:c r="N18">
        <x:v>39</x:v>
      </x:c>
      <x:c r="O18">
        <x:v>81</x:v>
      </x:c>
      <x:c r="P18">
        <x:v>87</x:v>
      </x:c>
      <x:c r="Q18">
        <x:v>45</x:v>
      </x:c>
      <x:c r="R18">
        <x:v>38</x:v>
      </x:c>
      <x:c r="S18">
        <x:v>30</x:v>
      </x:c>
      <x:c r="T18">
        <x:v>51</x:v>
      </x:c>
      <x:c r="U18">
        <x:v>45</x:v>
      </x:c>
      <x:c r="V18">
        <x:v>84</x:v>
      </x:c>
      <x:c r="W18">
        <x:v>52</x:v>
      </x:c>
      <x:c r="X18">
        <x:v>87</x:v>
      </x:c>
      <x:c r="Y18">
        <x:v>79</x:v>
      </x:c>
      <x:c r="Z18">
        <x:v>51</x:v>
      </x:c>
      <x:c r="AA18">
        <x:v>58</x:v>
      </x:c>
    </x:row>
    <x:row r="19">
      <x:c r="A19" t="s">
        <x:v>475</x:v>
      </x:c>
      <x:c r="B19" t="s">
        <x:v>396</x:v>
      </x:c>
      <x:c r="C19" t="s">
        <x:v>331</x:v>
      </x:c>
      <x:c r="D19">
        <x:v>8476892</x:v>
      </x:c>
      <x:c r="E19" t="s">
        <x:v>224</x:v>
      </x:c>
      <x:c r="F19">
        <x:v>77</x:v>
      </x:c>
      <x:c r="G19">
        <x:v>64</x:v>
      </x:c>
      <x:c r="J19" t="s">
        <x:v>2005</x:v>
      </x:c>
      <x:c r="K19">
        <x:v>73</x:v>
      </x:c>
      <x:c r="L19">
        <x:v>69</x:v>
      </x:c>
      <x:c r="M19">
        <x:v>94</x:v>
      </x:c>
      <x:c r="N19">
        <x:v>55</x:v>
      </x:c>
      <x:c r="O19">
        <x:v>90</x:v>
      </x:c>
      <x:c r="P19">
        <x:v>94</x:v>
      </x:c>
      <x:c r="Q19">
        <x:v>95</x:v>
      </x:c>
      <x:c r="R19">
        <x:v>44</x:v>
      </x:c>
      <x:c r="S19">
        <x:v>30</x:v>
      </x:c>
      <x:c r="T19">
        <x:v>52</x:v>
      </x:c>
      <x:c r="U19">
        <x:v>48</x:v>
      </x:c>
      <x:c r="V19">
        <x:v>83</x:v>
      </x:c>
      <x:c r="W19">
        <x:v>52</x:v>
      </x:c>
      <x:c r="X19">
        <x:v>86</x:v>
      </x:c>
      <x:c r="Y19">
        <x:v>83</x:v>
      </x:c>
      <x:c r="Z19">
        <x:v>51</x:v>
      </x:c>
      <x:c r="AA19">
        <x:v>62</x:v>
      </x:c>
    </x:row>
    <x:row r="20">
      <x:c r="A20" t="s">
        <x:v>488</x:v>
      </x:c>
      <x:c r="B20" t="s">
        <x:v>383</x:v>
      </x:c>
      <x:c r="C20" t="s">
        <x:v>331</x:v>
      </x:c>
      <x:c r="D20">
        <x:v>8478882</x:v>
      </x:c>
      <x:c r="E20" t="s">
        <x:v>224</x:v>
      </x:c>
      <x:c r="F20">
        <x:v>82</x:v>
      </x:c>
      <x:c r="G20">
        <x:v>82</x:v>
      </x:c>
      <x:c r="J20" t="s">
        <x:v>1992</x:v>
      </x:c>
      <x:c r="K20">
        <x:v>68</x:v>
      </x:c>
      <x:c r="L20">
        <x:v>42</x:v>
      </x:c>
      <x:c r="M20">
        <x:v>82</x:v>
      </x:c>
      <x:c r="N20">
        <x:v>40</x:v>
      </x:c>
      <x:c r="O20">
        <x:v>84</x:v>
      </x:c>
      <x:c r="P20">
        <x:v>95</x:v>
      </x:c>
      <x:c r="Q20">
        <x:v>99</x:v>
      </x:c>
      <x:c r="R20">
        <x:v>46</x:v>
      </x:c>
      <x:c r="S20">
        <x:v>30</x:v>
      </x:c>
      <x:c r="T20">
        <x:v>53</x:v>
      </x:c>
      <x:c r="U20">
        <x:v>50</x:v>
      </x:c>
      <x:c r="V20">
        <x:v>83</x:v>
      </x:c>
      <x:c r="W20">
        <x:v>52</x:v>
      </x:c>
      <x:c r="X20">
        <x:v>78</x:v>
      </x:c>
      <x:c r="Y20">
        <x:v>74</x:v>
      </x:c>
      <x:c r="Z20">
        <x:v>51</x:v>
      </x:c>
      <x:c r="AA20">
        <x:v>62</x:v>
      </x:c>
    </x:row>
    <x:row r="21">
      <x:c r="A21" t="s">
        <x:v>517</x:v>
      </x:c>
      <x:c r="B21" t="s">
        <x:v>368</x:v>
      </x:c>
      <x:c r="C21" t="s">
        <x:v>331</x:v>
      </x:c>
      <x:c r="D21">
        <x:v>8482762</x:v>
      </x:c>
      <x:c r="E21" t="s">
        <x:v>224</x:v>
      </x:c>
      <x:c r="F21">
        <x:v>72</x:v>
      </x:c>
      <x:c r="G21">
        <x:v>78</x:v>
      </x:c>
      <x:c r="J21" t="s">
        <x:v>2006</x:v>
      </x:c>
      <x:c r="K21">
        <x:v>73</x:v>
      </x:c>
      <x:c r="L21">
        <x:v>66</x:v>
      </x:c>
      <x:c r="M21">
        <x:v>78</x:v>
      </x:c>
      <x:c r="N21">
        <x:v>40</x:v>
      </x:c>
      <x:c r="O21">
        <x:v>88</x:v>
      </x:c>
      <x:c r="P21">
        <x:v>94</x:v>
      </x:c>
      <x:c r="Q21">
        <x:v>92</x:v>
      </x:c>
      <x:c r="R21">
        <x:v>43</x:v>
      </x:c>
      <x:c r="S21">
        <x:v>30</x:v>
      </x:c>
      <x:c r="T21">
        <x:v>53</x:v>
      </x:c>
      <x:c r="U21">
        <x:v>49</x:v>
      </x:c>
      <x:c r="V21">
        <x:v>83</x:v>
      </x:c>
      <x:c r="W21">
        <x:v>52</x:v>
      </x:c>
      <x:c r="X21">
        <x:v>69</x:v>
      </x:c>
      <x:c r="Y21">
        <x:v>76</x:v>
      </x:c>
      <x:c r="Z21">
        <x:v>51</x:v>
      </x:c>
      <x:c r="AA21">
        <x:v>61</x:v>
      </x:c>
    </x:row>
    <x:row r="22">
      <x:c r="A22" t="s">
        <x:v>518</x:v>
      </x:c>
      <x:c r="B22" t="s">
        <x:v>396</x:v>
      </x:c>
      <x:c r="C22" t="s">
        <x:v>331</x:v>
      </x:c>
      <x:c r="D22">
        <x:v>8481598</x:v>
      </x:c>
      <x:c r="E22" t="s">
        <x:v>224</x:v>
      </x:c>
      <x:c r="F22">
        <x:v>81</x:v>
      </x:c>
      <x:c r="G22">
        <x:v>68</x:v>
      </x:c>
      <x:c r="J22" t="s">
        <x:v>2007</x:v>
      </x:c>
      <x:c r="K22">
        <x:v>68</x:v>
      </x:c>
      <x:c r="L22">
        <x:v>42</x:v>
      </x:c>
      <x:c r="M22">
        <x:v>95</x:v>
      </x:c>
      <x:c r="N22">
        <x:v>59</x:v>
      </x:c>
      <x:c r="O22">
        <x:v>84</x:v>
      </x:c>
      <x:c r="P22">
        <x:v>94</x:v>
      </x:c>
      <x:c r="Q22">
        <x:v>98</x:v>
      </x:c>
      <x:c r="R22">
        <x:v>43</x:v>
      </x:c>
      <x:c r="S22">
        <x:v>30</x:v>
      </x:c>
      <x:c r="T22">
        <x:v>57</x:v>
      </x:c>
      <x:c r="U22">
        <x:v>48</x:v>
      </x:c>
      <x:c r="V22">
        <x:v>83</x:v>
      </x:c>
      <x:c r="W22">
        <x:v>52</x:v>
      </x:c>
      <x:c r="X22">
        <x:v>73</x:v>
      </x:c>
      <x:c r="Y22">
        <x:v>76</x:v>
      </x:c>
      <x:c r="Z22">
        <x:v>51</x:v>
      </x:c>
      <x:c r="AA22">
        <x:v>61</x:v>
      </x:c>
    </x:row>
    <x:row r="23">
      <x:c r="A23" t="s">
        <x:v>581</x:v>
      </x:c>
      <x:c r="B23" t="s">
        <x:v>439</x:v>
      </x:c>
      <x:c r="C23" t="s">
        <x:v>331</x:v>
      </x:c>
      <x:c r="D23">
        <x:v>8476917</x:v>
      </x:c>
      <x:c r="E23" t="s">
        <x:v>224</x:v>
      </x:c>
      <x:c r="F23">
        <x:v>82</x:v>
      </x:c>
      <x:c r="G23">
        <x:v>60</x:v>
      </x:c>
      <x:c r="J23" t="s">
        <x:v>2008</x:v>
      </x:c>
      <x:c r="K23">
        <x:v>71</x:v>
      </x:c>
      <x:c r="L23">
        <x:v>43</x:v>
      </x:c>
      <x:c r="M23">
        <x:v>80</x:v>
      </x:c>
      <x:c r="N23">
        <x:v>41</x:v>
      </x:c>
      <x:c r="O23">
        <x:v>85</x:v>
      </x:c>
      <x:c r="P23">
        <x:v>92</x:v>
      </x:c>
      <x:c r="Q23">
        <x:v>98</x:v>
      </x:c>
      <x:c r="R23">
        <x:v>39</x:v>
      </x:c>
      <x:c r="S23">
        <x:v>30</x:v>
      </x:c>
      <x:c r="T23">
        <x:v>52</x:v>
      </x:c>
      <x:c r="U23">
        <x:v>46</x:v>
      </x:c>
      <x:c r="V23">
        <x:v>83</x:v>
      </x:c>
      <x:c r="W23">
        <x:v>52</x:v>
      </x:c>
      <x:c r="X23">
        <x:v>83</x:v>
      </x:c>
      <x:c r="Y23">
        <x:v>72</x:v>
      </x:c>
      <x:c r="Z23">
        <x:v>51</x:v>
      </x:c>
      <x:c r="AA23">
        <x:v>60</x:v>
      </x:c>
    </x:row>
    <x:row r="24">
      <x:c r="A24" t="s">
        <x:v>623</x:v>
      </x:c>
      <x:c r="B24" t="s">
        <x:v>427</x:v>
      </x:c>
      <x:c r="C24" t="s">
        <x:v>331</x:v>
      </x:c>
      <x:c r="D24">
        <x:v>8476372</x:v>
      </x:c>
      <x:c r="E24" t="s">
        <x:v>224</x:v>
      </x:c>
      <x:c r="F24">
        <x:v>80</x:v>
      </x:c>
      <x:c r="G24">
        <x:v>77</x:v>
      </x:c>
      <x:c r="J24" t="s">
        <x:v>2003</x:v>
      </x:c>
      <x:c r="K24">
        <x:v>78</x:v>
      </x:c>
      <x:c r="L24">
        <x:v>74</x:v>
      </x:c>
      <x:c r="M24">
        <x:v>86</x:v>
      </x:c>
      <x:c r="N24">
        <x:v>39</x:v>
      </x:c>
      <x:c r="O24">
        <x:v>80</x:v>
      </x:c>
      <x:c r="P24">
        <x:v>88</x:v>
      </x:c>
      <x:c r="Q24">
        <x:v>99</x:v>
      </x:c>
      <x:c r="R24">
        <x:v>37</x:v>
      </x:c>
      <x:c r="S24">
        <x:v>30</x:v>
      </x:c>
      <x:c r="T24">
        <x:v>50</x:v>
      </x:c>
      <x:c r="U24">
        <x:v>47</x:v>
      </x:c>
      <x:c r="V24">
        <x:v>83</x:v>
      </x:c>
      <x:c r="W24">
        <x:v>52</x:v>
      </x:c>
      <x:c r="X24">
        <x:v>77</x:v>
      </x:c>
      <x:c r="Y24">
        <x:v>75</x:v>
      </x:c>
      <x:c r="Z24">
        <x:v>51</x:v>
      </x:c>
      <x:c r="AA24">
        <x:v>60</x:v>
      </x:c>
    </x:row>
    <x:row r="25">
      <x:c r="A25" t="s">
        <x:v>683</x:v>
      </x:c>
      <x:c r="B25" t="s">
        <x:v>348</x:v>
      </x:c>
      <x:c r="C25" t="s">
        <x:v>331</x:v>
      </x:c>
      <x:c r="D25">
        <x:v>8480049</x:v>
      </x:c>
      <x:c r="E25" t="s">
        <x:v>224</x:v>
      </x:c>
      <x:c r="F25">
        <x:v>66</x:v>
      </x:c>
      <x:c r="G25">
        <x:v>60</x:v>
      </x:c>
      <x:c r="J25" t="s">
        <x:v>2009</x:v>
      </x:c>
      <x:c r="K25">
        <x:v>71</x:v>
      </x:c>
      <x:c r="L25">
        <x:v>45</x:v>
      </x:c>
      <x:c r="M25">
        <x:v>92</x:v>
      </x:c>
      <x:c r="N25">
        <x:v>38</x:v>
      </x:c>
      <x:c r="O25">
        <x:v>87</x:v>
      </x:c>
      <x:c r="P25">
        <x:v>93</x:v>
      </x:c>
      <x:c r="Q25">
        <x:v>87</x:v>
      </x:c>
      <x:c r="R25">
        <x:v>38</x:v>
      </x:c>
      <x:c r="S25">
        <x:v>30</x:v>
      </x:c>
      <x:c r="T25">
        <x:v>51</x:v>
      </x:c>
      <x:c r="U25">
        <x:v>46</x:v>
      </x:c>
      <x:c r="V25">
        <x:v>83</x:v>
      </x:c>
      <x:c r="W25">
        <x:v>52</x:v>
      </x:c>
      <x:c r="X25">
        <x:v>74</x:v>
      </x:c>
      <x:c r="Y25">
        <x:v>74</x:v>
      </x:c>
      <x:c r="Z25">
        <x:v>51</x:v>
      </x:c>
      <x:c r="AA25">
        <x:v>59</x:v>
      </x:c>
    </x:row>
    <x:row r="26">
      <x:c r="A26" t="s">
        <x:v>428</x:v>
      </x:c>
      <x:c r="B26" t="s">
        <x:v>354</x:v>
      </x:c>
      <x:c r="C26" t="s">
        <x:v>331</x:v>
      </x:c>
      <x:c r="D26">
        <x:v>8477447</x:v>
      </x:c>
      <x:c r="E26" t="s">
        <x:v>224</x:v>
      </x:c>
      <x:c r="F26">
        <x:v>70</x:v>
      </x:c>
      <x:c r="G26">
        <x:v>67</x:v>
      </x:c>
      <x:c r="J26" t="s">
        <x:v>2010</x:v>
      </x:c>
      <x:c r="K26">
        <x:v>63</x:v>
      </x:c>
      <x:c r="L26">
        <x:v>37</x:v>
      </x:c>
      <x:c r="M26">
        <x:v>88</x:v>
      </x:c>
      <x:c r="N26">
        <x:v>44</x:v>
      </x:c>
      <x:c r="O26">
        <x:v>80</x:v>
      </x:c>
      <x:c r="P26">
        <x:v>94</x:v>
      </x:c>
      <x:c r="Q26">
        <x:v>90</x:v>
      </x:c>
      <x:c r="R26">
        <x:v>54</x:v>
      </x:c>
      <x:c r="S26">
        <x:v>30</x:v>
      </x:c>
      <x:c r="T26">
        <x:v>63</x:v>
      </x:c>
      <x:c r="U26">
        <x:v>49</x:v>
      </x:c>
      <x:c r="V26">
        <x:v>82</x:v>
      </x:c>
      <x:c r="W26">
        <x:v>79</x:v>
      </x:c>
      <x:c r="X26">
        <x:v>85</x:v>
      </x:c>
      <x:c r="Y26">
        <x:v>76</x:v>
      </x:c>
      <x:c r="Z26">
        <x:v>51</x:v>
      </x:c>
      <x:c r="AA26">
        <x:v>64</x:v>
      </x:c>
    </x:row>
    <x:row r="27">
      <x:c r="A27" t="s">
        <x:v>472</x:v>
      </x:c>
      <x:c r="B27" t="s">
        <x:v>427</x:v>
      </x:c>
      <x:c r="C27" t="s">
        <x:v>331</x:v>
      </x:c>
      <x:c r="D27">
        <x:v>8477948</x:v>
      </x:c>
      <x:c r="E27" t="s">
        <x:v>224</x:v>
      </x:c>
      <x:c r="F27">
        <x:v>81</x:v>
      </x:c>
      <x:c r="G27">
        <x:v>82</x:v>
      </x:c>
      <x:c r="J27" t="s">
        <x:v>2011</x:v>
      </x:c>
      <x:c r="K27">
        <x:v>68</x:v>
      </x:c>
      <x:c r="L27">
        <x:v>43</x:v>
      </x:c>
      <x:c r="M27">
        <x:v>92</x:v>
      </x:c>
      <x:c r="N27">
        <x:v>53</x:v>
      </x:c>
      <x:c r="O27">
        <x:v>88</x:v>
      </x:c>
      <x:c r="P27">
        <x:v>96</x:v>
      </x:c>
      <x:c r="Q27">
        <x:v>99</x:v>
      </x:c>
      <x:c r="R27">
        <x:v>46</x:v>
      </x:c>
      <x:c r="S27">
        <x:v>30</x:v>
      </x:c>
      <x:c r="T27">
        <x:v>55</x:v>
      </x:c>
      <x:c r="U27">
        <x:v>49</x:v>
      </x:c>
      <x:c r="V27">
        <x:v>82</x:v>
      </x:c>
      <x:c r="W27">
        <x:v>52</x:v>
      </x:c>
      <x:c r="X27">
        <x:v>81</x:v>
      </x:c>
      <x:c r="Y27">
        <x:v>77</x:v>
      </x:c>
      <x:c r="Z27">
        <x:v>51</x:v>
      </x:c>
      <x:c r="AA27">
        <x:v>63</x:v>
      </x:c>
    </x:row>
    <x:row r="28">
      <x:c r="A28" t="s">
        <x:v>492</x:v>
      </x:c>
      <x:c r="B28" t="s">
        <x:v>337</x:v>
      </x:c>
      <x:c r="C28" t="s">
        <x:v>331</x:v>
      </x:c>
      <x:c r="D28">
        <x:v>8478500</x:v>
      </x:c>
      <x:c r="E28" t="s">
        <x:v>224</x:v>
      </x:c>
      <x:c r="F28">
        <x:v>82</x:v>
      </x:c>
      <x:c r="G28">
        <x:v>82</x:v>
      </x:c>
      <x:c r="J28" t="s">
        <x:v>1992</x:v>
      </x:c>
      <x:c r="K28">
        <x:v>66</x:v>
      </x:c>
      <x:c r="L28">
        <x:v>45</x:v>
      </x:c>
      <x:c r="M28">
        <x:v>86</x:v>
      </x:c>
      <x:c r="N28">
        <x:v>43</x:v>
      </x:c>
      <x:c r="O28">
        <x:v>89</x:v>
      </x:c>
      <x:c r="P28">
        <x:v>96</x:v>
      </x:c>
      <x:c r="Q28">
        <x:v>99</x:v>
      </x:c>
      <x:c r="R28">
        <x:v>43</x:v>
      </x:c>
      <x:c r="S28">
        <x:v>30</x:v>
      </x:c>
      <x:c r="T28">
        <x:v>53</x:v>
      </x:c>
      <x:c r="U28">
        <x:v>48</x:v>
      </x:c>
      <x:c r="V28">
        <x:v>82</x:v>
      </x:c>
      <x:c r="W28">
        <x:v>53</x:v>
      </x:c>
      <x:c r="X28">
        <x:v>82</x:v>
      </x:c>
      <x:c r="Y28">
        <x:v>82</x:v>
      </x:c>
      <x:c r="Z28">
        <x:v>51</x:v>
      </x:c>
      <x:c r="AA28">
        <x:v>62</x:v>
      </x:c>
    </x:row>
    <x:row r="29">
      <x:c r="A29" t="s">
        <x:v>526</x:v>
      </x:c>
      <x:c r="B29" t="s">
        <x:v>402</x:v>
      </x:c>
      <x:c r="C29" t="s">
        <x:v>331</x:v>
      </x:c>
      <x:c r="D29">
        <x:v>8478911</x:v>
      </x:c>
      <x:c r="E29" t="s">
        <x:v>224</x:v>
      </x:c>
      <x:c r="F29">
        <x:v>79</x:v>
      </x:c>
      <x:c r="G29">
        <x:v>69</x:v>
      </x:c>
      <x:c r="J29" t="s">
        <x:v>2012</x:v>
      </x:c>
      <x:c r="K29">
        <x:v>76</x:v>
      </x:c>
      <x:c r="L29">
        <x:v>43</x:v>
      </x:c>
      <x:c r="M29">
        <x:v>94</x:v>
      </x:c>
      <x:c r="N29">
        <x:v>41</x:v>
      </x:c>
      <x:c r="O29">
        <x:v>88</x:v>
      </x:c>
      <x:c r="P29">
        <x:v>92</x:v>
      </x:c>
      <x:c r="Q29">
        <x:v>97</x:v>
      </x:c>
      <x:c r="R29">
        <x:v>41</x:v>
      </x:c>
      <x:c r="S29">
        <x:v>30</x:v>
      </x:c>
      <x:c r="T29">
        <x:v>54</x:v>
      </x:c>
      <x:c r="U29">
        <x:v>46</x:v>
      </x:c>
      <x:c r="V29">
        <x:v>82</x:v>
      </x:c>
      <x:c r="W29">
        <x:v>52</x:v>
      </x:c>
      <x:c r="X29">
        <x:v>78</x:v>
      </x:c>
      <x:c r="Y29">
        <x:v>74</x:v>
      </x:c>
      <x:c r="Z29">
        <x:v>51</x:v>
      </x:c>
      <x:c r="AA29">
        <x:v>61</x:v>
      </x:c>
    </x:row>
    <x:row r="30">
      <x:c r="A30" t="s">
        <x:v>574</x:v>
      </x:c>
      <x:c r="B30" t="s">
        <x:v>427</x:v>
      </x:c>
      <x:c r="C30" t="s">
        <x:v>331</x:v>
      </x:c>
      <x:c r="D30">
        <x:v>8481546</x:v>
      </x:c>
      <x:c r="E30" t="s">
        <x:v>224</x:v>
      </x:c>
      <x:c r="F30">
        <x:v>74</x:v>
      </x:c>
      <x:c r="G30">
        <x:v>66</x:v>
      </x:c>
      <x:c r="J30" t="s">
        <x:v>2013</x:v>
      </x:c>
      <x:c r="K30">
        <x:v>68</x:v>
      </x:c>
      <x:c r="L30">
        <x:v>38</x:v>
      </x:c>
      <x:c r="M30">
        <x:v>86</x:v>
      </x:c>
      <x:c r="N30">
        <x:v>40</x:v>
      </x:c>
      <x:c r="O30">
        <x:v>79</x:v>
      </x:c>
      <x:c r="P30">
        <x:v>94</x:v>
      </x:c>
      <x:c r="Q30">
        <x:v>93</x:v>
      </x:c>
      <x:c r="R30">
        <x:v>42</x:v>
      </x:c>
      <x:c r="S30">
        <x:v>30</x:v>
      </x:c>
      <x:c r="T30">
        <x:v>54</x:v>
      </x:c>
      <x:c r="U30">
        <x:v>47</x:v>
      </x:c>
      <x:c r="V30">
        <x:v>82</x:v>
      </x:c>
      <x:c r="W30">
        <x:v>52</x:v>
      </x:c>
      <x:c r="X30">
        <x:v>72</x:v>
      </x:c>
      <x:c r="Y30">
        <x:v>75</x:v>
      </x:c>
      <x:c r="Z30">
        <x:v>51</x:v>
      </x:c>
      <x:c r="AA30">
        <x:v>60</x:v>
      </x:c>
    </x:row>
    <x:row r="31">
      <x:c r="A31" t="s">
        <x:v>592</x:v>
      </x:c>
      <x:c r="B31" t="s">
        <x:v>364</x:v>
      </x:c>
      <x:c r="C31" t="s">
        <x:v>331</x:v>
      </x:c>
      <x:c r="D31">
        <x:v>8477220</x:v>
      </x:c>
      <x:c r="E31" t="s">
        <x:v>224</x:v>
      </x:c>
      <x:c r="F31">
        <x:v>82</x:v>
      </x:c>
      <x:c r="G31">
        <x:v>80</x:v>
      </x:c>
      <x:c r="J31" t="s">
        <x:v>1994</x:v>
      </x:c>
      <x:c r="K31">
        <x:v>72</x:v>
      </x:c>
      <x:c r="L31">
        <x:v>41</x:v>
      </x:c>
      <x:c r="M31">
        <x:v>90</x:v>
      </x:c>
      <x:c r="N31">
        <x:v>40</x:v>
      </x:c>
      <x:c r="O31">
        <x:v>80</x:v>
      </x:c>
      <x:c r="P31">
        <x:v>90</x:v>
      </x:c>
      <x:c r="Q31">
        <x:v>99</x:v>
      </x:c>
      <x:c r="R31">
        <x:v>40</x:v>
      </x:c>
      <x:c r="S31">
        <x:v>30</x:v>
      </x:c>
      <x:c r="T31">
        <x:v>53</x:v>
      </x:c>
      <x:c r="U31">
        <x:v>47</x:v>
      </x:c>
      <x:c r="V31">
        <x:v>82</x:v>
      </x:c>
      <x:c r="W31">
        <x:v>52</x:v>
      </x:c>
      <x:c r="X31">
        <x:v>87</x:v>
      </x:c>
      <x:c r="Y31">
        <x:v>79</x:v>
      </x:c>
      <x:c r="Z31">
        <x:v>51</x:v>
      </x:c>
      <x:c r="AA31">
        <x:v>60</x:v>
      </x:c>
    </x:row>
    <x:row r="32">
      <x:c r="A32" t="s">
        <x:v>608</x:v>
      </x:c>
      <x:c r="B32" t="s">
        <x:v>324</x:v>
      </x:c>
      <x:c r="C32" t="s">
        <x:v>331</x:v>
      </x:c>
      <x:c r="D32">
        <x:v>8484258</x:v>
      </x:c>
      <x:c r="E32" t="s">
        <x:v>224</x:v>
      </x:c>
      <x:c r="F32">
        <x:v>82</x:v>
      </x:c>
      <x:c r="G32">
        <x:v>76</x:v>
      </x:c>
      <x:c r="J32" t="s">
        <x:v>2014</x:v>
      </x:c>
      <x:c r="K32">
        <x:v>70</x:v>
      </x:c>
      <x:c r="L32">
        <x:v>34</x:v>
      </x:c>
      <x:c r="M32">
        <x:v>86</x:v>
      </x:c>
      <x:c r="N32">
        <x:v>61</x:v>
      </x:c>
      <x:c r="O32">
        <x:v>77</x:v>
      </x:c>
      <x:c r="P32">
        <x:v>87</x:v>
      </x:c>
      <x:c r="Q32">
        <x:v>99</x:v>
      </x:c>
      <x:c r="R32">
        <x:v>44</x:v>
      </x:c>
      <x:c r="S32">
        <x:v>30</x:v>
      </x:c>
      <x:c r="T32">
        <x:v>68</x:v>
      </x:c>
      <x:c r="U32">
        <x:v>49</x:v>
      </x:c>
      <x:c r="V32">
        <x:v>82</x:v>
      </x:c>
      <x:c r="W32">
        <x:v>52</x:v>
      </x:c>
      <x:c r="X32">
        <x:v>70</x:v>
      </x:c>
      <x:c r="Y32">
        <x:v>70</x:v>
      </x:c>
      <x:c r="Z32">
        <x:v>54</x:v>
      </x:c>
      <x:c r="AA32">
        <x:v>60</x:v>
      </x:c>
    </x:row>
    <x:row r="33">
      <x:c r="A33" t="s">
        <x:v>330</x:v>
      </x:c>
      <x:c r="B33" t="s">
        <x:v>324</x:v>
      </x:c>
      <x:c r="C33" t="s">
        <x:v>331</x:v>
      </x:c>
      <x:c r="D33">
        <x:v>8480069</x:v>
      </x:c>
      <x:c r="E33" t="s">
        <x:v>224</x:v>
      </x:c>
      <x:c r="F33">
        <x:v>75</x:v>
      </x:c>
      <x:c r="G33">
        <x:v>80</x:v>
      </x:c>
      <x:c r="J33" t="s">
        <x:v>2015</x:v>
      </x:c>
      <x:c r="K33">
        <x:v>68</x:v>
      </x:c>
      <x:c r="L33">
        <x:v>35</x:v>
      </x:c>
      <x:c r="M33">
        <x:v>95</x:v>
      </x:c>
      <x:c r="N33">
        <x:v>63</x:v>
      </x:c>
      <x:c r="O33">
        <x:v>76</x:v>
      </x:c>
      <x:c r="P33">
        <x:v>96</x:v>
      </x:c>
      <x:c r="Q33">
        <x:v>95</x:v>
      </x:c>
      <x:c r="R33">
        <x:v>64</x:v>
      </x:c>
      <x:c r="S33">
        <x:v>30</x:v>
      </x:c>
      <x:c r="T33">
        <x:v>76</x:v>
      </x:c>
      <x:c r="U33">
        <x:v>58</x:v>
      </x:c>
      <x:c r="V33">
        <x:v>81</x:v>
      </x:c>
      <x:c r="W33">
        <x:v>58</x:v>
      </x:c>
      <x:c r="X33">
        <x:v>80</x:v>
      </x:c>
      <x:c r="Y33">
        <x:v>84</x:v>
      </x:c>
      <x:c r="Z33">
        <x:v>51</x:v>
      </x:c>
      <x:c r="AA33">
        <x:v>69</x:v>
      </x:c>
    </x:row>
    <x:row r="34">
      <x:c r="A34" t="s">
        <x:v>486</x:v>
      </x:c>
      <x:c r="B34" t="s">
        <x:v>324</x:v>
      </x:c>
      <x:c r="C34" t="s">
        <x:v>331</x:v>
      </x:c>
      <x:c r="D34">
        <x:v>8478038</x:v>
      </x:c>
      <x:c r="E34" t="s">
        <x:v>224</x:v>
      </x:c>
      <x:c r="F34">
        <x:v>68</x:v>
      </x:c>
      <x:c r="G34">
        <x:v>76</x:v>
      </x:c>
      <x:c r="J34" t="s">
        <x:v>2016</x:v>
      </x:c>
      <x:c r="K34">
        <x:v>67</x:v>
      </x:c>
      <x:c r="L34">
        <x:v>39</x:v>
      </x:c>
      <x:c r="M34">
        <x:v>85</x:v>
      </x:c>
      <x:c r="N34">
        <x:v>46</x:v>
      </x:c>
      <x:c r="O34">
        <x:v>78</x:v>
      </x:c>
      <x:c r="P34">
        <x:v>94</x:v>
      </x:c>
      <x:c r="Q34">
        <x:v>91</x:v>
      </x:c>
      <x:c r="R34">
        <x:v>46</x:v>
      </x:c>
      <x:c r="S34">
        <x:v>30</x:v>
      </x:c>
      <x:c r="T34">
        <x:v>56</x:v>
      </x:c>
      <x:c r="U34">
        <x:v>47</x:v>
      </x:c>
      <x:c r="V34">
        <x:v>81</x:v>
      </x:c>
      <x:c r="W34">
        <x:v>52</x:v>
      </x:c>
      <x:c r="X34">
        <x:v>82</x:v>
      </x:c>
      <x:c r="Y34">
        <x:v>83</x:v>
      </x:c>
      <x:c r="Z34">
        <x:v>47</x:v>
      </x:c>
      <x:c r="AA34">
        <x:v>62</x:v>
      </x:c>
    </x:row>
    <x:row r="35">
      <x:c r="A35" t="s">
        <x:v>498</x:v>
      </x:c>
      <x:c r="B35" t="s">
        <x:v>334</x:v>
      </x:c>
      <x:c r="C35" t="s">
        <x:v>331</x:v>
      </x:c>
      <x:c r="D35">
        <x:v>8477506</x:v>
      </x:c>
      <x:c r="E35" t="s">
        <x:v>224</x:v>
      </x:c>
      <x:c r="F35">
        <x:v>76</x:v>
      </x:c>
      <x:c r="G35">
        <x:v>74</x:v>
      </x:c>
      <x:c r="J35" t="s">
        <x:v>2017</x:v>
      </x:c>
      <x:c r="K35">
        <x:v>71</x:v>
      </x:c>
      <x:c r="L35">
        <x:v>42</x:v>
      </x:c>
      <x:c r="M35">
        <x:v>88</x:v>
      </x:c>
      <x:c r="N35">
        <x:v>42</x:v>
      </x:c>
      <x:c r="O35">
        <x:v>88</x:v>
      </x:c>
      <x:c r="P35">
        <x:v>92</x:v>
      </x:c>
      <x:c r="Q35">
        <x:v>95</x:v>
      </x:c>
      <x:c r="R35">
        <x:v>43</x:v>
      </x:c>
      <x:c r="S35">
        <x:v>30</x:v>
      </x:c>
      <x:c r="T35">
        <x:v>56</x:v>
      </x:c>
      <x:c r="U35">
        <x:v>46</x:v>
      </x:c>
      <x:c r="V35">
        <x:v>81</x:v>
      </x:c>
      <x:c r="W35">
        <x:v>51</x:v>
      </x:c>
      <x:c r="X35">
        <x:v>83</x:v>
      </x:c>
      <x:c r="Y35">
        <x:v>80</x:v>
      </x:c>
      <x:c r="Z35">
        <x:v>51</x:v>
      </x:c>
      <x:c r="AA35">
        <x:v>62</x:v>
      </x:c>
    </x:row>
    <x:row r="36">
      <x:c r="A36" t="s">
        <x:v>508</x:v>
      </x:c>
      <x:c r="B36" t="s">
        <x:v>320</x:v>
      </x:c>
      <x:c r="C36" t="s">
        <x:v>331</x:v>
      </x:c>
      <x:c r="D36">
        <x:v>8476931</x:v>
      </x:c>
      <x:c r="E36" t="s">
        <x:v>224</x:v>
      </x:c>
      <x:c r="F36">
        <x:v>80</x:v>
      </x:c>
      <x:c r="G36">
        <x:v>66</x:v>
      </x:c>
      <x:c r="J36" t="s">
        <x:v>2018</x:v>
      </x:c>
      <x:c r="K36">
        <x:v>74</x:v>
      </x:c>
      <x:c r="L36">
        <x:v>73</x:v>
      </x:c>
      <x:c r="M36">
        <x:v>81</x:v>
      </x:c>
      <x:c r="N36">
        <x:v>43</x:v>
      </x:c>
      <x:c r="O36">
        <x:v>84</x:v>
      </x:c>
      <x:c r="P36">
        <x:v>94</x:v>
      </x:c>
      <x:c r="Q36">
        <x:v>97</x:v>
      </x:c>
      <x:c r="R36">
        <x:v>42</x:v>
      </x:c>
      <x:c r="S36">
        <x:v>30</x:v>
      </x:c>
      <x:c r="T36">
        <x:v>55</x:v>
      </x:c>
      <x:c r="U36">
        <x:v>46</x:v>
      </x:c>
      <x:c r="V36">
        <x:v>81</x:v>
      </x:c>
      <x:c r="W36">
        <x:v>52</x:v>
      </x:c>
      <x:c r="X36">
        <x:v>82</x:v>
      </x:c>
      <x:c r="Y36">
        <x:v>77</x:v>
      </x:c>
      <x:c r="Z36">
        <x:v>51</x:v>
      </x:c>
      <x:c r="AA36">
        <x:v>62</x:v>
      </x:c>
    </x:row>
    <x:row r="37">
      <x:c r="A37" t="s">
        <x:v>593</x:v>
      </x:c>
      <x:c r="B37" t="s">
        <x:v>420</x:v>
      </x:c>
      <x:c r="C37" t="s">
        <x:v>331</x:v>
      </x:c>
      <x:c r="D37">
        <x:v>8476467</x:v>
      </x:c>
      <x:c r="E37" t="s">
        <x:v>224</x:v>
      </x:c>
      <x:c r="F37">
        <x:v>78</x:v>
      </x:c>
      <x:c r="G37">
        <x:v>82</x:v>
      </x:c>
      <x:c r="J37" t="s">
        <x:v>2019</x:v>
      </x:c>
      <x:c r="K37">
        <x:v>76</x:v>
      </x:c>
      <x:c r="L37">
        <x:v>71</x:v>
      </x:c>
      <x:c r="M37">
        <x:v>85</x:v>
      </x:c>
      <x:c r="N37">
        <x:v>41</x:v>
      </x:c>
      <x:c r="O37">
        <x:v>97</x:v>
      </x:c>
      <x:c r="P37">
        <x:v>88</x:v>
      </x:c>
      <x:c r="Q37">
        <x:v>98</x:v>
      </x:c>
      <x:c r="R37">
        <x:v>38</x:v>
      </x:c>
      <x:c r="S37">
        <x:v>30</x:v>
      </x:c>
      <x:c r="T37">
        <x:v>51</x:v>
      </x:c>
      <x:c r="U37">
        <x:v>47</x:v>
      </x:c>
      <x:c r="V37">
        <x:v>81</x:v>
      </x:c>
      <x:c r="W37">
        <x:v>52</x:v>
      </x:c>
      <x:c r="X37">
        <x:v>84</x:v>
      </x:c>
      <x:c r="Y37">
        <x:v>75</x:v>
      </x:c>
      <x:c r="Z37">
        <x:v>51</x:v>
      </x:c>
      <x:c r="AA37">
        <x:v>60</x:v>
      </x:c>
    </x:row>
    <x:row r="38">
      <x:c r="A38" t="s">
        <x:v>620</x:v>
      </x:c>
      <x:c r="B38" t="s">
        <x:v>576</x:v>
      </x:c>
      <x:c r="C38" t="s">
        <x:v>331</x:v>
      </x:c>
      <x:c r="D38">
        <x:v>8478136</x:v>
      </x:c>
      <x:c r="E38" t="s">
        <x:v>224</x:v>
      </x:c>
      <x:c r="F38">
        <x:v>75</x:v>
      </x:c>
      <x:c r="G38">
        <x:v>67</x:v>
      </x:c>
      <x:c r="J38" t="s">
        <x:v>2020</x:v>
      </x:c>
      <x:c r="K38">
        <x:v>75</x:v>
      </x:c>
      <x:c r="L38">
        <x:v>87</x:v>
      </x:c>
      <x:c r="M38">
        <x:v>82</x:v>
      </x:c>
      <x:c r="N38">
        <x:v>40</x:v>
      </x:c>
      <x:c r="O38">
        <x:v>88</x:v>
      </x:c>
      <x:c r="P38">
        <x:v>89</x:v>
      </x:c>
      <x:c r="Q38">
        <x:v>94</x:v>
      </x:c>
      <x:c r="R38">
        <x:v>40</x:v>
      </x:c>
      <x:c r="S38">
        <x:v>30</x:v>
      </x:c>
      <x:c r="T38">
        <x:v>53</x:v>
      </x:c>
      <x:c r="U38">
        <x:v>46</x:v>
      </x:c>
      <x:c r="V38">
        <x:v>81</x:v>
      </x:c>
      <x:c r="W38">
        <x:v>52</x:v>
      </x:c>
      <x:c r="X38">
        <x:v>76</x:v>
      </x:c>
      <x:c r="Y38">
        <x:v>73</x:v>
      </x:c>
      <x:c r="Z38">
        <x:v>51</x:v>
      </x:c>
      <x:c r="AA38">
        <x:v>60</x:v>
      </x:c>
    </x:row>
    <x:row r="39">
      <x:c r="A39" t="s">
        <x:v>793</x:v>
      </x:c>
      <x:c r="B39" t="s">
        <x:v>320</x:v>
      </x:c>
      <x:c r="C39" t="s">
        <x:v>331</x:v>
      </x:c>
      <x:c r="D39">
        <x:v>8480834</x:v>
      </x:c>
      <x:c r="E39" t="s">
        <x:v>224</x:v>
      </x:c>
      <x:c r="F39">
        <x:v>72</x:v>
      </x:c>
      <x:c r="G39">
        <x:v>76</x:v>
      </x:c>
      <x:c r="J39" t="s">
        <x:v>2021</x:v>
      </x:c>
      <x:c r="K39">
        <x:v>79</x:v>
      </x:c>
      <x:c r="L39">
        <x:v>59</x:v>
      </x:c>
      <x:c r="M39">
        <x:v>86</x:v>
      </x:c>
      <x:c r="N39">
        <x:v>45</x:v>
      </x:c>
      <x:c r="O39">
        <x:v>78</x:v>
      </x:c>
      <x:c r="P39">
        <x:v>86</x:v>
      </x:c>
      <x:c r="Q39">
        <x:v>91</x:v>
      </x:c>
      <x:c r="R39">
        <x:v>36</x:v>
      </x:c>
      <x:c r="S39">
        <x:v>30</x:v>
      </x:c>
      <x:c r="T39">
        <x:v>52</x:v>
      </x:c>
      <x:c r="U39">
        <x:v>46</x:v>
      </x:c>
      <x:c r="V39">
        <x:v>81</x:v>
      </x:c>
      <x:c r="W39">
        <x:v>51</x:v>
      </x:c>
      <x:c r="X39">
        <x:v>70</x:v>
      </x:c>
      <x:c r="Y39">
        <x:v>72</x:v>
      </x:c>
      <x:c r="Z39">
        <x:v>51</x:v>
      </x:c>
      <x:c r="AA39">
        <x:v>58</x:v>
      </x:c>
    </x:row>
    <x:row r="40">
      <x:c r="A40" t="s">
        <x:v>382</x:v>
      </x:c>
      <x:c r="B40" t="s">
        <x:v>383</x:v>
      </x:c>
      <x:c r="C40" t="s">
        <x:v>331</x:v>
      </x:c>
      <x:c r="D40">
        <x:v>8479323</x:v>
      </x:c>
      <x:c r="E40" t="s">
        <x:v>224</x:v>
      </x:c>
      <x:c r="F40">
        <x:v>55</x:v>
      </x:c>
      <x:c r="G40">
        <x:v>74</x:v>
      </x:c>
      <x:c r="J40" t="s">
        <x:v>2022</x:v>
      </x:c>
      <x:c r="K40">
        <x:v>67</x:v>
      </x:c>
      <x:c r="L40">
        <x:v>34</x:v>
      </x:c>
      <x:c r="M40">
        <x:v>87</x:v>
      </x:c>
      <x:c r="N40">
        <x:v>36</x:v>
      </x:c>
      <x:c r="O40">
        <x:v>76</x:v>
      </x:c>
      <x:c r="P40">
        <x:v>95</x:v>
      </x:c>
      <x:c r="Q40">
        <x:v>83</x:v>
      </x:c>
      <x:c r="R40">
        <x:v>59</x:v>
      </x:c>
      <x:c r="S40">
        <x:v>30</x:v>
      </x:c>
      <x:c r="T40">
        <x:v>75</x:v>
      </x:c>
      <x:c r="U40">
        <x:v>50</x:v>
      </x:c>
      <x:c r="V40">
        <x:v>80</x:v>
      </x:c>
      <x:c r="W40">
        <x:v>57</x:v>
      </x:c>
      <x:c r="X40">
        <x:v>79</x:v>
      </x:c>
      <x:c r="Y40">
        <x:v>84</x:v>
      </x:c>
      <x:c r="Z40">
        <x:v>51</x:v>
      </x:c>
      <x:c r="AA40">
        <x:v>66</x:v>
      </x:c>
    </x:row>
    <x:row r="41">
      <x:c r="A41" t="s">
        <x:v>728</x:v>
      </x:c>
      <x:c r="B41" t="s">
        <x:v>368</x:v>
      </x:c>
      <x:c r="C41" t="s">
        <x:v>331</x:v>
      </x:c>
      <x:c r="D41">
        <x:v>8480879</x:v>
      </x:c>
      <x:c r="E41" t="s">
        <x:v>224</x:v>
      </x:c>
      <x:c r="F41">
        <x:v>63</x:v>
      </x:c>
      <x:c r="G41">
        <x:v>40</x:v>
      </x:c>
      <x:c r="J41" t="s">
        <x:v>2023</x:v>
      </x:c>
      <x:c r="K41">
        <x:v>75</x:v>
      </x:c>
      <x:c r="L41">
        <x:v>56</x:v>
      </x:c>
      <x:c r="M41">
        <x:v>84</x:v>
      </x:c>
      <x:c r="N41">
        <x:v>37</x:v>
      </x:c>
      <x:c r="O41">
        <x:v>79</x:v>
      </x:c>
      <x:c r="P41">
        <x:v>84</x:v>
      </x:c>
      <x:c r="Q41">
        <x:v>83</x:v>
      </x:c>
      <x:c r="R41">
        <x:v>39</x:v>
      </x:c>
      <x:c r="S41">
        <x:v>30</x:v>
      </x:c>
      <x:c r="T41">
        <x:v>49</x:v>
      </x:c>
      <x:c r="U41">
        <x:v>46</x:v>
      </x:c>
      <x:c r="V41">
        <x:v>80</x:v>
      </x:c>
      <x:c r="W41">
        <x:v>52</x:v>
      </x:c>
      <x:c r="X41">
        <x:v>70</x:v>
      </x:c>
      <x:c r="Y41">
        <x:v>68</x:v>
      </x:c>
      <x:c r="Z41">
        <x:v>51</x:v>
      </x:c>
      <x:c r="AA41">
        <x:v>58</x:v>
      </x:c>
    </x:row>
    <x:row r="42">
      <x:c r="A42" t="s">
        <x:v>889</x:v>
      </x:c>
      <x:c r="B42" t="s">
        <x:v>481</x:v>
      </x:c>
      <x:c r="C42" t="s">
        <x:v>331</x:v>
      </x:c>
      <x:c r="D42">
        <x:v>8479372</x:v>
      </x:c>
      <x:c r="E42" t="s">
        <x:v>224</x:v>
      </x:c>
      <x:c r="F42">
        <x:v>23</x:v>
      </x:c>
      <x:c r="G42">
        <x:v>64</x:v>
      </x:c>
      <x:c r="J42" t="s">
        <x:v>2024</x:v>
      </x:c>
      <x:c r="K42">
        <x:v>76</x:v>
      </x:c>
      <x:c r="L42">
        <x:v>36</x:v>
      </x:c>
      <x:c r="M42">
        <x:v>83</x:v>
      </x:c>
      <x:c r="N42">
        <x:v>39</x:v>
      </x:c>
      <x:c r="O42">
        <x:v>78</x:v>
      </x:c>
      <x:c r="P42">
        <x:v>85</x:v>
      </x:c>
      <x:c r="Q42">
        <x:v>54</x:v>
      </x:c>
      <x:c r="R42">
        <x:v>37</x:v>
      </x:c>
      <x:c r="S42">
        <x:v>30</x:v>
      </x:c>
      <x:c r="T42">
        <x:v>49</x:v>
      </x:c>
      <x:c r="U42">
        <x:v>46</x:v>
      </x:c>
      <x:c r="V42">
        <x:v>80</x:v>
      </x:c>
      <x:c r="W42">
        <x:v>52</x:v>
      </x:c>
      <x:c r="X42">
        <x:v>73</x:v>
      </x:c>
      <x:c r="Y42">
        <x:v>69</x:v>
      </x:c>
      <x:c r="Z42">
        <x:v>51</x:v>
      </x:c>
      <x:c r="AA42">
        <x:v>57</x:v>
      </x:c>
    </x:row>
    <x:row r="43">
      <x:c r="A43" t="s">
        <x:v>360</x:v>
      </x:c>
      <x:c r="B43" t="s">
        <x:v>361</x:v>
      </x:c>
      <x:c r="C43" t="s">
        <x:v>331</x:v>
      </x:c>
      <x:c r="D43">
        <x:v>8480839</x:v>
      </x:c>
      <x:c r="E43" t="s">
        <x:v>224</x:v>
      </x:c>
      <x:c r="F43">
        <x:v>77</x:v>
      </x:c>
      <x:c r="G43">
        <x:v>73</x:v>
      </x:c>
      <x:c r="J43" t="s">
        <x:v>2025</x:v>
      </x:c>
      <x:c r="K43">
        <x:v>71</x:v>
      </x:c>
      <x:c r="L43">
        <x:v>61</x:v>
      </x:c>
      <x:c r="M43">
        <x:v>83</x:v>
      </x:c>
      <x:c r="N43">
        <x:v>42</x:v>
      </x:c>
      <x:c r="O43">
        <x:v>82</x:v>
      </x:c>
      <x:c r="P43">
        <x:v>96</x:v>
      </x:c>
      <x:c r="Q43">
        <x:v>96</x:v>
      </x:c>
      <x:c r="R43">
        <x:v>60</x:v>
      </x:c>
      <x:c r="S43">
        <x:v>30</x:v>
      </x:c>
      <x:c r="T43">
        <x:v>78</x:v>
      </x:c>
      <x:c r="U43">
        <x:v>55</x:v>
      </x:c>
      <x:c r="V43">
        <x:v>79</x:v>
      </x:c>
      <x:c r="W43">
        <x:v>59</x:v>
      </x:c>
      <x:c r="X43">
        <x:v>78</x:v>
      </x:c>
      <x:c r="Y43">
        <x:v>84</x:v>
      </x:c>
      <x:c r="Z43">
        <x:v>51</x:v>
      </x:c>
      <x:c r="AA43">
        <x:v>67</x:v>
      </x:c>
    </x:row>
    <x:row r="44">
      <x:c r="A44" t="s">
        <x:v>390</x:v>
      </x:c>
      <x:c r="B44" t="s">
        <x:v>356</x:v>
      </x:c>
      <x:c r="C44" t="s">
        <x:v>331</x:v>
      </x:c>
      <x:c r="D44">
        <x:v>8483457</x:v>
      </x:c>
      <x:c r="E44" t="s">
        <x:v>224</x:v>
      </x:c>
      <x:c r="F44">
        <x:v>82</x:v>
      </x:c>
      <x:c r="G44">
        <x:v>82</x:v>
      </x:c>
      <x:c r="J44" t="s">
        <x:v>1992</x:v>
      </x:c>
      <x:c r="K44">
        <x:v>67</x:v>
      </x:c>
      <x:c r="L44">
        <x:v>33</x:v>
      </x:c>
      <x:c r="M44">
        <x:v>91</x:v>
      </x:c>
      <x:c r="N44">
        <x:v>58</x:v>
      </x:c>
      <x:c r="O44">
        <x:v>41</x:v>
      </x:c>
      <x:c r="P44">
        <x:v>95</x:v>
      </x:c>
      <x:c r="Q44">
        <x:v>99</x:v>
      </x:c>
      <x:c r="R44">
        <x:v>61</x:v>
      </x:c>
      <x:c r="S44">
        <x:v>30</x:v>
      </x:c>
      <x:c r="T44">
        <x:v>78</x:v>
      </x:c>
      <x:c r="U44">
        <x:v>50</x:v>
      </x:c>
      <x:c r="V44">
        <x:v>79</x:v>
      </x:c>
      <x:c r="W44">
        <x:v>57</x:v>
      </x:c>
      <x:c r="X44">
        <x:v>70</x:v>
      </x:c>
      <x:c r="Y44">
        <x:v>71</x:v>
      </x:c>
      <x:c r="Z44">
        <x:v>51</x:v>
      </x:c>
      <x:c r="AA44">
        <x:v>65</x:v>
      </x:c>
    </x:row>
    <x:row r="45">
      <x:c r="A45" t="s">
        <x:v>398</x:v>
      </x:c>
      <x:c r="B45" t="s">
        <x:v>348</x:v>
      </x:c>
      <x:c r="C45" t="s">
        <x:v>331</x:v>
      </x:c>
      <x:c r="D45">
        <x:v>8477504</x:v>
      </x:c>
      <x:c r="E45" t="s">
        <x:v>224</x:v>
      </x:c>
      <x:c r="F45">
        <x:v>77</x:v>
      </x:c>
      <x:c r="G45">
        <x:v>80</x:v>
      </x:c>
      <x:c r="J45" t="s">
        <x:v>2026</x:v>
      </x:c>
      <x:c r="K45">
        <x:v>68</x:v>
      </x:c>
      <x:c r="L45">
        <x:v>34</x:v>
      </x:c>
      <x:c r="M45">
        <x:v>88</x:v>
      </x:c>
      <x:c r="N45">
        <x:v>40</x:v>
      </x:c>
      <x:c r="O45">
        <x:v>79</x:v>
      </x:c>
      <x:c r="P45">
        <x:v>96</x:v>
      </x:c>
      <x:c r="Q45">
        <x:v>97</x:v>
      </x:c>
      <x:c r="R45">
        <x:v>57</x:v>
      </x:c>
      <x:c r="S45">
        <x:v>30</x:v>
      </x:c>
      <x:c r="T45">
        <x:v>64</x:v>
      </x:c>
      <x:c r="U45">
        <x:v>51</x:v>
      </x:c>
      <x:c r="V45">
        <x:v>79</x:v>
      </x:c>
      <x:c r="W45">
        <x:v>52</x:v>
      </x:c>
      <x:c r="X45">
        <x:v>83</x:v>
      </x:c>
      <x:c r="Y45">
        <x:v>80</x:v>
      </x:c>
      <x:c r="Z45">
        <x:v>51</x:v>
      </x:c>
      <x:c r="AA45">
        <x:v>65</x:v>
      </x:c>
    </x:row>
    <x:row r="46">
      <x:c r="A46" t="s">
        <x:v>430</x:v>
      </x:c>
      <x:c r="B46" t="s">
        <x:v>345</x:v>
      </x:c>
      <x:c r="C46" t="s">
        <x:v>331</x:v>
      </x:c>
      <x:c r="D46">
        <x:v>8482122</x:v>
      </x:c>
      <x:c r="E46" t="s">
        <x:v>224</x:v>
      </x:c>
      <x:c r="F46">
        <x:v>80</x:v>
      </x:c>
      <x:c r="G46">
        <x:v>78</x:v>
      </x:c>
      <x:c r="J46" t="s">
        <x:v>2027</x:v>
      </x:c>
      <x:c r="K46">
        <x:v>67</x:v>
      </x:c>
      <x:c r="L46">
        <x:v>57</x:v>
      </x:c>
      <x:c r="M46">
        <x:v>90</x:v>
      </x:c>
      <x:c r="N46">
        <x:v>52</x:v>
      </x:c>
      <x:c r="O46">
        <x:v>81</x:v>
      </x:c>
      <x:c r="P46">
        <x:v>96</x:v>
      </x:c>
      <x:c r="Q46">
        <x:v>99</x:v>
      </x:c>
      <x:c r="R46">
        <x:v>54</x:v>
      </x:c>
      <x:c r="S46">
        <x:v>30</x:v>
      </x:c>
      <x:c r="T46">
        <x:v>56</x:v>
      </x:c>
      <x:c r="U46">
        <x:v>51</x:v>
      </x:c>
      <x:c r="V46">
        <x:v>79</x:v>
      </x:c>
      <x:c r="W46">
        <x:v>51</x:v>
      </x:c>
      <x:c r="X46">
        <x:v>72</x:v>
      </x:c>
      <x:c r="Y46">
        <x:v>82</x:v>
      </x:c>
      <x:c r="Z46">
        <x:v>51</x:v>
      </x:c>
      <x:c r="AA46">
        <x:v>64</x:v>
      </x:c>
    </x:row>
    <x:row r="47">
      <x:c r="A47" t="s">
        <x:v>440</x:v>
      </x:c>
      <x:c r="B47" t="s">
        <x:v>361</x:v>
      </x:c>
      <x:c r="C47" t="s">
        <x:v>331</x:v>
      </x:c>
      <x:c r="D47">
        <x:v>8480807</x:v>
      </x:c>
      <x:c r="E47" t="s">
        <x:v>224</x:v>
      </x:c>
      <x:c r="F47">
        <x:v>78</x:v>
      </x:c>
      <x:c r="G47">
        <x:v>62</x:v>
      </x:c>
      <x:c r="J47" t="s">
        <x:v>2028</x:v>
      </x:c>
      <x:c r="K47">
        <x:v>76</x:v>
      </x:c>
      <x:c r="L47">
        <x:v>44</x:v>
      </x:c>
      <x:c r="M47">
        <x:v>90</x:v>
      </x:c>
      <x:c r="N47">
        <x:v>46</x:v>
      </x:c>
      <x:c r="O47">
        <x:v>90</x:v>
      </x:c>
      <x:c r="P47">
        <x:v>93</x:v>
      </x:c>
      <x:c r="Q47">
        <x:v>94</x:v>
      </x:c>
      <x:c r="R47">
        <x:v>46</x:v>
      </x:c>
      <x:c r="S47">
        <x:v>30</x:v>
      </x:c>
      <x:c r="T47">
        <x:v>56</x:v>
      </x:c>
      <x:c r="U47">
        <x:v>50</x:v>
      </x:c>
      <x:c r="V47">
        <x:v>79</x:v>
      </x:c>
      <x:c r="W47">
        <x:v>52</x:v>
      </x:c>
      <x:c r="X47">
        <x:v>71</x:v>
      </x:c>
      <x:c r="Y47">
        <x:v>72</x:v>
      </x:c>
      <x:c r="Z47">
        <x:v>51</x:v>
      </x:c>
      <x:c r="AA47">
        <x:v>63</x:v>
      </x:c>
    </x:row>
    <x:row r="48">
      <x:c r="A48" t="s">
        <x:v>465</x:v>
      </x:c>
      <x:c r="B48" t="s">
        <x:v>324</x:v>
      </x:c>
      <x:c r="C48" t="s">
        <x:v>331</x:v>
      </x:c>
      <x:c r="D48">
        <x:v>8470613</x:v>
      </x:c>
      <x:c r="E48" t="s">
        <x:v>224</x:v>
      </x:c>
      <x:c r="F48">
        <x:v>82</x:v>
      </x:c>
      <x:c r="G48">
        <x:v>82</x:v>
      </x:c>
      <x:c r="J48" t="s">
        <x:v>1992</x:v>
      </x:c>
      <x:c r="K48">
        <x:v>66</x:v>
      </x:c>
      <x:c r="L48">
        <x:v>43</x:v>
      </x:c>
      <x:c r="M48">
        <x:v>85</x:v>
      </x:c>
      <x:c r="N48">
        <x:v>40</x:v>
      </x:c>
      <x:c r="O48">
        <x:v>90</x:v>
      </x:c>
      <x:c r="P48">
        <x:v>90</x:v>
      </x:c>
      <x:c r="Q48">
        <x:v>99</x:v>
      </x:c>
      <x:c r="R48">
        <x:v>46</x:v>
      </x:c>
      <x:c r="S48">
        <x:v>30</x:v>
      </x:c>
      <x:c r="T48">
        <x:v>58</x:v>
      </x:c>
      <x:c r="U48">
        <x:v>51</x:v>
      </x:c>
      <x:c r="V48">
        <x:v>79</x:v>
      </x:c>
      <x:c r="W48">
        <x:v>61</x:v>
      </x:c>
      <x:c r="X48">
        <x:v>95</x:v>
      </x:c>
      <x:c r="Y48">
        <x:v>88</x:v>
      </x:c>
      <x:c r="Z48">
        <x:v>51</x:v>
      </x:c>
      <x:c r="AA48">
        <x:v>63</x:v>
      </x:c>
    </x:row>
    <x:row r="49">
      <x:c r="A49" t="s">
        <x:v>510</x:v>
      </x:c>
      <x:c r="B49" t="s">
        <x:v>324</x:v>
      </x:c>
      <x:c r="C49" t="s">
        <x:v>331</x:v>
      </x:c>
      <x:c r="D49">
        <x:v>8476312</x:v>
      </x:c>
      <x:c r="E49" t="s">
        <x:v>224</x:v>
      </x:c>
      <x:c r="F49">
        <x:v>79</x:v>
      </x:c>
      <x:c r="G49">
        <x:v>48</x:v>
      </x:c>
      <x:c r="J49" t="s">
        <x:v>2029</x:v>
      </x:c>
      <x:c r="K49">
        <x:v>80</x:v>
      </x:c>
      <x:c r="L49">
        <x:v>78</x:v>
      </x:c>
      <x:c r="M49">
        <x:v>76</x:v>
      </x:c>
      <x:c r="N49">
        <x:v>44</x:v>
      </x:c>
      <x:c r="O49">
        <x:v>87</x:v>
      </x:c>
      <x:c r="P49">
        <x:v>88</x:v>
      </x:c>
      <x:c r="Q49">
        <x:v>95</x:v>
      </x:c>
      <x:c r="R49">
        <x:v>44</x:v>
      </x:c>
      <x:c r="S49">
        <x:v>30</x:v>
      </x:c>
      <x:c r="T49">
        <x:v>61</x:v>
      </x:c>
      <x:c r="U49">
        <x:v>47</x:v>
      </x:c>
      <x:c r="V49">
        <x:v>79</x:v>
      </x:c>
      <x:c r="W49">
        <x:v>52</x:v>
      </x:c>
      <x:c r="X49">
        <x:v>84</x:v>
      </x:c>
      <x:c r="Y49">
        <x:v>78</x:v>
      </x:c>
      <x:c r="Z49">
        <x:v>51</x:v>
      </x:c>
      <x:c r="AA49">
        <x:v>62</x:v>
      </x:c>
    </x:row>
    <x:row r="50">
      <x:c r="A50" t="s">
        <x:v>523</x:v>
      </x:c>
      <x:c r="B50" t="s">
        <x:v>354</x:v>
      </x:c>
      <x:c r="C50" t="s">
        <x:v>331</x:v>
      </x:c>
      <x:c r="D50">
        <x:v>8478396</x:v>
      </x:c>
      <x:c r="E50" t="s">
        <x:v>224</x:v>
      </x:c>
      <x:c r="F50">
        <x:v>71</x:v>
      </x:c>
      <x:c r="G50">
        <x:v>80</x:v>
      </x:c>
      <x:c r="J50" t="s">
        <x:v>2030</x:v>
      </x:c>
      <x:c r="K50">
        <x:v>68</x:v>
      </x:c>
      <x:c r="L50">
        <x:v>41</x:v>
      </x:c>
      <x:c r="M50">
        <x:v>88</x:v>
      </x:c>
      <x:c r="N50">
        <x:v>57</x:v>
      </x:c>
      <x:c r="O50">
        <x:v>83</x:v>
      </x:c>
      <x:c r="P50">
        <x:v>94</x:v>
      </x:c>
      <x:c r="Q50">
        <x:v>92</x:v>
      </x:c>
      <x:c r="R50">
        <x:v>45</x:v>
      </x:c>
      <x:c r="S50">
        <x:v>30</x:v>
      </x:c>
      <x:c r="T50">
        <x:v>57</x:v>
      </x:c>
      <x:c r="U50">
        <x:v>47</x:v>
      </x:c>
      <x:c r="V50">
        <x:v>79</x:v>
      </x:c>
      <x:c r="W50">
        <x:v>57</x:v>
      </x:c>
      <x:c r="X50">
        <x:v>85</x:v>
      </x:c>
      <x:c r="Y50">
        <x:v>76</x:v>
      </x:c>
      <x:c r="Z50">
        <x:v>51</x:v>
      </x:c>
      <x:c r="AA50">
        <x:v>61</x:v>
      </x:c>
    </x:row>
    <x:row r="51">
      <x:c r="A51" t="s">
        <x:v>533</x:v>
      </x:c>
      <x:c r="B51" t="s">
        <x:v>334</x:v>
      </x:c>
      <x:c r="C51" t="s">
        <x:v>331</x:v>
      </x:c>
      <x:c r="D51">
        <x:v>8476854</x:v>
      </x:c>
      <x:c r="E51" t="s">
        <x:v>224</x:v>
      </x:c>
      <x:c r="F51">
        <x:v>67</x:v>
      </x:c>
      <x:c r="G51">
        <x:v>17</x:v>
      </x:c>
      <x:c r="J51" t="s">
        <x:v>2031</x:v>
      </x:c>
      <x:c r="K51">
        <x:v>65</x:v>
      </x:c>
      <x:c r="L51">
        <x:v>42</x:v>
      </x:c>
      <x:c r="M51">
        <x:v>78</x:v>
      </x:c>
      <x:c r="N51">
        <x:v>44</x:v>
      </x:c>
      <x:c r="O51">
        <x:v>87</x:v>
      </x:c>
      <x:c r="P51">
        <x:v>92</x:v>
      </x:c>
      <x:c r="Q51">
        <x:v>81</x:v>
      </x:c>
      <x:c r="R51">
        <x:v>44</x:v>
      </x:c>
      <x:c r="S51">
        <x:v>30</x:v>
      </x:c>
      <x:c r="T51">
        <x:v>55</x:v>
      </x:c>
      <x:c r="U51">
        <x:v>48</x:v>
      </x:c>
      <x:c r="V51">
        <x:v>79</x:v>
      </x:c>
      <x:c r="W51">
        <x:v>52</x:v>
      </x:c>
      <x:c r="X51">
        <x:v>87</x:v>
      </x:c>
      <x:c r="Y51">
        <x:v>80</x:v>
      </x:c>
      <x:c r="Z51">
        <x:v>51</x:v>
      </x:c>
      <x:c r="AA51">
        <x:v>61</x:v>
      </x:c>
    </x:row>
    <x:row r="52">
      <x:c r="A52" t="s">
        <x:v>544</x:v>
      </x:c>
      <x:c r="B52" t="s">
        <x:v>348</x:v>
      </x:c>
      <x:c r="C52" t="s">
        <x:v>331</x:v>
      </x:c>
      <x:c r="D52">
        <x:v>8479983</x:v>
      </x:c>
      <x:c r="E52" t="s">
        <x:v>224</x:v>
      </x:c>
      <x:c r="F52">
        <x:v>82</x:v>
      </x:c>
      <x:c r="G52">
        <x:v>78</x:v>
      </x:c>
      <x:c r="J52" t="s">
        <x:v>2032</x:v>
      </x:c>
      <x:c r="K52">
        <x:v>77</x:v>
      </x:c>
      <x:c r="L52">
        <x:v>63</x:v>
      </x:c>
      <x:c r="M52">
        <x:v>85</x:v>
      </x:c>
      <x:c r="N52">
        <x:v>39</x:v>
      </x:c>
      <x:c r="O52">
        <x:v>81</x:v>
      </x:c>
      <x:c r="P52">
        <x:v>93</x:v>
      </x:c>
      <x:c r="Q52">
        <x:v>99</x:v>
      </x:c>
      <x:c r="R52">
        <x:v>39</x:v>
      </x:c>
      <x:c r="S52">
        <x:v>30</x:v>
      </x:c>
      <x:c r="T52">
        <x:v>52</x:v>
      </x:c>
      <x:c r="U52">
        <x:v>47</x:v>
      </x:c>
      <x:c r="V52">
        <x:v>79</x:v>
      </x:c>
      <x:c r="W52">
        <x:v>52</x:v>
      </x:c>
      <x:c r="X52">
        <x:v>75</x:v>
      </x:c>
      <x:c r="Y52">
        <x:v>78</x:v>
      </x:c>
      <x:c r="Z52">
        <x:v>51</x:v>
      </x:c>
      <x:c r="AA52">
        <x:v>61</x:v>
      </x:c>
    </x:row>
    <x:row r="53">
      <x:c r="A53" t="s">
        <x:v>551</x:v>
      </x:c>
      <x:c r="B53" t="s">
        <x:v>354</x:v>
      </x:c>
      <x:c r="C53" t="s">
        <x:v>331</x:v>
      </x:c>
      <x:c r="D53">
        <x:v>8478468</x:v>
      </x:c>
      <x:c r="E53" t="s">
        <x:v>224</x:v>
      </x:c>
      <x:c r="F53">
        <x:v>68</x:v>
      </x:c>
      <x:c r="G53">
        <x:v>28</x:v>
      </x:c>
      <x:c r="J53" t="s">
        <x:v>2033</x:v>
      </x:c>
      <x:c r="K53">
        <x:v>89</x:v>
      </x:c>
      <x:c r="L53">
        <x:v>91</x:v>
      </x:c>
      <x:c r="M53">
        <x:v>81</x:v>
      </x:c>
      <x:c r="N53">
        <x:v>44</x:v>
      </x:c>
      <x:c r="O53">
        <x:v>89</x:v>
      </x:c>
      <x:c r="P53">
        <x:v>88</x:v>
      </x:c>
      <x:c r="Q53">
        <x:v>85</x:v>
      </x:c>
      <x:c r="R53">
        <x:v>38</x:v>
      </x:c>
      <x:c r="S53">
        <x:v>30</x:v>
      </x:c>
      <x:c r="T53">
        <x:v>51</x:v>
      </x:c>
      <x:c r="U53">
        <x:v>46</x:v>
      </x:c>
      <x:c r="V53">
        <x:v>79</x:v>
      </x:c>
      <x:c r="W53">
        <x:v>52</x:v>
      </x:c>
      <x:c r="X53">
        <x:v>77</x:v>
      </x:c>
      <x:c r="Y53">
        <x:v>71</x:v>
      </x:c>
      <x:c r="Z53">
        <x:v>51</x:v>
      </x:c>
      <x:c r="AA53">
        <x:v>61</x:v>
      </x:c>
    </x:row>
    <x:row r="54">
      <x:c r="A54" t="s">
        <x:v>556</x:v>
      </x:c>
      <x:c r="B54" t="s">
        <x:v>379</x:v>
      </x:c>
      <x:c r="C54" t="s">
        <x:v>331</x:v>
      </x:c>
      <x:c r="D54">
        <x:v>8476441</x:v>
      </x:c>
      <x:c r="E54" t="s">
        <x:v>224</x:v>
      </x:c>
      <x:c r="F54">
        <x:v>82</x:v>
      </x:c>
      <x:c r="G54">
        <x:v>73</x:v>
      </x:c>
      <x:c r="J54" t="s">
        <x:v>2034</x:v>
      </x:c>
      <x:c r="K54">
        <x:v>74</x:v>
      </x:c>
      <x:c r="L54">
        <x:v>64</x:v>
      </x:c>
      <x:c r="M54">
        <x:v>87</x:v>
      </x:c>
      <x:c r="N54">
        <x:v>37</x:v>
      </x:c>
      <x:c r="O54">
        <x:v>88</x:v>
      </x:c>
      <x:c r="P54">
        <x:v>89</x:v>
      </x:c>
      <x:c r="Q54">
        <x:v>99</x:v>
      </x:c>
      <x:c r="R54">
        <x:v>41</x:v>
      </x:c>
      <x:c r="S54">
        <x:v>30</x:v>
      </x:c>
      <x:c r="T54">
        <x:v>55</x:v>
      </x:c>
      <x:c r="U54">
        <x:v>46</x:v>
      </x:c>
      <x:c r="V54">
        <x:v>79</x:v>
      </x:c>
      <x:c r="W54">
        <x:v>52</x:v>
      </x:c>
      <x:c r="X54">
        <x:v>85</x:v>
      </x:c>
      <x:c r="Y54">
        <x:v>76</x:v>
      </x:c>
      <x:c r="Z54">
        <x:v>51</x:v>
      </x:c>
      <x:c r="AA54">
        <x:v>61</x:v>
      </x:c>
    </x:row>
    <x:row r="55">
      <x:c r="A55" t="s">
        <x:v>561</x:v>
      </x:c>
      <x:c r="B55" t="s">
        <x:v>402</x:v>
      </x:c>
      <x:c r="C55" t="s">
        <x:v>331</x:v>
      </x:c>
      <x:c r="D55">
        <x:v>8480796</x:v>
      </x:c>
      <x:c r="E55" t="s">
        <x:v>224</x:v>
      </x:c>
      <x:c r="F55">
        <x:v>81</x:v>
      </x:c>
      <x:c r="G55">
        <x:v>81</x:v>
      </x:c>
      <x:c r="J55" t="s">
        <x:v>2035</x:v>
      </x:c>
      <x:c r="K55">
        <x:v>76</x:v>
      </x:c>
      <x:c r="L55">
        <x:v>63</x:v>
      </x:c>
      <x:c r="M55">
        <x:v>89</x:v>
      </x:c>
      <x:c r="N55">
        <x:v>45</x:v>
      </x:c>
      <x:c r="O55">
        <x:v>86</x:v>
      </x:c>
      <x:c r="P55">
        <x:v>91</x:v>
      </x:c>
      <x:c r="Q55">
        <x:v>99</x:v>
      </x:c>
      <x:c r="R55">
        <x:v>41</x:v>
      </x:c>
      <x:c r="S55">
        <x:v>30</x:v>
      </x:c>
      <x:c r="T55">
        <x:v>56</x:v>
      </x:c>
      <x:c r="U55">
        <x:v>47</x:v>
      </x:c>
      <x:c r="V55">
        <x:v>79</x:v>
      </x:c>
      <x:c r="W55">
        <x:v>52</x:v>
      </x:c>
      <x:c r="X55">
        <x:v>74</x:v>
      </x:c>
      <x:c r="Y55">
        <x:v>75</x:v>
      </x:c>
      <x:c r="Z55">
        <x:v>51</x:v>
      </x:c>
      <x:c r="AA55">
        <x:v>61</x:v>
      </x:c>
    </x:row>
    <x:row r="56">
      <x:c r="A56" t="s">
        <x:v>573</x:v>
      </x:c>
      <x:c r="B56" t="s">
        <x:v>327</x:v>
      </x:c>
      <x:c r="C56" t="s">
        <x:v>331</x:v>
      </x:c>
      <x:c r="D56">
        <x:v>8482655</x:v>
      </x:c>
      <x:c r="E56" t="s">
        <x:v>224</x:v>
      </x:c>
      <x:c r="F56">
        <x:v>79</x:v>
      </x:c>
      <x:c r="G56">
        <x:v>54</x:v>
      </x:c>
      <x:c r="J56" t="s">
        <x:v>2036</x:v>
      </x:c>
      <x:c r="K56">
        <x:v>70</x:v>
      </x:c>
      <x:c r="L56">
        <x:v>73</x:v>
      </x:c>
      <x:c r="M56">
        <x:v>88</x:v>
      </x:c>
      <x:c r="N56">
        <x:v>40</x:v>
      </x:c>
      <x:c r="O56">
        <x:v>76</x:v>
      </x:c>
      <x:c r="P56">
        <x:v>92</x:v>
      </x:c>
      <x:c r="Q56">
        <x:v>95</x:v>
      </x:c>
      <x:c r="R56">
        <x:v>43</x:v>
      </x:c>
      <x:c r="S56">
        <x:v>30</x:v>
      </x:c>
      <x:c r="T56">
        <x:v>55</x:v>
      </x:c>
      <x:c r="U56">
        <x:v>47</x:v>
      </x:c>
      <x:c r="V56">
        <x:v>79</x:v>
      </x:c>
      <x:c r="W56">
        <x:v>51</x:v>
      </x:c>
      <x:c r="X56">
        <x:v>74</x:v>
      </x:c>
      <x:c r="Y56">
        <x:v>72</x:v>
      </x:c>
      <x:c r="Z56">
        <x:v>51</x:v>
      </x:c>
      <x:c r="AA56">
        <x:v>61</x:v>
      </x:c>
    </x:row>
    <x:row r="57">
      <x:c r="A57" t="s">
        <x:v>613</x:v>
      </x:c>
      <x:c r="B57" t="s">
        <x:v>386</x:v>
      </x:c>
      <x:c r="C57" t="s">
        <x:v>331</x:v>
      </x:c>
      <x:c r="D57">
        <x:v>8476958</x:v>
      </x:c>
      <x:c r="E57" t="s">
        <x:v>224</x:v>
      </x:c>
      <x:c r="F57">
        <x:v>39</x:v>
      </x:c>
      <x:c r="G57">
        <x:v>80</x:v>
      </x:c>
      <x:c r="J57" t="s">
        <x:v>2037</x:v>
      </x:c>
      <x:c r="K57">
        <x:v>65</x:v>
      </x:c>
      <x:c r="L57">
        <x:v>41</x:v>
      </x:c>
      <x:c r="M57">
        <x:v>93</x:v>
      </x:c>
      <x:c r="N57">
        <x:v>40</x:v>
      </x:c>
      <x:c r="O57">
        <x:v>83</x:v>
      </x:c>
      <x:c r="P57">
        <x:v>92</x:v>
      </x:c>
      <x:c r="Q57">
        <x:v>77</x:v>
      </x:c>
      <x:c r="R57">
        <x:v>40</x:v>
      </x:c>
      <x:c r="S57">
        <x:v>30</x:v>
      </x:c>
      <x:c r="T57">
        <x:v>51</x:v>
      </x:c>
      <x:c r="U57">
        <x:v>46</x:v>
      </x:c>
      <x:c r="V57">
        <x:v>79</x:v>
      </x:c>
      <x:c r="W57">
        <x:v>61</x:v>
      </x:c>
      <x:c r="X57">
        <x:v>87</x:v>
      </x:c>
      <x:c r="Y57">
        <x:v>86</x:v>
      </x:c>
      <x:c r="Z57">
        <x:v>49</x:v>
      </x:c>
      <x:c r="AA57">
        <x:v>60</x:v>
      </x:c>
    </x:row>
    <x:row r="58">
      <x:c r="A58" t="s">
        <x:v>614</x:v>
      </x:c>
      <x:c r="B58" t="s">
        <x:v>334</x:v>
      </x:c>
      <x:c r="C58" t="s">
        <x:v>331</x:v>
      </x:c>
      <x:c r="D58">
        <x:v>8477365</x:v>
      </x:c>
      <x:c r="E58" t="s">
        <x:v>224</x:v>
      </x:c>
      <x:c r="F58">
        <x:v>50</x:v>
      </x:c>
      <x:c r="G58">
        <x:v>73</x:v>
      </x:c>
      <x:c r="J58" t="s">
        <x:v>2038</x:v>
      </x:c>
      <x:c r="K58">
        <x:v>87</x:v>
      </x:c>
      <x:c r="L58">
        <x:v>87</x:v>
      </x:c>
      <x:c r="M58">
        <x:v>76</x:v>
      </x:c>
      <x:c r="N58">
        <x:v>43</x:v>
      </x:c>
      <x:c r="O58">
        <x:v>79</x:v>
      </x:c>
      <x:c r="P58">
        <x:v>87</x:v>
      </x:c>
      <x:c r="Q58">
        <x:v>81</x:v>
      </x:c>
      <x:c r="R58">
        <x:v>38</x:v>
      </x:c>
      <x:c r="S58">
        <x:v>30</x:v>
      </x:c>
      <x:c r="T58">
        <x:v>50</x:v>
      </x:c>
      <x:c r="U58">
        <x:v>46</x:v>
      </x:c>
      <x:c r="V58">
        <x:v>79</x:v>
      </x:c>
      <x:c r="W58">
        <x:v>52</x:v>
      </x:c>
      <x:c r="X58">
        <x:v>78</x:v>
      </x:c>
      <x:c r="Y58">
        <x:v>73</x:v>
      </x:c>
      <x:c r="Z58">
        <x:v>51</x:v>
      </x:c>
      <x:c r="AA58">
        <x:v>60</x:v>
      </x:c>
    </x:row>
    <x:row r="59">
      <x:c r="A59" t="s">
        <x:v>618</x:v>
      </x:c>
      <x:c r="B59" t="s">
        <x:v>348</x:v>
      </x:c>
      <x:c r="C59" t="s">
        <x:v>331</x:v>
      </x:c>
      <x:c r="D59">
        <x:v>8476331</x:v>
      </x:c>
      <x:c r="E59" t="s">
        <x:v>224</x:v>
      </x:c>
      <x:c r="F59">
        <x:v>82</x:v>
      </x:c>
      <x:c r="G59">
        <x:v>82</x:v>
      </x:c>
      <x:c r="J59" t="s">
        <x:v>1992</x:v>
      </x:c>
      <x:c r="K59">
        <x:v>75</x:v>
      </x:c>
      <x:c r="L59">
        <x:v>39</x:v>
      </x:c>
      <x:c r="M59">
        <x:v>85</x:v>
      </x:c>
      <x:c r="N59">
        <x:v>34</x:v>
      </x:c>
      <x:c r="O59">
        <x:v>79</x:v>
      </x:c>
      <x:c r="P59">
        <x:v>93</x:v>
      </x:c>
      <x:c r="Q59">
        <x:v>99</x:v>
      </x:c>
      <x:c r="R59">
        <x:v>40</x:v>
      </x:c>
      <x:c r="S59">
        <x:v>30</x:v>
      </x:c>
      <x:c r="T59">
        <x:v>52</x:v>
      </x:c>
      <x:c r="U59">
        <x:v>46</x:v>
      </x:c>
      <x:c r="V59">
        <x:v>79</x:v>
      </x:c>
      <x:c r="W59">
        <x:v>52</x:v>
      </x:c>
      <x:c r="X59">
        <x:v>83</x:v>
      </x:c>
      <x:c r="Y59">
        <x:v>73</x:v>
      </x:c>
      <x:c r="Z59">
        <x:v>51</x:v>
      </x:c>
      <x:c r="AA59">
        <x:v>60</x:v>
      </x:c>
    </x:row>
    <x:row r="60">
      <x:c r="A60" t="s">
        <x:v>641</x:v>
      </x:c>
      <x:c r="B60" t="s">
        <x:v>370</x:v>
      </x:c>
      <x:c r="C60" t="s">
        <x:v>331</x:v>
      </x:c>
      <x:c r="D60">
        <x:v>8481606</x:v>
      </x:c>
      <x:c r="E60" t="s">
        <x:v>224</x:v>
      </x:c>
      <x:c r="F60">
        <x:v>73</x:v>
      </x:c>
      <x:c r="G60">
        <x:v>79</x:v>
      </x:c>
      <x:c r="J60" t="s">
        <x:v>2039</x:v>
      </x:c>
      <x:c r="K60">
        <x:v>71</x:v>
      </x:c>
      <x:c r="L60">
        <x:v>32</x:v>
      </x:c>
      <x:c r="M60">
        <x:v>85</x:v>
      </x:c>
      <x:c r="N60">
        <x:v>41</x:v>
      </x:c>
      <x:c r="O60">
        <x:v>77</x:v>
      </x:c>
      <x:c r="P60">
        <x:v>89</x:v>
      </x:c>
      <x:c r="Q60">
        <x:v>93</x:v>
      </x:c>
      <x:c r="R60">
        <x:v>43</x:v>
      </x:c>
      <x:c r="S60">
        <x:v>30</x:v>
      </x:c>
      <x:c r="T60">
        <x:v>59</x:v>
      </x:c>
      <x:c r="U60">
        <x:v>48</x:v>
      </x:c>
      <x:c r="V60">
        <x:v>79</x:v>
      </x:c>
      <x:c r="W60">
        <x:v>52</x:v>
      </x:c>
      <x:c r="X60">
        <x:v>71</x:v>
      </x:c>
      <x:c r="Y60">
        <x:v>73</x:v>
      </x:c>
      <x:c r="Z60">
        <x:v>51</x:v>
      </x:c>
      <x:c r="AA60">
        <x:v>60</x:v>
      </x:c>
    </x:row>
    <x:row r="61">
      <x:c r="A61" t="s">
        <x:v>661</x:v>
      </x:c>
      <x:c r="B61" t="s">
        <x:v>379</x:v>
      </x:c>
      <x:c r="C61" t="s">
        <x:v>331</x:v>
      </x:c>
      <x:c r="D61">
        <x:v>8482730</x:v>
      </x:c>
      <x:c r="E61" t="s">
        <x:v>224</x:v>
      </x:c>
      <x:c r="F61">
        <x:v>82</x:v>
      </x:c>
      <x:c r="G61">
        <x:v>78</x:v>
      </x:c>
      <x:c r="J61" t="s">
        <x:v>2032</x:v>
      </x:c>
      <x:c r="K61">
        <x:v>67</x:v>
      </x:c>
      <x:c r="L61">
        <x:v>51</x:v>
      </x:c>
      <x:c r="M61">
        <x:v>82</x:v>
      </x:c>
      <x:c r="N61">
        <x:v>38</x:v>
      </x:c>
      <x:c r="O61">
        <x:v>81</x:v>
      </x:c>
      <x:c r="P61">
        <x:v>90</x:v>
      </x:c>
      <x:c r="Q61">
        <x:v>99</x:v>
      </x:c>
      <x:c r="R61">
        <x:v>46</x:v>
      </x:c>
      <x:c r="S61">
        <x:v>30</x:v>
      </x:c>
      <x:c r="T61">
        <x:v>66</x:v>
      </x:c>
      <x:c r="U61">
        <x:v>49</x:v>
      </x:c>
      <x:c r="V61">
        <x:v>79</x:v>
      </x:c>
      <x:c r="W61">
        <x:v>70</x:v>
      </x:c>
      <x:c r="X61">
        <x:v>70</x:v>
      </x:c>
      <x:c r="Y61">
        <x:v>72</x:v>
      </x:c>
      <x:c r="Z61">
        <x:v>51</x:v>
      </x:c>
      <x:c r="AA61">
        <x:v>59</x:v>
      </x:c>
    </x:row>
    <x:row r="62">
      <x:c r="A62" t="s">
        <x:v>663</x:v>
      </x:c>
      <x:c r="B62" t="s">
        <x:v>372</x:v>
      </x:c>
      <x:c r="C62" t="s">
        <x:v>331</x:v>
      </x:c>
      <x:c r="D62">
        <x:v>8480950</x:v>
      </x:c>
      <x:c r="E62" t="s">
        <x:v>224</x:v>
      </x:c>
      <x:c r="F62">
        <x:v>53</x:v>
      </x:c>
      <x:c r="G62">
        <x:v>80</x:v>
      </x:c>
      <x:c r="J62" t="s">
        <x:v>2040</x:v>
      </x:c>
      <x:c r="K62">
        <x:v>76</x:v>
      </x:c>
      <x:c r="L62">
        <x:v>73</x:v>
      </x:c>
      <x:c r="M62">
        <x:v>77</x:v>
      </x:c>
      <x:c r="N62">
        <x:v>36</x:v>
      </x:c>
      <x:c r="O62">
        <x:v>83</x:v>
      </x:c>
      <x:c r="P62">
        <x:v>86</x:v>
      </x:c>
      <x:c r="Q62">
        <x:v>83</x:v>
      </x:c>
      <x:c r="R62">
        <x:v>37</x:v>
      </x:c>
      <x:c r="S62">
        <x:v>30</x:v>
      </x:c>
      <x:c r="T62">
        <x:v>52</x:v>
      </x:c>
      <x:c r="U62">
        <x:v>46</x:v>
      </x:c>
      <x:c r="V62">
        <x:v>79</x:v>
      </x:c>
      <x:c r="W62">
        <x:v>52</x:v>
      </x:c>
      <x:c r="X62">
        <x:v>78</x:v>
      </x:c>
      <x:c r="Y62">
        <x:v>72</x:v>
      </x:c>
      <x:c r="Z62">
        <x:v>51</x:v>
      </x:c>
      <x:c r="AA62">
        <x:v>59</x:v>
      </x:c>
    </x:row>
    <x:row r="63">
      <x:c r="A63" t="s">
        <x:v>665</x:v>
      </x:c>
      <x:c r="B63" t="s">
        <x:v>481</x:v>
      </x:c>
      <x:c r="C63" t="s">
        <x:v>331</x:v>
      </x:c>
      <x:c r="D63">
        <x:v>8479324</x:v>
      </x:c>
      <x:c r="E63" t="s">
        <x:v>224</x:v>
      </x:c>
      <x:c r="F63">
        <x:v>76</x:v>
      </x:c>
      <x:c r="G63">
        <x:v>72</x:v>
      </x:c>
      <x:c r="J63" t="s">
        <x:v>2041</x:v>
      </x:c>
      <x:c r="K63">
        <x:v>71</x:v>
      </x:c>
      <x:c r="L63">
        <x:v>65</x:v>
      </x:c>
      <x:c r="M63">
        <x:v>80</x:v>
      </x:c>
      <x:c r="N63">
        <x:v>39</x:v>
      </x:c>
      <x:c r="O63">
        <x:v>79</x:v>
      </x:c>
      <x:c r="P63">
        <x:v>89</x:v>
      </x:c>
      <x:c r="Q63">
        <x:v>95</x:v>
      </x:c>
      <x:c r="R63">
        <x:v>38</x:v>
      </x:c>
      <x:c r="S63">
        <x:v>30</x:v>
      </x:c>
      <x:c r="T63">
        <x:v>50</x:v>
      </x:c>
      <x:c r="U63">
        <x:v>46</x:v>
      </x:c>
      <x:c r="V63">
        <x:v>79</x:v>
      </x:c>
      <x:c r="W63">
        <x:v>52</x:v>
      </x:c>
      <x:c r="X63">
        <x:v>79</x:v>
      </x:c>
      <x:c r="Y63">
        <x:v>77</x:v>
      </x:c>
      <x:c r="Z63">
        <x:v>51</x:v>
      </x:c>
      <x:c r="AA63">
        <x:v>59</x:v>
      </x:c>
    </x:row>
    <x:row r="64">
      <x:c r="A64" t="s">
        <x:v>672</x:v>
      </x:c>
      <x:c r="B64" t="s">
        <x:v>366</x:v>
      </x:c>
      <x:c r="C64" t="s">
        <x:v>331</x:v>
      </x:c>
      <x:c r="D64">
        <x:v>8477488</x:v>
      </x:c>
      <x:c r="E64" t="s">
        <x:v>224</x:v>
      </x:c>
      <x:c r="F64">
        <x:v>37</x:v>
      </x:c>
      <x:c r="G64">
        <x:v>72</x:v>
      </x:c>
      <x:c r="J64" t="s">
        <x:v>2042</x:v>
      </x:c>
      <x:c r="K64">
        <x:v>66</x:v>
      </x:c>
      <x:c r="L64">
        <x:v>44</x:v>
      </x:c>
      <x:c r="M64">
        <x:v>94</x:v>
      </x:c>
      <x:c r="N64">
        <x:v>37</x:v>
      </x:c>
      <x:c r="O64">
        <x:v>83</x:v>
      </x:c>
      <x:c r="P64">
        <x:v>91</x:v>
      </x:c>
      <x:c r="Q64">
        <x:v>74</x:v>
      </x:c>
      <x:c r="R64">
        <x:v>38</x:v>
      </x:c>
      <x:c r="S64">
        <x:v>30</x:v>
      </x:c>
      <x:c r="T64">
        <x:v>51</x:v>
      </x:c>
      <x:c r="U64">
        <x:v>46</x:v>
      </x:c>
      <x:c r="V64">
        <x:v>79</x:v>
      </x:c>
      <x:c r="W64">
        <x:v>52</x:v>
      </x:c>
      <x:c r="X64">
        <x:v>84</x:v>
      </x:c>
      <x:c r="Y64">
        <x:v>77</x:v>
      </x:c>
      <x:c r="Z64">
        <x:v>51</x:v>
      </x:c>
      <x:c r="AA64">
        <x:v>59</x:v>
      </x:c>
    </x:row>
    <x:row r="65">
      <x:c r="A65" t="s">
        <x:v>799</x:v>
      </x:c>
      <x:c r="B65" t="s">
        <x:v>576</x:v>
      </x:c>
      <x:c r="C65" t="s">
        <x:v>331</x:v>
      </x:c>
      <x:c r="D65">
        <x:v>8477810</x:v>
      </x:c>
      <x:c r="E65" t="s">
        <x:v>224</x:v>
      </x:c>
      <x:c r="F65">
        <x:v>68</x:v>
      </x:c>
      <x:c r="G65">
        <x:v>53</x:v>
      </x:c>
      <x:c r="J65" t="s">
        <x:v>2043</x:v>
      </x:c>
      <x:c r="K65">
        <x:v>72</x:v>
      </x:c>
      <x:c r="L65">
        <x:v>74</x:v>
      </x:c>
      <x:c r="M65">
        <x:v>82</x:v>
      </x:c>
      <x:c r="N65">
        <x:v>38</x:v>
      </x:c>
      <x:c r="O65">
        <x:v>76</x:v>
      </x:c>
      <x:c r="P65">
        <x:v>86</x:v>
      </x:c>
      <x:c r="Q65">
        <x:v>87</x:v>
      </x:c>
      <x:c r="R65">
        <x:v>35</x:v>
      </x:c>
      <x:c r="S65">
        <x:v>30</x:v>
      </x:c>
      <x:c r="T65">
        <x:v>50</x:v>
      </x:c>
      <x:c r="U65">
        <x:v>45</x:v>
      </x:c>
      <x:c r="V65">
        <x:v>79</x:v>
      </x:c>
      <x:c r="W65">
        <x:v>52</x:v>
      </x:c>
      <x:c r="X65">
        <x:v>75</x:v>
      </x:c>
      <x:c r="Y65">
        <x:v>76</x:v>
      </x:c>
      <x:c r="Z65">
        <x:v>51</x:v>
      </x:c>
      <x:c r="AA65">
        <x:v>58</x:v>
      </x:c>
    </x:row>
    <x:row r="66">
      <x:c r="A66" t="s">
        <x:v>898</x:v>
      </x:c>
      <x:c r="B66" t="s">
        <x:v>361</x:v>
      </x:c>
      <x:c r="C66" t="s">
        <x:v>331</x:v>
      </x:c>
      <x:c r="D66">
        <x:v>8478502</x:v>
      </x:c>
      <x:c r="E66" t="s">
        <x:v>224</x:v>
      </x:c>
      <x:c r="F66">
        <x:v>8</x:v>
      </x:c>
      <x:c r="G66">
        <x:v>29</x:v>
      </x:c>
      <x:c r="J66" t="s">
        <x:v>2044</x:v>
      </x:c>
      <x:c r="K66">
        <x:v>80</x:v>
      </x:c>
      <x:c r="L66">
        <x:v>91</x:v>
      </x:c>
      <x:c r="M66">
        <x:v>77</x:v>
      </x:c>
      <x:c r="N66">
        <x:v>37</x:v>
      </x:c>
      <x:c r="O66">
        <x:v>87</x:v>
      </x:c>
      <x:c r="P66">
        <x:v>76</x:v>
      </x:c>
      <x:c r="Q66">
        <x:v>78</x:v>
      </x:c>
      <x:c r="R66">
        <x:v>34</x:v>
      </x:c>
      <x:c r="S66">
        <x:v>30</x:v>
      </x:c>
      <x:c r="T66">
        <x:v>52</x:v>
      </x:c>
      <x:c r="U66">
        <x:v>41</x:v>
      </x:c>
      <x:c r="V66">
        <x:v>79</x:v>
      </x:c>
      <x:c r="W66">
        <x:v>48</x:v>
      </x:c>
      <x:c r="X66">
        <x:v>69</x:v>
      </x:c>
      <x:c r="Y66">
        <x:v>72</x:v>
      </x:c>
      <x:c r="Z66">
        <x:v>51</x:v>
      </x:c>
      <x:c r="AA66">
        <x:v>56</x:v>
      </x:c>
    </x:row>
    <x:row r="67">
      <x:c r="A67" t="s">
        <x:v>1001</x:v>
      </x:c>
      <x:c r="B67" t="s">
        <x:v>481</x:v>
      </x:c>
      <x:c r="C67" t="s">
        <x:v>331</x:v>
      </x:c>
      <x:c r="D67">
        <x:v>8479985</x:v>
      </x:c>
      <x:c r="E67" t="s">
        <x:v>224</x:v>
      </x:c>
      <x:c r="F67">
        <x:v>23</x:v>
      </x:c>
      <x:c r="G67">
        <x:v>14</x:v>
      </x:c>
      <x:c r="J67" t="s">
        <x:v>2045</x:v>
      </x:c>
      <x:c r="K67">
        <x:v>81</x:v>
      </x:c>
      <x:c r="L67">
        <x:v>71</x:v>
      </x:c>
      <x:c r="M67">
        <x:v>96</x:v>
      </x:c>
      <x:c r="N67">
        <x:v>39</x:v>
      </x:c>
      <x:c r="O67">
        <x:v>82</x:v>
      </x:c>
      <x:c r="P67">
        <x:v>84</x:v>
      </x:c>
      <x:c r="Q67">
        <x:v>54</x:v>
      </x:c>
      <x:c r="R67">
        <x:v>35</x:v>
      </x:c>
      <x:c r="S67">
        <x:v>30</x:v>
      </x:c>
      <x:c r="T67">
        <x:v>49</x:v>
      </x:c>
      <x:c r="U67">
        <x:v>46</x:v>
      </x:c>
      <x:c r="V67">
        <x:v>79</x:v>
      </x:c>
      <x:c r="W67">
        <x:v>52</x:v>
      </x:c>
      <x:c r="X67">
        <x:v>68</x:v>
      </x:c>
      <x:c r="Y67">
        <x:v>70</x:v>
      </x:c>
      <x:c r="Z67">
        <x:v>51</x:v>
      </x:c>
      <x:c r="AA67">
        <x:v>55</x:v>
      </x:c>
    </x:row>
    <x:row r="68">
      <x:c r="A68" t="s">
        <x:v>336</x:v>
      </x:c>
      <x:c r="B68" t="s">
        <x:v>337</x:v>
      </x:c>
      <x:c r="C68" t="s">
        <x:v>331</x:v>
      </x:c>
      <x:c r="D68">
        <x:v>8478460</x:v>
      </x:c>
      <x:c r="E68" t="s">
        <x:v>224</x:v>
      </x:c>
      <x:c r="F68">
        <x:v>75</x:v>
      </x:c>
      <x:c r="G68">
        <x:v>81</x:v>
      </x:c>
      <x:c r="J68" t="s">
        <x:v>2046</x:v>
      </x:c>
      <x:c r="K68">
        <x:v>66</x:v>
      </x:c>
      <x:c r="L68">
        <x:v>43</x:v>
      </x:c>
      <x:c r="M68">
        <x:v>93</x:v>
      </x:c>
      <x:c r="N68">
        <x:v>58</x:v>
      </x:c>
      <x:c r="O68">
        <x:v>86</x:v>
      </x:c>
      <x:c r="P68">
        <x:v>98</x:v>
      </x:c>
      <x:c r="Q68">
        <x:v>95</x:v>
      </x:c>
      <x:c r="R68">
        <x:v>65</x:v>
      </x:c>
      <x:c r="S68">
        <x:v>30</x:v>
      </x:c>
      <x:c r="T68">
        <x:v>74</x:v>
      </x:c>
      <x:c r="U68">
        <x:v>57</x:v>
      </x:c>
      <x:c r="V68">
        <x:v>78</x:v>
      </x:c>
      <x:c r="W68">
        <x:v>65</x:v>
      </x:c>
      <x:c r="X68">
        <x:v>80</x:v>
      </x:c>
      <x:c r="Y68">
        <x:v>87</x:v>
      </x:c>
      <x:c r="Z68">
        <x:v>49</x:v>
      </x:c>
      <x:c r="AA68">
        <x:v>68</x:v>
      </x:c>
    </x:row>
    <x:row r="69">
      <x:c r="A69" t="s">
        <x:v>341</x:v>
      </x:c>
      <x:c r="B69" t="s">
        <x:v>327</x:v>
      </x:c>
      <x:c r="C69" t="s">
        <x:v>331</x:v>
      </x:c>
      <x:c r="D69">
        <x:v>8474590</x:v>
      </x:c>
      <x:c r="E69" t="s">
        <x:v>224</x:v>
      </x:c>
      <x:c r="F69">
        <x:v>71</x:v>
      </x:c>
      <x:c r="G69">
        <x:v>79</x:v>
      </x:c>
      <x:c r="J69" t="s">
        <x:v>2047</x:v>
      </x:c>
      <x:c r="K69">
        <x:v>67</x:v>
      </x:c>
      <x:c r="L69">
        <x:v>42</x:v>
      </x:c>
      <x:c r="M69">
        <x:v>85</x:v>
      </x:c>
      <x:c r="N69">
        <x:v>40</x:v>
      </x:c>
      <x:c r="O69">
        <x:v>88</x:v>
      </x:c>
      <x:c r="P69">
        <x:v>95</x:v>
      </x:c>
      <x:c r="Q69">
        <x:v>92</x:v>
      </x:c>
      <x:c r="R69">
        <x:v>58</x:v>
      </x:c>
      <x:c r="S69">
        <x:v>30</x:v>
      </x:c>
      <x:c r="T69">
        <x:v>73</x:v>
      </x:c>
      <x:c r="U69">
        <x:v>51</x:v>
      </x:c>
      <x:c r="V69">
        <x:v>78</x:v>
      </x:c>
      <x:c r="W69">
        <x:v>60</x:v>
      </x:c>
      <x:c r="X69">
        <x:v>92</x:v>
      </x:c>
      <x:c r="Y69">
        <x:v>86</x:v>
      </x:c>
      <x:c r="Z69">
        <x:v>51</x:v>
      </x:c>
      <x:c r="AA69">
        <x:v>67</x:v>
      </x:c>
    </x:row>
    <x:row r="70">
      <x:c r="A70" t="s">
        <x:v>359</x:v>
      </x:c>
      <x:c r="B70" t="s">
        <x:v>334</x:v>
      </x:c>
      <x:c r="C70" t="s">
        <x:v>331</x:v>
      </x:c>
      <x:c r="D70">
        <x:v>8479325</x:v>
      </x:c>
      <x:c r="E70" t="s">
        <x:v>224</x:v>
      </x:c>
      <x:c r="F70">
        <x:v>69</x:v>
      </x:c>
      <x:c r="G70">
        <x:v>50</x:v>
      </x:c>
      <x:c r="J70" t="s">
        <x:v>2048</x:v>
      </x:c>
      <x:c r="K70">
        <x:v>72</x:v>
      </x:c>
      <x:c r="L70">
        <x:v>42</x:v>
      </x:c>
      <x:c r="M70">
        <x:v>80</x:v>
      </x:c>
      <x:c r="N70">
        <x:v>46</x:v>
      </x:c>
      <x:c r="O70">
        <x:v>85</x:v>
      </x:c>
      <x:c r="P70">
        <x:v>96</x:v>
      </x:c>
      <x:c r="Q70">
        <x:v>88</x:v>
      </x:c>
      <x:c r="R70">
        <x:v>57</x:v>
      </x:c>
      <x:c r="S70">
        <x:v>30</x:v>
      </x:c>
      <x:c r="T70">
        <x:v>71</x:v>
      </x:c>
      <x:c r="U70">
        <x:v>50</x:v>
      </x:c>
      <x:c r="V70">
        <x:v>78</x:v>
      </x:c>
      <x:c r="W70">
        <x:v>66</x:v>
      </x:c>
      <x:c r="X70">
        <x:v>83</x:v>
      </x:c>
      <x:c r="Y70">
        <x:v>83</x:v>
      </x:c>
      <x:c r="Z70">
        <x:v>51</x:v>
      </x:c>
      <x:c r="AA70">
        <x:v>67</x:v>
      </x:c>
    </x:row>
    <x:row r="71">
      <x:c r="A71" t="s">
        <x:v>363</x:v>
      </x:c>
      <x:c r="B71" t="s">
        <x:v>364</x:v>
      </x:c>
      <x:c r="C71" t="s">
        <x:v>331</x:v>
      </x:c>
      <x:c r="D71">
        <x:v>8479410</x:v>
      </x:c>
      <x:c r="E71" t="s">
        <x:v>224</x:v>
      </x:c>
      <x:c r="F71">
        <x:v>78</x:v>
      </x:c>
      <x:c r="G71">
        <x:v>77</x:v>
      </x:c>
      <x:c r="J71" t="s">
        <x:v>2049</x:v>
      </x:c>
      <x:c r="K71">
        <x:v>68</x:v>
      </x:c>
      <x:c r="L71">
        <x:v>43</x:v>
      </x:c>
      <x:c r="M71">
        <x:v>85</x:v>
      </x:c>
      <x:c r="N71">
        <x:v>51</x:v>
      </x:c>
      <x:c r="O71">
        <x:v>85</x:v>
      </x:c>
      <x:c r="P71">
        <x:v>96</x:v>
      </x:c>
      <x:c r="Q71">
        <x:v>96</x:v>
      </x:c>
      <x:c r="R71">
        <x:v>57</x:v>
      </x:c>
      <x:c r="S71">
        <x:v>30</x:v>
      </x:c>
      <x:c r="T71">
        <x:v>69</x:v>
      </x:c>
      <x:c r="U71">
        <x:v>50</x:v>
      </x:c>
      <x:c r="V71">
        <x:v>78</x:v>
      </x:c>
      <x:c r="W71">
        <x:v>58</x:v>
      </x:c>
      <x:c r="X71">
        <x:v>84</x:v>
      </x:c>
      <x:c r="Y71">
        <x:v>83</x:v>
      </x:c>
      <x:c r="Z71">
        <x:v>51</x:v>
      </x:c>
      <x:c r="AA71">
        <x:v>66</x:v>
      </x:c>
    </x:row>
    <x:row r="72">
      <x:c r="A72" t="s">
        <x:v>421</x:v>
      </x:c>
      <x:c r="B72" t="s">
        <x:v>354</x:v>
      </x:c>
      <x:c r="C72" t="s">
        <x:v>331</x:v>
      </x:c>
      <x:c r="D72">
        <x:v>8478397</x:v>
      </x:c>
      <x:c r="E72" t="s">
        <x:v>224</x:v>
      </x:c>
      <x:c r="F72">
        <x:v>81</x:v>
      </x:c>
      <x:c r="G72">
        <x:v>81</x:v>
      </x:c>
      <x:c r="J72" t="s">
        <x:v>2035</x:v>
      </x:c>
      <x:c r="K72">
        <x:v>67</x:v>
      </x:c>
      <x:c r="L72">
        <x:v>55</x:v>
      </x:c>
      <x:c r="M72">
        <x:v>83</x:v>
      </x:c>
      <x:c r="N72">
        <x:v>40</x:v>
      </x:c>
      <x:c r="O72">
        <x:v>82</x:v>
      </x:c>
      <x:c r="P72">
        <x:v>95</x:v>
      </x:c>
      <x:c r="Q72">
        <x:v>99</x:v>
      </x:c>
      <x:c r="R72">
        <x:v>51</x:v>
      </x:c>
      <x:c r="S72">
        <x:v>30</x:v>
      </x:c>
      <x:c r="T72">
        <x:v>57</x:v>
      </x:c>
      <x:c r="U72">
        <x:v>55</x:v>
      </x:c>
      <x:c r="V72">
        <x:v>78</x:v>
      </x:c>
      <x:c r="W72">
        <x:v>71</x:v>
      </x:c>
      <x:c r="X72">
        <x:v>81</x:v>
      </x:c>
      <x:c r="Y72">
        <x:v>80</x:v>
      </x:c>
      <x:c r="Z72">
        <x:v>51</x:v>
      </x:c>
      <x:c r="AA72">
        <x:v>64</x:v>
      </x:c>
    </x:row>
    <x:row r="73">
      <x:c r="A73" t="s">
        <x:v>424</x:v>
      </x:c>
      <x:c r="B73" t="s">
        <x:v>356</x:v>
      </x:c>
      <x:c r="C73" t="s">
        <x:v>331</x:v>
      </x:c>
      <x:c r="D73">
        <x:v>8480865</x:v>
      </x:c>
      <x:c r="E73" t="s">
        <x:v>224</x:v>
      </x:c>
      <x:c r="F73">
        <x:v>80</x:v>
      </x:c>
      <x:c r="G73">
        <x:v>71</x:v>
      </x:c>
      <x:c r="J73" t="s">
        <x:v>2050</x:v>
      </x:c>
      <x:c r="K73">
        <x:v>70</x:v>
      </x:c>
      <x:c r="L73">
        <x:v>40</x:v>
      </x:c>
      <x:c r="M73">
        <x:v>86</x:v>
      </x:c>
      <x:c r="N73">
        <x:v>43</x:v>
      </x:c>
      <x:c r="O73">
        <x:v>81</x:v>
      </x:c>
      <x:c r="P73">
        <x:v>94</x:v>
      </x:c>
      <x:c r="Q73">
        <x:v>98</x:v>
      </x:c>
      <x:c r="R73">
        <x:v>52</x:v>
      </x:c>
      <x:c r="S73">
        <x:v>30</x:v>
      </x:c>
      <x:c r="T73">
        <x:v>63</x:v>
      </x:c>
      <x:c r="U73">
        <x:v>50</x:v>
      </x:c>
      <x:c r="V73">
        <x:v>78</x:v>
      </x:c>
      <x:c r="W73">
        <x:v>59</x:v>
      </x:c>
      <x:c r="X73">
        <x:v>78</x:v>
      </x:c>
      <x:c r="Y73">
        <x:v>78</x:v>
      </x:c>
      <x:c r="Z73">
        <x:v>51</x:v>
      </x:c>
      <x:c r="AA73">
        <x:v>64</x:v>
      </x:c>
    </x:row>
    <x:row r="74">
      <x:c r="A74" t="s">
        <x:v>442</x:v>
      </x:c>
      <x:c r="B74" t="s">
        <x:v>386</x:v>
      </x:c>
      <x:c r="C74" t="s">
        <x:v>331</x:v>
      </x:c>
      <x:c r="D74">
        <x:v>8480817</x:v>
      </x:c>
      <x:c r="E74" t="s">
        <x:v>224</x:v>
      </x:c>
      <x:c r="F74">
        <x:v>72</x:v>
      </x:c>
      <x:c r="G74">
        <x:v>74</x:v>
      </x:c>
      <x:c r="J74" t="s">
        <x:v>2051</x:v>
      </x:c>
      <x:c r="K74">
        <x:v>74</x:v>
      </x:c>
      <x:c r="L74">
        <x:v>42</x:v>
      </x:c>
      <x:c r="M74">
        <x:v>79</x:v>
      </x:c>
      <x:c r="N74">
        <x:v>49</x:v>
      </x:c>
      <x:c r="O74">
        <x:v>84</x:v>
      </x:c>
      <x:c r="P74">
        <x:v>94</x:v>
      </x:c>
      <x:c r="Q74">
        <x:v>92</x:v>
      </x:c>
      <x:c r="R74">
        <x:v>47</x:v>
      </x:c>
      <x:c r="S74">
        <x:v>30</x:v>
      </x:c>
      <x:c r="T74">
        <x:v>57</x:v>
      </x:c>
      <x:c r="U74">
        <x:v>48</x:v>
      </x:c>
      <x:c r="V74">
        <x:v>78</x:v>
      </x:c>
      <x:c r="W74">
        <x:v>63</x:v>
      </x:c>
      <x:c r="X74">
        <x:v>78</x:v>
      </x:c>
      <x:c r="Y74">
        <x:v>72</x:v>
      </x:c>
      <x:c r="Z74">
        <x:v>51</x:v>
      </x:c>
      <x:c r="AA74">
        <x:v>63</x:v>
      </x:c>
    </x:row>
    <x:row r="75">
      <x:c r="A75" t="s">
        <x:v>450</x:v>
      </x:c>
      <x:c r="B75" t="s">
        <x:v>343</x:v>
      </x:c>
      <x:c r="C75" t="s">
        <x:v>331</x:v>
      </x:c>
      <x:c r="D75">
        <x:v>8481581</x:v>
      </x:c>
      <x:c r="E75" t="s">
        <x:v>224</x:v>
      </x:c>
      <x:c r="F75">
        <x:v>70</x:v>
      </x:c>
      <x:c r="G75">
        <x:v>78</x:v>
      </x:c>
      <x:c r="J75" t="s">
        <x:v>2052</x:v>
      </x:c>
      <x:c r="K75">
        <x:v>68</x:v>
      </x:c>
      <x:c r="L75">
        <x:v>42</x:v>
      </x:c>
      <x:c r="M75">
        <x:v>86</x:v>
      </x:c>
      <x:c r="N75">
        <x:v>43</x:v>
      </x:c>
      <x:c r="O75">
        <x:v>86</x:v>
      </x:c>
      <x:c r="P75">
        <x:v>95</x:v>
      </x:c>
      <x:c r="Q75">
        <x:v>92</x:v>
      </x:c>
      <x:c r="R75">
        <x:v>52</x:v>
      </x:c>
      <x:c r="S75">
        <x:v>30</x:v>
      </x:c>
      <x:c r="T75">
        <x:v>61</x:v>
      </x:c>
      <x:c r="U75">
        <x:v>48</x:v>
      </x:c>
      <x:c r="V75">
        <x:v>78</x:v>
      </x:c>
      <x:c r="W75">
        <x:v>53</x:v>
      </x:c>
      <x:c r="X75">
        <x:v>75</x:v>
      </x:c>
      <x:c r="Y75">
        <x:v>80</x:v>
      </x:c>
      <x:c r="Z75">
        <x:v>51</x:v>
      </x:c>
      <x:c r="AA75">
        <x:v>63</x:v>
      </x:c>
    </x:row>
    <x:row r="76">
      <x:c r="A76" t="s">
        <x:v>495</x:v>
      </x:c>
      <x:c r="B76" t="s">
        <x:v>481</x:v>
      </x:c>
      <x:c r="C76" t="s">
        <x:v>331</x:v>
      </x:c>
      <x:c r="D76">
        <x:v>8476457</x:v>
      </x:c>
      <x:c r="E76" t="s">
        <x:v>224</x:v>
      </x:c>
      <x:c r="F76">
        <x:v>82</x:v>
      </x:c>
      <x:c r="G76">
        <x:v>82</x:v>
      </x:c>
      <x:c r="J76" t="s">
        <x:v>1992</x:v>
      </x:c>
      <x:c r="K76">
        <x:v>74</x:v>
      </x:c>
      <x:c r="L76">
        <x:v>48</x:v>
      </x:c>
      <x:c r="M76">
        <x:v>80</x:v>
      </x:c>
      <x:c r="N76">
        <x:v>38</x:v>
      </x:c>
      <x:c r="O76">
        <x:v>83</x:v>
      </x:c>
      <x:c r="P76">
        <x:v>93</x:v>
      </x:c>
      <x:c r="Q76">
        <x:v>99</x:v>
      </x:c>
      <x:c r="R76">
        <x:v>42</x:v>
      </x:c>
      <x:c r="S76">
        <x:v>30</x:v>
      </x:c>
      <x:c r="T76">
        <x:v>54</x:v>
      </x:c>
      <x:c r="U76">
        <x:v>48</x:v>
      </x:c>
      <x:c r="V76">
        <x:v>78</x:v>
      </x:c>
      <x:c r="W76">
        <x:v>52</x:v>
      </x:c>
      <x:c r="X76">
        <x:v>86</x:v>
      </x:c>
      <x:c r="Y76">
        <x:v>80</x:v>
      </x:c>
      <x:c r="Z76">
        <x:v>51</x:v>
      </x:c>
      <x:c r="AA76">
        <x:v>62</x:v>
      </x:c>
    </x:row>
    <x:row r="77">
      <x:c r="A77" t="s">
        <x:v>505</x:v>
      </x:c>
      <x:c r="B77" t="s">
        <x:v>340</x:v>
      </x:c>
      <x:c r="C77" t="s">
        <x:v>331</x:v>
      </x:c>
      <x:c r="D77">
        <x:v>8477498</x:v>
      </x:c>
      <x:c r="E77" t="s">
        <x:v>224</x:v>
      </x:c>
      <x:c r="F77">
        <x:v>82</x:v>
      </x:c>
      <x:c r="G77">
        <x:v>76</x:v>
      </x:c>
      <x:c r="J77" t="s">
        <x:v>2014</x:v>
      </x:c>
      <x:c r="K77">
        <x:v>77</x:v>
      </x:c>
      <x:c r="L77">
        <x:v>82</x:v>
      </x:c>
      <x:c r="M77">
        <x:v>81</x:v>
      </x:c>
      <x:c r="N77">
        <x:v>57</x:v>
      </x:c>
      <x:c r="O77">
        <x:v>86</x:v>
      </x:c>
      <x:c r="P77">
        <x:v>92</x:v>
      </x:c>
      <x:c r="Q77">
        <x:v>99</x:v>
      </x:c>
      <x:c r="R77">
        <x:v>43</x:v>
      </x:c>
      <x:c r="S77">
        <x:v>30</x:v>
      </x:c>
      <x:c r="T77">
        <x:v>53</x:v>
      </x:c>
      <x:c r="U77">
        <x:v>48</x:v>
      </x:c>
      <x:c r="V77">
        <x:v>78</x:v>
      </x:c>
      <x:c r="W77">
        <x:v>52</x:v>
      </x:c>
      <x:c r="X77">
        <x:v>87</x:v>
      </x:c>
      <x:c r="Y77">
        <x:v>82</x:v>
      </x:c>
      <x:c r="Z77">
        <x:v>51</x:v>
      </x:c>
      <x:c r="AA77">
        <x:v>62</x:v>
      </x:c>
    </x:row>
    <x:row r="78">
      <x:c r="A78" t="s">
        <x:v>515</x:v>
      </x:c>
      <x:c r="B78" t="s">
        <x:v>386</x:v>
      </x:c>
      <x:c r="C78" t="s">
        <x:v>331</x:v>
      </x:c>
      <x:c r="D78">
        <x:v>8480336</x:v>
      </x:c>
      <x:c r="E78" t="s">
        <x:v>224</x:v>
      </x:c>
      <x:c r="F78">
        <x:v>81</x:v>
      </x:c>
      <x:c r="G78">
        <x:v>82</x:v>
      </x:c>
      <x:c r="J78" t="s">
        <x:v>2011</x:v>
      </x:c>
      <x:c r="K78">
        <x:v>76</x:v>
      </x:c>
      <x:c r="L78">
        <x:v>48</x:v>
      </x:c>
      <x:c r="M78">
        <x:v>79</x:v>
      </x:c>
      <x:c r="N78">
        <x:v>47</x:v>
      </x:c>
      <x:c r="O78">
        <x:v>78</x:v>
      </x:c>
      <x:c r="P78">
        <x:v>92</x:v>
      </x:c>
      <x:c r="Q78">
        <x:v>99</x:v>
      </x:c>
      <x:c r="R78">
        <x:v>43</x:v>
      </x:c>
      <x:c r="S78">
        <x:v>30</x:v>
      </x:c>
      <x:c r="T78">
        <x:v>54</x:v>
      </x:c>
      <x:c r="U78">
        <x:v>49</x:v>
      </x:c>
      <x:c r="V78">
        <x:v>78</x:v>
      </x:c>
      <x:c r="W78">
        <x:v>53</x:v>
      </x:c>
      <x:c r="X78">
        <x:v>79</x:v>
      </x:c>
      <x:c r="Y78">
        <x:v>72</x:v>
      </x:c>
      <x:c r="Z78">
        <x:v>51</x:v>
      </x:c>
      <x:c r="AA78">
        <x:v>61</x:v>
      </x:c>
    </x:row>
    <x:row r="79">
      <x:c r="A79" t="s">
        <x:v>531</x:v>
      </x:c>
      <x:c r="B79" t="s">
        <x:v>383</x:v>
      </x:c>
      <x:c r="C79" t="s">
        <x:v>331</x:v>
      </x:c>
      <x:c r="D79">
        <x:v>8477969</x:v>
      </x:c>
      <x:c r="E79" t="s">
        <x:v>224</x:v>
      </x:c>
      <x:c r="F79">
        <x:v>82</x:v>
      </x:c>
      <x:c r="G79">
        <x:v>78</x:v>
      </x:c>
      <x:c r="J79" t="s">
        <x:v>2032</x:v>
      </x:c>
      <x:c r="K79">
        <x:v>72</x:v>
      </x:c>
      <x:c r="L79">
        <x:v>56</x:v>
      </x:c>
      <x:c r="M79">
        <x:v>79</x:v>
      </x:c>
      <x:c r="N79">
        <x:v>35</x:v>
      </x:c>
      <x:c r="O79">
        <x:v>74</x:v>
      </x:c>
      <x:c r="P79">
        <x:v>93</x:v>
      </x:c>
      <x:c r="Q79">
        <x:v>99</x:v>
      </x:c>
      <x:c r="R79">
        <x:v>42</x:v>
      </x:c>
      <x:c r="S79">
        <x:v>30</x:v>
      </x:c>
      <x:c r="T79">
        <x:v>53</x:v>
      </x:c>
      <x:c r="U79">
        <x:v>46</x:v>
      </x:c>
      <x:c r="V79">
        <x:v>78</x:v>
      </x:c>
      <x:c r="W79">
        <x:v>52</x:v>
      </x:c>
      <x:c r="X79">
        <x:v>80</x:v>
      </x:c>
      <x:c r="Y79">
        <x:v>77</x:v>
      </x:c>
      <x:c r="Z79">
        <x:v>51</x:v>
      </x:c>
      <x:c r="AA79">
        <x:v>61</x:v>
      </x:c>
    </x:row>
    <x:row r="80">
      <x:c r="A80" t="s">
        <x:v>534</x:v>
      </x:c>
      <x:c r="B80" t="s">
        <x:v>334</x:v>
      </x:c>
      <x:c r="C80" t="s">
        <x:v>331</x:v>
      </x:c>
      <x:c r="D80">
        <x:v>8477507</x:v>
      </x:c>
      <x:c r="E80" t="s">
        <x:v>224</x:v>
      </x:c>
      <x:c r="F80">
        <x:v>81</x:v>
      </x:c>
      <x:c r="G80">
        <x:v>81</x:v>
      </x:c>
      <x:c r="J80" t="s">
        <x:v>2035</x:v>
      </x:c>
      <x:c r="K80">
        <x:v>80</x:v>
      </x:c>
      <x:c r="L80">
        <x:v>87</x:v>
      </x:c>
      <x:c r="M80">
        <x:v>75</x:v>
      </x:c>
      <x:c r="N80">
        <x:v>46</x:v>
      </x:c>
      <x:c r="O80">
        <x:v>97</x:v>
      </x:c>
      <x:c r="P80">
        <x:v>92</x:v>
      </x:c>
      <x:c r="Q80">
        <x:v>99</x:v>
      </x:c>
      <x:c r="R80">
        <x:v>40</x:v>
      </x:c>
      <x:c r="S80">
        <x:v>30</x:v>
      </x:c>
      <x:c r="T80">
        <x:v>54</x:v>
      </x:c>
      <x:c r="U80">
        <x:v>46</x:v>
      </x:c>
      <x:c r="V80">
        <x:v>78</x:v>
      </x:c>
      <x:c r="W80">
        <x:v>52</x:v>
      </x:c>
      <x:c r="X80">
        <x:v>85</x:v>
      </x:c>
      <x:c r="Y80">
        <x:v>75</x:v>
      </x:c>
      <x:c r="Z80">
        <x:v>51</x:v>
      </x:c>
      <x:c r="AA80">
        <x:v>61</x:v>
      </x:c>
    </x:row>
    <x:row r="81">
      <x:c r="A81" t="s">
        <x:v>537</x:v>
      </x:c>
      <x:c r="B81" t="s">
        <x:v>400</x:v>
      </x:c>
      <x:c r="C81" t="s">
        <x:v>331</x:v>
      </x:c>
      <x:c r="D81">
        <x:v>8475462</x:v>
      </x:c>
      <x:c r="E81" t="s">
        <x:v>224</x:v>
      </x:c>
      <x:c r="F81">
        <x:v>56</x:v>
      </x:c>
      <x:c r="G81">
        <x:v>81</x:v>
      </x:c>
      <x:c r="J81" t="s">
        <x:v>2053</x:v>
      </x:c>
      <x:c r="K81">
        <x:v>85</x:v>
      </x:c>
      <x:c r="L81">
        <x:v>86</x:v>
      </x:c>
      <x:c r="M81">
        <x:v>78</x:v>
      </x:c>
      <x:c r="N81">
        <x:v>38</x:v>
      </x:c>
      <x:c r="O81">
        <x:v>83</x:v>
      </x:c>
      <x:c r="P81">
        <x:v>87</x:v>
      </x:c>
      <x:c r="Q81">
        <x:v>84</x:v>
      </x:c>
      <x:c r="R81">
        <x:v>37</x:v>
      </x:c>
      <x:c r="S81">
        <x:v>30</x:v>
      </x:c>
      <x:c r="T81">
        <x:v>53</x:v>
      </x:c>
      <x:c r="U81">
        <x:v>46</x:v>
      </x:c>
      <x:c r="V81">
        <x:v>78</x:v>
      </x:c>
      <x:c r="W81">
        <x:v>52</x:v>
      </x:c>
      <x:c r="X81">
        <x:v>85</x:v>
      </x:c>
      <x:c r="Y81">
        <x:v>85</x:v>
      </x:c>
      <x:c r="Z81">
        <x:v>51</x:v>
      </x:c>
      <x:c r="AA81">
        <x:v>61</x:v>
      </x:c>
    </x:row>
    <x:row r="82">
      <x:c r="A82" t="s">
        <x:v>540</x:v>
      </x:c>
      <x:c r="B82" t="s">
        <x:v>379</x:v>
      </x:c>
      <x:c r="C82" t="s">
        <x:v>331</x:v>
      </x:c>
      <x:c r="D82">
        <x:v>8474563</x:v>
      </x:c>
      <x:c r="E82" t="s">
        <x:v>224</x:v>
      </x:c>
      <x:c r="F82">
        <x:v>72</x:v>
      </x:c>
      <x:c r="G82">
        <x:v>30</x:v>
      </x:c>
      <x:c r="J82" t="s">
        <x:v>2054</x:v>
      </x:c>
      <x:c r="K82">
        <x:v>69</x:v>
      </x:c>
      <x:c r="L82">
        <x:v>42</x:v>
      </x:c>
      <x:c r="M82">
        <x:v>80</x:v>
      </x:c>
      <x:c r="N82">
        <x:v>38</x:v>
      </x:c>
      <x:c r="O82">
        <x:v>84</x:v>
      </x:c>
      <x:c r="P82">
        <x:v>95</x:v>
      </x:c>
      <x:c r="Q82">
        <x:v>87</x:v>
      </x:c>
      <x:c r="R82">
        <x:v>44</x:v>
      </x:c>
      <x:c r="S82">
        <x:v>30</x:v>
      </x:c>
      <x:c r="T82">
        <x:v>53</x:v>
      </x:c>
      <x:c r="U82">
        <x:v>47</x:v>
      </x:c>
      <x:c r="V82">
        <x:v>78</x:v>
      </x:c>
      <x:c r="W82">
        <x:v>55</x:v>
      </x:c>
      <x:c r="X82">
        <x:v>92</x:v>
      </x:c>
      <x:c r="Y82">
        <x:v>86</x:v>
      </x:c>
      <x:c r="Z82">
        <x:v>51</x:v>
      </x:c>
      <x:c r="AA82">
        <x:v>61</x:v>
      </x:c>
    </x:row>
    <x:row r="83">
      <x:c r="A83" t="s">
        <x:v>546</x:v>
      </x:c>
      <x:c r="B83" t="s">
        <x:v>337</x:v>
      </x:c>
      <x:c r="C83" t="s">
        <x:v>331</x:v>
      </x:c>
      <x:c r="D83">
        <x:v>8476923</x:v>
      </x:c>
      <x:c r="E83" t="s">
        <x:v>224</x:v>
      </x:c>
      <x:c r="F83">
        <x:v>71</x:v>
      </x:c>
      <x:c r="G83">
        <x:v>70</x:v>
      </x:c>
      <x:c r="J83" t="s">
        <x:v>2055</x:v>
      </x:c>
      <x:c r="K83">
        <x:v>68</x:v>
      </x:c>
      <x:c r="L83">
        <x:v>60</x:v>
      </x:c>
      <x:c r="M83">
        <x:v>78</x:v>
      </x:c>
      <x:c r="N83">
        <x:v>42</x:v>
      </x:c>
      <x:c r="O83">
        <x:v>82</x:v>
      </x:c>
      <x:c r="P83">
        <x:v>93</x:v>
      </x:c>
      <x:c r="Q83">
        <x:v>90</x:v>
      </x:c>
      <x:c r="R83">
        <x:v>44</x:v>
      </x:c>
      <x:c r="S83">
        <x:v>30</x:v>
      </x:c>
      <x:c r="T83">
        <x:v>57</x:v>
      </x:c>
      <x:c r="U83">
        <x:v>49</x:v>
      </x:c>
      <x:c r="V83">
        <x:v>78</x:v>
      </x:c>
      <x:c r="W83">
        <x:v>61</x:v>
      </x:c>
      <x:c r="X83">
        <x:v>83</x:v>
      </x:c>
      <x:c r="Y83">
        <x:v>79</x:v>
      </x:c>
      <x:c r="Z83">
        <x:v>51</x:v>
      </x:c>
      <x:c r="AA83">
        <x:v>61</x:v>
      </x:c>
    </x:row>
    <x:row r="84">
      <x:c r="A84" t="s">
        <x:v>547</x:v>
      </x:c>
      <x:c r="B84" t="s">
        <x:v>364</x:v>
      </x:c>
      <x:c r="C84" t="s">
        <x:v>331</x:v>
      </x:c>
      <x:c r="D84">
        <x:v>8478507</x:v>
      </x:c>
      <x:c r="E84" t="s">
        <x:v>224</x:v>
      </x:c>
      <x:c r="F84">
        <x:v>80</x:v>
      </x:c>
      <x:c r="G84">
        <x:v>35</x:v>
      </x:c>
      <x:c r="J84" t="s">
        <x:v>2056</x:v>
      </x:c>
      <x:c r="K84">
        <x:v>67</x:v>
      </x:c>
      <x:c r="L84">
        <x:v>41</x:v>
      </x:c>
      <x:c r="M84">
        <x:v>93</x:v>
      </x:c>
      <x:c r="N84">
        <x:v>43</x:v>
      </x:c>
      <x:c r="O84">
        <x:v>81</x:v>
      </x:c>
      <x:c r="P84">
        <x:v>92</x:v>
      </x:c>
      <x:c r="Q84">
        <x:v>94</x:v>
      </x:c>
      <x:c r="R84">
        <x:v>44</x:v>
      </x:c>
      <x:c r="S84">
        <x:v>30</x:v>
      </x:c>
      <x:c r="T84">
        <x:v>63</x:v>
      </x:c>
      <x:c r="U84">
        <x:v>46</x:v>
      </x:c>
      <x:c r="V84">
        <x:v>78</x:v>
      </x:c>
      <x:c r="W84">
        <x:v>52</x:v>
      </x:c>
      <x:c r="X84">
        <x:v>77</x:v>
      </x:c>
      <x:c r="Y84">
        <x:v>75</x:v>
      </x:c>
      <x:c r="Z84">
        <x:v>51</x:v>
      </x:c>
      <x:c r="AA84">
        <x:v>61</x:v>
      </x:c>
    </x:row>
    <x:row r="85">
      <x:c r="A85" t="s">
        <x:v>554</x:v>
      </x:c>
      <x:c r="B85" t="s">
        <x:v>348</x:v>
      </x:c>
      <x:c r="C85" t="s">
        <x:v>331</x:v>
      </x:c>
      <x:c r="D85">
        <x:v>8480145</x:v>
      </x:c>
      <x:c r="E85" t="s">
        <x:v>224</x:v>
      </x:c>
      <x:c r="F85">
        <x:v>51</x:v>
      </x:c>
      <x:c r="G85">
        <x:v>69</x:v>
      </x:c>
      <x:c r="J85" t="s">
        <x:v>2057</x:v>
      </x:c>
      <x:c r="K85">
        <x:v>78</x:v>
      </x:c>
      <x:c r="L85">
        <x:v>47</x:v>
      </x:c>
      <x:c r="M85">
        <x:v>84</x:v>
      </x:c>
      <x:c r="N85">
        <x:v>37</x:v>
      </x:c>
      <x:c r="O85">
        <x:v>77</x:v>
      </x:c>
      <x:c r="P85">
        <x:v>94</x:v>
      </x:c>
      <x:c r="Q85">
        <x:v>81</x:v>
      </x:c>
      <x:c r="R85">
        <x:v>42</x:v>
      </x:c>
      <x:c r="S85">
        <x:v>30</x:v>
      </x:c>
      <x:c r="T85">
        <x:v>52</x:v>
      </x:c>
      <x:c r="U85">
        <x:v>47</x:v>
      </x:c>
      <x:c r="V85">
        <x:v>78</x:v>
      </x:c>
      <x:c r="W85">
        <x:v>52</x:v>
      </x:c>
      <x:c r="X85">
        <x:v>80</x:v>
      </x:c>
      <x:c r="Y85">
        <x:v>77</x:v>
      </x:c>
      <x:c r="Z85">
        <x:v>51</x:v>
      </x:c>
      <x:c r="AA85">
        <x:v>61</x:v>
      </x:c>
    </x:row>
    <x:row r="86">
      <x:c r="A86" t="s">
        <x:v>557</x:v>
      </x:c>
      <x:c r="B86" t="s">
        <x:v>356</x:v>
      </x:c>
      <x:c r="C86" t="s">
        <x:v>331</x:v>
      </x:c>
      <x:c r="D86">
        <x:v>8478851</x:v>
      </x:c>
      <x:c r="E86" t="s">
        <x:v>224</x:v>
      </x:c>
      <x:c r="F86">
        <x:v>73</x:v>
      </x:c>
      <x:c r="G86">
        <x:v>79</x:v>
      </x:c>
      <x:c r="J86" t="s">
        <x:v>2039</x:v>
      </x:c>
      <x:c r="K86">
        <x:v>69</x:v>
      </x:c>
      <x:c r="L86">
        <x:v>36</x:v>
      </x:c>
      <x:c r="M86">
        <x:v>83</x:v>
      </x:c>
      <x:c r="N86">
        <x:v>38</x:v>
      </x:c>
      <x:c r="O86">
        <x:v>74</x:v>
      </x:c>
      <x:c r="P86">
        <x:v>91</x:v>
      </x:c>
      <x:c r="Q86">
        <x:v>94</x:v>
      </x:c>
      <x:c r="R86">
        <x:v>43</x:v>
      </x:c>
      <x:c r="S86">
        <x:v>30</x:v>
      </x:c>
      <x:c r="T86">
        <x:v>54</x:v>
      </x:c>
      <x:c r="U86">
        <x:v>47</x:v>
      </x:c>
      <x:c r="V86">
        <x:v>78</x:v>
      </x:c>
      <x:c r="W86">
        <x:v>52</x:v>
      </x:c>
      <x:c r="X86">
        <x:v>76</x:v>
      </x:c>
      <x:c r="Y86">
        <x:v>72</x:v>
      </x:c>
      <x:c r="Z86">
        <x:v>51</x:v>
      </x:c>
      <x:c r="AA86">
        <x:v>61</x:v>
      </x:c>
    </x:row>
    <x:row r="87">
      <x:c r="A87" t="s">
        <x:v>563</x:v>
      </x:c>
      <x:c r="B87" t="s">
        <x:v>402</x:v>
      </x:c>
      <x:c r="C87" t="s">
        <x:v>331</x:v>
      </x:c>
      <x:c r="D87">
        <x:v>8480873</x:v>
      </x:c>
      <x:c r="E87" t="s">
        <x:v>224</x:v>
      </x:c>
      <x:c r="F87">
        <x:v>73</x:v>
      </x:c>
      <x:c r="G87">
        <x:v>82</x:v>
      </x:c>
      <x:c r="J87" t="s">
        <x:v>2058</x:v>
      </x:c>
      <x:c r="K87">
        <x:v>74</x:v>
      </x:c>
      <x:c r="L87">
        <x:v>36</x:v>
      </x:c>
      <x:c r="M87">
        <x:v>92</x:v>
      </x:c>
      <x:c r="N87">
        <x:v>40</x:v>
      </x:c>
      <x:c r="O87">
        <x:v>77</x:v>
      </x:c>
      <x:c r="P87">
        <x:v>91</x:v>
      </x:c>
      <x:c r="Q87">
        <x:v>94</x:v>
      </x:c>
      <x:c r="R87">
        <x:v>43</x:v>
      </x:c>
      <x:c r="S87">
        <x:v>30</x:v>
      </x:c>
      <x:c r="T87">
        <x:v>59</x:v>
      </x:c>
      <x:c r="U87">
        <x:v>47</x:v>
      </x:c>
      <x:c r="V87">
        <x:v>78</x:v>
      </x:c>
      <x:c r="W87">
        <x:v>52</x:v>
      </x:c>
      <x:c r="X87">
        <x:v>75</x:v>
      </x:c>
      <x:c r="Y87">
        <x:v>72</x:v>
      </x:c>
      <x:c r="Z87">
        <x:v>51</x:v>
      </x:c>
      <x:c r="AA87">
        <x:v>61</x:v>
      </x:c>
    </x:row>
    <x:row r="88">
      <x:c r="A88" t="s">
        <x:v>594</x:v>
      </x:c>
      <x:c r="B88" t="s">
        <x:v>354</x:v>
      </x:c>
      <x:c r="C88" t="s">
        <x:v>331</x:v>
      </x:c>
      <x:c r="D88">
        <x:v>8478450</x:v>
      </x:c>
      <x:c r="E88" t="s">
        <x:v>224</x:v>
      </x:c>
      <x:c r="F88">
        <x:v>80</x:v>
      </x:c>
      <x:c r="G88">
        <x:v>55</x:v>
      </x:c>
      <x:c r="J88" t="s">
        <x:v>2059</x:v>
      </x:c>
      <x:c r="K88">
        <x:v>78</x:v>
      </x:c>
      <x:c r="L88">
        <x:v>52</x:v>
      </x:c>
      <x:c r="M88">
        <x:v>86</x:v>
      </x:c>
      <x:c r="N88">
        <x:v>38</x:v>
      </x:c>
      <x:c r="O88">
        <x:v>77</x:v>
      </x:c>
      <x:c r="P88">
        <x:v>91</x:v>
      </x:c>
      <x:c r="Q88">
        <x:v>96</x:v>
      </x:c>
      <x:c r="R88">
        <x:v>41</x:v>
      </x:c>
      <x:c r="S88">
        <x:v>30</x:v>
      </x:c>
      <x:c r="T88">
        <x:v>56</x:v>
      </x:c>
      <x:c r="U88">
        <x:v>46</x:v>
      </x:c>
      <x:c r="V88">
        <x:v>78</x:v>
      </x:c>
      <x:c r="W88">
        <x:v>52</x:v>
      </x:c>
      <x:c r="X88">
        <x:v>70</x:v>
      </x:c>
      <x:c r="Y88">
        <x:v>71</x:v>
      </x:c>
      <x:c r="Z88">
        <x:v>51</x:v>
      </x:c>
      <x:c r="AA88">
        <x:v>60</x:v>
      </x:c>
    </x:row>
    <x:row r="89">
      <x:c r="A89" t="s">
        <x:v>630</x:v>
      </x:c>
      <x:c r="B89" t="s">
        <x:v>427</x:v>
      </x:c>
      <x:c r="C89" t="s">
        <x:v>331</x:v>
      </x:c>
      <x:c r="D89">
        <x:v>8477499</x:v>
      </x:c>
      <x:c r="E89" t="s">
        <x:v>224</x:v>
      </x:c>
      <x:c r="F89">
        <x:v>44</x:v>
      </x:c>
      <x:c r="G89">
        <x:v>63</x:v>
      </x:c>
      <x:c r="J89" t="s">
        <x:v>2060</x:v>
      </x:c>
      <x:c r="K89">
        <x:v>73</x:v>
      </x:c>
      <x:c r="L89">
        <x:v>43</x:v>
      </x:c>
      <x:c r="M89">
        <x:v>92</x:v>
      </x:c>
      <x:c r="N89">
        <x:v>40</x:v>
      </x:c>
      <x:c r="O89">
        <x:v>83</x:v>
      </x:c>
      <x:c r="P89">
        <x:v>93</x:v>
      </x:c>
      <x:c r="Q89">
        <x:v>76</x:v>
      </x:c>
      <x:c r="R89">
        <x:v>40</x:v>
      </x:c>
      <x:c r="S89">
        <x:v>30</x:v>
      </x:c>
      <x:c r="T89">
        <x:v>53</x:v>
      </x:c>
      <x:c r="U89">
        <x:v>46</x:v>
      </x:c>
      <x:c r="V89">
        <x:v>78</x:v>
      </x:c>
      <x:c r="W89">
        <x:v>62</x:v>
      </x:c>
      <x:c r="X89">
        <x:v>82</x:v>
      </x:c>
      <x:c r="Y89">
        <x:v>78</x:v>
      </x:c>
      <x:c r="Z89">
        <x:v>51</x:v>
      </x:c>
      <x:c r="AA89">
        <x:v>60</x:v>
      </x:c>
    </x:row>
    <x:row r="90">
      <x:c r="A90" t="s">
        <x:v>638</x:v>
      </x:c>
      <x:c r="B90" t="s">
        <x:v>576</x:v>
      </x:c>
      <x:c r="C90" t="s">
        <x:v>331</x:v>
      </x:c>
      <x:c r="D90">
        <x:v>8478840</x:v>
      </x:c>
      <x:c r="E90" t="s">
        <x:v>224</x:v>
      </x:c>
      <x:c r="F90">
        <x:v>75</x:v>
      </x:c>
      <x:c r="G90">
        <x:v>84</x:v>
      </x:c>
      <x:c r="J90" t="s">
        <x:v>2061</x:v>
      </x:c>
      <x:c r="K90">
        <x:v>77</x:v>
      </x:c>
      <x:c r="L90">
        <x:v>62</x:v>
      </x:c>
      <x:c r="M90">
        <x:v>84</x:v>
      </x:c>
      <x:c r="N90">
        <x:v>48</x:v>
      </x:c>
      <x:c r="O90">
        <x:v>80</x:v>
      </x:c>
      <x:c r="P90">
        <x:v>89</x:v>
      </x:c>
      <x:c r="Q90">
        <x:v>96</x:v>
      </x:c>
      <x:c r="R90">
        <x:v>38</x:v>
      </x:c>
      <x:c r="S90">
        <x:v>30</x:v>
      </x:c>
      <x:c r="T90">
        <x:v>51</x:v>
      </x:c>
      <x:c r="U90">
        <x:v>47</x:v>
      </x:c>
      <x:c r="V90">
        <x:v>78</x:v>
      </x:c>
      <x:c r="W90">
        <x:v>52</x:v>
      </x:c>
      <x:c r="X90">
        <x:v>75</x:v>
      </x:c>
      <x:c r="Y90">
        <x:v>75</x:v>
      </x:c>
      <x:c r="Z90">
        <x:v>51</x:v>
      </x:c>
      <x:c r="AA90">
        <x:v>60</x:v>
      </x:c>
    </x:row>
    <x:row r="91">
      <x:c r="A91" t="s">
        <x:v>642</x:v>
      </x:c>
      <x:c r="B91" t="s">
        <x:v>327</x:v>
      </x:c>
      <x:c r="C91" t="s">
        <x:v>331</x:v>
      </x:c>
      <x:c r="D91">
        <x:v>8478416</x:v>
      </x:c>
      <x:c r="E91" t="s">
        <x:v>224</x:v>
      </x:c>
      <x:c r="F91">
        <x:v>61</x:v>
      </x:c>
      <x:c r="G91">
        <x:v>76</x:v>
      </x:c>
      <x:c r="J91" t="s">
        <x:v>2062</x:v>
      </x:c>
      <x:c r="K91">
        <x:v>79</x:v>
      </x:c>
      <x:c r="L91">
        <x:v>79</x:v>
      </x:c>
      <x:c r="M91">
        <x:v>76</x:v>
      </x:c>
      <x:c r="N91">
        <x:v>44</x:v>
      </x:c>
      <x:c r="O91">
        <x:v>92</x:v>
      </x:c>
      <x:c r="P91">
        <x:v>88</x:v>
      </x:c>
      <x:c r="Q91">
        <x:v>85</x:v>
      </x:c>
      <x:c r="R91">
        <x:v>39</x:v>
      </x:c>
      <x:c r="S91">
        <x:v>30</x:v>
      </x:c>
      <x:c r="T91">
        <x:v>51</x:v>
      </x:c>
      <x:c r="U91">
        <x:v>46</x:v>
      </x:c>
      <x:c r="V91">
        <x:v>78</x:v>
      </x:c>
      <x:c r="W91">
        <x:v>52</x:v>
      </x:c>
      <x:c r="X91">
        <x:v>82</x:v>
      </x:c>
      <x:c r="Y91">
        <x:v>79</x:v>
      </x:c>
      <x:c r="Z91">
        <x:v>51</x:v>
      </x:c>
      <x:c r="AA91">
        <x:v>60</x:v>
      </x:c>
    </x:row>
    <x:row r="92">
      <x:c r="A92" t="s">
        <x:v>654</x:v>
      </x:c>
      <x:c r="B92" t="s">
        <x:v>350</x:v>
      </x:c>
      <x:c r="C92" t="s">
        <x:v>331</x:v>
      </x:c>
      <x:c r="D92">
        <x:v>8477845</x:v>
      </x:c>
      <x:c r="E92" t="s">
        <x:v>224</x:v>
      </x:c>
      <x:c r="F92">
        <x:v>68</x:v>
      </x:c>
      <x:c r="G92">
        <x:v>82</x:v>
      </x:c>
      <x:c r="J92" t="s">
        <x:v>2063</x:v>
      </x:c>
      <x:c r="K92">
        <x:v>65</x:v>
      </x:c>
      <x:c r="L92">
        <x:v>40</x:v>
      </x:c>
      <x:c r="M92">
        <x:v>87</x:v>
      </x:c>
      <x:c r="N92">
        <x:v>42</x:v>
      </x:c>
      <x:c r="O92">
        <x:v>84</x:v>
      </x:c>
      <x:c r="P92">
        <x:v>86</x:v>
      </x:c>
      <x:c r="Q92">
        <x:v>91</x:v>
      </x:c>
      <x:c r="R92">
        <x:v>40</x:v>
      </x:c>
      <x:c r="S92">
        <x:v>30</x:v>
      </x:c>
      <x:c r="T92">
        <x:v>53</x:v>
      </x:c>
      <x:c r="U92">
        <x:v>46</x:v>
      </x:c>
      <x:c r="V92">
        <x:v>78</x:v>
      </x:c>
      <x:c r="W92">
        <x:v>53</x:v>
      </x:c>
      <x:c r="X92">
        <x:v>83</x:v>
      </x:c>
      <x:c r="Y92">
        <x:v>75</x:v>
      </x:c>
      <x:c r="Z92">
        <x:v>51</x:v>
      </x:c>
      <x:c r="AA92">
        <x:v>59</x:v>
      </x:c>
    </x:row>
    <x:row r="93">
      <x:c r="A93" t="s">
        <x:v>656</x:v>
      </x:c>
      <x:c r="B93" t="s">
        <x:v>350</x:v>
      </x:c>
      <x:c r="C93" t="s">
        <x:v>331</x:v>
      </x:c>
      <x:c r="D93">
        <x:v>8479398</x:v>
      </x:c>
      <x:c r="E93" t="s">
        <x:v>224</x:v>
      </x:c>
      <x:c r="F93">
        <x:v>60</x:v>
      </x:c>
      <x:c r="G93">
        <x:v>73</x:v>
      </x:c>
      <x:c r="J93" t="s">
        <x:v>2064</x:v>
      </x:c>
      <x:c r="K93">
        <x:v>68</x:v>
      </x:c>
      <x:c r="L93">
        <x:v>44</x:v>
      </x:c>
      <x:c r="M93">
        <x:v>86</x:v>
      </x:c>
      <x:c r="N93">
        <x:v>42</x:v>
      </x:c>
      <x:c r="O93">
        <x:v>41</x:v>
      </x:c>
      <x:c r="P93">
        <x:v>90</x:v>
      </x:c>
      <x:c r="Q93">
        <x:v>84</x:v>
      </x:c>
      <x:c r="R93">
        <x:v>42</x:v>
      </x:c>
      <x:c r="S93">
        <x:v>30</x:v>
      </x:c>
      <x:c r="T93">
        <x:v>56</x:v>
      </x:c>
      <x:c r="U93">
        <x:v>46</x:v>
      </x:c>
      <x:c r="V93">
        <x:v>78</x:v>
      </x:c>
      <x:c r="W93">
        <x:v>52</x:v>
      </x:c>
      <x:c r="X93">
        <x:v>83</x:v>
      </x:c>
      <x:c r="Y93">
        <x:v>74</x:v>
      </x:c>
      <x:c r="Z93">
        <x:v>51</x:v>
      </x:c>
      <x:c r="AA93">
        <x:v>59</x:v>
      </x:c>
    </x:row>
    <x:row r="94">
      <x:c r="A94" t="s">
        <x:v>674</x:v>
      </x:c>
      <x:c r="B94" t="s">
        <x:v>366</x:v>
      </x:c>
      <x:c r="C94" t="s">
        <x:v>331</x:v>
      </x:c>
      <x:c r="D94">
        <x:v>8478399</x:v>
      </x:c>
      <x:c r="E94" t="s">
        <x:v>224</x:v>
      </x:c>
      <x:c r="F94">
        <x:v>82</x:v>
      </x:c>
      <x:c r="G94">
        <x:v>55</x:v>
      </x:c>
      <x:c r="J94" t="s">
        <x:v>2065</x:v>
      </x:c>
      <x:c r="K94">
        <x:v>74</x:v>
      </x:c>
      <x:c r="L94">
        <x:v>63</x:v>
      </x:c>
      <x:c r="M94">
        <x:v>83</x:v>
      </x:c>
      <x:c r="N94">
        <x:v>38</x:v>
      </x:c>
      <x:c r="O94">
        <x:v>87</x:v>
      </x:c>
      <x:c r="P94">
        <x:v>91</x:v>
      </x:c>
      <x:c r="Q94">
        <x:v>97</x:v>
      </x:c>
      <x:c r="R94">
        <x:v>38</x:v>
      </x:c>
      <x:c r="S94">
        <x:v>30</x:v>
      </x:c>
      <x:c r="T94">
        <x:v>52</x:v>
      </x:c>
      <x:c r="U94">
        <x:v>45</x:v>
      </x:c>
      <x:c r="V94">
        <x:v>78</x:v>
      </x:c>
      <x:c r="W94">
        <x:v>52</x:v>
      </x:c>
      <x:c r="X94">
        <x:v>77</x:v>
      </x:c>
      <x:c r="Y94">
        <x:v>73</x:v>
      </x:c>
      <x:c r="Z94">
        <x:v>51</x:v>
      </x:c>
      <x:c r="AA94">
        <x:v>59</x:v>
      </x:c>
    </x:row>
    <x:row r="95">
      <x:c r="A95" t="s">
        <x:v>676</x:v>
      </x:c>
      <x:c r="B95" t="s">
        <x:v>400</x:v>
      </x:c>
      <x:c r="C95" t="s">
        <x:v>331</x:v>
      </x:c>
      <x:c r="D95">
        <x:v>8478859</x:v>
      </x:c>
      <x:c r="E95" t="s">
        <x:v>224</x:v>
      </x:c>
      <x:c r="F95">
        <x:v>68</x:v>
      </x:c>
      <x:c r="G95">
        <x:v>76</x:v>
      </x:c>
      <x:c r="J95" t="s">
        <x:v>2016</x:v>
      </x:c>
      <x:c r="K95">
        <x:v>77</x:v>
      </x:c>
      <x:c r="L95">
        <x:v>66</x:v>
      </x:c>
      <x:c r="M95">
        <x:v>82</x:v>
      </x:c>
      <x:c r="N95">
        <x:v>46</x:v>
      </x:c>
      <x:c r="O95">
        <x:v>82</x:v>
      </x:c>
      <x:c r="P95">
        <x:v>92</x:v>
      </x:c>
      <x:c r="Q95">
        <x:v>91</x:v>
      </x:c>
      <x:c r="R95">
        <x:v>38</x:v>
      </x:c>
      <x:c r="S95">
        <x:v>30</x:v>
      </x:c>
      <x:c r="T95">
        <x:v>50</x:v>
      </x:c>
      <x:c r="U95">
        <x:v>46</x:v>
      </x:c>
      <x:c r="V95">
        <x:v>78</x:v>
      </x:c>
      <x:c r="W95">
        <x:v>52</x:v>
      </x:c>
      <x:c r="X95">
        <x:v>78</x:v>
      </x:c>
      <x:c r="Y95">
        <x:v>70</x:v>
      </x:c>
      <x:c r="Z95">
        <x:v>51</x:v>
      </x:c>
      <x:c r="AA95">
        <x:v>59</x:v>
      </x:c>
    </x:row>
    <x:row r="96">
      <x:c r="A96" t="s">
        <x:v>685</x:v>
      </x:c>
      <x:c r="B96" t="s">
        <x:v>370</x:v>
      </x:c>
      <x:c r="C96" t="s">
        <x:v>331</x:v>
      </x:c>
      <x:c r="D96">
        <x:v>8482095</x:v>
      </x:c>
      <x:c r="E96" t="s">
        <x:v>224</x:v>
      </x:c>
      <x:c r="F96">
        <x:v>70</x:v>
      </x:c>
      <x:c r="G96">
        <x:v>79</x:v>
      </x:c>
      <x:c r="J96" t="s">
        <x:v>2066</x:v>
      </x:c>
      <x:c r="K96">
        <x:v>79</x:v>
      </x:c>
      <x:c r="L96">
        <x:v>75</x:v>
      </x:c>
      <x:c r="M96">
        <x:v>82</x:v>
      </x:c>
      <x:c r="N96">
        <x:v>40</x:v>
      </x:c>
      <x:c r="O96">
        <x:v>89</x:v>
      </x:c>
      <x:c r="P96">
        <x:v>87</x:v>
      </x:c>
      <x:c r="Q96">
        <x:v>91</x:v>
      </x:c>
      <x:c r="R96">
        <x:v>39</x:v>
      </x:c>
      <x:c r="S96">
        <x:v>30</x:v>
      </x:c>
      <x:c r="T96">
        <x:v>53</x:v>
      </x:c>
      <x:c r="U96">
        <x:v>47</x:v>
      </x:c>
      <x:c r="V96">
        <x:v>78</x:v>
      </x:c>
      <x:c r="W96">
        <x:v>52</x:v>
      </x:c>
      <x:c r="X96">
        <x:v>70</x:v>
      </x:c>
      <x:c r="Y96">
        <x:v>65</x:v>
      </x:c>
      <x:c r="Z96">
        <x:v>51</x:v>
      </x:c>
      <x:c r="AA96">
        <x:v>59</x:v>
      </x:c>
    </x:row>
    <x:row r="97">
      <x:c r="A97" t="s">
        <x:v>691</x:v>
      </x:c>
      <x:c r="B97" t="s">
        <x:v>481</x:v>
      </x:c>
      <x:c r="C97" t="s">
        <x:v>331</x:v>
      </x:c>
      <x:c r="D97">
        <x:v>8482858</x:v>
      </x:c>
      <x:c r="E97" t="s">
        <x:v>224</x:v>
      </x:c>
      <x:c r="F97">
        <x:v>67</x:v>
      </x:c>
      <x:c r="G97">
        <x:v>73</x:v>
      </x:c>
      <x:c r="J97" t="s">
        <x:v>2067</x:v>
      </x:c>
      <x:c r="K97">
        <x:v>72</x:v>
      </x:c>
      <x:c r="L97">
        <x:v>33</x:v>
      </x:c>
      <x:c r="M97">
        <x:v>81</x:v>
      </x:c>
      <x:c r="N97">
        <x:v>44</x:v>
      </x:c>
      <x:c r="O97">
        <x:v>79</x:v>
      </x:c>
      <x:c r="P97">
        <x:v>89</x:v>
      </x:c>
      <x:c r="Q97">
        <x:v>89</x:v>
      </x:c>
      <x:c r="R97">
        <x:v>41</x:v>
      </x:c>
      <x:c r="S97">
        <x:v>30</x:v>
      </x:c>
      <x:c r="T97">
        <x:v>51</x:v>
      </x:c>
      <x:c r="U97">
        <x:v>48</x:v>
      </x:c>
      <x:c r="V97">
        <x:v>78</x:v>
      </x:c>
      <x:c r="W97">
        <x:v>52</x:v>
      </x:c>
      <x:c r="X97">
        <x:v>69</x:v>
      </x:c>
      <x:c r="Y97">
        <x:v>68</x:v>
      </x:c>
      <x:c r="Z97">
        <x:v>51</x:v>
      </x:c>
      <x:c r="AA97">
        <x:v>59</x:v>
      </x:c>
    </x:row>
    <x:row r="98">
      <x:c r="A98" t="s">
        <x:v>695</x:v>
      </x:c>
      <x:c r="B98" t="s">
        <x:v>439</x:v>
      </x:c>
      <x:c r="C98" t="s">
        <x:v>331</x:v>
      </x:c>
      <x:c r="D98">
        <x:v>8476429</x:v>
      </x:c>
      <x:c r="E98" t="s">
        <x:v>224</x:v>
      </x:c>
      <x:c r="F98">
        <x:v>80</x:v>
      </x:c>
      <x:c r="G98">
        <x:v>66</x:v>
      </x:c>
      <x:c r="J98" t="s">
        <x:v>2018</x:v>
      </x:c>
      <x:c r="K98">
        <x:v>74</x:v>
      </x:c>
      <x:c r="L98">
        <x:v>78</x:v>
      </x:c>
      <x:c r="M98">
        <x:v>83</x:v>
      </x:c>
      <x:c r="N98">
        <x:v>39</x:v>
      </x:c>
      <x:c r="O98">
        <x:v>86</x:v>
      </x:c>
      <x:c r="P98">
        <x:v>86</x:v>
      </x:c>
      <x:c r="Q98">
        <x:v>97</x:v>
      </x:c>
      <x:c r="R98">
        <x:v>38</x:v>
      </x:c>
      <x:c r="S98">
        <x:v>30</x:v>
      </x:c>
      <x:c r="T98">
        <x:v>52</x:v>
      </x:c>
      <x:c r="U98">
        <x:v>46</x:v>
      </x:c>
      <x:c r="V98">
        <x:v>78</x:v>
      </x:c>
      <x:c r="W98">
        <x:v>52</x:v>
      </x:c>
      <x:c r="X98">
        <x:v>82</x:v>
      </x:c>
      <x:c r="Y98">
        <x:v>78</x:v>
      </x:c>
      <x:c r="Z98">
        <x:v>51</x:v>
      </x:c>
      <x:c r="AA98">
        <x:v>59</x:v>
      </x:c>
    </x:row>
    <x:row r="99">
      <x:c r="A99" t="s">
        <x:v>698</x:v>
      </x:c>
      <x:c r="B99" t="s">
        <x:v>379</x:v>
      </x:c>
      <x:c r="C99" t="s">
        <x:v>331</x:v>
      </x:c>
      <x:c r="D99">
        <x:v>8475208</x:v>
      </x:c>
      <x:c r="E99" t="s">
        <x:v>224</x:v>
      </x:c>
      <x:c r="F99">
        <x:v>82</x:v>
      </x:c>
      <x:c r="G99">
        <x:v>80</x:v>
      </x:c>
      <x:c r="J99" t="s">
        <x:v>1994</x:v>
      </x:c>
      <x:c r="K99">
        <x:v>69</x:v>
      </x:c>
      <x:c r="L99">
        <x:v>42</x:v>
      </x:c>
      <x:c r="M99">
        <x:v>89</x:v>
      </x:c>
      <x:c r="N99">
        <x:v>38</x:v>
      </x:c>
      <x:c r="O99">
        <x:v>86</x:v>
      </x:c>
      <x:c r="P99">
        <x:v>89</x:v>
      </x:c>
      <x:c r="Q99">
        <x:v>99</x:v>
      </x:c>
      <x:c r="R99">
        <x:v>39</x:v>
      </x:c>
      <x:c r="S99">
        <x:v>30</x:v>
      </x:c>
      <x:c r="T99">
        <x:v>53</x:v>
      </x:c>
      <x:c r="U99">
        <x:v>46</x:v>
      </x:c>
      <x:c r="V99">
        <x:v>78</x:v>
      </x:c>
      <x:c r="W99">
        <x:v>52</x:v>
      </x:c>
      <x:c r="X99">
        <x:v>85</x:v>
      </x:c>
      <x:c r="Y99">
        <x:v>77</x:v>
      </x:c>
      <x:c r="Z99">
        <x:v>51</x:v>
      </x:c>
      <x:c r="AA99">
        <x:v>59</x:v>
      </x:c>
    </x:row>
    <x:row r="100">
      <x:c r="A100" t="s">
        <x:v>709</x:v>
      </x:c>
      <x:c r="B100" t="s">
        <x:v>379</x:v>
      </x:c>
      <x:c r="C100" t="s">
        <x:v>331</x:v>
      </x:c>
      <x:c r="D100">
        <x:v>8476879</x:v>
      </x:c>
      <x:c r="E100" t="s">
        <x:v>224</x:v>
      </x:c>
      <x:c r="F100">
        <x:v>82</x:v>
      </x:c>
      <x:c r="G100">
        <x:v>85</x:v>
      </x:c>
      <x:c r="J100" t="s">
        <x:v>2068</x:v>
      </x:c>
      <x:c r="K100">
        <x:v>69</x:v>
      </x:c>
      <x:c r="L100">
        <x:v>42</x:v>
      </x:c>
      <x:c r="M100">
        <x:v>86</x:v>
      </x:c>
      <x:c r="N100">
        <x:v>39</x:v>
      </x:c>
      <x:c r="O100">
        <x:v>84</x:v>
      </x:c>
      <x:c r="P100">
        <x:v>89</x:v>
      </x:c>
      <x:c r="Q100">
        <x:v>99</x:v>
      </x:c>
      <x:c r="R100">
        <x:v>37</x:v>
      </x:c>
      <x:c r="S100">
        <x:v>30</x:v>
      </x:c>
      <x:c r="T100">
        <x:v>51</x:v>
      </x:c>
      <x:c r="U100">
        <x:v>46</x:v>
      </x:c>
      <x:c r="V100">
        <x:v>78</x:v>
      </x:c>
      <x:c r="W100">
        <x:v>52</x:v>
      </x:c>
      <x:c r="X100">
        <x:v>90</x:v>
      </x:c>
      <x:c r="Y100">
        <x:v>78</x:v>
      </x:c>
      <x:c r="Z100">
        <x:v>51</x:v>
      </x:c>
      <x:c r="AA100">
        <x:v>59</x:v>
      </x:c>
    </x:row>
    <x:row r="101">
      <x:c r="A101" t="s">
        <x:v>750</x:v>
      </x:c>
      <x:c r="B101" t="s">
        <x:v>350</x:v>
      </x:c>
      <x:c r="C101" t="s">
        <x:v>331</x:v>
      </x:c>
      <x:c r="D101">
        <x:v>8481527</x:v>
      </x:c>
      <x:c r="E101" t="s">
        <x:v>224</x:v>
      </x:c>
      <x:c r="F101">
        <x:v>78</x:v>
      </x:c>
      <x:c r="G101">
        <x:v>40</x:v>
      </x:c>
      <x:c r="J101" t="s">
        <x:v>2069</x:v>
      </x:c>
      <x:c r="K101">
        <x:v>77</x:v>
      </x:c>
      <x:c r="L101">
        <x:v>39</x:v>
      </x:c>
      <x:c r="M101">
        <x:v>86</x:v>
      </x:c>
      <x:c r="N101">
        <x:v>41</x:v>
      </x:c>
      <x:c r="O101">
        <x:v>83</x:v>
      </x:c>
      <x:c r="P101">
        <x:v>85</x:v>
      </x:c>
      <x:c r="Q101">
        <x:v>93</x:v>
      </x:c>
      <x:c r="R101">
        <x:v>38</x:v>
      </x:c>
      <x:c r="S101">
        <x:v>30</x:v>
      </x:c>
      <x:c r="T101">
        <x:v>54</x:v>
      </x:c>
      <x:c r="U101">
        <x:v>46</x:v>
      </x:c>
      <x:c r="V101">
        <x:v>78</x:v>
      </x:c>
      <x:c r="W101">
        <x:v>52</x:v>
      </x:c>
      <x:c r="X101">
        <x:v>70</x:v>
      </x:c>
      <x:c r="Y101">
        <x:v>67</x:v>
      </x:c>
      <x:c r="Z101">
        <x:v>44</x:v>
      </x:c>
      <x:c r="AA101">
        <x:v>58</x:v>
      </x:c>
    </x:row>
    <x:row r="102">
      <x:c r="A102" t="s">
        <x:v>848</x:v>
      </x:c>
      <x:c r="B102" t="s">
        <x:v>348</x:v>
      </x:c>
      <x:c r="C102" t="s">
        <x:v>331</x:v>
      </x:c>
      <x:c r="D102">
        <x:v>8481030</x:v>
      </x:c>
      <x:c r="E102" t="s">
        <x:v>224</x:v>
      </x:c>
      <x:c r="F102">
        <x:v>20</x:v>
      </x:c>
      <x:c r="G102">
        <x:v>19</x:v>
      </x:c>
      <x:c r="J102" t="s">
        <x:v>2070</x:v>
      </x:c>
      <x:c r="K102">
        <x:v>81</x:v>
      </x:c>
      <x:c r="L102">
        <x:v>48</x:v>
      </x:c>
      <x:c r="M102">
        <x:v>80</x:v>
      </x:c>
      <x:c r="N102">
        <x:v>37</x:v>
      </x:c>
      <x:c r="O102">
        <x:v>80</x:v>
      </x:c>
      <x:c r="P102">
        <x:v>84</x:v>
      </x:c>
      <x:c r="Q102">
        <x:v>51</x:v>
      </x:c>
      <x:c r="R102">
        <x:v>37</x:v>
      </x:c>
      <x:c r="S102">
        <x:v>30</x:v>
      </x:c>
      <x:c r="T102">
        <x:v>54</x:v>
      </x:c>
      <x:c r="U102">
        <x:v>45</x:v>
      </x:c>
      <x:c r="V102">
        <x:v>78</x:v>
      </x:c>
      <x:c r="W102">
        <x:v>52</x:v>
      </x:c>
      <x:c r="X102">
        <x:v>65</x:v>
      </x:c>
      <x:c r="Y102">
        <x:v>70</x:v>
      </x:c>
      <x:c r="Z102">
        <x:v>51</x:v>
      </x:c>
      <x:c r="AA102">
        <x:v>57</x:v>
      </x:c>
    </x:row>
    <x:row r="103">
      <x:c r="A103" t="s">
        <x:v>872</x:v>
      </x:c>
      <x:c r="B103" t="s">
        <x:v>584</x:v>
      </x:c>
      <x:c r="C103" t="s">
        <x:v>331</x:v>
      </x:c>
      <x:c r="D103">
        <x:v>8476422</x:v>
      </x:c>
      <x:c r="E103" t="s">
        <x:v>224</x:v>
      </x:c>
      <x:c r="F103">
        <x:v>42</x:v>
      </x:c>
      <x:c r="G103">
        <x:v>18</x:v>
      </x:c>
      <x:c r="J103" t="s">
        <x:v>2071</x:v>
      </x:c>
      <x:c r="K103">
        <x:v>68</x:v>
      </x:c>
      <x:c r="L103">
        <x:v>36</x:v>
      </x:c>
      <x:c r="M103">
        <x:v>79</x:v>
      </x:c>
      <x:c r="N103">
        <x:v>39</x:v>
      </x:c>
      <x:c r="O103">
        <x:v>78</x:v>
      </x:c>
      <x:c r="P103">
        <x:v>84</x:v>
      </x:c>
      <x:c r="Q103">
        <x:v>69</x:v>
      </x:c>
      <x:c r="R103">
        <x:v>37</x:v>
      </x:c>
      <x:c r="S103">
        <x:v>30</x:v>
      </x:c>
      <x:c r="T103">
        <x:v>52</x:v>
      </x:c>
      <x:c r="U103">
        <x:v>46</x:v>
      </x:c>
      <x:c r="V103">
        <x:v>78</x:v>
      </x:c>
      <x:c r="W103">
        <x:v>52</x:v>
      </x:c>
      <x:c r="X103">
        <x:v>77</x:v>
      </x:c>
      <x:c r="Y103">
        <x:v>73</x:v>
      </x:c>
      <x:c r="Z103">
        <x:v>54</x:v>
      </x:c>
      <x:c r="AA103">
        <x:v>57</x:v>
      </x:c>
    </x:row>
    <x:row r="104">
      <x:c r="A104" t="s">
        <x:v>915</x:v>
      </x:c>
      <x:c r="B104" t="s">
        <x:v>352</x:v>
      </x:c>
      <x:c r="C104" t="s">
        <x:v>331</x:v>
      </x:c>
      <x:c r="D104">
        <x:v>8482126</x:v>
      </x:c>
      <x:c r="E104" t="s">
        <x:v>224</x:v>
      </x:c>
      <x:c r="F104">
        <x:v>61</x:v>
      </x:c>
      <x:c r="G104">
        <x:v>42</x:v>
      </x:c>
      <x:c r="J104" t="s">
        <x:v>2072</x:v>
      </x:c>
      <x:c r="K104">
        <x:v>75</x:v>
      </x:c>
      <x:c r="L104">
        <x:v>32</x:v>
      </x:c>
      <x:c r="M104">
        <x:v>86</x:v>
      </x:c>
      <x:c r="N104">
        <x:v>38</x:v>
      </x:c>
      <x:c r="O104">
        <x:v>77</x:v>
      </x:c>
      <x:c r="P104">
        <x:v>85</x:v>
      </x:c>
      <x:c r="Q104">
        <x:v>89</x:v>
      </x:c>
      <x:c r="R104">
        <x:v>39</x:v>
      </x:c>
      <x:c r="S104">
        <x:v>30</x:v>
      </x:c>
      <x:c r="T104">
        <x:v>52</x:v>
      </x:c>
      <x:c r="U104">
        <x:v>46</x:v>
      </x:c>
      <x:c r="V104">
        <x:v>78</x:v>
      </x:c>
      <x:c r="W104">
        <x:v>52</x:v>
      </x:c>
      <x:c r="X104">
        <x:v>68</x:v>
      </x:c>
      <x:c r="Y104">
        <x:v>67</x:v>
      </x:c>
      <x:c r="Z104">
        <x:v>47</x:v>
      </x:c>
      <x:c r="AA104">
        <x:v>56</x:v>
      </x:c>
    </x:row>
    <x:row r="105">
      <x:c r="A105" t="s">
        <x:v>1314</x:v>
      </x:c>
      <x:c r="B105" t="s">
        <x:v>354</x:v>
      </x:c>
      <x:c r="C105" t="s">
        <x:v>331</x:v>
      </x:c>
      <x:c r="D105">
        <x:v>8481572</x:v>
      </x:c>
      <x:c r="E105" t="s">
        <x:v>224</x:v>
      </x:c>
      <x:c r="F105">
        <x:v>5</x:v>
      </x:c>
      <x:c r="G105">
        <x:v>18</x:v>
      </x:c>
      <x:c r="J105" t="s">
        <x:v>2073</x:v>
      </x:c>
      <x:c r="K105">
        <x:v>76</x:v>
      </x:c>
      <x:c r="L105">
        <x:v>35</x:v>
      </x:c>
      <x:c r="M105">
        <x:v>86</x:v>
      </x:c>
      <x:c r="N105">
        <x:v>39</x:v>
      </x:c>
      <x:c r="O105">
        <x:v>75</x:v>
      </x:c>
      <x:c r="P105">
        <x:v>75</x:v>
      </x:c>
      <x:c r="Q105">
        <x:v>77</x:v>
      </x:c>
      <x:c r="R105">
        <x:v>34</x:v>
      </x:c>
      <x:c r="S105">
        <x:v>30</x:v>
      </x:c>
      <x:c r="T105">
        <x:v>48</x:v>
      </x:c>
      <x:c r="U105">
        <x:v>46</x:v>
      </x:c>
      <x:c r="V105">
        <x:v>78</x:v>
      </x:c>
      <x:c r="W105">
        <x:v>51</x:v>
      </x:c>
      <x:c r="X105">
        <x:v>65</x:v>
      </x:c>
      <x:c r="Y105">
        <x:v>67</x:v>
      </x:c>
      <x:c r="Z105">
        <x:v>51</x:v>
      </x:c>
      <x:c r="AA105">
        <x:v>52</x:v>
      </x:c>
    </x:row>
    <x:row r="106">
      <x:c r="A106" t="s">
        <x:v>385</x:v>
      </x:c>
      <x:c r="B106" t="s">
        <x:v>386</x:v>
      </x:c>
      <x:c r="C106" t="s">
        <x:v>331</x:v>
      </x:c>
      <x:c r="D106">
        <x:v>8476906</x:v>
      </x:c>
      <x:c r="E106" t="s">
        <x:v>224</x:v>
      </x:c>
      <x:c r="F106">
        <x:v>55</x:v>
      </x:c>
      <x:c r="G106">
        <x:v>70</x:v>
      </x:c>
      <x:c r="J106" t="s">
        <x:v>2074</x:v>
      </x:c>
      <x:c r="K106">
        <x:v>68</x:v>
      </x:c>
      <x:c r="L106">
        <x:v>34</x:v>
      </x:c>
      <x:c r="M106">
        <x:v>90</x:v>
      </x:c>
      <x:c r="N106">
        <x:v>37</x:v>
      </x:c>
      <x:c r="O106">
        <x:v>76</x:v>
      </x:c>
      <x:c r="P106">
        <x:v>91</x:v>
      </x:c>
      <x:c r="Q106">
        <x:v>83</x:v>
      </x:c>
      <x:c r="R106">
        <x:v>56</x:v>
      </x:c>
      <x:c r="S106">
        <x:v>30</x:v>
      </x:c>
      <x:c r="T106">
        <x:v>76</x:v>
      </x:c>
      <x:c r="U106">
        <x:v>57</x:v>
      </x:c>
      <x:c r="V106">
        <x:v>77</x:v>
      </x:c>
      <x:c r="W106">
        <x:v>55</x:v>
      </x:c>
      <x:c r="X106">
        <x:v>84</x:v>
      </x:c>
      <x:c r="Y106">
        <x:v>74</x:v>
      </x:c>
      <x:c r="Z106">
        <x:v>51</x:v>
      </x:c>
      <x:c r="AA106">
        <x:v>65</x:v>
      </x:c>
    </x:row>
    <x:row r="107">
      <x:c r="A107" t="s">
        <x:v>410</x:v>
      </x:c>
      <x:c r="B107" t="s">
        <x:v>402</x:v>
      </x:c>
      <x:c r="C107" t="s">
        <x:v>331</x:v>
      </x:c>
      <x:c r="D107">
        <x:v>8479345</x:v>
      </x:c>
      <x:c r="E107" t="s">
        <x:v>224</x:v>
      </x:c>
      <x:c r="F107">
        <x:v>80</x:v>
      </x:c>
      <x:c r="G107">
        <x:v>74</x:v>
      </x:c>
      <x:c r="J107" t="s">
        <x:v>2075</x:v>
      </x:c>
      <x:c r="K107">
        <x:v>69</x:v>
      </x:c>
      <x:c r="L107">
        <x:v>60</x:v>
      </x:c>
      <x:c r="M107">
        <x:v>81</x:v>
      </x:c>
      <x:c r="N107">
        <x:v>52</x:v>
      </x:c>
      <x:c r="O107">
        <x:v>86</x:v>
      </x:c>
      <x:c r="P107">
        <x:v>95</x:v>
      </x:c>
      <x:c r="Q107">
        <x:v>98</x:v>
      </x:c>
      <x:c r="R107">
        <x:v>60</x:v>
      </x:c>
      <x:c r="S107">
        <x:v>30</x:v>
      </x:c>
      <x:c r="T107">
        <x:v>60</x:v>
      </x:c>
      <x:c r="U107">
        <x:v>60</x:v>
      </x:c>
      <x:c r="V107">
        <x:v>77</x:v>
      </x:c>
      <x:c r="W107">
        <x:v>60</x:v>
      </x:c>
      <x:c r="X107">
        <x:v>79</x:v>
      </x:c>
      <x:c r="Y107">
        <x:v>80</x:v>
      </x:c>
      <x:c r="Z107">
        <x:v>51</x:v>
      </x:c>
      <x:c r="AA107">
        <x:v>65</x:v>
      </x:c>
    </x:row>
    <x:row r="108">
      <x:c r="A108" t="s">
        <x:v>417</x:v>
      </x:c>
      <x:c r="B108" t="s">
        <x:v>366</x:v>
      </x:c>
      <x:c r="C108" t="s">
        <x:v>331</x:v>
      </x:c>
      <x:c r="D108">
        <x:v>8476462</x:v>
      </x:c>
      <x:c r="E108" t="s">
        <x:v>224</x:v>
      </x:c>
      <x:c r="F108">
        <x:v>77</x:v>
      </x:c>
      <x:c r="G108">
        <x:v>64</x:v>
      </x:c>
      <x:c r="J108" t="s">
        <x:v>2005</x:v>
      </x:c>
      <x:c r="K108">
        <x:v>72</x:v>
      </x:c>
      <x:c r="L108">
        <x:v>44</x:v>
      </x:c>
      <x:c r="M108">
        <x:v>79</x:v>
      </x:c>
      <x:c r="N108">
        <x:v>38</x:v>
      </x:c>
      <x:c r="O108">
        <x:v>92</x:v>
      </x:c>
      <x:c r="P108">
        <x:v>93</x:v>
      </x:c>
      <x:c r="Q108">
        <x:v>93</x:v>
      </x:c>
      <x:c r="R108">
        <x:v>52</x:v>
      </x:c>
      <x:c r="S108">
        <x:v>30</x:v>
      </x:c>
      <x:c r="T108">
        <x:v>56</x:v>
      </x:c>
      <x:c r="U108">
        <x:v>50</x:v>
      </x:c>
      <x:c r="V108">
        <x:v>77</x:v>
      </x:c>
      <x:c r="W108">
        <x:v>71</x:v>
      </x:c>
      <x:c r="X108">
        <x:v>87</x:v>
      </x:c>
      <x:c r="Y108">
        <x:v>79</x:v>
      </x:c>
      <x:c r="Z108">
        <x:v>51</x:v>
      </x:c>
      <x:c r="AA108">
        <x:v>64</x:v>
      </x:c>
    </x:row>
    <x:row r="109">
      <x:c r="A109" t="s">
        <x:v>419</x:v>
      </x:c>
      <x:c r="B109" t="s">
        <x:v>420</x:v>
      </x:c>
      <x:c r="C109" t="s">
        <x:v>331</x:v>
      </x:c>
      <x:c r="D109">
        <x:v>8479425</x:v>
      </x:c>
      <x:c r="E109" t="s">
        <x:v>224</x:v>
      </x:c>
      <x:c r="F109">
        <x:v>82</x:v>
      </x:c>
      <x:c r="G109">
        <x:v>61</x:v>
      </x:c>
      <x:c r="J109" t="s">
        <x:v>2076</x:v>
      </x:c>
      <x:c r="K109">
        <x:v>74</x:v>
      </x:c>
      <x:c r="L109">
        <x:v>55</x:v>
      </x:c>
      <x:c r="M109">
        <x:v>86</x:v>
      </x:c>
      <x:c r="N109">
        <x:v>40</x:v>
      </x:c>
      <x:c r="O109">
        <x:v>77</x:v>
      </x:c>
      <x:c r="P109">
        <x:v>96</x:v>
      </x:c>
      <x:c r="Q109">
        <x:v>98</x:v>
      </x:c>
      <x:c r="R109">
        <x:v>51</x:v>
      </x:c>
      <x:c r="S109">
        <x:v>30</x:v>
      </x:c>
      <x:c r="T109">
        <x:v>60</x:v>
      </x:c>
      <x:c r="U109">
        <x:v>48</x:v>
      </x:c>
      <x:c r="V109">
        <x:v>77</x:v>
      </x:c>
      <x:c r="W109">
        <x:v>55</x:v>
      </x:c>
      <x:c r="X109">
        <x:v>77</x:v>
      </x:c>
      <x:c r="Y109">
        <x:v>78</x:v>
      </x:c>
      <x:c r="Z109">
        <x:v>51</x:v>
      </x:c>
      <x:c r="AA109">
        <x:v>64</x:v>
      </x:c>
    </x:row>
    <x:row r="110">
      <x:c r="A110" t="s">
        <x:v>422</x:v>
      </x:c>
      <x:c r="B110" t="s">
        <x:v>400</x:v>
      </x:c>
      <x:c r="C110" t="s">
        <x:v>331</x:v>
      </x:c>
      <x:c r="D110">
        <x:v>8477495</x:v>
      </x:c>
      <x:c r="E110" t="s">
        <x:v>224</x:v>
      </x:c>
      <x:c r="F110">
        <x:v>52</x:v>
      </x:c>
      <x:c r="G110">
        <x:v>63</x:v>
      </x:c>
      <x:c r="J110" t="s">
        <x:v>2077</x:v>
      </x:c>
      <x:c r="K110">
        <x:v>71</x:v>
      </x:c>
      <x:c r="L110">
        <x:v>43</x:v>
      </x:c>
      <x:c r="M110">
        <x:v>92</x:v>
      </x:c>
      <x:c r="N110">
        <x:v>41</x:v>
      </x:c>
      <x:c r="O110">
        <x:v>86</x:v>
      </x:c>
      <x:c r="P110">
        <x:v>95</x:v>
      </x:c>
      <x:c r="Q110">
        <x:v>80</x:v>
      </x:c>
      <x:c r="R110">
        <x:v>51</x:v>
      </x:c>
      <x:c r="S110">
        <x:v>30</x:v>
      </x:c>
      <x:c r="T110">
        <x:v>57</x:v>
      </x:c>
      <x:c r="U110">
        <x:v>49</x:v>
      </x:c>
      <x:c r="V110">
        <x:v>77</x:v>
      </x:c>
      <x:c r="W110">
        <x:v>52</x:v>
      </x:c>
      <x:c r="X110">
        <x:v>87</x:v>
      </x:c>
      <x:c r="Y110">
        <x:v>83</x:v>
      </x:c>
      <x:c r="Z110">
        <x:v>51</x:v>
      </x:c>
      <x:c r="AA110">
        <x:v>64</x:v>
      </x:c>
    </x:row>
    <x:row r="111">
      <x:c r="A111" t="s">
        <x:v>438</x:v>
      </x:c>
      <x:c r="B111" t="s">
        <x:v>439</x:v>
      </x:c>
      <x:c r="C111" t="s">
        <x:v>331</x:v>
      </x:c>
      <x:c r="D111">
        <x:v>8485366</x:v>
      </x:c>
      <x:c r="E111" t="s">
        <x:v>224</x:v>
      </x:c>
      <x:c r="F111">
        <x:v>82</x:v>
      </x:c>
      <x:c r="J111" t="s">
        <x:v>2078</x:v>
      </x:c>
      <x:c r="K111">
        <x:v>67</x:v>
      </x:c>
      <x:c r="L111">
        <x:v>35</x:v>
      </x:c>
      <x:c r="M111">
        <x:v>91</x:v>
      </x:c>
      <x:c r="N111">
        <x:v>67</x:v>
      </x:c>
      <x:c r="O111">
        <x:v>76</x:v>
      </x:c>
      <x:c r="P111">
        <x:v>95</x:v>
      </x:c>
      <x:c r="Q111">
        <x:v>98</x:v>
      </x:c>
      <x:c r="R111">
        <x:v>57</x:v>
      </x:c>
      <x:c r="S111">
        <x:v>30</x:v>
      </x:c>
      <x:c r="T111">
        <x:v>59</x:v>
      </x:c>
      <x:c r="U111">
        <x:v>59</x:v>
      </x:c>
      <x:c r="V111">
        <x:v>77</x:v>
      </x:c>
      <x:c r="W111">
        <x:v>51</x:v>
      </x:c>
      <x:c r="X111">
        <x:v>66</x:v>
      </x:c>
      <x:c r="Y111">
        <x:v>76</x:v>
      </x:c>
      <x:c r="Z111">
        <x:v>54</x:v>
      </x:c>
      <x:c r="AA111">
        <x:v>64</x:v>
      </x:c>
    </x:row>
    <x:row r="112">
      <x:c r="A112" t="s">
        <x:v>446</x:v>
      </x:c>
      <x:c r="B112" t="s">
        <x:v>320</x:v>
      </x:c>
      <x:c r="C112" t="s">
        <x:v>331</x:v>
      </x:c>
      <x:c r="D112">
        <x:v>8475218</x:v>
      </x:c>
      <x:c r="E112" t="s">
        <x:v>224</x:v>
      </x:c>
      <x:c r="F112">
        <x:v>82</x:v>
      </x:c>
      <x:c r="G112">
        <x:v>65</x:v>
      </x:c>
      <x:c r="J112" t="s">
        <x:v>2079</x:v>
      </x:c>
      <x:c r="K112">
        <x:v>70</x:v>
      </x:c>
      <x:c r="L112">
        <x:v>43</x:v>
      </x:c>
      <x:c r="M112">
        <x:v>86</x:v>
      </x:c>
      <x:c r="N112">
        <x:v>40</x:v>
      </x:c>
      <x:c r="O112">
        <x:v>89</x:v>
      </x:c>
      <x:c r="P112">
        <x:v>92</x:v>
      </x:c>
      <x:c r="Q112">
        <x:v>99</x:v>
      </x:c>
      <x:c r="R112">
        <x:v>49</x:v>
      </x:c>
      <x:c r="S112">
        <x:v>30</x:v>
      </x:c>
      <x:c r="T112">
        <x:v>67</x:v>
      </x:c>
      <x:c r="U112">
        <x:v>48</x:v>
      </x:c>
      <x:c r="V112">
        <x:v>77</x:v>
      </x:c>
      <x:c r="W112">
        <x:v>52</x:v>
      </x:c>
      <x:c r="X112">
        <x:v>90</x:v>
      </x:c>
      <x:c r="Y112">
        <x:v>80</x:v>
      </x:c>
      <x:c r="Z112">
        <x:v>51</x:v>
      </x:c>
      <x:c r="AA112">
        <x:v>63</x:v>
      </x:c>
    </x:row>
    <x:row r="113">
      <x:c r="A113" t="s">
        <x:v>459</x:v>
      </x:c>
      <x:c r="B113" t="s">
        <x:v>356</x:v>
      </x:c>
      <x:c r="C113" t="s">
        <x:v>331</x:v>
      </x:c>
      <x:c r="D113">
        <x:v>8476875</x:v>
      </x:c>
      <x:c r="E113" t="s">
        <x:v>224</x:v>
      </x:c>
      <x:c r="F113">
        <x:v>78</x:v>
      </x:c>
      <x:c r="G113">
        <x:v>80</x:v>
      </x:c>
      <x:c r="J113" t="s">
        <x:v>2080</x:v>
      </x:c>
      <x:c r="K113">
        <x:v>69</x:v>
      </x:c>
      <x:c r="L113">
        <x:v>45</x:v>
      </x:c>
      <x:c r="M113">
        <x:v>87</x:v>
      </x:c>
      <x:c r="N113">
        <x:v>55</x:v>
      </x:c>
      <x:c r="O113">
        <x:v>79</x:v>
      </x:c>
      <x:c r="P113">
        <x:v>96</x:v>
      </x:c>
      <x:c r="Q113">
        <x:v>98</x:v>
      </x:c>
      <x:c r="R113">
        <x:v>47</x:v>
      </x:c>
      <x:c r="S113">
        <x:v>30</x:v>
      </x:c>
      <x:c r="T113">
        <x:v>58</x:v>
      </x:c>
      <x:c r="U113">
        <x:v>47</x:v>
      </x:c>
      <x:c r="V113">
        <x:v>77</x:v>
      </x:c>
      <x:c r="W113">
        <x:v>56</x:v>
      </x:c>
      <x:c r="X113">
        <x:v>83</x:v>
      </x:c>
      <x:c r="Y113">
        <x:v>79</x:v>
      </x:c>
      <x:c r="Z113">
        <x:v>51</x:v>
      </x:c>
      <x:c r="AA113">
        <x:v>63</x:v>
      </x:c>
    </x:row>
    <x:row r="114">
      <x:c r="A114" t="s">
        <x:v>461</x:v>
      </x:c>
      <x:c r="B114" t="s">
        <x:v>340</x:v>
      </x:c>
      <x:c r="C114" t="s">
        <x:v>331</x:v>
      </x:c>
      <x:c r="D114">
        <x:v>8476885</x:v>
      </x:c>
      <x:c r="E114" t="s">
        <x:v>224</x:v>
      </x:c>
      <x:c r="F114">
        <x:v>81</x:v>
      </x:c>
      <x:c r="G114">
        <x:v>77</x:v>
      </x:c>
      <x:c r="J114" t="s">
        <x:v>2081</x:v>
      </x:c>
      <x:c r="K114">
        <x:v>77</x:v>
      </x:c>
      <x:c r="L114">
        <x:v>72</x:v>
      </x:c>
      <x:c r="M114">
        <x:v>85</x:v>
      </x:c>
      <x:c r="N114">
        <x:v>38</x:v>
      </x:c>
      <x:c r="O114">
        <x:v>85</x:v>
      </x:c>
      <x:c r="P114">
        <x:v>94</x:v>
      </x:c>
      <x:c r="Q114">
        <x:v>99</x:v>
      </x:c>
      <x:c r="R114">
        <x:v>43</x:v>
      </x:c>
      <x:c r="S114">
        <x:v>30</x:v>
      </x:c>
      <x:c r="T114">
        <x:v>55</x:v>
      </x:c>
      <x:c r="U114">
        <x:v>48</x:v>
      </x:c>
      <x:c r="V114">
        <x:v>77</x:v>
      </x:c>
      <x:c r="W114">
        <x:v>51</x:v>
      </x:c>
      <x:c r="X114">
        <x:v>88</x:v>
      </x:c>
      <x:c r="Y114">
        <x:v>86</x:v>
      </x:c>
      <x:c r="Z114">
        <x:v>51</x:v>
      </x:c>
      <x:c r="AA114">
        <x:v>63</x:v>
      </x:c>
    </x:row>
    <x:row r="115">
      <x:c r="A115" t="s">
        <x:v>464</x:v>
      </x:c>
      <x:c r="B115" t="s">
        <x:v>364</x:v>
      </x:c>
      <x:c r="C115" t="s">
        <x:v>331</x:v>
      </x:c>
      <x:c r="D115">
        <x:v>8477346</x:v>
      </x:c>
      <x:c r="E115" t="s">
        <x:v>224</x:v>
      </x:c>
      <x:c r="F115">
        <x:v>79</x:v>
      </x:c>
      <x:c r="G115">
        <x:v>81</x:v>
      </x:c>
      <x:c r="J115" t="s">
        <x:v>2082</x:v>
      </x:c>
      <x:c r="K115">
        <x:v>78</x:v>
      </x:c>
      <x:c r="L115">
        <x:v>59</x:v>
      </x:c>
      <x:c r="M115">
        <x:v>80</x:v>
      </x:c>
      <x:c r="N115">
        <x:v>42</x:v>
      </x:c>
      <x:c r="O115">
        <x:v>83</x:v>
      </x:c>
      <x:c r="P115">
        <x:v>94</x:v>
      </x:c>
      <x:c r="Q115">
        <x:v>99</x:v>
      </x:c>
      <x:c r="R115">
        <x:v>46</x:v>
      </x:c>
      <x:c r="S115">
        <x:v>30</x:v>
      </x:c>
      <x:c r="T115">
        <x:v>56</x:v>
      </x:c>
      <x:c r="U115">
        <x:v>47</x:v>
      </x:c>
      <x:c r="V115">
        <x:v>77</x:v>
      </x:c>
      <x:c r="W115">
        <x:v>51</x:v>
      </x:c>
      <x:c r="X115">
        <x:v>80</x:v>
      </x:c>
      <x:c r="Y115">
        <x:v>79</x:v>
      </x:c>
      <x:c r="Z115">
        <x:v>51</x:v>
      </x:c>
      <x:c r="AA115">
        <x:v>63</x:v>
      </x:c>
    </x:row>
    <x:row r="116">
      <x:c r="A116" t="s">
        <x:v>514</x:v>
      </x:c>
      <x:c r="B116" t="s">
        <x:v>366</x:v>
      </x:c>
      <x:c r="C116" t="s">
        <x:v>331</x:v>
      </x:c>
      <x:c r="D116">
        <x:v>8475455</x:v>
      </x:c>
      <x:c r="E116" t="s">
        <x:v>224</x:v>
      </x:c>
      <x:c r="F116">
        <x:v>82</x:v>
      </x:c>
      <x:c r="G116">
        <x:v>82</x:v>
      </x:c>
      <x:c r="J116" t="s">
        <x:v>1992</x:v>
      </x:c>
      <x:c r="K116">
        <x:v>81</x:v>
      </x:c>
      <x:c r="L116">
        <x:v>85</x:v>
      </x:c>
      <x:c r="M116">
        <x:v>77</x:v>
      </x:c>
      <x:c r="N116">
        <x:v>42</x:v>
      </x:c>
      <x:c r="O116">
        <x:v>89</x:v>
      </x:c>
      <x:c r="P116">
        <x:v>89</x:v>
      </x:c>
      <x:c r="Q116">
        <x:v>99</x:v>
      </x:c>
      <x:c r="R116">
        <x:v>39</x:v>
      </x:c>
      <x:c r="S116">
        <x:v>30</x:v>
      </x:c>
      <x:c r="T116">
        <x:v>51</x:v>
      </x:c>
      <x:c r="U116">
        <x:v>46</x:v>
      </x:c>
      <x:c r="V116">
        <x:v>77</x:v>
      </x:c>
      <x:c r="W116">
        <x:v>52</x:v>
      </x:c>
      <x:c r="X116">
        <x:v>90</x:v>
      </x:c>
      <x:c r="Y116">
        <x:v>77</x:v>
      </x:c>
      <x:c r="Z116">
        <x:v>51</x:v>
      </x:c>
      <x:c r="AA116">
        <x:v>61</x:v>
      </x:c>
    </x:row>
    <x:row r="117">
      <x:c r="A117" t="s">
        <x:v>535</x:v>
      </x:c>
      <x:c r="B117" t="s">
        <x:v>400</x:v>
      </x:c>
      <x:c r="C117" t="s">
        <x:v>331</x:v>
      </x:c>
      <x:c r="D117">
        <x:v>8478055</x:v>
      </x:c>
      <x:c r="E117" t="s">
        <x:v>224</x:v>
      </x:c>
      <x:c r="F117">
        <x:v>80</x:v>
      </x:c>
      <x:c r="G117">
        <x:v>80</x:v>
      </x:c>
      <x:c r="J117" t="s">
        <x:v>2083</x:v>
      </x:c>
      <x:c r="K117">
        <x:v>69</x:v>
      </x:c>
      <x:c r="L117">
        <x:v>52</x:v>
      </x:c>
      <x:c r="M117">
        <x:v>85</x:v>
      </x:c>
      <x:c r="N117">
        <x:v>47</x:v>
      </x:c>
      <x:c r="O117">
        <x:v>80</x:v>
      </x:c>
      <x:c r="P117">
        <x:v>94</x:v>
      </x:c>
      <x:c r="Q117">
        <x:v>99</x:v>
      </x:c>
      <x:c r="R117">
        <x:v>44</x:v>
      </x:c>
      <x:c r="S117">
        <x:v>30</x:v>
      </x:c>
      <x:c r="T117">
        <x:v>56</x:v>
      </x:c>
      <x:c r="U117">
        <x:v>46</x:v>
      </x:c>
      <x:c r="V117">
        <x:v>77</x:v>
      </x:c>
      <x:c r="W117">
        <x:v>52</x:v>
      </x:c>
      <x:c r="X117">
        <x:v>82</x:v>
      </x:c>
      <x:c r="Y117">
        <x:v>78</x:v>
      </x:c>
      <x:c r="Z117">
        <x:v>51</x:v>
      </x:c>
      <x:c r="AA117">
        <x:v>61</x:v>
      </x:c>
    </x:row>
    <x:row r="118">
      <x:c r="A118" t="s">
        <x:v>571</x:v>
      </x:c>
      <x:c r="B118" t="s">
        <x:v>386</x:v>
      </x:c>
      <x:c r="C118" t="s">
        <x:v>331</x:v>
      </x:c>
      <x:c r="D118">
        <x:v>8482100</x:v>
      </x:c>
      <x:c r="E118" t="s">
        <x:v>224</x:v>
      </x:c>
      <x:c r="F118">
        <x:v>81</x:v>
      </x:c>
      <x:c r="J118" t="s">
        <x:v>2084</x:v>
      </x:c>
      <x:c r="K118">
        <x:v>78</x:v>
      </x:c>
      <x:c r="L118">
        <x:v>66</x:v>
      </x:c>
      <x:c r="M118">
        <x:v>85</x:v>
      </x:c>
      <x:c r="N118">
        <x:v>47</x:v>
      </x:c>
      <x:c r="O118">
        <x:v>87</x:v>
      </x:c>
      <x:c r="P118">
        <x:v>88</x:v>
      </x:c>
      <x:c r="Q118">
        <x:v>97</x:v>
      </x:c>
      <x:c r="R118">
        <x:v>45</x:v>
      </x:c>
      <x:c r="S118">
        <x:v>30</x:v>
      </x:c>
      <x:c r="T118">
        <x:v>56</x:v>
      </x:c>
      <x:c r="U118">
        <x:v>51</x:v>
      </x:c>
      <x:c r="V118">
        <x:v>77</x:v>
      </x:c>
      <x:c r="W118">
        <x:v>54</x:v>
      </x:c>
      <x:c r="X118">
        <x:v>69</x:v>
      </x:c>
      <x:c r="Y118">
        <x:v>66</x:v>
      </x:c>
      <x:c r="Z118">
        <x:v>54</x:v>
      </x:c>
      <x:c r="AA118">
        <x:v>61</x:v>
      </x:c>
    </x:row>
    <x:row r="119">
      <x:c r="A119" t="s">
        <x:v>575</x:v>
      </x:c>
      <x:c r="B119" t="s">
        <x:v>576</x:v>
      </x:c>
      <x:c r="C119" t="s">
        <x:v>331</x:v>
      </x:c>
      <x:c r="D119">
        <x:v>8480727</x:v>
      </x:c>
      <x:c r="E119" t="s">
        <x:v>224</x:v>
      </x:c>
      <x:c r="F119">
        <x:v>78</x:v>
      </x:c>
      <x:c r="G119">
        <x:v>74</x:v>
      </x:c>
      <x:c r="J119" t="s">
        <x:v>2085</x:v>
      </x:c>
      <x:c r="K119">
        <x:v>77</x:v>
      </x:c>
      <x:c r="L119">
        <x:v>40</x:v>
      </x:c>
      <x:c r="M119">
        <x:v>85</x:v>
      </x:c>
      <x:c r="N119">
        <x:v>38</x:v>
      </x:c>
      <x:c r="O119">
        <x:v>84</x:v>
      </x:c>
      <x:c r="P119">
        <x:v>91</x:v>
      </x:c>
      <x:c r="Q119">
        <x:v>96</x:v>
      </x:c>
      <x:c r="R119">
        <x:v>39</x:v>
      </x:c>
      <x:c r="S119">
        <x:v>30</x:v>
      </x:c>
      <x:c r="T119">
        <x:v>52</x:v>
      </x:c>
      <x:c r="U119">
        <x:v>46</x:v>
      </x:c>
      <x:c r="V119">
        <x:v>77</x:v>
      </x:c>
      <x:c r="W119">
        <x:v>52</x:v>
      </x:c>
      <x:c r="X119">
        <x:v>78</x:v>
      </x:c>
      <x:c r="Y119">
        <x:v>72</x:v>
      </x:c>
      <x:c r="Z119">
        <x:v>51</x:v>
      </x:c>
      <x:c r="AA119">
        <x:v>60</x:v>
      </x:c>
    </x:row>
    <x:row r="120">
      <x:c r="A120" t="s">
        <x:v>606</x:v>
      </x:c>
      <x:c r="B120" t="s">
        <x:v>383</x:v>
      </x:c>
      <x:c r="C120" t="s">
        <x:v>331</x:v>
      </x:c>
      <x:c r="D120">
        <x:v>8482073</x:v>
      </x:c>
      <x:c r="E120" t="s">
        <x:v>224</x:v>
      </x:c>
      <x:c r="F120">
        <x:v>82</x:v>
      </x:c>
      <x:c r="G120">
        <x:v>80</x:v>
      </x:c>
      <x:c r="J120" t="s">
        <x:v>1994</x:v>
      </x:c>
      <x:c r="K120">
        <x:v>78</x:v>
      </x:c>
      <x:c r="L120">
        <x:v>43</x:v>
      </x:c>
      <x:c r="M120">
        <x:v>87</x:v>
      </x:c>
      <x:c r="N120">
        <x:v>43</x:v>
      </x:c>
      <x:c r="O120">
        <x:v>83</x:v>
      </x:c>
      <x:c r="P120">
        <x:v>91</x:v>
      </x:c>
      <x:c r="Q120">
        <x:v>99</x:v>
      </x:c>
      <x:c r="R120">
        <x:v>40</x:v>
      </x:c>
      <x:c r="S120">
        <x:v>30</x:v>
      </x:c>
      <x:c r="T120">
        <x:v>53</x:v>
      </x:c>
      <x:c r="U120">
        <x:v>46</x:v>
      </x:c>
      <x:c r="V120">
        <x:v>77</x:v>
      </x:c>
      <x:c r="W120">
        <x:v>52</x:v>
      </x:c>
      <x:c r="X120">
        <x:v>76</x:v>
      </x:c>
      <x:c r="Y120">
        <x:v>74</x:v>
      </x:c>
      <x:c r="Z120">
        <x:v>51</x:v>
      </x:c>
      <x:c r="AA120">
        <x:v>60</x:v>
      </x:c>
    </x:row>
    <x:row r="121">
      <x:c r="A121" t="s">
        <x:v>688</x:v>
      </x:c>
      <x:c r="B121" t="s">
        <x:v>337</x:v>
      </x:c>
      <x:c r="C121" t="s">
        <x:v>331</x:v>
      </x:c>
      <x:c r="D121">
        <x:v>8477369</x:v>
      </x:c>
      <x:c r="E121" t="s">
        <x:v>224</x:v>
      </x:c>
      <x:c r="F121">
        <x:v>76</x:v>
      </x:c>
      <x:c r="G121">
        <x:v>75</x:v>
      </x:c>
      <x:c r="J121" t="s">
        <x:v>2086</x:v>
      </x:c>
      <x:c r="K121">
        <x:v>77</x:v>
      </x:c>
      <x:c r="L121">
        <x:v>42</x:v>
      </x:c>
      <x:c r="M121">
        <x:v>77</x:v>
      </x:c>
      <x:c r="N121">
        <x:v>37</x:v>
      </x:c>
      <x:c r="O121">
        <x:v>85</x:v>
      </x:c>
      <x:c r="P121">
        <x:v>87</x:v>
      </x:c>
      <x:c r="Q121">
        <x:v>95</x:v>
      </x:c>
      <x:c r="R121">
        <x:v>38</x:v>
      </x:c>
      <x:c r="S121">
        <x:v>30</x:v>
      </x:c>
      <x:c r="T121">
        <x:v>50</x:v>
      </x:c>
      <x:c r="U121">
        <x:v>47</x:v>
      </x:c>
      <x:c r="V121">
        <x:v>77</x:v>
      </x:c>
      <x:c r="W121">
        <x:v>52</x:v>
      </x:c>
      <x:c r="X121">
        <x:v>78</x:v>
      </x:c>
      <x:c r="Y121">
        <x:v>73</x:v>
      </x:c>
      <x:c r="Z121">
        <x:v>51</x:v>
      </x:c>
      <x:c r="AA121">
        <x:v>59</x:v>
      </x:c>
    </x:row>
    <x:row r="122">
      <x:c r="A122" t="s">
        <x:v>754</x:v>
      </x:c>
      <x:c r="B122" t="s">
        <x:v>343</x:v>
      </x:c>
      <x:c r="C122" t="s">
        <x:v>331</x:v>
      </x:c>
      <x:c r="D122">
        <x:v>8481167</x:v>
      </x:c>
      <x:c r="E122" t="s">
        <x:v>224</x:v>
      </x:c>
      <x:c r="F122">
        <x:v>39</x:v>
      </x:c>
      <x:c r="G122">
        <x:v>76</x:v>
      </x:c>
      <x:c r="J122" t="s">
        <x:v>2087</x:v>
      </x:c>
      <x:c r="K122">
        <x:v>83</x:v>
      </x:c>
      <x:c r="L122">
        <x:v>67</x:v>
      </x:c>
      <x:c r="M122">
        <x:v>80</x:v>
      </x:c>
      <x:c r="N122">
        <x:v>40</x:v>
      </x:c>
      <x:c r="O122">
        <x:v>82</x:v>
      </x:c>
      <x:c r="P122">
        <x:v>83</x:v>
      </x:c>
      <x:c r="Q122">
        <x:v>76</x:v>
      </x:c>
      <x:c r="R122">
        <x:v>37</x:v>
      </x:c>
      <x:c r="S122">
        <x:v>30</x:v>
      </x:c>
      <x:c r="T122">
        <x:v>52</x:v>
      </x:c>
      <x:c r="U122">
        <x:v>46</x:v>
      </x:c>
      <x:c r="V122">
        <x:v>77</x:v>
      </x:c>
      <x:c r="W122">
        <x:v>52</x:v>
      </x:c>
      <x:c r="X122">
        <x:v>70</x:v>
      </x:c>
      <x:c r="Y122">
        <x:v>69</x:v>
      </x:c>
      <x:c r="Z122">
        <x:v>51</x:v>
      </x:c>
      <x:c r="AA122">
        <x:v>58</x:v>
      </x:c>
    </x:row>
    <x:row r="123">
      <x:c r="A123" t="s">
        <x:v>800</x:v>
      </x:c>
      <x:c r="B123" t="s">
        <x:v>324</x:v>
      </x:c>
      <x:c r="C123" t="s">
        <x:v>331</x:v>
      </x:c>
      <x:c r="D123">
        <x:v>8476967</x:v>
      </x:c>
      <x:c r="E123" t="s">
        <x:v>224</x:v>
      </x:c>
      <x:c r="F123">
        <x:v>83</x:v>
      </x:c>
      <x:c r="G123">
        <x:v>82</x:v>
      </x:c>
      <x:c r="J123" t="s">
        <x:v>2088</x:v>
      </x:c>
      <x:c r="K123">
        <x:v>66</x:v>
      </x:c>
      <x:c r="L123">
        <x:v>36</x:v>
      </x:c>
      <x:c r="M123">
        <x:v>81</x:v>
      </x:c>
      <x:c r="N123">
        <x:v>43</x:v>
      </x:c>
      <x:c r="O123">
        <x:v>78</x:v>
      </x:c>
      <x:c r="P123">
        <x:v>90</x:v>
      </x:c>
      <x:c r="Q123">
        <x:v>99</x:v>
      </x:c>
      <x:c r="R123">
        <x:v>38</x:v>
      </x:c>
      <x:c r="S123">
        <x:v>30</x:v>
      </x:c>
      <x:c r="T123">
        <x:v>51</x:v>
      </x:c>
      <x:c r="U123">
        <x:v>46</x:v>
      </x:c>
      <x:c r="V123">
        <x:v>77</x:v>
      </x:c>
      <x:c r="W123">
        <x:v>52</x:v>
      </x:c>
      <x:c r="X123">
        <x:v>85</x:v>
      </x:c>
      <x:c r="Y123">
        <x:v>72</x:v>
      </x:c>
      <x:c r="Z123">
        <x:v>51</x:v>
      </x:c>
      <x:c r="AA123">
        <x:v>58</x:v>
      </x:c>
    </x:row>
    <x:row r="124">
      <x:c r="A124" t="s">
        <x:v>825</x:v>
      </x:c>
      <x:c r="B124" t="s">
        <x:v>343</x:v>
      </x:c>
      <x:c r="C124" t="s">
        <x:v>331</x:v>
      </x:c>
      <x:c r="D124">
        <x:v>8480878</x:v>
      </x:c>
      <x:c r="E124" t="s">
        <x:v>224</x:v>
      </x:c>
      <x:c r="F124">
        <x:v>52</x:v>
      </x:c>
      <x:c r="G124">
        <x:v>39</x:v>
      </x:c>
      <x:c r="J124" t="s">
        <x:v>2089</x:v>
      </x:c>
      <x:c r="K124">
        <x:v>69</x:v>
      </x:c>
      <x:c r="L124">
        <x:v>33</x:v>
      </x:c>
      <x:c r="M124">
        <x:v>83</x:v>
      </x:c>
      <x:c r="N124">
        <x:v>45</x:v>
      </x:c>
      <x:c r="O124">
        <x:v>79</x:v>
      </x:c>
      <x:c r="P124">
        <x:v>85</x:v>
      </x:c>
      <x:c r="Q124">
        <x:v>77</x:v>
      </x:c>
      <x:c r="R124">
        <x:v>39</x:v>
      </x:c>
      <x:c r="S124">
        <x:v>30</x:v>
      </x:c>
      <x:c r="T124">
        <x:v>51</x:v>
      </x:c>
      <x:c r="U124">
        <x:v>46</x:v>
      </x:c>
      <x:c r="V124">
        <x:v>77</x:v>
      </x:c>
      <x:c r="W124">
        <x:v>52</x:v>
      </x:c>
      <x:c r="X124">
        <x:v>71</x:v>
      </x:c>
      <x:c r="Y124">
        <x:v>68</x:v>
      </x:c>
      <x:c r="Z124">
        <x:v>51</x:v>
      </x:c>
      <x:c r="AA124">
        <x:v>57</x:v>
      </x:c>
    </x:row>
    <x:row r="125">
      <x:c r="A125" t="s">
        <x:v>879</x:v>
      </x:c>
      <x:c r="B125" t="s">
        <x:v>350</x:v>
      </x:c>
      <x:c r="C125" t="s">
        <x:v>331</x:v>
      </x:c>
      <x:c r="D125">
        <x:v>8477435</x:v>
      </x:c>
      <x:c r="E125" t="s">
        <x:v>224</x:v>
      </x:c>
      <x:c r="F125">
        <x:v>22</x:v>
      </x:c>
      <x:c r="G125">
        <x:v>61</x:v>
      </x:c>
      <x:c r="J125" t="s">
        <x:v>2090</x:v>
      </x:c>
      <x:c r="K125">
        <x:v>75</x:v>
      </x:c>
      <x:c r="L125">
        <x:v>49</x:v>
      </x:c>
      <x:c r="M125">
        <x:v>84</x:v>
      </x:c>
      <x:c r="N125">
        <x:v>38</x:v>
      </x:c>
      <x:c r="O125">
        <x:v>89</x:v>
      </x:c>
      <x:c r="P125">
        <x:v>84</x:v>
      </x:c>
      <x:c r="Q125">
        <x:v>72</x:v>
      </x:c>
      <x:c r="R125">
        <x:v>37</x:v>
      </x:c>
      <x:c r="S125">
        <x:v>30</x:v>
      </x:c>
      <x:c r="T125">
        <x:v>48</x:v>
      </x:c>
      <x:c r="U125">
        <x:v>46</x:v>
      </x:c>
      <x:c r="V125">
        <x:v>77</x:v>
      </x:c>
      <x:c r="W125">
        <x:v>52</x:v>
      </x:c>
      <x:c r="X125">
        <x:v>78</x:v>
      </x:c>
      <x:c r="Y125">
        <x:v>76</x:v>
      </x:c>
      <x:c r="Z125">
        <x:v>51</x:v>
      </x:c>
      <x:c r="AA125">
        <x:v>57</x:v>
      </x:c>
    </x:row>
    <x:row r="126">
      <x:c r="A126" t="s">
        <x:v>944</x:v>
      </x:c>
      <x:c r="B126" t="s">
        <x:v>383</x:v>
      </x:c>
      <x:c r="C126" t="s">
        <x:v>331</x:v>
      </x:c>
      <x:c r="D126">
        <x:v>8480001</x:v>
      </x:c>
      <x:c r="E126" t="s">
        <x:v>224</x:v>
      </x:c>
      <x:c r="F126">
        <x:v>34</x:v>
      </x:c>
      <x:c r="G126">
        <x:v>51</x:v>
      </x:c>
      <x:c r="J126" t="s">
        <x:v>2091</x:v>
      </x:c>
      <x:c r="K126">
        <x:v>68</x:v>
      </x:c>
      <x:c r="L126">
        <x:v>39</x:v>
      </x:c>
      <x:c r="M126">
        <x:v>81</x:v>
      </x:c>
      <x:c r="N126">
        <x:v>38</x:v>
      </x:c>
      <x:c r="O126">
        <x:v>82</x:v>
      </x:c>
      <x:c r="P126">
        <x:v>83</x:v>
      </x:c>
      <x:c r="Q126">
        <x:v>69</x:v>
      </x:c>
      <x:c r="R126">
        <x:v>37</x:v>
      </x:c>
      <x:c r="S126">
        <x:v>30</x:v>
      </x:c>
      <x:c r="T126">
        <x:v>53</x:v>
      </x:c>
      <x:c r="U126">
        <x:v>45</x:v>
      </x:c>
      <x:c r="V126">
        <x:v>77</x:v>
      </x:c>
      <x:c r="W126">
        <x:v>52</x:v>
      </x:c>
      <x:c r="X126">
        <x:v>70</x:v>
      </x:c>
      <x:c r="Y126">
        <x:v>71</x:v>
      </x:c>
      <x:c r="Z126">
        <x:v>51</x:v>
      </x:c>
      <x:c r="AA126">
        <x:v>56</x:v>
      </x:c>
    </x:row>
    <x:row r="127">
      <x:c r="A127" t="s">
        <x:v>971</x:v>
      </x:c>
      <x:c r="B127" t="s">
        <x:v>327</x:v>
      </x:c>
      <x:c r="C127" t="s">
        <x:v>331</x:v>
      </x:c>
      <x:c r="D127">
        <x:v>8481719</x:v>
      </x:c>
      <x:c r="E127" t="s">
        <x:v>224</x:v>
      </x:c>
      <x:c r="F127">
        <x:v>35</x:v>
      </x:c>
      <x:c r="G127">
        <x:v>5</x:v>
      </x:c>
      <x:c r="J127" t="s">
        <x:v>2092</x:v>
      </x:c>
      <x:c r="K127">
        <x:v>77</x:v>
      </x:c>
      <x:c r="L127">
        <x:v>82</x:v>
      </x:c>
      <x:c r="M127">
        <x:v>78</x:v>
      </x:c>
      <x:c r="N127">
        <x:v>40</x:v>
      </x:c>
      <x:c r="O127">
        <x:v>82</x:v>
      </x:c>
      <x:c r="P127">
        <x:v>84</x:v>
      </x:c>
      <x:c r="Q127">
        <x:v>65</x:v>
      </x:c>
      <x:c r="R127">
        <x:v>37</x:v>
      </x:c>
      <x:c r="S127">
        <x:v>30</x:v>
      </x:c>
      <x:c r="T127">
        <x:v>52</x:v>
      </x:c>
      <x:c r="U127">
        <x:v>46</x:v>
      </x:c>
      <x:c r="V127">
        <x:v>77</x:v>
      </x:c>
      <x:c r="W127">
        <x:v>51</x:v>
      </x:c>
      <x:c r="X127">
        <x:v>68</x:v>
      </x:c>
      <x:c r="Y127">
        <x:v>69</x:v>
      </x:c>
      <x:c r="Z127">
        <x:v>51</x:v>
      </x:c>
      <x:c r="AA127">
        <x:v>56</x:v>
      </x:c>
    </x:row>
    <x:row r="128">
      <x:c r="A128" t="s">
        <x:v>1008</x:v>
      </x:c>
      <x:c r="B128" t="s">
        <x:v>584</x:v>
      </x:c>
      <x:c r="C128" t="s">
        <x:v>331</x:v>
      </x:c>
      <x:c r="D128">
        <x:v>8477851</x:v>
      </x:c>
      <x:c r="E128" t="s">
        <x:v>224</x:v>
      </x:c>
      <x:c r="F128">
        <x:v>1</x:v>
      </x:c>
      <x:c r="G128">
        <x:v>37</x:v>
      </x:c>
      <x:c r="J128" t="s">
        <x:v>2093</x:v>
      </x:c>
      <x:c r="K128">
        <x:v>74</x:v>
      </x:c>
      <x:c r="L128">
        <x:v>33</x:v>
      </x:c>
      <x:c r="M128">
        <x:v>93</x:v>
      </x:c>
      <x:c r="N128">
        <x:v>40</x:v>
      </x:c>
      <x:c r="O128">
        <x:v>75</x:v>
      </x:c>
      <x:c r="P128">
        <x:v>88</x:v>
      </x:c>
      <x:c r="Q128">
        <x:v>91</x:v>
      </x:c>
      <x:c r="R128">
        <x:v>37</x:v>
      </x:c>
      <x:c r="S128">
        <x:v>30</x:v>
      </x:c>
      <x:c r="T128">
        <x:v>48</x:v>
      </x:c>
      <x:c r="U128">
        <x:v>46</x:v>
      </x:c>
      <x:c r="V128">
        <x:v>77</x:v>
      </x:c>
      <x:c r="W128">
        <x:v>53</x:v>
      </x:c>
      <x:c r="X128">
        <x:v>74</x:v>
      </x:c>
      <x:c r="Y128">
        <x:v>77</x:v>
      </x:c>
      <x:c r="Z128">
        <x:v>51</x:v>
      </x:c>
      <x:c r="AA128">
        <x:v>55</x:v>
      </x:c>
    </x:row>
    <x:row r="129">
      <x:c r="A129" t="s">
        <x:v>1081</x:v>
      </x:c>
      <x:c r="B129" t="s">
        <x:v>343</x:v>
      </x:c>
      <x:c r="C129" t="s">
        <x:v>331</x:v>
      </x:c>
      <x:c r="D129">
        <x:v>8481178</x:v>
      </x:c>
      <x:c r="E129" t="s">
        <x:v>224</x:v>
      </x:c>
      <x:c r="F129">
        <x:v>33</x:v>
      </x:c>
      <x:c r="G129">
        <x:v>63</x:v>
      </x:c>
      <x:c r="J129" t="s">
        <x:v>2094</x:v>
      </x:c>
      <x:c r="K129">
        <x:v>67</x:v>
      </x:c>
      <x:c r="L129">
        <x:v>40</x:v>
      </x:c>
      <x:c r="M129">
        <x:v>88</x:v>
      </x:c>
      <x:c r="N129">
        <x:v>33</x:v>
      </x:c>
      <x:c r="O129">
        <x:v>81</x:v>
      </x:c>
      <x:c r="P129">
        <x:v>84</x:v>
      </x:c>
      <x:c r="Q129">
        <x:v>69</x:v>
      </x:c>
      <x:c r="R129">
        <x:v>37</x:v>
      </x:c>
      <x:c r="S129">
        <x:v>30</x:v>
      </x:c>
      <x:c r="T129">
        <x:v>50</x:v>
      </x:c>
      <x:c r="U129">
        <x:v>45</x:v>
      </x:c>
      <x:c r="V129">
        <x:v>77</x:v>
      </x:c>
      <x:c r="W129">
        <x:v>52</x:v>
      </x:c>
      <x:c r="X129">
        <x:v>69</x:v>
      </x:c>
      <x:c r="Y129">
        <x:v>68</x:v>
      </x:c>
      <x:c r="Z129">
        <x:v>47</x:v>
      </x:c>
      <x:c r="AA129">
        <x:v>54</x:v>
      </x:c>
    </x:row>
    <x:row r="130">
      <x:c r="A130" t="s">
        <x:v>1123</x:v>
      </x:c>
      <x:c r="B130" t="s">
        <x:v>576</x:v>
      </x:c>
      <x:c r="C130" t="s">
        <x:v>331</x:v>
      </x:c>
      <x:c r="D130">
        <x:v>8484768</x:v>
      </x:c>
      <x:c r="E130" t="s">
        <x:v>224</x:v>
      </x:c>
      <x:c r="F130">
        <x:v>37</x:v>
      </x:c>
      <x:c r="G130">
        <x:v>1</x:v>
      </x:c>
      <x:c r="J130" t="s">
        <x:v>2095</x:v>
      </x:c>
      <x:c r="K130">
        <x:v>68</x:v>
      </x:c>
      <x:c r="L130">
        <x:v>31</x:v>
      </x:c>
      <x:c r="M130">
        <x:v>87</x:v>
      </x:c>
      <x:c r="N130">
        <x:v>39</x:v>
      </x:c>
      <x:c r="O130">
        <x:v>75</x:v>
      </x:c>
      <x:c r="P130">
        <x:v>86</x:v>
      </x:c>
      <x:c r="Q130">
        <x:v>71</x:v>
      </x:c>
      <x:c r="R130">
        <x:v>38</x:v>
      </x:c>
      <x:c r="S130">
        <x:v>30</x:v>
      </x:c>
      <x:c r="T130">
        <x:v>49</x:v>
      </x:c>
      <x:c r="U130">
        <x:v>53</x:v>
      </x:c>
      <x:c r="V130">
        <x:v>77</x:v>
      </x:c>
      <x:c r="W130">
        <x:v>51</x:v>
      </x:c>
      <x:c r="X130">
        <x:v>64</x:v>
      </x:c>
      <x:c r="Y130">
        <x:v>64</x:v>
      </x:c>
      <x:c r="Z130">
        <x:v>51</x:v>
      </x:c>
      <x:c r="AA130">
        <x:v>54</x:v>
      </x:c>
    </x:row>
    <x:row r="131">
      <x:c r="A131" t="s">
        <x:v>335</x:v>
      </x:c>
      <x:c r="B131" t="s">
        <x:v>320</x:v>
      </x:c>
      <x:c r="C131" t="s">
        <x:v>331</x:v>
      </x:c>
      <x:c r="D131">
        <x:v>8480803</x:v>
      </x:c>
      <x:c r="E131" t="s">
        <x:v>224</x:v>
      </x:c>
      <x:c r="F131">
        <x:v>82</x:v>
      </x:c>
      <x:c r="G131">
        <x:v>82</x:v>
      </x:c>
      <x:c r="J131" t="s">
        <x:v>1992</x:v>
      </x:c>
      <x:c r="K131">
        <x:v>66</x:v>
      </x:c>
      <x:c r="L131">
        <x:v>40</x:v>
      </x:c>
      <x:c r="M131">
        <x:v>91</x:v>
      </x:c>
      <x:c r="N131">
        <x:v>42</x:v>
      </x:c>
      <x:c r="O131">
        <x:v>78</x:v>
      </x:c>
      <x:c r="P131">
        <x:v>96</x:v>
      </x:c>
      <x:c r="Q131">
        <x:v>99</x:v>
      </x:c>
      <x:c r="R131">
        <x:v>66</x:v>
      </x:c>
      <x:c r="S131">
        <x:v>30</x:v>
      </x:c>
      <x:c r="T131">
        <x:v>79</x:v>
      </x:c>
      <x:c r="U131">
        <x:v>56</x:v>
      </x:c>
      <x:c r="V131">
        <x:v>76</x:v>
      </x:c>
      <x:c r="W131">
        <x:v>56</x:v>
      </x:c>
      <x:c r="X131">
        <x:v>79</x:v>
      </x:c>
      <x:c r="Y131">
        <x:v>81</x:v>
      </x:c>
      <x:c r="Z131">
        <x:v>51</x:v>
      </x:c>
      <x:c r="AA131">
        <x:v>68</x:v>
      </x:c>
    </x:row>
    <x:row r="132">
      <x:c r="A132" t="s">
        <x:v>373</x:v>
      </x:c>
      <x:c r="B132" t="s">
        <x:v>350</x:v>
      </x:c>
      <x:c r="C132" t="s">
        <x:v>331</x:v>
      </x:c>
      <x:c r="D132">
        <x:v>8474578</x:v>
      </x:c>
      <x:c r="E132" t="s">
        <x:v>224</x:v>
      </x:c>
      <x:c r="F132">
        <x:v>75</x:v>
      </x:c>
      <x:c r="G132">
        <x:v>82</x:v>
      </x:c>
      <x:c r="J132" t="s">
        <x:v>2096</x:v>
      </x:c>
      <x:c r="K132">
        <x:v>66</x:v>
      </x:c>
      <x:c r="L132">
        <x:v>34</x:v>
      </x:c>
      <x:c r="M132">
        <x:v>91</x:v>
      </x:c>
      <x:c r="N132">
        <x:v>62</x:v>
      </x:c>
      <x:c r="O132">
        <x:v>76</x:v>
      </x:c>
      <x:c r="P132">
        <x:v>95</x:v>
      </x:c>
      <x:c r="Q132">
        <x:v>96</x:v>
      </x:c>
      <x:c r="R132">
        <x:v>58</x:v>
      </x:c>
      <x:c r="S132">
        <x:v>30</x:v>
      </x:c>
      <x:c r="T132">
        <x:v>72</x:v>
      </x:c>
      <x:c r="U132">
        <x:v>54</x:v>
      </x:c>
      <x:c r="V132">
        <x:v>76</x:v>
      </x:c>
      <x:c r="W132">
        <x:v>59</x:v>
      </x:c>
      <x:c r="X132">
        <x:v>90</x:v>
      </x:c>
      <x:c r="Y132">
        <x:v>86</x:v>
      </x:c>
      <x:c r="Z132">
        <x:v>51</x:v>
      </x:c>
      <x:c r="AA132">
        <x:v>66</x:v>
      </x:c>
    </x:row>
    <x:row r="133">
      <x:c r="A133" t="s">
        <x:v>376</x:v>
      </x:c>
      <x:c r="B133" t="s">
        <x:v>352</x:v>
      </x:c>
      <x:c r="C133" t="s">
        <x:v>331</x:v>
      </x:c>
      <x:c r="D133">
        <x:v>8478178</x:v>
      </x:c>
      <x:c r="E133" t="s">
        <x:v>224</x:v>
      </x:c>
      <x:c r="F133">
        <x:v>73</x:v>
      </x:c>
      <x:c r="G133">
        <x:v>73</x:v>
      </x:c>
      <x:c r="J133" t="s">
        <x:v>2097</x:v>
      </x:c>
      <x:c r="K133">
        <x:v>71</x:v>
      </x:c>
      <x:c r="L133">
        <x:v>70</x:v>
      </x:c>
      <x:c r="M133">
        <x:v>82</x:v>
      </x:c>
      <x:c r="N133">
        <x:v>39</x:v>
      </x:c>
      <x:c r="O133">
        <x:v>82</x:v>
      </x:c>
      <x:c r="P133">
        <x:v>93</x:v>
      </x:c>
      <x:c r="Q133">
        <x:v>93</x:v>
      </x:c>
      <x:c r="R133">
        <x:v>61</x:v>
      </x:c>
      <x:c r="S133">
        <x:v>30</x:v>
      </x:c>
      <x:c r="T133">
        <x:v>73</x:v>
      </x:c>
      <x:c r="U133">
        <x:v>59</x:v>
      </x:c>
      <x:c r="V133">
        <x:v>76</x:v>
      </x:c>
      <x:c r="W133">
        <x:v>52</x:v>
      </x:c>
      <x:c r="X133">
        <x:v>71</x:v>
      </x:c>
      <x:c r="Y133">
        <x:v>72</x:v>
      </x:c>
      <x:c r="Z133">
        <x:v>51</x:v>
      </x:c>
      <x:c r="AA133">
        <x:v>66</x:v>
      </x:c>
    </x:row>
    <x:row r="134">
      <x:c r="A134" t="s">
        <x:v>392</x:v>
      </x:c>
      <x:c r="B134" t="s">
        <x:v>393</x:v>
      </x:c>
      <x:c r="C134" t="s">
        <x:v>331</x:v>
      </x:c>
      <x:c r="D134">
        <x:v>8481605</x:v>
      </x:c>
      <x:c r="E134" t="s">
        <x:v>224</x:v>
      </x:c>
      <x:c r="F134">
        <x:v>82</x:v>
      </x:c>
      <x:c r="G134">
        <x:v>75</x:v>
      </x:c>
      <x:c r="J134" t="s">
        <x:v>2098</x:v>
      </x:c>
      <x:c r="K134">
        <x:v>71</x:v>
      </x:c>
      <x:c r="L134">
        <x:v>57</x:v>
      </x:c>
      <x:c r="M134">
        <x:v>94</x:v>
      </x:c>
      <x:c r="N134">
        <x:v>56</x:v>
      </x:c>
      <x:c r="O134">
        <x:v>83</x:v>
      </x:c>
      <x:c r="P134">
        <x:v>95</x:v>
      </x:c>
      <x:c r="Q134">
        <x:v>99</x:v>
      </x:c>
      <x:c r="R134">
        <x:v>56</x:v>
      </x:c>
      <x:c r="S134">
        <x:v>30</x:v>
      </x:c>
      <x:c r="T134">
        <x:v>69</x:v>
      </x:c>
      <x:c r="U134">
        <x:v>49</x:v>
      </x:c>
      <x:c r="V134">
        <x:v>76</x:v>
      </x:c>
      <x:c r="W134">
        <x:v>52</x:v>
      </x:c>
      <x:c r="X134">
        <x:v>70</x:v>
      </x:c>
      <x:c r="Y134">
        <x:v>81</x:v>
      </x:c>
      <x:c r="Z134">
        <x:v>51</x:v>
      </x:c>
      <x:c r="AA134">
        <x:v>65</x:v>
      </x:c>
    </x:row>
    <x:row r="135">
      <x:c r="A135" t="s">
        <x:v>448</x:v>
      </x:c>
      <x:c r="B135" t="s">
        <x:v>368</x:v>
      </x:c>
      <x:c r="C135" t="s">
        <x:v>331</x:v>
      </x:c>
      <x:c r="D135">
        <x:v>8475753</x:v>
      </x:c>
      <x:c r="E135" t="s">
        <x:v>224</x:v>
      </x:c>
      <x:c r="F135">
        <x:v>78</x:v>
      </x:c>
      <x:c r="G135">
        <x:v>78</x:v>
      </x:c>
      <x:c r="J135" t="s">
        <x:v>2099</x:v>
      </x:c>
      <x:c r="K135">
        <x:v>71</x:v>
      </x:c>
      <x:c r="L135">
        <x:v>39</x:v>
      </x:c>
      <x:c r="M135">
        <x:v>82</x:v>
      </x:c>
      <x:c r="N135">
        <x:v>45</x:v>
      </x:c>
      <x:c r="O135">
        <x:v>83</x:v>
      </x:c>
      <x:c r="P135">
        <x:v>94</x:v>
      </x:c>
      <x:c r="Q135">
        <x:v>97</x:v>
      </x:c>
      <x:c r="R135">
        <x:v>48</x:v>
      </x:c>
      <x:c r="S135">
        <x:v>30</x:v>
      </x:c>
      <x:c r="T135">
        <x:v>55</x:v>
      </x:c>
      <x:c r="U135">
        <x:v>51</x:v>
      </x:c>
      <x:c r="V135">
        <x:v>76</x:v>
      </x:c>
      <x:c r="W135">
        <x:v>52</x:v>
      </x:c>
      <x:c r="X135">
        <x:v>87</x:v>
      </x:c>
      <x:c r="Y135">
        <x:v>81</x:v>
      </x:c>
      <x:c r="Z135">
        <x:v>51</x:v>
      </x:c>
      <x:c r="AA135">
        <x:v>63</x:v>
      </x:c>
    </x:row>
    <x:row r="136">
      <x:c r="A136" t="s">
        <x:v>456</x:v>
      </x:c>
      <x:c r="B136" t="s">
        <x:v>370</x:v>
      </x:c>
      <x:c r="C136" t="s">
        <x:v>331</x:v>
      </x:c>
      <x:c r="D136">
        <x:v>8478469</x:v>
      </x:c>
      <x:c r="E136" t="s">
        <x:v>224</x:v>
      </x:c>
      <x:c r="F136">
        <x:v>57</x:v>
      </x:c>
      <x:c r="G136">
        <x:v>80</x:v>
      </x:c>
      <x:c r="J136" t="s">
        <x:v>2100</x:v>
      </x:c>
      <x:c r="K136">
        <x:v>68</x:v>
      </x:c>
      <x:c r="L136">
        <x:v>36</x:v>
      </x:c>
      <x:c r="M136">
        <x:v>87</x:v>
      </x:c>
      <x:c r="N136">
        <x:v>47</x:v>
      </x:c>
      <x:c r="O136">
        <x:v>81</x:v>
      </x:c>
      <x:c r="P136">
        <x:v>94</x:v>
      </x:c>
      <x:c r="Q136">
        <x:v>84</x:v>
      </x:c>
      <x:c r="R136">
        <x:v>49</x:v>
      </x:c>
      <x:c r="S136">
        <x:v>30</x:v>
      </x:c>
      <x:c r="T136">
        <x:v>59</x:v>
      </x:c>
      <x:c r="U136">
        <x:v>49</x:v>
      </x:c>
      <x:c r="V136">
        <x:v>76</x:v>
      </x:c>
      <x:c r="W136">
        <x:v>54</x:v>
      </x:c>
      <x:c r="X136">
        <x:v>77</x:v>
      </x:c>
      <x:c r="Y136">
        <x:v>83</x:v>
      </x:c>
      <x:c r="Z136">
        <x:v>51</x:v>
      </x:c>
      <x:c r="AA136">
        <x:v>63</x:v>
      </x:c>
    </x:row>
    <x:row r="137">
      <x:c r="A137" t="s">
        <x:v>470</x:v>
      </x:c>
      <x:c r="B137" t="s">
        <x:v>327</x:v>
      </x:c>
      <x:c r="C137" t="s">
        <x:v>331</x:v>
      </x:c>
      <x:c r="D137">
        <x:v>8475167</x:v>
      </x:c>
      <x:c r="E137" t="s">
        <x:v>224</x:v>
      </x:c>
      <x:c r="F137">
        <x:v>33</x:v>
      </x:c>
      <x:c r="G137">
        <x:v>79</x:v>
      </x:c>
      <x:c r="J137" t="s">
        <x:v>2101</x:v>
      </x:c>
      <x:c r="K137">
        <x:v>69</x:v>
      </x:c>
      <x:c r="L137">
        <x:v>44</x:v>
      </x:c>
      <x:c r="M137">
        <x:v>91</x:v>
      </x:c>
      <x:c r="N137">
        <x:v>43</x:v>
      </x:c>
      <x:c r="O137">
        <x:v>94</x:v>
      </x:c>
      <x:c r="P137">
        <x:v>90</x:v>
      </x:c>
      <x:c r="Q137">
        <x:v>72</x:v>
      </x:c>
      <x:c r="R137">
        <x:v>49</x:v>
      </x:c>
      <x:c r="S137">
        <x:v>30</x:v>
      </x:c>
      <x:c r="T137">
        <x:v>61</x:v>
      </x:c>
      <x:c r="U137">
        <x:v>47</x:v>
      </x:c>
      <x:c r="V137">
        <x:v>76</x:v>
      </x:c>
      <x:c r="W137">
        <x:v>65</x:v>
      </x:c>
      <x:c r="X137">
        <x:v>93</x:v>
      </x:c>
      <x:c r="Y137">
        <x:v>91</x:v>
      </x:c>
      <x:c r="Z137">
        <x:v>51</x:v>
      </x:c>
      <x:c r="AA137">
        <x:v>63</x:v>
      </x:c>
    </x:row>
    <x:row r="138">
      <x:c r="A138" t="s">
        <x:v>582</x:v>
      </x:c>
      <x:c r="B138" t="s">
        <x:v>334</x:v>
      </x:c>
      <x:c r="C138" t="s">
        <x:v>331</x:v>
      </x:c>
      <x:c r="D138">
        <x:v>8475279</x:v>
      </x:c>
      <x:c r="E138" t="s">
        <x:v>224</x:v>
      </x:c>
      <x:c r="F138">
        <x:v>82</x:v>
      </x:c>
      <x:c r="G138">
        <x:v>81</x:v>
      </x:c>
      <x:c r="J138" t="s">
        <x:v>2102</x:v>
      </x:c>
      <x:c r="K138">
        <x:v>78</x:v>
      </x:c>
      <x:c r="L138">
        <x:v>67</x:v>
      </x:c>
      <x:c r="M138">
        <x:v>77</x:v>
      </x:c>
      <x:c r="N138">
        <x:v>39</x:v>
      </x:c>
      <x:c r="O138">
        <x:v>88</x:v>
      </x:c>
      <x:c r="P138">
        <x:v>92</x:v>
      </x:c>
      <x:c r="Q138">
        <x:v>99</x:v>
      </x:c>
      <x:c r="R138">
        <x:v>37</x:v>
      </x:c>
      <x:c r="S138">
        <x:v>30</x:v>
      </x:c>
      <x:c r="T138">
        <x:v>50</x:v>
      </x:c>
      <x:c r="U138">
        <x:v>47</x:v>
      </x:c>
      <x:c r="V138">
        <x:v>76</x:v>
      </x:c>
      <x:c r="W138">
        <x:v>52</x:v>
      </x:c>
      <x:c r="X138">
        <x:v>85</x:v>
      </x:c>
      <x:c r="Y138">
        <x:v>76</x:v>
      </x:c>
      <x:c r="Z138">
        <x:v>51</x:v>
      </x:c>
      <x:c r="AA138">
        <x:v>60</x:v>
      </x:c>
    </x:row>
    <x:row r="139">
      <x:c r="A139" t="s">
        <x:v>586</x:v>
      </x:c>
      <x:c r="B139" t="s">
        <x:v>393</x:v>
      </x:c>
      <x:c r="C139" t="s">
        <x:v>331</x:v>
      </x:c>
      <x:c r="D139">
        <x:v>8479378</x:v>
      </x:c>
      <x:c r="E139" t="s">
        <x:v>224</x:v>
      </x:c>
      <x:c r="F139">
        <x:v>76</x:v>
      </x:c>
      <x:c r="G139">
        <x:v>63</x:v>
      </x:c>
      <x:c r="J139" t="s">
        <x:v>2103</x:v>
      </x:c>
      <x:c r="K139">
        <x:v>78</x:v>
      </x:c>
      <x:c r="L139">
        <x:v>90</x:v>
      </x:c>
      <x:c r="M139">
        <x:v>73</x:v>
      </x:c>
      <x:c r="N139">
        <x:v>35</x:v>
      </x:c>
      <x:c r="O139">
        <x:v>93</x:v>
      </x:c>
      <x:c r="P139">
        <x:v>87</x:v>
      </x:c>
      <x:c r="Q139">
        <x:v>92</x:v>
      </x:c>
      <x:c r="R139">
        <x:v>41</x:v>
      </x:c>
      <x:c r="S139">
        <x:v>30</x:v>
      </x:c>
      <x:c r="T139">
        <x:v>55</x:v>
      </x:c>
      <x:c r="U139">
        <x:v>49</x:v>
      </x:c>
      <x:c r="V139">
        <x:v>76</x:v>
      </x:c>
      <x:c r="W139">
        <x:v>52</x:v>
      </x:c>
      <x:c r="X139">
        <x:v>74</x:v>
      </x:c>
      <x:c r="Y139">
        <x:v>73</x:v>
      </x:c>
      <x:c r="Z139">
        <x:v>51</x:v>
      </x:c>
      <x:c r="AA139">
        <x:v>60</x:v>
      </x:c>
    </x:row>
    <x:row r="140">
      <x:c r="A140" t="s">
        <x:v>610</x:v>
      </x:c>
      <x:c r="B140" t="s">
        <x:v>361</x:v>
      </x:c>
      <x:c r="C140" t="s">
        <x:v>331</x:v>
      </x:c>
      <x:c r="D140">
        <x:v>8482671</x:v>
      </x:c>
      <x:c r="E140" t="s">
        <x:v>224</x:v>
      </x:c>
      <x:c r="F140">
        <x:v>81</x:v>
      </x:c>
      <x:c r="G140">
        <x:v>79</x:v>
      </x:c>
      <x:c r="J140" t="s">
        <x:v>2104</x:v>
      </x:c>
      <x:c r="K140">
        <x:v>67</x:v>
      </x:c>
      <x:c r="L140">
        <x:v>43</x:v>
      </x:c>
      <x:c r="M140">
        <x:v>90</x:v>
      </x:c>
      <x:c r="N140">
        <x:v>41</x:v>
      </x:c>
      <x:c r="O140">
        <x:v>89</x:v>
      </x:c>
      <x:c r="P140">
        <x:v>93</x:v>
      </x:c>
      <x:c r="Q140">
        <x:v>99</x:v>
      </x:c>
      <x:c r="R140">
        <x:v>44</x:v>
      </x:c>
      <x:c r="S140">
        <x:v>30</x:v>
      </x:c>
      <x:c r="T140">
        <x:v>56</x:v>
      </x:c>
      <x:c r="U140">
        <x:v>48</x:v>
      </x:c>
      <x:c r="V140">
        <x:v>76</x:v>
      </x:c>
      <x:c r="W140">
        <x:v>62</x:v>
      </x:c>
      <x:c r="X140">
        <x:v>74</x:v>
      </x:c>
      <x:c r="Y140">
        <x:v>79</x:v>
      </x:c>
      <x:c r="Z140">
        <x:v>51</x:v>
      </x:c>
      <x:c r="AA140">
        <x:v>60</x:v>
      </x:c>
    </x:row>
    <x:row r="141">
      <x:c r="A141" t="s">
        <x:v>611</x:v>
      </x:c>
      <x:c r="B141" t="s">
        <x:v>352</x:v>
      </x:c>
      <x:c r="C141" t="s">
        <x:v>331</x:v>
      </x:c>
      <x:c r="D141">
        <x:v>8478854</x:v>
      </x:c>
      <x:c r="E141" t="s">
        <x:v>224</x:v>
      </x:c>
      <x:c r="F141">
        <x:v>80</x:v>
      </x:c>
      <x:c r="G141">
        <x:v>39</x:v>
      </x:c>
      <x:c r="J141" t="s">
        <x:v>2105</x:v>
      </x:c>
      <x:c r="K141">
        <x:v>68</x:v>
      </x:c>
      <x:c r="L141">
        <x:v>37</x:v>
      </x:c>
      <x:c r="M141">
        <x:v>94</x:v>
      </x:c>
      <x:c r="N141">
        <x:v>38</x:v>
      </x:c>
      <x:c r="O141">
        <x:v>81</x:v>
      </x:c>
      <x:c r="P141">
        <x:v>89</x:v>
      </x:c>
      <x:c r="Q141">
        <x:v>94</x:v>
      </x:c>
      <x:c r="R141">
        <x:v>42</x:v>
      </x:c>
      <x:c r="S141">
        <x:v>30</x:v>
      </x:c>
      <x:c r="T141">
        <x:v>59</x:v>
      </x:c>
      <x:c r="U141">
        <x:v>47</x:v>
      </x:c>
      <x:c r="V141">
        <x:v>76</x:v>
      </x:c>
      <x:c r="W141">
        <x:v>52</x:v>
      </x:c>
      <x:c r="X141">
        <x:v>69</x:v>
      </x:c>
      <x:c r="Y141">
        <x:v>71</x:v>
      </x:c>
      <x:c r="Z141">
        <x:v>51</x:v>
      </x:c>
      <x:c r="AA141">
        <x:v>60</x:v>
      </x:c>
    </x:row>
    <x:row r="142">
      <x:c r="A142" t="s">
        <x:v>628</x:v>
      </x:c>
      <x:c r="B142" t="s">
        <x:v>337</x:v>
      </x:c>
      <x:c r="C142" t="s">
        <x:v>331</x:v>
      </x:c>
      <x:c r="D142">
        <x:v>8483485</x:v>
      </x:c>
      <x:c r="E142" t="s">
        <x:v>224</x:v>
      </x:c>
      <x:c r="F142">
        <x:v>75</x:v>
      </x:c>
      <x:c r="G142">
        <x:v>45</x:v>
      </x:c>
      <x:c r="J142" t="s">
        <x:v>2106</x:v>
      </x:c>
      <x:c r="K142">
        <x:v>68</x:v>
      </x:c>
      <x:c r="L142">
        <x:v>33</x:v>
      </x:c>
      <x:c r="M142">
        <x:v>94</x:v>
      </x:c>
      <x:c r="N142">
        <x:v>48</x:v>
      </x:c>
      <x:c r="O142">
        <x:v>77</x:v>
      </x:c>
      <x:c r="P142">
        <x:v>90</x:v>
      </x:c>
      <x:c r="Q142">
        <x:v>93</x:v>
      </x:c>
      <x:c r="R142">
        <x:v>43</x:v>
      </x:c>
      <x:c r="S142">
        <x:v>30</x:v>
      </x:c>
      <x:c r="T142">
        <x:v>54</x:v>
      </x:c>
      <x:c r="U142">
        <x:v>51</x:v>
      </x:c>
      <x:c r="V142">
        <x:v>76</x:v>
      </x:c>
      <x:c r="W142">
        <x:v>52</x:v>
      </x:c>
      <x:c r="X142">
        <x:v>68</x:v>
      </x:c>
      <x:c r="Y142">
        <x:v>69</x:v>
      </x:c>
      <x:c r="Z142">
        <x:v>51</x:v>
      </x:c>
      <x:c r="AA142">
        <x:v>60</x:v>
      </x:c>
    </x:row>
    <x:row r="143">
      <x:c r="A143" t="s">
        <x:v>637</x:v>
      </x:c>
      <x:c r="B143" t="s">
        <x:v>576</x:v>
      </x:c>
      <x:c r="C143" t="s">
        <x:v>331</x:v>
      </x:c>
      <x:c r="D143">
        <x:v>8480860</x:v>
      </x:c>
      <x:c r="E143" t="s">
        <x:v>224</x:v>
      </x:c>
      <x:c r="F143">
        <x:v>76</x:v>
      </x:c>
      <x:c r="G143">
        <x:v>73</x:v>
      </x:c>
      <x:c r="J143" t="s">
        <x:v>2107</x:v>
      </x:c>
      <x:c r="K143">
        <x:v>75</x:v>
      </x:c>
      <x:c r="L143">
        <x:v>71</x:v>
      </x:c>
      <x:c r="M143">
        <x:v>83</x:v>
      </x:c>
      <x:c r="N143">
        <x:v>38</x:v>
      </x:c>
      <x:c r="O143">
        <x:v>92</x:v>
      </x:c>
      <x:c r="P143">
        <x:v>94</x:v>
      </x:c>
      <x:c r="Q143">
        <x:v>95</x:v>
      </x:c>
      <x:c r="R143">
        <x:v>39</x:v>
      </x:c>
      <x:c r="S143">
        <x:v>30</x:v>
      </x:c>
      <x:c r="T143">
        <x:v>52</x:v>
      </x:c>
      <x:c r="U143">
        <x:v>46</x:v>
      </x:c>
      <x:c r="V143">
        <x:v>76</x:v>
      </x:c>
      <x:c r="W143">
        <x:v>52</x:v>
      </x:c>
      <x:c r="X143">
        <x:v>71</x:v>
      </x:c>
      <x:c r="Y143">
        <x:v>75</x:v>
      </x:c>
      <x:c r="Z143">
        <x:v>51</x:v>
      </x:c>
      <x:c r="AA143">
        <x:v>60</x:v>
      </x:c>
    </x:row>
    <x:row r="144">
      <x:c r="A144" t="s">
        <x:v>658</x:v>
      </x:c>
      <x:c r="B144" t="s">
        <x:v>337</x:v>
      </x:c>
      <x:c r="C144" t="s">
        <x:v>331</x:v>
      </x:c>
      <x:c r="D144">
        <x:v>8475790</x:v>
      </x:c>
      <x:c r="E144" t="s">
        <x:v>224</x:v>
      </x:c>
      <x:c r="F144">
        <x:v>37</x:v>
      </x:c>
      <x:c r="G144">
        <x:v>16</x:v>
      </x:c>
      <x:c r="J144" t="s">
        <x:v>2108</x:v>
      </x:c>
      <x:c r="K144">
        <x:v>76</x:v>
      </x:c>
      <x:c r="L144">
        <x:v>70</x:v>
      </x:c>
      <x:c r="M144">
        <x:v>83</x:v>
      </x:c>
      <x:c r="N144">
        <x:v>43</x:v>
      </x:c>
      <x:c r="O144">
        <x:v>88</x:v>
      </x:c>
      <x:c r="P144">
        <x:v>87</x:v>
      </x:c>
      <x:c r="Q144">
        <x:v>66</x:v>
      </x:c>
      <x:c r="R144">
        <x:v>37</x:v>
      </x:c>
      <x:c r="S144">
        <x:v>30</x:v>
      </x:c>
      <x:c r="T144">
        <x:v>49</x:v>
      </x:c>
      <x:c r="U144">
        <x:v>45</x:v>
      </x:c>
      <x:c r="V144">
        <x:v>76</x:v>
      </x:c>
      <x:c r="W144">
        <x:v>52</x:v>
      </x:c>
      <x:c r="X144">
        <x:v>84</x:v>
      </x:c>
      <x:c r="Y144">
        <x:v>79</x:v>
      </x:c>
      <x:c r="Z144">
        <x:v>46</x:v>
      </x:c>
      <x:c r="AA144">
        <x:v>59</x:v>
      </x:c>
    </x:row>
    <x:row r="145">
      <x:c r="A145" t="s">
        <x:v>668</x:v>
      </x:c>
      <x:c r="B145" t="s">
        <x:v>364</x:v>
      </x:c>
      <x:c r="C145" t="s">
        <x:v>331</x:v>
      </x:c>
      <x:c r="D145">
        <x:v>8479369</x:v>
      </x:c>
      <x:c r="E145" t="s">
        <x:v>224</x:v>
      </x:c>
      <x:c r="F145">
        <x:v>77</x:v>
      </x:c>
      <x:c r="G145">
        <x:v>76</x:v>
      </x:c>
      <x:c r="J145" t="s">
        <x:v>2109</x:v>
      </x:c>
      <x:c r="K145">
        <x:v>75</x:v>
      </x:c>
      <x:c r="L145">
        <x:v>46</x:v>
      </x:c>
      <x:c r="M145">
        <x:v>87</x:v>
      </x:c>
      <x:c r="N145">
        <x:v>37</x:v>
      </x:c>
      <x:c r="O145">
        <x:v>86</x:v>
      </x:c>
      <x:c r="P145">
        <x:v>91</x:v>
      </x:c>
      <x:c r="Q145">
        <x:v>96</x:v>
      </x:c>
      <x:c r="R145">
        <x:v>38</x:v>
      </x:c>
      <x:c r="S145">
        <x:v>30</x:v>
      </x:c>
      <x:c r="T145">
        <x:v>51</x:v>
      </x:c>
      <x:c r="U145">
        <x:v>47</x:v>
      </x:c>
      <x:c r="V145">
        <x:v>76</x:v>
      </x:c>
      <x:c r="W145">
        <x:v>54</x:v>
      </x:c>
      <x:c r="X145">
        <x:v>75</x:v>
      </x:c>
      <x:c r="Y145">
        <x:v>74</x:v>
      </x:c>
      <x:c r="Z145">
        <x:v>51</x:v>
      </x:c>
      <x:c r="AA145">
        <x:v>59</x:v>
      </x:c>
    </x:row>
    <x:row r="146">
      <x:c r="A146" t="s">
        <x:v>687</x:v>
      </x:c>
      <x:c r="B146" t="s">
        <x:v>337</x:v>
      </x:c>
      <x:c r="C146" t="s">
        <x:v>331</x:v>
      </x:c>
      <x:c r="D146">
        <x:v>8479371</x:v>
      </x:c>
      <x:c r="E146" t="s">
        <x:v>224</x:v>
      </x:c>
      <x:c r="F146">
        <x:v>74</x:v>
      </x:c>
      <x:c r="G146">
        <x:v>68</x:v>
      </x:c>
      <x:c r="J146" t="s">
        <x:v>2110</x:v>
      </x:c>
      <x:c r="K146">
        <x:v>72</x:v>
      </x:c>
      <x:c r="L146">
        <x:v>48</x:v>
      </x:c>
      <x:c r="M146">
        <x:v>85</x:v>
      </x:c>
      <x:c r="N146">
        <x:v>36</x:v>
      </x:c>
      <x:c r="O146">
        <x:v>81</x:v>
      </x:c>
      <x:c r="P146">
        <x:v>88</x:v>
      </x:c>
      <x:c r="Q146">
        <x:v>92</x:v>
      </x:c>
      <x:c r="R146">
        <x:v>39</x:v>
      </x:c>
      <x:c r="S146">
        <x:v>30</x:v>
      </x:c>
      <x:c r="T146">
        <x:v>50</x:v>
      </x:c>
      <x:c r="U146">
        <x:v>47</x:v>
      </x:c>
      <x:c r="V146">
        <x:v>76</x:v>
      </x:c>
      <x:c r="W146">
        <x:v>52</x:v>
      </x:c>
      <x:c r="X146">
        <x:v>77</x:v>
      </x:c>
      <x:c r="Y146">
        <x:v>75</x:v>
      </x:c>
      <x:c r="Z146">
        <x:v>51</x:v>
      </x:c>
      <x:c r="AA146">
        <x:v>59</x:v>
      </x:c>
    </x:row>
    <x:row r="147">
      <x:c r="A147" t="s">
        <x:v>696</x:v>
      </x:c>
      <x:c r="B147" t="s">
        <x:v>345</x:v>
      </x:c>
      <x:c r="C147" t="s">
        <x:v>331</x:v>
      </x:c>
      <x:c r="D147">
        <x:v>8476874</x:v>
      </x:c>
      <x:c r="E147" t="s">
        <x:v>224</x:v>
      </x:c>
      <x:c r="F147">
        <x:v>43</x:v>
      </x:c>
      <x:c r="G147">
        <x:v>77</x:v>
      </x:c>
      <x:c r="J147" t="s">
        <x:v>2111</x:v>
      </x:c>
      <x:c r="K147">
        <x:v>65</x:v>
      </x:c>
      <x:c r="L147">
        <x:v>39</x:v>
      </x:c>
      <x:c r="M147">
        <x:v>94</x:v>
      </x:c>
      <x:c r="N147">
        <x:v>38</x:v>
      </x:c>
      <x:c r="O147">
        <x:v>83</x:v>
      </x:c>
      <x:c r="P147">
        <x:v>88</x:v>
      </x:c>
      <x:c r="Q147">
        <x:v>79</x:v>
      </x:c>
      <x:c r="R147">
        <x:v>39</x:v>
      </x:c>
      <x:c r="S147">
        <x:v>30</x:v>
      </x:c>
      <x:c r="T147">
        <x:v>56</x:v>
      </x:c>
      <x:c r="U147">
        <x:v>46</x:v>
      </x:c>
      <x:c r="V147">
        <x:v>76</x:v>
      </x:c>
      <x:c r="W147">
        <x:v>52</x:v>
      </x:c>
      <x:c r="X147">
        <x:v>86</x:v>
      </x:c>
      <x:c r="Y147">
        <x:v>76</x:v>
      </x:c>
      <x:c r="Z147">
        <x:v>51</x:v>
      </x:c>
      <x:c r="AA147">
        <x:v>59</x:v>
      </x:c>
    </x:row>
    <x:row r="148">
      <x:c r="A148" t="s">
        <x:v>702</x:v>
      </x:c>
      <x:c r="B148" t="s">
        <x:v>356</x:v>
      </x:c>
      <x:c r="C148" t="s">
        <x:v>331</x:v>
      </x:c>
      <x:c r="D148">
        <x:v>8482087</x:v>
      </x:c>
      <x:c r="E148" t="s">
        <x:v>224</x:v>
      </x:c>
      <x:c r="F148">
        <x:v>39</x:v>
      </x:c>
      <x:c r="G148">
        <x:v>55</x:v>
      </x:c>
      <x:c r="J148" t="s">
        <x:v>2112</x:v>
      </x:c>
      <x:c r="K148">
        <x:v>79</x:v>
      </x:c>
      <x:c r="L148">
        <x:v>75</x:v>
      </x:c>
      <x:c r="M148">
        <x:v>84</x:v>
      </x:c>
      <x:c r="N148">
        <x:v>45</x:v>
      </x:c>
      <x:c r="O148">
        <x:v>82</x:v>
      </x:c>
      <x:c r="P148">
        <x:v>90</x:v>
      </x:c>
      <x:c r="Q148">
        <x:v>74</x:v>
      </x:c>
      <x:c r="R148">
        <x:v>39</x:v>
      </x:c>
      <x:c r="S148">
        <x:v>30</x:v>
      </x:c>
      <x:c r="T148">
        <x:v>53</x:v>
      </x:c>
      <x:c r="U148">
        <x:v>46</x:v>
      </x:c>
      <x:c r="V148">
        <x:v>76</x:v>
      </x:c>
      <x:c r="W148">
        <x:v>52</x:v>
      </x:c>
      <x:c r="X148">
        <x:v>71</x:v>
      </x:c>
      <x:c r="Y148">
        <x:v>75</x:v>
      </x:c>
      <x:c r="Z148">
        <x:v>51</x:v>
      </x:c>
      <x:c r="AA148">
        <x:v>59</x:v>
      </x:c>
    </x:row>
    <x:row r="149">
      <x:c r="A149" t="s">
        <x:v>705</x:v>
      </x:c>
      <x:c r="B149" t="s">
        <x:v>396</x:v>
      </x:c>
      <x:c r="C149" t="s">
        <x:v>331</x:v>
      </x:c>
      <x:c r="D149">
        <x:v>8478443</x:v>
      </x:c>
      <x:c r="E149" t="s">
        <x:v>224</x:v>
      </x:c>
      <x:c r="F149">
        <x:v>55</x:v>
      </x:c>
      <x:c r="G149">
        <x:v>83</x:v>
      </x:c>
      <x:c r="J149" t="s">
        <x:v>2113</x:v>
      </x:c>
      <x:c r="K149">
        <x:v>74</x:v>
      </x:c>
      <x:c r="L149">
        <x:v>71</x:v>
      </x:c>
      <x:c r="M149">
        <x:v>79</x:v>
      </x:c>
      <x:c r="N149">
        <x:v>38</x:v>
      </x:c>
      <x:c r="O149">
        <x:v>89</x:v>
      </x:c>
      <x:c r="P149">
        <x:v>91</x:v>
      </x:c>
      <x:c r="Q149">
        <x:v>84</x:v>
      </x:c>
      <x:c r="R149">
        <x:v>38</x:v>
      </x:c>
      <x:c r="S149">
        <x:v>30</x:v>
      </x:c>
      <x:c r="T149">
        <x:v>50</x:v>
      </x:c>
      <x:c r="U149">
        <x:v>45</x:v>
      </x:c>
      <x:c r="V149">
        <x:v>76</x:v>
      </x:c>
      <x:c r="W149">
        <x:v>52</x:v>
      </x:c>
      <x:c r="X149">
        <x:v>84</x:v>
      </x:c>
      <x:c r="Y149">
        <x:v>78</x:v>
      </x:c>
      <x:c r="Z149">
        <x:v>51</x:v>
      </x:c>
      <x:c r="AA149">
        <x:v>59</x:v>
      </x:c>
    </x:row>
    <x:row r="150">
      <x:c r="A150" t="s">
        <x:v>712</x:v>
      </x:c>
      <x:c r="B150" t="s">
        <x:v>386</x:v>
      </x:c>
      <x:c r="C150" t="s">
        <x:v>331</x:v>
      </x:c>
      <x:c r="D150">
        <x:v>8483565</x:v>
      </x:c>
      <x:c r="E150" t="s">
        <x:v>224</x:v>
      </x:c>
      <x:c r="F150">
        <x:v>61</x:v>
      </x:c>
      <x:c r="G150">
        <x:v>60</x:v>
      </x:c>
      <x:c r="J150" t="s">
        <x:v>2114</x:v>
      </x:c>
      <x:c r="K150">
        <x:v>72</x:v>
      </x:c>
      <x:c r="L150">
        <x:v>33</x:v>
      </x:c>
      <x:c r="M150">
        <x:v>95</x:v>
      </x:c>
      <x:c r="N150">
        <x:v>42</x:v>
      </x:c>
      <x:c r="O150">
        <x:v>75</x:v>
      </x:c>
      <x:c r="P150">
        <x:v>87</x:v>
      </x:c>
      <x:c r="Q150">
        <x:v>84</x:v>
      </x:c>
      <x:c r="R150">
        <x:v>41</x:v>
      </x:c>
      <x:c r="S150">
        <x:v>30</x:v>
      </x:c>
      <x:c r="T150">
        <x:v>54</x:v>
      </x:c>
      <x:c r="U150">
        <x:v>50</x:v>
      </x:c>
      <x:c r="V150">
        <x:v>76</x:v>
      </x:c>
      <x:c r="W150">
        <x:v>52</x:v>
      </x:c>
      <x:c r="X150">
        <x:v>70</x:v>
      </x:c>
      <x:c r="Y150">
        <x:v>70</x:v>
      </x:c>
      <x:c r="Z150">
        <x:v>51</x:v>
      </x:c>
      <x:c r="AA150">
        <x:v>59</x:v>
      </x:c>
    </x:row>
    <x:row r="151">
      <x:c r="A151" t="s">
        <x:v>743</x:v>
      </x:c>
      <x:c r="B151" t="s">
        <x:v>324</x:v>
      </x:c>
      <x:c r="C151" t="s">
        <x:v>339</x:v>
      </x:c>
      <x:c r="D151">
        <x:v>8480448</x:v>
      </x:c>
      <x:c r="E151" t="s">
        <x:v>224</x:v>
      </x:c>
      <x:c r="F151">
        <x:v>82</x:v>
      </x:c>
      <x:c r="G151">
        <x:v>80</x:v>
      </x:c>
      <x:c r="J151" t="s">
        <x:v>1994</x:v>
      </x:c>
      <x:c r="K151">
        <x:v>75</x:v>
      </x:c>
      <x:c r="L151">
        <x:v>41</x:v>
      </x:c>
      <x:c r="M151">
        <x:v>87</x:v>
      </x:c>
      <x:c r="N151">
        <x:v>57</x:v>
      </x:c>
      <x:c r="O151">
        <x:v>77</x:v>
      </x:c>
      <x:c r="P151">
        <x:v>83</x:v>
      </x:c>
      <x:c r="Q151">
        <x:v>98</x:v>
      </x:c>
      <x:c r="R151">
        <x:v>53</x:v>
      </x:c>
      <x:c r="S151">
        <x:v>75</x:v>
      </x:c>
      <x:c r="T151">
        <x:v>52</x:v>
      </x:c>
      <x:c r="U151">
        <x:v>60</x:v>
      </x:c>
      <x:c r="V151">
        <x:v>76</x:v>
      </x:c>
      <x:c r="W151">
        <x:v>52</x:v>
      </x:c>
      <x:c r="X151">
        <x:v>74</x:v>
      </x:c>
      <x:c r="Y151">
        <x:v>69</x:v>
      </x:c>
      <x:c r="Z151">
        <x:v>51</x:v>
      </x:c>
      <x:c r="AA151">
        <x:v>58</x:v>
      </x:c>
    </x:row>
    <x:row r="152">
      <x:c r="A152" t="s">
        <x:v>784</x:v>
      </x:c>
      <x:c r="B152" t="s">
        <x:v>393</x:v>
      </x:c>
      <x:c r="C152" t="s">
        <x:v>331</x:v>
      </x:c>
      <x:c r="D152">
        <x:v>8482166</x:v>
      </x:c>
      <x:c r="E152" t="s">
        <x:v>224</x:v>
      </x:c>
      <x:c r="F152">
        <x:v>50</x:v>
      </x:c>
      <x:c r="G152">
        <x:v>30</x:v>
      </x:c>
      <x:c r="J152" t="s">
        <x:v>2115</x:v>
      </x:c>
      <x:c r="K152">
        <x:v>71</x:v>
      </x:c>
      <x:c r="L152">
        <x:v>40</x:v>
      </x:c>
      <x:c r="M152">
        <x:v>83</x:v>
      </x:c>
      <x:c r="N152">
        <x:v>39</x:v>
      </x:c>
      <x:c r="O152">
        <x:v>81</x:v>
      </x:c>
      <x:c r="P152">
        <x:v>88</x:v>
      </x:c>
      <x:c r="Q152">
        <x:v>78</x:v>
      </x:c>
      <x:c r="R152">
        <x:v>40</x:v>
      </x:c>
      <x:c r="S152">
        <x:v>30</x:v>
      </x:c>
      <x:c r="T152">
        <x:v>51</x:v>
      </x:c>
      <x:c r="U152">
        <x:v>47</x:v>
      </x:c>
      <x:c r="V152">
        <x:v>76</x:v>
      </x:c>
      <x:c r="W152">
        <x:v>52</x:v>
      </x:c>
      <x:c r="X152">
        <x:v>67</x:v>
      </x:c>
      <x:c r="Y152">
        <x:v>66</x:v>
      </x:c>
      <x:c r="Z152">
        <x:v>51</x:v>
      </x:c>
      <x:c r="AA152">
        <x:v>58</x:v>
      </x:c>
    </x:row>
    <x:row r="153">
      <x:c r="A153" t="s">
        <x:v>803</x:v>
      </x:c>
      <x:c r="B153" t="s">
        <x:v>366</x:v>
      </x:c>
      <x:c r="C153" t="s">
        <x:v>331</x:v>
      </x:c>
      <x:c r="D153">
        <x:v>8480192</x:v>
      </x:c>
      <x:c r="E153" t="s">
        <x:v>224</x:v>
      </x:c>
      <x:c r="F153">
        <x:v>34</x:v>
      </x:c>
      <x:c r="G153">
        <x:v>81</x:v>
      </x:c>
      <x:c r="J153" t="s">
        <x:v>2116</x:v>
      </x:c>
      <x:c r="K153">
        <x:v>78</x:v>
      </x:c>
      <x:c r="L153">
        <x:v>81</x:v>
      </x:c>
      <x:c r="M153">
        <x:v>77</x:v>
      </x:c>
      <x:c r="N153">
        <x:v>38</x:v>
      </x:c>
      <x:c r="O153">
        <x:v>88</x:v>
      </x:c>
      <x:c r="P153">
        <x:v>87</x:v>
      </x:c>
      <x:c r="Q153">
        <x:v>73</x:v>
      </x:c>
      <x:c r="R153">
        <x:v>37</x:v>
      </x:c>
      <x:c r="S153">
        <x:v>30</x:v>
      </x:c>
      <x:c r="T153">
        <x:v>53</x:v>
      </x:c>
      <x:c r="U153">
        <x:v>45</x:v>
      </x:c>
      <x:c r="V153">
        <x:v>76</x:v>
      </x:c>
      <x:c r="W153">
        <x:v>53</x:v>
      </x:c>
      <x:c r="X153">
        <x:v>70</x:v>
      </x:c>
      <x:c r="Y153">
        <x:v>71</x:v>
      </x:c>
      <x:c r="Z153">
        <x:v>51</x:v>
      </x:c>
      <x:c r="AA153">
        <x:v>58</x:v>
      </x:c>
    </x:row>
    <x:row r="154">
      <x:c r="A154" t="s">
        <x:v>813</x:v>
      </x:c>
      <x:c r="B154" t="s">
        <x:v>396</x:v>
      </x:c>
      <x:c r="C154" t="s">
        <x:v>331</x:v>
      </x:c>
      <x:c r="D154">
        <x:v>8482482</x:v>
      </x:c>
      <x:c r="E154" t="s">
        <x:v>224</x:v>
      </x:c>
      <x:c r="F154">
        <x:v>58</x:v>
      </x:c>
      <x:c r="G154">
        <x:v>23</x:v>
      </x:c>
      <x:c r="J154" t="s">
        <x:v>2117</x:v>
      </x:c>
      <x:c r="K154">
        <x:v>69</x:v>
      </x:c>
      <x:c r="L154">
        <x:v>46</x:v>
      </x:c>
      <x:c r="M154">
        <x:v>81</x:v>
      </x:c>
      <x:c r="N154">
        <x:v>48</x:v>
      </x:c>
      <x:c r="O154">
        <x:v>77</x:v>
      </x:c>
      <x:c r="P154">
        <x:v>88</x:v>
      </x:c>
      <x:c r="Q154">
        <x:v>80</x:v>
      </x:c>
      <x:c r="R154">
        <x:v>38</x:v>
      </x:c>
      <x:c r="S154">
        <x:v>30</x:v>
      </x:c>
      <x:c r="T154">
        <x:v>54</x:v>
      </x:c>
      <x:c r="U154">
        <x:v>46</x:v>
      </x:c>
      <x:c r="V154">
        <x:v>76</x:v>
      </x:c>
      <x:c r="W154">
        <x:v>52</x:v>
      </x:c>
      <x:c r="X154">
        <x:v>66</x:v>
      </x:c>
      <x:c r="Y154">
        <x:v>68</x:v>
      </x:c>
      <x:c r="Z154">
        <x:v>51</x:v>
      </x:c>
      <x:c r="AA154">
        <x:v>57</x:v>
      </x:c>
    </x:row>
    <x:row r="155">
      <x:c r="A155" t="s">
        <x:v>862</x:v>
      </x:c>
      <x:c r="B155" t="s">
        <x:v>340</x:v>
      </x:c>
      <x:c r="C155" t="s">
        <x:v>331</x:v>
      </x:c>
      <x:c r="D155">
        <x:v>8480891</x:v>
      </x:c>
      <x:c r="E155" t="s">
        <x:v>224</x:v>
      </x:c>
      <x:c r="F155">
        <x:v>34</x:v>
      </x:c>
      <x:c r="G155">
        <x:v>82</x:v>
      </x:c>
      <x:c r="J155" t="s">
        <x:v>2118</x:v>
      </x:c>
      <x:c r="K155">
        <x:v>73</x:v>
      </x:c>
      <x:c r="L155">
        <x:v>82</x:v>
      </x:c>
      <x:c r="M155">
        <x:v>73</x:v>
      </x:c>
      <x:c r="N155">
        <x:v>44</x:v>
      </x:c>
      <x:c r="O155">
        <x:v>86</x:v>
      </x:c>
      <x:c r="P155">
        <x:v>84</x:v>
      </x:c>
      <x:c r="Q155">
        <x:v>73</x:v>
      </x:c>
      <x:c r="R155">
        <x:v>39</x:v>
      </x:c>
      <x:c r="S155">
        <x:v>30</x:v>
      </x:c>
      <x:c r="T155">
        <x:v>49</x:v>
      </x:c>
      <x:c r="U155">
        <x:v>46</x:v>
      </x:c>
      <x:c r="V155">
        <x:v>76</x:v>
      </x:c>
      <x:c r="W155">
        <x:v>52</x:v>
      </x:c>
      <x:c r="X155">
        <x:v>70</x:v>
      </x:c>
      <x:c r="Y155">
        <x:v>68</x:v>
      </x:c>
      <x:c r="Z155">
        <x:v>51</x:v>
      </x:c>
      <x:c r="AA155">
        <x:v>57</x:v>
      </x:c>
    </x:row>
    <x:row r="156">
      <x:c r="A156" t="s">
        <x:v>892</x:v>
      </x:c>
      <x:c r="B156" t="s">
        <x:v>370</x:v>
      </x:c>
      <x:c r="C156" t="s">
        <x:v>331</x:v>
      </x:c>
      <x:c r="D156">
        <x:v>8484321</x:v>
      </x:c>
      <x:c r="E156" t="s">
        <x:v>224</x:v>
      </x:c>
      <x:c r="F156">
        <x:v>50</x:v>
      </x:c>
      <x:c r="G156">
        <x:v>41</x:v>
      </x:c>
      <x:c r="J156" t="s">
        <x:v>2119</x:v>
      </x:c>
      <x:c r="K156">
        <x:v>73</x:v>
      </x:c>
      <x:c r="L156">
        <x:v>41</x:v>
      </x:c>
      <x:c r="M156">
        <x:v>82</x:v>
      </x:c>
      <x:c r="N156">
        <x:v>56</x:v>
      </x:c>
      <x:c r="O156">
        <x:v>86</x:v>
      </x:c>
      <x:c r="P156">
        <x:v>85</x:v>
      </x:c>
      <x:c r="Q156">
        <x:v>79</x:v>
      </x:c>
      <x:c r="R156">
        <x:v>36</x:v>
      </x:c>
      <x:c r="S156">
        <x:v>30</x:v>
      </x:c>
      <x:c r="T156">
        <x:v>49</x:v>
      </x:c>
      <x:c r="U156">
        <x:v>45</x:v>
      </x:c>
      <x:c r="V156">
        <x:v>76</x:v>
      </x:c>
      <x:c r="W156">
        <x:v>52</x:v>
      </x:c>
      <x:c r="X156">
        <x:v>69</x:v>
      </x:c>
      <x:c r="Y156">
        <x:v>68</x:v>
      </x:c>
      <x:c r="Z156">
        <x:v>51</x:v>
      </x:c>
      <x:c r="AA156">
        <x:v>57</x:v>
      </x:c>
    </x:row>
    <x:row r="157">
      <x:c r="A157" t="s">
        <x:v>921</x:v>
      </x:c>
      <x:c r="B157" t="s">
        <x:v>439</x:v>
      </x:c>
      <x:c r="C157" t="s">
        <x:v>331</x:v>
      </x:c>
      <x:c r="D157">
        <x:v>8477335</x:v>
      </x:c>
      <x:c r="E157" t="s">
        <x:v>224</x:v>
      </x:c>
      <x:c r="G157">
        <x:v>33</x:v>
      </x:c>
      <x:c r="J157" t="s">
        <x:v>2120</x:v>
      </x:c>
      <x:c r="K157">
        <x:v>83</x:v>
      </x:c>
      <x:c r="L157">
        <x:v>88</x:v>
      </x:c>
      <x:c r="M157">
        <x:v>67</x:v>
      </x:c>
      <x:c r="N157">
        <x:v>35</x:v>
      </x:c>
      <x:c r="O157">
        <x:v>78</x:v>
      </x:c>
      <x:c r="P157">
        <x:v>74</x:v>
      </x:c>
      <x:c r="Q157">
        <x:v>76</x:v>
      </x:c>
      <x:c r="R157">
        <x:v>33</x:v>
      </x:c>
      <x:c r="S157">
        <x:v>30</x:v>
      </x:c>
      <x:c r="T157">
        <x:v>52</x:v>
      </x:c>
      <x:c r="U157">
        <x:v>42</x:v>
      </x:c>
      <x:c r="V157">
        <x:v>76</x:v>
      </x:c>
      <x:c r="W157">
        <x:v>48</x:v>
      </x:c>
      <x:c r="X157">
        <x:v>70</x:v>
      </x:c>
      <x:c r="Y157">
        <x:v>71</x:v>
      </x:c>
      <x:c r="Z157">
        <x:v>51</x:v>
      </x:c>
      <x:c r="AA157">
        <x:v>56</x:v>
      </x:c>
    </x:row>
    <x:row r="158">
      <x:c r="A158" t="s">
        <x:v>1012</x:v>
      </x:c>
      <x:c r="B158" t="s">
        <x:v>584</x:v>
      </x:c>
      <x:c r="C158" t="s">
        <x:v>331</x:v>
      </x:c>
      <x:c r="D158">
        <x:v>8479421</x:v>
      </x:c>
      <x:c r="E158" t="s">
        <x:v>224</x:v>
      </x:c>
      <x:c r="F158">
        <x:v>15</x:v>
      </x:c>
      <x:c r="G158">
        <x:v>49</x:v>
      </x:c>
      <x:c r="J158" t="s">
        <x:v>2121</x:v>
      </x:c>
      <x:c r="K158">
        <x:v>69</x:v>
      </x:c>
      <x:c r="L158">
        <x:v>40</x:v>
      </x:c>
      <x:c r="M158">
        <x:v>92</x:v>
      </x:c>
      <x:c r="N158">
        <x:v>36</x:v>
      </x:c>
      <x:c r="O158">
        <x:v>83</x:v>
      </x:c>
      <x:c r="P158">
        <x:v>78</x:v>
      </x:c>
      <x:c r="Q158">
        <x:v>46</x:v>
      </x:c>
      <x:c r="R158">
        <x:v>35</x:v>
      </x:c>
      <x:c r="S158">
        <x:v>30</x:v>
      </x:c>
      <x:c r="T158">
        <x:v>48</x:v>
      </x:c>
      <x:c r="U158">
        <x:v>44</x:v>
      </x:c>
      <x:c r="V158">
        <x:v>76</x:v>
      </x:c>
      <x:c r="W158">
        <x:v>52</x:v>
      </x:c>
      <x:c r="X158">
        <x:v>68</x:v>
      </x:c>
      <x:c r="Y158">
        <x:v>70</x:v>
      </x:c>
      <x:c r="Z158">
        <x:v>51</x:v>
      </x:c>
      <x:c r="AA158">
        <x:v>55</x:v>
      </x:c>
    </x:row>
    <x:row r="159">
      <x:c r="A159" t="s">
        <x:v>1053</x:v>
      </x:c>
      <x:c r="B159" t="s">
        <x:v>364</x:v>
      </x:c>
      <x:c r="C159" t="s">
        <x:v>331</x:v>
      </x:c>
      <x:c r="D159">
        <x:v>8480084</x:v>
      </x:c>
      <x:c r="E159" t="s">
        <x:v>224</x:v>
      </x:c>
      <x:c r="F159">
        <x:v>40</x:v>
      </x:c>
      <x:c r="G159">
        <x:v>20</x:v>
      </x:c>
      <x:c r="J159" t="s">
        <x:v>2122</x:v>
      </x:c>
      <x:c r="K159">
        <x:v>70</x:v>
      </x:c>
      <x:c r="L159">
        <x:v>35</x:v>
      </x:c>
      <x:c r="M159">
        <x:v>86</x:v>
      </x:c>
      <x:c r="N159">
        <x:v>38</x:v>
      </x:c>
      <x:c r="O159">
        <x:v>79</x:v>
      </x:c>
      <x:c r="P159">
        <x:v>84</x:v>
      </x:c>
      <x:c r="Q159">
        <x:v>71</x:v>
      </x:c>
      <x:c r="R159">
        <x:v>38</x:v>
      </x:c>
      <x:c r="S159">
        <x:v>30</x:v>
      </x:c>
      <x:c r="T159">
        <x:v>52</x:v>
      </x:c>
      <x:c r="U159">
        <x:v>47</x:v>
      </x:c>
      <x:c r="V159">
        <x:v>76</x:v>
      </x:c>
      <x:c r="W159">
        <x:v>51</x:v>
      </x:c>
      <x:c r="X159">
        <x:v>68</x:v>
      </x:c>
      <x:c r="Y159">
        <x:v>74</x:v>
      </x:c>
      <x:c r="Z159">
        <x:v>51</x:v>
      </x:c>
      <x:c r="AA159">
        <x:v>55</x:v>
      </x:c>
    </x:row>
    <x:row r="160">
      <x:c r="A160" t="s">
        <x:v>344</x:v>
      </x:c>
      <x:c r="B160" t="s">
        <x:v>345</x:v>
      </x:c>
      <x:c r="C160" t="s">
        <x:v>331</x:v>
      </x:c>
      <x:c r="D160">
        <x:v>8480800</x:v>
      </x:c>
      <x:c r="E160" t="s">
        <x:v>224</x:v>
      </x:c>
      <x:c r="F160">
        <x:v>74</x:v>
      </x:c>
      <x:c r="G160">
        <x:v>68</x:v>
      </x:c>
      <x:c r="J160" t="s">
        <x:v>2110</x:v>
      </x:c>
      <x:c r="K160">
        <x:v>64</x:v>
      </x:c>
      <x:c r="L160">
        <x:v>36</x:v>
      </x:c>
      <x:c r="M160">
        <x:v>94</x:v>
      </x:c>
      <x:c r="N160">
        <x:v>55</x:v>
      </x:c>
      <x:c r="O160">
        <x:v>75</x:v>
      </x:c>
      <x:c r="P160">
        <x:v>99</x:v>
      </x:c>
      <x:c r="Q160">
        <x:v>93</x:v>
      </x:c>
      <x:c r="R160">
        <x:v>62</x:v>
      </x:c>
      <x:c r="S160">
        <x:v>30</x:v>
      </x:c>
      <x:c r="T160">
        <x:v>77</x:v>
      </x:c>
      <x:c r="U160">
        <x:v>48</x:v>
      </x:c>
      <x:c r="V160">
        <x:v>75</x:v>
      </x:c>
      <x:c r="W160">
        <x:v>53</x:v>
      </x:c>
      <x:c r="X160">
        <x:v>79</x:v>
      </x:c>
      <x:c r="Y160">
        <x:v>85</x:v>
      </x:c>
      <x:c r="Z160">
        <x:v>51</x:v>
      </x:c>
      <x:c r="AA160">
        <x:v>67</x:v>
      </x:c>
    </x:row>
    <x:row r="161">
      <x:c r="A161" t="s">
        <x:v>371</x:v>
      </x:c>
      <x:c r="B161" t="s">
        <x:v>372</x:v>
      </x:c>
      <x:c r="C161" t="s">
        <x:v>331</x:v>
      </x:c>
      <x:c r="D161">
        <x:v>8474600</x:v>
      </x:c>
      <x:c r="E161" t="s">
        <x:v>224</x:v>
      </x:c>
      <x:c r="F161">
        <x:v>68</x:v>
      </x:c>
      <x:c r="G161">
        <x:v>53</x:v>
      </x:c>
      <x:c r="J161" t="s">
        <x:v>2043</x:v>
      </x:c>
      <x:c r="K161">
        <x:v>67</x:v>
      </x:c>
      <x:c r="L161">
        <x:v>38</x:v>
      </x:c>
      <x:c r="M161">
        <x:v>90</x:v>
      </x:c>
      <x:c r="N161">
        <x:v>39</x:v>
      </x:c>
      <x:c r="O161">
        <x:v>82</x:v>
      </x:c>
      <x:c r="P161">
        <x:v>96</x:v>
      </x:c>
      <x:c r="Q161">
        <x:v>88</x:v>
      </x:c>
      <x:c r="R161">
        <x:v>56</x:v>
      </x:c>
      <x:c r="S161">
        <x:v>30</x:v>
      </x:c>
      <x:c r="T161">
        <x:v>61</x:v>
      </x:c>
      <x:c r="U161">
        <x:v>50</x:v>
      </x:c>
      <x:c r="V161">
        <x:v>75</x:v>
      </x:c>
      <x:c r="W161">
        <x:v>63</x:v>
      </x:c>
      <x:c r="X161">
        <x:v>90</x:v>
      </x:c>
      <x:c r="Y161">
        <x:v>90</x:v>
      </x:c>
      <x:c r="Z161">
        <x:v>51</x:v>
      </x:c>
      <x:c r="AA161">
        <x:v>66</x:v>
      </x:c>
    </x:row>
    <x:row r="162">
      <x:c r="A162" t="s">
        <x:v>444</x:v>
      </x:c>
      <x:c r="B162" t="s">
        <x:v>350</x:v>
      </x:c>
      <x:c r="C162" t="s">
        <x:v>331</x:v>
      </x:c>
      <x:c r="D162">
        <x:v>8471724</x:v>
      </x:c>
      <x:c r="E162" t="s">
        <x:v>224</x:v>
      </x:c>
      <x:c r="F162">
        <x:v>74</x:v>
      </x:c>
      <x:c r="G162">
        <x:v>74</x:v>
      </x:c>
      <x:c r="J162" t="s">
        <x:v>2123</x:v>
      </x:c>
      <x:c r="K162">
        <x:v>74</x:v>
      </x:c>
      <x:c r="L162">
        <x:v>34</x:v>
      </x:c>
      <x:c r="M162">
        <x:v>83</x:v>
      </x:c>
      <x:c r="N162">
        <x:v>42</x:v>
      </x:c>
      <x:c r="O162">
        <x:v>80</x:v>
      </x:c>
      <x:c r="P162">
        <x:v>93</x:v>
      </x:c>
      <x:c r="Q162">
        <x:v>94</x:v>
      </x:c>
      <x:c r="R162">
        <x:v>46</x:v>
      </x:c>
      <x:c r="S162">
        <x:v>30</x:v>
      </x:c>
      <x:c r="T162">
        <x:v>58</x:v>
      </x:c>
      <x:c r="U162">
        <x:v>47</x:v>
      </x:c>
      <x:c r="V162">
        <x:v>75</x:v>
      </x:c>
      <x:c r="W162">
        <x:v>70</x:v>
      </x:c>
      <x:c r="X162">
        <x:v>93</x:v>
      </x:c>
      <x:c r="Y162">
        <x:v>86</x:v>
      </x:c>
      <x:c r="Z162">
        <x:v>51</x:v>
      </x:c>
      <x:c r="AA162">
        <x:v>63</x:v>
      </x:c>
    </x:row>
    <x:row r="163">
      <x:c r="A163" t="s">
        <x:v>458</x:v>
      </x:c>
      <x:c r="B163" t="s">
        <x:v>400</x:v>
      </x:c>
      <x:c r="C163" t="s">
        <x:v>331</x:v>
      </x:c>
      <x:c r="D163">
        <x:v>8477932</x:v>
      </x:c>
      <x:c r="E163" t="s">
        <x:v>224</x:v>
      </x:c>
      <x:c r="F163">
        <x:v>72</x:v>
      </x:c>
      <x:c r="G163">
        <x:v>56</x:v>
      </x:c>
      <x:c r="J163" t="s">
        <x:v>2124</x:v>
      </x:c>
      <x:c r="K163">
        <x:v>73</x:v>
      </x:c>
      <x:c r="L163">
        <x:v>67</x:v>
      </x:c>
      <x:c r="M163">
        <x:v>79</x:v>
      </x:c>
      <x:c r="N163">
        <x:v>37</x:v>
      </x:c>
      <x:c r="O163">
        <x:v>88</x:v>
      </x:c>
      <x:c r="P163">
        <x:v>94</x:v>
      </x:c>
      <x:c r="Q163">
        <x:v>89</x:v>
      </x:c>
      <x:c r="R163">
        <x:v>46</x:v>
      </x:c>
      <x:c r="S163">
        <x:v>30</x:v>
      </x:c>
      <x:c r="T163">
        <x:v>56</x:v>
      </x:c>
      <x:c r="U163">
        <x:v>47</x:v>
      </x:c>
      <x:c r="V163">
        <x:v>75</x:v>
      </x:c>
      <x:c r="W163">
        <x:v>52</x:v>
      </x:c>
      <x:c r="X163">
        <x:v>86</x:v>
      </x:c>
      <x:c r="Y163">
        <x:v>86</x:v>
      </x:c>
      <x:c r="Z163">
        <x:v>51</x:v>
      </x:c>
      <x:c r="AA163">
        <x:v>63</x:v>
      </x:c>
    </x:row>
    <x:row r="164">
      <x:c r="A164" t="s">
        <x:v>473</x:v>
      </x:c>
      <x:c r="B164" t="s">
        <x:v>436</x:v>
      </x:c>
      <x:c r="C164" t="s">
        <x:v>331</x:v>
      </x:c>
      <x:c r="D164">
        <x:v>8481524</x:v>
      </x:c>
      <x:c r="E164" t="s">
        <x:v>224</x:v>
      </x:c>
      <x:c r="F164">
        <x:v>82</x:v>
      </x:c>
      <x:c r="G164">
        <x:v>82</x:v>
      </x:c>
      <x:c r="J164" t="s">
        <x:v>1992</x:v>
      </x:c>
      <x:c r="K164">
        <x:v>69</x:v>
      </x:c>
      <x:c r="L164">
        <x:v>40</x:v>
      </x:c>
      <x:c r="M164">
        <x:v>85</x:v>
      </x:c>
      <x:c r="N164">
        <x:v>51</x:v>
      </x:c>
      <x:c r="O164">
        <x:v>83</x:v>
      </x:c>
      <x:c r="P164">
        <x:v>94</x:v>
      </x:c>
      <x:c r="Q164">
        <x:v>99</x:v>
      </x:c>
      <x:c r="R164">
        <x:v>48</x:v>
      </x:c>
      <x:c r="S164">
        <x:v>30</x:v>
      </x:c>
      <x:c r="T164">
        <x:v>61</x:v>
      </x:c>
      <x:c r="U164">
        <x:v>49</x:v>
      </x:c>
      <x:c r="V164">
        <x:v>75</x:v>
      </x:c>
      <x:c r="W164">
        <x:v>70</x:v>
      </x:c>
      <x:c r="X164">
        <x:v>76</x:v>
      </x:c>
      <x:c r="Y164">
        <x:v>76</x:v>
      </x:c>
      <x:c r="Z164">
        <x:v>51</x:v>
      </x:c>
      <x:c r="AA164">
        <x:v>62</x:v>
      </x:c>
    </x:row>
    <x:row r="165">
      <x:c r="A165" t="s">
        <x:v>480</x:v>
      </x:c>
      <x:c r="B165" t="s">
        <x:v>481</x:v>
      </x:c>
      <x:c r="C165" t="s">
        <x:v>331</x:v>
      </x:c>
      <x:c r="D165">
        <x:v>8477986</x:v>
      </x:c>
      <x:c r="E165" t="s">
        <x:v>224</x:v>
      </x:c>
      <x:c r="F165">
        <x:v>64</x:v>
      </x:c>
      <x:c r="G165">
        <x:v>81</x:v>
      </x:c>
      <x:c r="J165" t="s">
        <x:v>2125</x:v>
      </x:c>
      <x:c r="K165">
        <x:v>72</x:v>
      </x:c>
      <x:c r="L165">
        <x:v>55</x:v>
      </x:c>
      <x:c r="M165">
        <x:v>82</x:v>
      </x:c>
      <x:c r="N165">
        <x:v>57</x:v>
      </x:c>
      <x:c r="O165">
        <x:v>80</x:v>
      </x:c>
      <x:c r="P165">
        <x:v>94</x:v>
      </x:c>
      <x:c r="Q165">
        <x:v>88</x:v>
      </x:c>
      <x:c r="R165">
        <x:v>48</x:v>
      </x:c>
      <x:c r="S165">
        <x:v>30</x:v>
      </x:c>
      <x:c r="T165">
        <x:v>54</x:v>
      </x:c>
      <x:c r="U165">
        <x:v>52</x:v>
      </x:c>
      <x:c r="V165">
        <x:v>75</x:v>
      </x:c>
      <x:c r="W165">
        <x:v>59</x:v>
      </x:c>
      <x:c r="X165">
        <x:v>84</x:v>
      </x:c>
      <x:c r="Y165">
        <x:v>73</x:v>
      </x:c>
      <x:c r="Z165">
        <x:v>48</x:v>
      </x:c>
      <x:c r="AA165">
        <x:v>62</x:v>
      </x:c>
    </x:row>
    <x:row r="166">
      <x:c r="A166" t="s">
        <x:v>502</x:v>
      </x:c>
      <x:c r="B166" t="s">
        <x:v>366</x:v>
      </x:c>
      <x:c r="C166" t="s">
        <x:v>331</x:v>
      </x:c>
      <x:c r="D166">
        <x:v>8482684</x:v>
      </x:c>
      <x:c r="E166" t="s">
        <x:v>224</x:v>
      </x:c>
      <x:c r="F166">
        <x:v>68</x:v>
      </x:c>
      <x:c r="G166">
        <x:v>71</x:v>
      </x:c>
      <x:c r="J166" t="s">
        <x:v>2126</x:v>
      </x:c>
      <x:c r="K166">
        <x:v>66</x:v>
      </x:c>
      <x:c r="L166">
        <x:v>35</x:v>
      </x:c>
      <x:c r="M166">
        <x:v>86</x:v>
      </x:c>
      <x:c r="N166">
        <x:v>60</x:v>
      </x:c>
      <x:c r="O166">
        <x:v>80</x:v>
      </x:c>
      <x:c r="P166">
        <x:v>94</x:v>
      </x:c>
      <x:c r="Q166">
        <x:v>90</x:v>
      </x:c>
      <x:c r="R166">
        <x:v>49</x:v>
      </x:c>
      <x:c r="S166">
        <x:v>30</x:v>
      </x:c>
      <x:c r="T166">
        <x:v>59</x:v>
      </x:c>
      <x:c r="U166">
        <x:v>48</x:v>
      </x:c>
      <x:c r="V166">
        <x:v>75</x:v>
      </x:c>
      <x:c r="W166">
        <x:v>57</x:v>
      </x:c>
      <x:c r="X166">
        <x:v>70</x:v>
      </x:c>
      <x:c r="Y166">
        <x:v>78</x:v>
      </x:c>
      <x:c r="Z166">
        <x:v>51</x:v>
      </x:c>
      <x:c r="AA166">
        <x:v>62</x:v>
      </x:c>
    </x:row>
    <x:row r="167">
      <x:c r="A167" t="s">
        <x:v>536</x:v>
      </x:c>
      <x:c r="B167" t="s">
        <x:v>372</x:v>
      </x:c>
      <x:c r="C167" t="s">
        <x:v>331</x:v>
      </x:c>
      <x:c r="D167">
        <x:v>8476869</x:v>
      </x:c>
      <x:c r="E167" t="s">
        <x:v>224</x:v>
      </x:c>
      <x:c r="F167">
        <x:v>82</x:v>
      </x:c>
      <x:c r="G167">
        <x:v>82</x:v>
      </x:c>
      <x:c r="J167" t="s">
        <x:v>1992</x:v>
      </x:c>
      <x:c r="K167">
        <x:v>70</x:v>
      </x:c>
      <x:c r="L167">
        <x:v>42</x:v>
      </x:c>
      <x:c r="M167">
        <x:v>83</x:v>
      </x:c>
      <x:c r="N167">
        <x:v>44</x:v>
      </x:c>
      <x:c r="O167">
        <x:v>84</x:v>
      </x:c>
      <x:c r="P167">
        <x:v>94</x:v>
      </x:c>
      <x:c r="Q167">
        <x:v>99</x:v>
      </x:c>
      <x:c r="R167">
        <x:v>43</x:v>
      </x:c>
      <x:c r="S167">
        <x:v>30</x:v>
      </x:c>
      <x:c r="T167">
        <x:v>54</x:v>
      </x:c>
      <x:c r="U167">
        <x:v>47</x:v>
      </x:c>
      <x:c r="V167">
        <x:v>75</x:v>
      </x:c>
      <x:c r="W167">
        <x:v>52</x:v>
      </x:c>
      <x:c r="X167">
        <x:v>85</x:v>
      </x:c>
      <x:c r="Y167">
        <x:v>77</x:v>
      </x:c>
      <x:c r="Z167">
        <x:v>51</x:v>
      </x:c>
      <x:c r="AA167">
        <x:v>61</x:v>
      </x:c>
    </x:row>
    <x:row r="168">
      <x:c r="A168" t="s">
        <x:v>579</x:v>
      </x:c>
      <x:c r="B168" t="s">
        <x:v>327</x:v>
      </x:c>
      <x:c r="C168" t="s">
        <x:v>331</x:v>
      </x:c>
      <x:c r="D168">
        <x:v>8480426</x:v>
      </x:c>
      <x:c r="E168" t="s">
        <x:v>224</x:v>
      </x:c>
      <x:c r="F168">
        <x:v>70</x:v>
      </x:c>
      <x:c r="J168" t="s">
        <x:v>2127</x:v>
      </x:c>
      <x:c r="K168">
        <x:v>76</x:v>
      </x:c>
      <x:c r="L168">
        <x:v>79</x:v>
      </x:c>
      <x:c r="M168">
        <x:v>74</x:v>
      </x:c>
      <x:c r="N168">
        <x:v>40</x:v>
      </x:c>
      <x:c r="O168">
        <x:v>85</x:v>
      </x:c>
      <x:c r="P168">
        <x:v>89</x:v>
      </x:c>
      <x:c r="Q168">
        <x:v>90</x:v>
      </x:c>
      <x:c r="R168">
        <x:v>42</x:v>
      </x:c>
      <x:c r="S168">
        <x:v>30</x:v>
      </x:c>
      <x:c r="T168">
        <x:v>60</x:v>
      </x:c>
      <x:c r="U168">
        <x:v>48</x:v>
      </x:c>
      <x:c r="V168">
        <x:v>75</x:v>
      </x:c>
      <x:c r="W168">
        <x:v>57</x:v>
      </x:c>
      <x:c r="X168">
        <x:v>68</x:v>
      </x:c>
      <x:c r="Y168">
        <x:v>72</x:v>
      </x:c>
      <x:c r="Z168">
        <x:v>54</x:v>
      </x:c>
      <x:c r="AA168">
        <x:v>60</x:v>
      </x:c>
    </x:row>
    <x:row r="169">
      <x:c r="A169" t="s">
        <x:v>603</x:v>
      </x:c>
      <x:c r="B169" t="s">
        <x:v>343</x:v>
      </x:c>
      <x:c r="C169" t="s">
        <x:v>331</x:v>
      </x:c>
      <x:c r="D169">
        <x:v>8474574</x:v>
      </x:c>
      <x:c r="E169" t="s">
        <x:v>224</x:v>
      </x:c>
      <x:c r="F169">
        <x:v>73</x:v>
      </x:c>
      <x:c r="G169">
        <x:v>71</x:v>
      </x:c>
      <x:c r="J169" t="s">
        <x:v>2128</x:v>
      </x:c>
      <x:c r="K169">
        <x:v>73</x:v>
      </x:c>
      <x:c r="L169">
        <x:v>49</x:v>
      </x:c>
      <x:c r="M169">
        <x:v>78</x:v>
      </x:c>
      <x:c r="N169">
        <x:v>44</x:v>
      </x:c>
      <x:c r="O169">
        <x:v>90</x:v>
      </x:c>
      <x:c r="P169">
        <x:v>91</x:v>
      </x:c>
      <x:c r="Q169">
        <x:v>92</x:v>
      </x:c>
      <x:c r="R169">
        <x:v>39</x:v>
      </x:c>
      <x:c r="S169">
        <x:v>30</x:v>
      </x:c>
      <x:c r="T169">
        <x:v>51</x:v>
      </x:c>
      <x:c r="U169">
        <x:v>46</x:v>
      </x:c>
      <x:c r="V169">
        <x:v>75</x:v>
      </x:c>
      <x:c r="W169">
        <x:v>56</x:v>
      </x:c>
      <x:c r="X169">
        <x:v>89</x:v>
      </x:c>
      <x:c r="Y169">
        <x:v>80</x:v>
      </x:c>
      <x:c r="Z169">
        <x:v>51</x:v>
      </x:c>
      <x:c r="AA169">
        <x:v>60</x:v>
      </x:c>
    </x:row>
    <x:row r="170">
      <x:c r="A170" t="s">
        <x:v>632</x:v>
      </x:c>
      <x:c r="B170" t="s">
        <x:v>436</x:v>
      </x:c>
      <x:c r="C170" t="s">
        <x:v>331</x:v>
      </x:c>
      <x:c r="D170">
        <x:v>8481568</x:v>
      </x:c>
      <x:c r="E170" t="s">
        <x:v>224</x:v>
      </x:c>
      <x:c r="F170">
        <x:v>80</x:v>
      </x:c>
      <x:c r="G170">
        <x:v>82</x:v>
      </x:c>
      <x:c r="J170" t="s">
        <x:v>2129</x:v>
      </x:c>
      <x:c r="K170">
        <x:v>67</x:v>
      </x:c>
      <x:c r="L170">
        <x:v>63</x:v>
      </x:c>
      <x:c r="M170">
        <x:v>94</x:v>
      </x:c>
      <x:c r="N170">
        <x:v>48</x:v>
      </x:c>
      <x:c r="O170">
        <x:v>87</x:v>
      </x:c>
      <x:c r="P170">
        <x:v>93</x:v>
      </x:c>
      <x:c r="Q170">
        <x:v>99</x:v>
      </x:c>
      <x:c r="R170">
        <x:v>41</x:v>
      </x:c>
      <x:c r="S170">
        <x:v>30</x:v>
      </x:c>
      <x:c r="T170">
        <x:v>54</x:v>
      </x:c>
      <x:c r="U170">
        <x:v>46</x:v>
      </x:c>
      <x:c r="V170">
        <x:v>75</x:v>
      </x:c>
      <x:c r="W170">
        <x:v>52</x:v>
      </x:c>
      <x:c r="X170">
        <x:v>70</x:v>
      </x:c>
      <x:c r="Y170">
        <x:v>77</x:v>
      </x:c>
      <x:c r="Z170">
        <x:v>51</x:v>
      </x:c>
      <x:c r="AA170">
        <x:v>60</x:v>
      </x:c>
    </x:row>
    <x:row r="171">
      <x:c r="A171" t="s">
        <x:v>650</x:v>
      </x:c>
      <x:c r="B171" t="s">
        <x:v>368</x:v>
      </x:c>
      <x:c r="C171" t="s">
        <x:v>331</x:v>
      </x:c>
      <x:c r="D171">
        <x:v>8482511</x:v>
      </x:c>
      <x:c r="E171" t="s">
        <x:v>224</x:v>
      </x:c>
      <x:c r="F171">
        <x:v>73</x:v>
      </x:c>
      <x:c r="G171">
        <x:v>77</x:v>
      </x:c>
      <x:c r="J171" t="s">
        <x:v>2130</x:v>
      </x:c>
      <x:c r="K171">
        <x:v>68</x:v>
      </x:c>
      <x:c r="L171">
        <x:v>42</x:v>
      </x:c>
      <x:c r="M171">
        <x:v>86</x:v>
      </x:c>
      <x:c r="N171">
        <x:v>42</x:v>
      </x:c>
      <x:c r="O171">
        <x:v>87</x:v>
      </x:c>
      <x:c r="P171">
        <x:v>88</x:v>
      </x:c>
      <x:c r="Q171">
        <x:v>93</x:v>
      </x:c>
      <x:c r="R171">
        <x:v>43</x:v>
      </x:c>
      <x:c r="S171">
        <x:v>30</x:v>
      </x:c>
      <x:c r="T171">
        <x:v>57</x:v>
      </x:c>
      <x:c r="U171">
        <x:v>49</x:v>
      </x:c>
      <x:c r="V171">
        <x:v>75</x:v>
      </x:c>
      <x:c r="W171">
        <x:v>56</x:v>
      </x:c>
      <x:c r="X171">
        <x:v>70</x:v>
      </x:c>
      <x:c r="Y171">
        <x:v>72</x:v>
      </x:c>
      <x:c r="Z171">
        <x:v>51</x:v>
      </x:c>
      <x:c r="AA171">
        <x:v>59</x:v>
      </x:c>
    </x:row>
    <x:row r="172">
      <x:c r="A172" t="s">
        <x:v>657</x:v>
      </x:c>
      <x:c r="B172" t="s">
        <x:v>340</x:v>
      </x:c>
      <x:c r="C172" t="s">
        <x:v>331</x:v>
      </x:c>
      <x:c r="D172">
        <x:v>8473507</x:v>
      </x:c>
      <x:c r="E172" t="s">
        <x:v>224</x:v>
      </x:c>
      <x:c r="F172">
        <x:v>67</x:v>
      </x:c>
      <x:c r="G172">
        <x:v>44</x:v>
      </x:c>
      <x:c r="J172" t="s">
        <x:v>2131</x:v>
      </x:c>
      <x:c r="K172">
        <x:v>75</x:v>
      </x:c>
      <x:c r="L172">
        <x:v>40</x:v>
      </x:c>
      <x:c r="M172">
        <x:v>81</x:v>
      </x:c>
      <x:c r="N172">
        <x:v>43</x:v>
      </x:c>
      <x:c r="O172">
        <x:v>83</x:v>
      </x:c>
      <x:c r="P172">
        <x:v>86</x:v>
      </x:c>
      <x:c r="Q172">
        <x:v>86</x:v>
      </x:c>
      <x:c r="R172">
        <x:v>38</x:v>
      </x:c>
      <x:c r="S172">
        <x:v>30</x:v>
      </x:c>
      <x:c r="T172">
        <x:v>51</x:v>
      </x:c>
      <x:c r="U172">
        <x:v>45</x:v>
      </x:c>
      <x:c r="V172">
        <x:v>75</x:v>
      </x:c>
      <x:c r="W172">
        <x:v>52</x:v>
      </x:c>
      <x:c r="X172">
        <x:v>87</x:v>
      </x:c>
      <x:c r="Y172">
        <x:v>79</x:v>
      </x:c>
      <x:c r="Z172">
        <x:v>51</x:v>
      </x:c>
      <x:c r="AA172">
        <x:v>59</x:v>
      </x:c>
    </x:row>
    <x:row r="173">
      <x:c r="A173" t="s">
        <x:v>664</x:v>
      </x:c>
      <x:c r="B173" t="s">
        <x:v>393</x:v>
      </x:c>
      <x:c r="C173" t="s">
        <x:v>331</x:v>
      </x:c>
      <x:c r="D173">
        <x:v>8483490</x:v>
      </x:c>
      <x:c r="E173" t="s">
        <x:v>224</x:v>
      </x:c>
      <x:c r="F173">
        <x:v>73</x:v>
      </x:c>
      <x:c r="G173">
        <x:v>68</x:v>
      </x:c>
      <x:c r="J173" t="s">
        <x:v>2132</x:v>
      </x:c>
      <x:c r="K173">
        <x:v>70</x:v>
      </x:c>
      <x:c r="L173">
        <x:v>57</x:v>
      </x:c>
      <x:c r="M173">
        <x:v>94</x:v>
      </x:c>
      <x:c r="N173">
        <x:v>43</x:v>
      </x:c>
      <x:c r="O173">
        <x:v>83</x:v>
      </x:c>
      <x:c r="P173">
        <x:v>89</x:v>
      </x:c>
      <x:c r="Q173">
        <x:v>92</x:v>
      </x:c>
      <x:c r="R173">
        <x:v>42</x:v>
      </x:c>
      <x:c r="S173">
        <x:v>30</x:v>
      </x:c>
      <x:c r="T173">
        <x:v>52</x:v>
      </x:c>
      <x:c r="U173">
        <x:v>49</x:v>
      </x:c>
      <x:c r="V173">
        <x:v>75</x:v>
      </x:c>
      <x:c r="W173">
        <x:v>51</x:v>
      </x:c>
      <x:c r="X173">
        <x:v>70</x:v>
      </x:c>
      <x:c r="Y173">
        <x:v>67</x:v>
      </x:c>
      <x:c r="Z173">
        <x:v>54</x:v>
      </x:c>
      <x:c r="AA173">
        <x:v>59</x:v>
      </x:c>
    </x:row>
    <x:row r="174">
      <x:c r="A174" t="s">
        <x:v>669</x:v>
      </x:c>
      <x:c r="B174" t="s">
        <x:v>361</x:v>
      </x:c>
      <x:c r="C174" t="s">
        <x:v>331</x:v>
      </x:c>
      <x:c r="D174">
        <x:v>8482803</x:v>
      </x:c>
      <x:c r="E174" t="s">
        <x:v>224</x:v>
      </x:c>
      <x:c r="F174">
        <x:v>76</x:v>
      </x:c>
      <x:c r="G174">
        <x:v>62</x:v>
      </x:c>
      <x:c r="J174" t="s">
        <x:v>2133</x:v>
      </x:c>
      <x:c r="K174">
        <x:v>68</x:v>
      </x:c>
      <x:c r="L174">
        <x:v>32</x:v>
      </x:c>
      <x:c r="M174">
        <x:v>86</x:v>
      </x:c>
      <x:c r="N174">
        <x:v>63</x:v>
      </x:c>
      <x:c r="O174">
        <x:v>78</x:v>
      </x:c>
      <x:c r="P174">
        <x:v>88</x:v>
      </x:c>
      <x:c r="Q174">
        <x:v>93</x:v>
      </x:c>
      <x:c r="R174">
        <x:v>42</x:v>
      </x:c>
      <x:c r="S174">
        <x:v>30</x:v>
      </x:c>
      <x:c r="T174">
        <x:v>53</x:v>
      </x:c>
      <x:c r="U174">
        <x:v>49</x:v>
      </x:c>
      <x:c r="V174">
        <x:v>75</x:v>
      </x:c>
      <x:c r="W174">
        <x:v>51</x:v>
      </x:c>
      <x:c r="X174">
        <x:v>69</x:v>
      </x:c>
      <x:c r="Y174">
        <x:v>72</x:v>
      </x:c>
      <x:c r="Z174">
        <x:v>51</x:v>
      </x:c>
      <x:c r="AA174">
        <x:v>59</x:v>
      </x:c>
    </x:row>
    <x:row r="175">
      <x:c r="A175" t="s">
        <x:v>699</x:v>
      </x:c>
      <x:c r="B175" t="s">
        <x:v>386</x:v>
      </x:c>
      <x:c r="C175" t="s">
        <x:v>331</x:v>
      </x:c>
      <x:c r="D175">
        <x:v>8478970</x:v>
      </x:c>
      <x:c r="E175" t="s">
        <x:v>224</x:v>
      </x:c>
      <x:c r="F175">
        <x:v>72</x:v>
      </x:c>
      <x:c r="G175">
        <x:v>79</x:v>
      </x:c>
      <x:c r="J175" t="s">
        <x:v>2134</x:v>
      </x:c>
      <x:c r="K175">
        <x:v>68</x:v>
      </x:c>
      <x:c r="L175">
        <x:v>47</x:v>
      </x:c>
      <x:c r="M175">
        <x:v>87</x:v>
      </x:c>
      <x:c r="N175">
        <x:v>44</x:v>
      </x:c>
      <x:c r="O175">
        <x:v>84</x:v>
      </x:c>
      <x:c r="P175">
        <x:v>91</x:v>
      </x:c>
      <x:c r="Q175">
        <x:v>93</x:v>
      </x:c>
      <x:c r="R175">
        <x:v>40</x:v>
      </x:c>
      <x:c r="S175">
        <x:v>30</x:v>
      </x:c>
      <x:c r="T175">
        <x:v>52</x:v>
      </x:c>
      <x:c r="U175">
        <x:v>46</x:v>
      </x:c>
      <x:c r="V175">
        <x:v>75</x:v>
      </x:c>
      <x:c r="W175">
        <x:v>52</x:v>
      </x:c>
      <x:c r="X175">
        <x:v>76</x:v>
      </x:c>
      <x:c r="Y175">
        <x:v>72</x:v>
      </x:c>
      <x:c r="Z175">
        <x:v>46</x:v>
      </x:c>
      <x:c r="AA175">
        <x:v>59</x:v>
      </x:c>
    </x:row>
    <x:row r="176">
      <x:c r="A176" t="s">
        <x:v>703</x:v>
      </x:c>
      <x:c r="B176" t="s">
        <x:v>383</x:v>
      </x:c>
      <x:c r="C176" t="s">
        <x:v>331</x:v>
      </x:c>
      <x:c r="D176">
        <x:v>8481525</x:v>
      </x:c>
      <x:c r="E176" t="s">
        <x:v>224</x:v>
      </x:c>
      <x:c r="F176">
        <x:v>72</x:v>
      </x:c>
      <x:c r="G176">
        <x:v>2</x:v>
      </x:c>
      <x:c r="J176" t="s">
        <x:v>2135</x:v>
      </x:c>
      <x:c r="K176">
        <x:v>77</x:v>
      </x:c>
      <x:c r="L176">
        <x:v>43</x:v>
      </x:c>
      <x:c r="M176">
        <x:v>80</x:v>
      </x:c>
      <x:c r="N176">
        <x:v>43</x:v>
      </x:c>
      <x:c r="O176">
        <x:v>84</x:v>
      </x:c>
      <x:c r="P176">
        <x:v>88</x:v>
      </x:c>
      <x:c r="Q176">
        <x:v>91</x:v>
      </x:c>
      <x:c r="R176">
        <x:v>40</x:v>
      </x:c>
      <x:c r="S176">
        <x:v>30</x:v>
      </x:c>
      <x:c r="T176">
        <x:v>51</x:v>
      </x:c>
      <x:c r="U176">
        <x:v>47</x:v>
      </x:c>
      <x:c r="V176">
        <x:v>75</x:v>
      </x:c>
      <x:c r="W176">
        <x:v>55</x:v>
      </x:c>
      <x:c r="X176">
        <x:v>66</x:v>
      </x:c>
      <x:c r="Y176">
        <x:v>68</x:v>
      </x:c>
      <x:c r="Z176">
        <x:v>54</x:v>
      </x:c>
      <x:c r="AA176">
        <x:v>59</x:v>
      </x:c>
    </x:row>
    <x:row r="177">
      <x:c r="A177" t="s">
        <x:v>721</x:v>
      </x:c>
      <x:c r="B177" t="s">
        <x:v>427</x:v>
      </x:c>
      <x:c r="C177" t="s">
        <x:v>331</x:v>
      </x:c>
      <x:c r="D177">
        <x:v>8481122</x:v>
      </x:c>
      <x:c r="E177" t="s">
        <x:v>224</x:v>
      </x:c>
      <x:c r="F177">
        <x:v>73</x:v>
      </x:c>
      <x:c r="G177">
        <x:v>78</x:v>
      </x:c>
      <x:c r="J177" t="s">
        <x:v>2136</x:v>
      </x:c>
      <x:c r="K177">
        <x:v>83</x:v>
      </x:c>
      <x:c r="L177">
        <x:v>72</x:v>
      </x:c>
      <x:c r="M177">
        <x:v>82</x:v>
      </x:c>
      <x:c r="N177">
        <x:v>55</x:v>
      </x:c>
      <x:c r="O177">
        <x:v>84</x:v>
      </x:c>
      <x:c r="P177">
        <x:v>88</x:v>
      </x:c>
      <x:c r="Q177">
        <x:v>93</x:v>
      </x:c>
      <x:c r="R177">
        <x:v>36</x:v>
      </x:c>
      <x:c r="S177">
        <x:v>30</x:v>
      </x:c>
      <x:c r="T177">
        <x:v>49</x:v>
      </x:c>
      <x:c r="U177">
        <x:v>45</x:v>
      </x:c>
      <x:c r="V177">
        <x:v>75</x:v>
      </x:c>
      <x:c r="W177">
        <x:v>52</x:v>
      </x:c>
      <x:c r="X177">
        <x:v>75</x:v>
      </x:c>
      <x:c r="Y177">
        <x:v>70</x:v>
      </x:c>
      <x:c r="Z177">
        <x:v>51</x:v>
      </x:c>
      <x:c r="AA177">
        <x:v>59</x:v>
      </x:c>
    </x:row>
    <x:row r="178">
      <x:c r="A178" t="s">
        <x:v>738</x:v>
      </x:c>
      <x:c r="B178" t="s">
        <x:v>361</x:v>
      </x:c>
      <x:c r="C178" t="s">
        <x:v>331</x:v>
      </x:c>
      <x:c r="D178">
        <x:v>8479982</x:v>
      </x:c>
      <x:c r="E178" t="s">
        <x:v>224</x:v>
      </x:c>
      <x:c r="F178">
        <x:v>39</x:v>
      </x:c>
      <x:c r="G178">
        <x:v>68</x:v>
      </x:c>
      <x:c r="J178" t="s">
        <x:v>2137</x:v>
      </x:c>
      <x:c r="K178">
        <x:v>71</x:v>
      </x:c>
      <x:c r="L178">
        <x:v>39</x:v>
      </x:c>
      <x:c r="M178">
        <x:v>83</x:v>
      </x:c>
      <x:c r="N178">
        <x:v>37</x:v>
      </x:c>
      <x:c r="O178">
        <x:v>86</x:v>
      </x:c>
      <x:c r="P178">
        <x:v>88</x:v>
      </x:c>
      <x:c r="Q178">
        <x:v>74</x:v>
      </x:c>
      <x:c r="R178">
        <x:v>38</x:v>
      </x:c>
      <x:c r="S178">
        <x:v>30</x:v>
      </x:c>
      <x:c r="T178">
        <x:v>52</x:v>
      </x:c>
      <x:c r="U178">
        <x:v>45</x:v>
      </x:c>
      <x:c r="V178">
        <x:v>75</x:v>
      </x:c>
      <x:c r="W178">
        <x:v>52</x:v>
      </x:c>
      <x:c r="X178">
        <x:v>70</x:v>
      </x:c>
      <x:c r="Y178">
        <x:v>72</x:v>
      </x:c>
      <x:c r="Z178">
        <x:v>51</x:v>
      </x:c>
      <x:c r="AA178">
        <x:v>58</x:v>
      </x:c>
    </x:row>
    <x:row r="179">
      <x:c r="A179" t="s">
        <x:v>740</x:v>
      </x:c>
      <x:c r="B179" t="s">
        <x:v>345</x:v>
      </x:c>
      <x:c r="C179" t="s">
        <x:v>331</x:v>
      </x:c>
      <x:c r="D179">
        <x:v>8474567</x:v>
      </x:c>
      <x:c r="E179" t="s">
        <x:v>224</x:v>
      </x:c>
      <x:c r="F179">
        <x:v>41</x:v>
      </x:c>
      <x:c r="G179">
        <x:v>81</x:v>
      </x:c>
      <x:c r="J179" t="s">
        <x:v>2138</x:v>
      </x:c>
      <x:c r="K179">
        <x:v>76</x:v>
      </x:c>
      <x:c r="L179">
        <x:v>49</x:v>
      </x:c>
      <x:c r="M179">
        <x:v>79</x:v>
      </x:c>
      <x:c r="N179">
        <x:v>44</x:v>
      </x:c>
      <x:c r="O179">
        <x:v>93</x:v>
      </x:c>
      <x:c r="P179">
        <x:v>85</x:v>
      </x:c>
      <x:c r="Q179">
        <x:v>78</x:v>
      </x:c>
      <x:c r="R179">
        <x:v>37</x:v>
      </x:c>
      <x:c r="S179">
        <x:v>30</x:v>
      </x:c>
      <x:c r="T179">
        <x:v>50</x:v>
      </x:c>
      <x:c r="U179">
        <x:v>46</x:v>
      </x:c>
      <x:c r="V179">
        <x:v>75</x:v>
      </x:c>
      <x:c r="W179">
        <x:v>62</x:v>
      </x:c>
      <x:c r="X179">
        <x:v>88</x:v>
      </x:c>
      <x:c r="Y179">
        <x:v>76</x:v>
      </x:c>
      <x:c r="Z179">
        <x:v>51</x:v>
      </x:c>
      <x:c r="AA179">
        <x:v>58</x:v>
      </x:c>
    </x:row>
    <x:row r="180">
      <x:c r="A180" t="s">
        <x:v>761</x:v>
      </x:c>
      <x:c r="B180" t="s">
        <x:v>481</x:v>
      </x:c>
      <x:c r="C180" t="s">
        <x:v>331</x:v>
      </x:c>
      <x:c r="D180">
        <x:v>8474612</x:v>
      </x:c>
      <x:c r="E180" t="s">
        <x:v>224</x:v>
      </x:c>
      <x:c r="F180">
        <x:v>26</x:v>
      </x:c>
      <x:c r="G180">
        <x:v>59</x:v>
      </x:c>
      <x:c r="J180" t="s">
        <x:v>2139</x:v>
      </x:c>
      <x:c r="K180">
        <x:v>77</x:v>
      </x:c>
      <x:c r="L180">
        <x:v>84</x:v>
      </x:c>
      <x:c r="M180">
        <x:v>76</x:v>
      </x:c>
      <x:c r="N180">
        <x:v>36</x:v>
      </x:c>
      <x:c r="O180">
        <x:v>78</x:v>
      </x:c>
      <x:c r="P180">
        <x:v>84</x:v>
      </x:c>
      <x:c r="Q180">
        <x:v>59</x:v>
      </x:c>
      <x:c r="R180">
        <x:v>37</x:v>
      </x:c>
      <x:c r="S180">
        <x:v>30</x:v>
      </x:c>
      <x:c r="T180">
        <x:v>49</x:v>
      </x:c>
      <x:c r="U180">
        <x:v>45</x:v>
      </x:c>
      <x:c r="V180">
        <x:v>75</x:v>
      </x:c>
      <x:c r="W180">
        <x:v>52</x:v>
      </x:c>
      <x:c r="X180">
        <x:v>84</x:v>
      </x:c>
      <x:c r="Y180">
        <x:v>78</x:v>
      </x:c>
      <x:c r="Z180">
        <x:v>51</x:v>
      </x:c>
      <x:c r="AA180">
        <x:v>58</x:v>
      </x:c>
    </x:row>
    <x:row r="181">
      <x:c r="A181" t="s">
        <x:v>768</x:v>
      </x:c>
      <x:c r="B181" t="s">
        <x:v>436</x:v>
      </x:c>
      <x:c r="C181" t="s">
        <x:v>331</x:v>
      </x:c>
      <x:c r="D181">
        <x:v>8482176</x:v>
      </x:c>
      <x:c r="E181" t="s">
        <x:v>224</x:v>
      </x:c>
      <x:c r="F181">
        <x:v>77</x:v>
      </x:c>
      <x:c r="G181">
        <x:v>57</x:v>
      </x:c>
      <x:c r="J181" t="s">
        <x:v>2140</x:v>
      </x:c>
      <x:c r="K181">
        <x:v>70</x:v>
      </x:c>
      <x:c r="L181">
        <x:v>33</x:v>
      </x:c>
      <x:c r="M181">
        <x:v>87</x:v>
      </x:c>
      <x:c r="N181">
        <x:v>48</x:v>
      </x:c>
      <x:c r="O181">
        <x:v>77</x:v>
      </x:c>
      <x:c r="P181">
        <x:v>90</x:v>
      </x:c>
      <x:c r="Q181">
        <x:v>96</x:v>
      </x:c>
      <x:c r="R181">
        <x:v>40</x:v>
      </x:c>
      <x:c r="S181">
        <x:v>30</x:v>
      </x:c>
      <x:c r="T181">
        <x:v>50</x:v>
      </x:c>
      <x:c r="U181">
        <x:v>47</x:v>
      </x:c>
      <x:c r="V181">
        <x:v>75</x:v>
      </x:c>
      <x:c r="W181">
        <x:v>52</x:v>
      </x:c>
      <x:c r="X181">
        <x:v>69</x:v>
      </x:c>
      <x:c r="Y181">
        <x:v>72</x:v>
      </x:c>
      <x:c r="Z181">
        <x:v>51</x:v>
      </x:c>
      <x:c r="AA181">
        <x:v>58</x:v>
      </x:c>
    </x:row>
    <x:row r="182">
      <x:c r="A182" t="s">
        <x:v>778</x:v>
      </x:c>
      <x:c r="B182" t="s">
        <x:v>327</x:v>
      </x:c>
      <x:c r="C182" t="s">
        <x:v>331</x:v>
      </x:c>
      <x:c r="D182">
        <x:v>8482929</x:v>
      </x:c>
      <x:c r="E182" t="s">
        <x:v>224</x:v>
      </x:c>
      <x:c r="F182">
        <x:v>50</x:v>
      </x:c>
      <x:c r="G182">
        <x:v>76</x:v>
      </x:c>
      <x:c r="J182" t="s">
        <x:v>2141</x:v>
      </x:c>
      <x:c r="K182">
        <x:v>79</x:v>
      </x:c>
      <x:c r="L182">
        <x:v>83</x:v>
      </x:c>
      <x:c r="M182">
        <x:v>77</x:v>
      </x:c>
      <x:c r="N182">
        <x:v>43</x:v>
      </x:c>
      <x:c r="O182">
        <x:v>86</x:v>
      </x:c>
      <x:c r="P182">
        <x:v>87</x:v>
      </x:c>
      <x:c r="Q182">
        <x:v>81</x:v>
      </x:c>
      <x:c r="R182">
        <x:v>37</x:v>
      </x:c>
      <x:c r="S182">
        <x:v>30</x:v>
      </x:c>
      <x:c r="T182">
        <x:v>52</x:v>
      </x:c>
      <x:c r="U182">
        <x:v>47</x:v>
      </x:c>
      <x:c r="V182">
        <x:v>75</x:v>
      </x:c>
      <x:c r="W182">
        <x:v>52</x:v>
      </x:c>
      <x:c r="X182">
        <x:v>70</x:v>
      </x:c>
      <x:c r="Y182">
        <x:v>66</x:v>
      </x:c>
      <x:c r="Z182">
        <x:v>54</x:v>
      </x:c>
      <x:c r="AA182">
        <x:v>58</x:v>
      </x:c>
    </x:row>
    <x:row r="183">
      <x:c r="A183" t="s">
        <x:v>779</x:v>
      </x:c>
      <x:c r="B183" t="s">
        <x:v>324</x:v>
      </x:c>
      <x:c r="C183" t="s">
        <x:v>331</x:v>
      </x:c>
      <x:c r="D183">
        <x:v>8478454</x:v>
      </x:c>
      <x:c r="E183" t="s">
        <x:v>224</x:v>
      </x:c>
      <x:c r="F183">
        <x:v>52</x:v>
      </x:c>
      <x:c r="G183">
        <x:v>35</x:v>
      </x:c>
      <x:c r="J183" t="s">
        <x:v>2142</x:v>
      </x:c>
      <x:c r="K183">
        <x:v>82</x:v>
      </x:c>
      <x:c r="L183">
        <x:v>70</x:v>
      </x:c>
      <x:c r="M183">
        <x:v>87</x:v>
      </x:c>
      <x:c r="N183">
        <x:v>36</x:v>
      </x:c>
      <x:c r="O183">
        <x:v>82</x:v>
      </x:c>
      <x:c r="P183">
        <x:v>84</x:v>
      </x:c>
      <x:c r="Q183">
        <x:v>77</x:v>
      </x:c>
      <x:c r="R183">
        <x:v>36</x:v>
      </x:c>
      <x:c r="S183">
        <x:v>30</x:v>
      </x:c>
      <x:c r="T183">
        <x:v>51</x:v>
      </x:c>
      <x:c r="U183">
        <x:v>45</x:v>
      </x:c>
      <x:c r="V183">
        <x:v>75</x:v>
      </x:c>
      <x:c r="W183">
        <x:v>52</x:v>
      </x:c>
      <x:c r="X183">
        <x:v>70</x:v>
      </x:c>
      <x:c r="Y183">
        <x:v>71</x:v>
      </x:c>
      <x:c r="Z183">
        <x:v>51</x:v>
      </x:c>
      <x:c r="AA183">
        <x:v>58</x:v>
      </x:c>
    </x:row>
    <x:row r="184">
      <x:c r="A184" t="s">
        <x:v>787</x:v>
      </x:c>
      <x:c r="B184" t="s">
        <x:v>343</x:v>
      </x:c>
      <x:c r="C184" t="s">
        <x:v>331</x:v>
      </x:c>
      <x:c r="D184">
        <x:v>8476856</x:v>
      </x:c>
      <x:c r="E184" t="s">
        <x:v>224</x:v>
      </x:c>
      <x:c r="F184">
        <x:v>11</x:v>
      </x:c>
      <x:c r="G184">
        <x:v>63</x:v>
      </x:c>
      <x:c r="J184" t="s">
        <x:v>2143</x:v>
      </x:c>
      <x:c r="K184">
        <x:v>78</x:v>
      </x:c>
      <x:c r="L184">
        <x:v>85</x:v>
      </x:c>
      <x:c r="M184">
        <x:v>76</x:v>
      </x:c>
      <x:c r="N184">
        <x:v>44</x:v>
      </x:c>
      <x:c r="O184">
        <x:v>78</x:v>
      </x:c>
      <x:c r="P184">
        <x:v>83</x:v>
      </x:c>
      <x:c r="Q184">
        <x:v>74</x:v>
      </x:c>
      <x:c r="R184">
        <x:v>39</x:v>
      </x:c>
      <x:c r="S184">
        <x:v>30</x:v>
      </x:c>
      <x:c r="T184">
        <x:v>51</x:v>
      </x:c>
      <x:c r="U184">
        <x:v>47</x:v>
      </x:c>
      <x:c r="V184">
        <x:v>75</x:v>
      </x:c>
      <x:c r="W184">
        <x:v>52</x:v>
      </x:c>
      <x:c r="X184">
        <x:v>83</x:v>
      </x:c>
      <x:c r="Y184">
        <x:v>78</x:v>
      </x:c>
      <x:c r="Z184">
        <x:v>51</x:v>
      </x:c>
      <x:c r="AA184">
        <x:v>58</x:v>
      </x:c>
    </x:row>
    <x:row r="185">
      <x:c r="A185" t="s">
        <x:v>796</x:v>
      </x:c>
      <x:c r="B185" t="s">
        <x:v>364</x:v>
      </x:c>
      <x:c r="C185" t="s">
        <x:v>331</x:v>
      </x:c>
      <x:c r="D185">
        <x:v>8481607</x:v>
      </x:c>
      <x:c r="E185" t="s">
        <x:v>224</x:v>
      </x:c>
      <x:c r="F185">
        <x:v>82</x:v>
      </x:c>
      <x:c r="G185">
        <x:v>61</x:v>
      </x:c>
      <x:c r="J185" t="s">
        <x:v>2076</x:v>
      </x:c>
      <x:c r="K185">
        <x:v>72</x:v>
      </x:c>
      <x:c r="L185">
        <x:v>33</x:v>
      </x:c>
      <x:c r="M185">
        <x:v>94</x:v>
      </x:c>
      <x:c r="N185">
        <x:v>38</x:v>
      </x:c>
      <x:c r="O185">
        <x:v>79</x:v>
      </x:c>
      <x:c r="P185">
        <x:v>86</x:v>
      </x:c>
      <x:c r="Q185">
        <x:v>98</x:v>
      </x:c>
      <x:c r="R185">
        <x:v>38</x:v>
      </x:c>
      <x:c r="S185">
        <x:v>30</x:v>
      </x:c>
      <x:c r="T185">
        <x:v>50</x:v>
      </x:c>
      <x:c r="U185">
        <x:v>46</x:v>
      </x:c>
      <x:c r="V185">
        <x:v>75</x:v>
      </x:c>
      <x:c r="W185">
        <x:v>52</x:v>
      </x:c>
      <x:c r="X185">
        <x:v>68</x:v>
      </x:c>
      <x:c r="Y185">
        <x:v>68</x:v>
      </x:c>
      <x:c r="Z185">
        <x:v>51</x:v>
      </x:c>
      <x:c r="AA185">
        <x:v>58</x:v>
      </x:c>
    </x:row>
    <x:row r="186">
      <x:c r="A186" t="s">
        <x:v>804</x:v>
      </x:c>
      <x:c r="B186" t="s">
        <x:v>402</x:v>
      </x:c>
      <x:c r="C186" t="s">
        <x:v>331</x:v>
      </x:c>
      <x:c r="D186">
        <x:v>8480043</x:v>
      </x:c>
      <x:c r="E186" t="s">
        <x:v>224</x:v>
      </x:c>
      <x:c r="F186">
        <x:v>47</x:v>
      </x:c>
      <x:c r="G186">
        <x:v>68</x:v>
      </x:c>
      <x:c r="J186" t="s">
        <x:v>2144</x:v>
      </x:c>
      <x:c r="K186">
        <x:v>71</x:v>
      </x:c>
      <x:c r="L186">
        <x:v>52</x:v>
      </x:c>
      <x:c r="M186">
        <x:v>80</x:v>
      </x:c>
      <x:c r="N186">
        <x:v>44</x:v>
      </x:c>
      <x:c r="O186">
        <x:v>81</x:v>
      </x:c>
      <x:c r="P186">
        <x:v>91</x:v>
      </x:c>
      <x:c r="Q186">
        <x:v>79</x:v>
      </x:c>
      <x:c r="R186">
        <x:v>39</x:v>
      </x:c>
      <x:c r="S186">
        <x:v>30</x:v>
      </x:c>
      <x:c r="T186">
        <x:v>52</x:v>
      </x:c>
      <x:c r="U186">
        <x:v>46</x:v>
      </x:c>
      <x:c r="V186">
        <x:v>75</x:v>
      </x:c>
      <x:c r="W186">
        <x:v>52</x:v>
      </x:c>
      <x:c r="X186">
        <x:v>73</x:v>
      </x:c>
      <x:c r="Y186">
        <x:v>71</x:v>
      </x:c>
      <x:c r="Z186">
        <x:v>51</x:v>
      </x:c>
      <x:c r="AA186">
        <x:v>58</x:v>
      </x:c>
    </x:row>
    <x:row r="187">
      <x:c r="A187" t="s">
        <x:v>805</x:v>
      </x:c>
      <x:c r="B187" t="s">
        <x:v>439</x:v>
      </x:c>
      <x:c r="C187" t="s">
        <x:v>331</x:v>
      </x:c>
      <x:c r="D187">
        <x:v>8481014</x:v>
      </x:c>
      <x:c r="E187" t="s">
        <x:v>224</x:v>
      </x:c>
      <x:c r="F187">
        <x:v>15</x:v>
      </x:c>
      <x:c r="G187">
        <x:v>64</x:v>
      </x:c>
      <x:c r="J187" t="s">
        <x:v>2145</x:v>
      </x:c>
      <x:c r="K187">
        <x:v>79</x:v>
      </x:c>
      <x:c r="L187">
        <x:v>40</x:v>
      </x:c>
      <x:c r="M187">
        <x:v>90</x:v>
      </x:c>
      <x:c r="N187">
        <x:v>39</x:v>
      </x:c>
      <x:c r="O187">
        <x:v>88</x:v>
      </x:c>
      <x:c r="P187">
        <x:v>90</x:v>
      </x:c>
      <x:c r="Q187">
        <x:v>47</x:v>
      </x:c>
      <x:c r="R187">
        <x:v>38</x:v>
      </x:c>
      <x:c r="S187">
        <x:v>30</x:v>
      </x:c>
      <x:c r="T187">
        <x:v>48</x:v>
      </x:c>
      <x:c r="U187">
        <x:v>45</x:v>
      </x:c>
      <x:c r="V187">
        <x:v>75</x:v>
      </x:c>
      <x:c r="W187">
        <x:v>53</x:v>
      </x:c>
      <x:c r="X187">
        <x:v>74</x:v>
      </x:c>
      <x:c r="Y187">
        <x:v>74</x:v>
      </x:c>
      <x:c r="Z187">
        <x:v>51</x:v>
      </x:c>
      <x:c r="AA187">
        <x:v>58</x:v>
      </x:c>
    </x:row>
    <x:row r="188">
      <x:c r="A188" t="s">
        <x:v>846</x:v>
      </x:c>
      <x:c r="B188" t="s">
        <x:v>372</x:v>
      </x:c>
      <x:c r="C188" t="s">
        <x:v>331</x:v>
      </x:c>
      <x:c r="D188">
        <x:v>8482111</x:v>
      </x:c>
      <x:c r="E188" t="s">
        <x:v>224</x:v>
      </x:c>
      <x:c r="F188">
        <x:v>52</x:v>
      </x:c>
      <x:c r="G188">
        <x:v>62</x:v>
      </x:c>
      <x:c r="J188" t="s">
        <x:v>2146</x:v>
      </x:c>
      <x:c r="K188">
        <x:v>73</x:v>
      </x:c>
      <x:c r="L188">
        <x:v>56</x:v>
      </x:c>
      <x:c r="M188">
        <x:v>84</x:v>
      </x:c>
      <x:c r="N188">
        <x:v>43</x:v>
      </x:c>
      <x:c r="O188">
        <x:v>80</x:v>
      </x:c>
      <x:c r="P188">
        <x:v>85</x:v>
      </x:c>
      <x:c r="Q188">
        <x:v>80</x:v>
      </x:c>
      <x:c r="R188">
        <x:v>37</x:v>
      </x:c>
      <x:c r="S188">
        <x:v>30</x:v>
      </x:c>
      <x:c r="T188">
        <x:v>52</x:v>
      </x:c>
      <x:c r="U188">
        <x:v>46</x:v>
      </x:c>
      <x:c r="V188">
        <x:v>75</x:v>
      </x:c>
      <x:c r="W188">
        <x:v>52</x:v>
      </x:c>
      <x:c r="X188">
        <x:v>70</x:v>
      </x:c>
      <x:c r="Y188">
        <x:v>67</x:v>
      </x:c>
      <x:c r="Z188">
        <x:v>51</x:v>
      </x:c>
      <x:c r="AA188">
        <x:v>57</x:v>
      </x:c>
    </x:row>
    <x:row r="189">
      <x:c r="A189" t="s">
        <x:v>899</x:v>
      </x:c>
      <x:c r="B189" t="s">
        <x:v>361</x:v>
      </x:c>
      <x:c r="C189" t="s">
        <x:v>333</x:v>
      </x:c>
      <x:c r="D189">
        <x:v>8479359</x:v>
      </x:c>
      <x:c r="E189" t="s">
        <x:v>224</x:v>
      </x:c>
      <x:c r="F189">
        <x:v>81</x:v>
      </x:c>
      <x:c r="G189">
        <x:v>76</x:v>
      </x:c>
      <x:c r="J189" t="s">
        <x:v>2147</x:v>
      </x:c>
      <x:c r="K189">
        <x:v>86</x:v>
      </x:c>
      <x:c r="L189">
        <x:v>70</x:v>
      </x:c>
      <x:c r="M189">
        <x:v>91</x:v>
      </x:c>
      <x:c r="N189">
        <x:v>68</x:v>
      </x:c>
      <x:c r="O189">
        <x:v>84</x:v>
      </x:c>
      <x:c r="P189">
        <x:v>82</x:v>
      </x:c>
      <x:c r="Q189">
        <x:v>97</x:v>
      </x:c>
      <x:c r="R189">
        <x:v>48</x:v>
      </x:c>
      <x:c r="S189">
        <x:v>68</x:v>
      </x:c>
      <x:c r="T189">
        <x:v>50</x:v>
      </x:c>
      <x:c r="U189">
        <x:v>52</x:v>
      </x:c>
      <x:c r="V189">
        <x:v>75</x:v>
      </x:c>
      <x:c r="W189">
        <x:v>52</x:v>
      </x:c>
      <x:c r="X189">
        <x:v>70</x:v>
      </x:c>
      <x:c r="Y189">
        <x:v>70</x:v>
      </x:c>
      <x:c r="Z189">
        <x:v>51</x:v>
      </x:c>
      <x:c r="AA189">
        <x:v>56</x:v>
      </x:c>
    </x:row>
    <x:row r="190">
      <x:c r="A190" t="s">
        <x:v>931</x:v>
      </x:c>
      <x:c r="B190" t="s">
        <x:v>584</x:v>
      </x:c>
      <x:c r="C190" t="s">
        <x:v>331</x:v>
      </x:c>
      <x:c r="D190">
        <x:v>8479402</x:v>
      </x:c>
      <x:c r="E190" t="s">
        <x:v>224</x:v>
      </x:c>
      <x:c r="F190">
        <x:v>16</x:v>
      </x:c>
      <x:c r="G190">
        <x:v>64</x:v>
      </x:c>
      <x:c r="J190" t="s">
        <x:v>2148</x:v>
      </x:c>
      <x:c r="K190">
        <x:v>66</x:v>
      </x:c>
      <x:c r="L190">
        <x:v>33</x:v>
      </x:c>
      <x:c r="M190">
        <x:v>81</x:v>
      </x:c>
      <x:c r="N190">
        <x:v>40</x:v>
      </x:c>
      <x:c r="O190">
        <x:v>78</x:v>
      </x:c>
      <x:c r="P190">
        <x:v>84</x:v>
      </x:c>
      <x:c r="Q190">
        <x:v>48</x:v>
      </x:c>
      <x:c r="R190">
        <x:v>38</x:v>
      </x:c>
      <x:c r="S190">
        <x:v>30</x:v>
      </x:c>
      <x:c r="T190">
        <x:v>48</x:v>
      </x:c>
      <x:c r="U190">
        <x:v>46</x:v>
      </x:c>
      <x:c r="V190">
        <x:v>75</x:v>
      </x:c>
      <x:c r="W190">
        <x:v>52</x:v>
      </x:c>
      <x:c r="X190">
        <x:v>71</x:v>
      </x:c>
      <x:c r="Y190">
        <x:v>69</x:v>
      </x:c>
      <x:c r="Z190">
        <x:v>51</x:v>
      </x:c>
      <x:c r="AA190">
        <x:v>56</x:v>
      </x:c>
    </x:row>
    <x:row r="191">
      <x:c r="A191" t="s">
        <x:v>1042</x:v>
      </x:c>
      <x:c r="B191" t="s">
        <x:v>368</x:v>
      </x:c>
      <x:c r="C191" t="s">
        <x:v>331</x:v>
      </x:c>
      <x:c r="D191">
        <x:v>8481056</x:v>
      </x:c>
      <x:c r="E191" t="s">
        <x:v>224</x:v>
      </x:c>
      <x:c r="F191">
        <x:v>66</x:v>
      </x:c>
      <x:c r="G191">
        <x:v>23</x:v>
      </x:c>
      <x:c r="J191" t="s">
        <x:v>2149</x:v>
      </x:c>
      <x:c r="K191">
        <x:v>66</x:v>
      </x:c>
      <x:c r="L191">
        <x:v>37</x:v>
      </x:c>
      <x:c r="M191">
        <x:v>87</x:v>
      </x:c>
      <x:c r="N191">
        <x:v>59</x:v>
      </x:c>
      <x:c r="O191">
        <x:v>76</x:v>
      </x:c>
      <x:c r="P191">
        <x:v>85</x:v>
      </x:c>
      <x:c r="Q191">
        <x:v>86</x:v>
      </x:c>
      <x:c r="R191">
        <x:v>38</x:v>
      </x:c>
      <x:c r="S191">
        <x:v>30</x:v>
      </x:c>
      <x:c r="T191">
        <x:v>50</x:v>
      </x:c>
      <x:c r="U191">
        <x:v>46</x:v>
      </x:c>
      <x:c r="V191">
        <x:v>75</x:v>
      </x:c>
      <x:c r="W191">
        <x:v>52</x:v>
      </x:c>
      <x:c r="X191">
        <x:v>69</x:v>
      </x:c>
      <x:c r="Y191">
        <x:v>68</x:v>
      </x:c>
      <x:c r="Z191">
        <x:v>51</x:v>
      </x:c>
      <x:c r="AA191">
        <x:v>55</x:v>
      </x:c>
    </x:row>
    <x:row r="192">
      <x:c r="A192" t="s">
        <x:v>527</x:v>
      </x:c>
      <x:c r="B192" t="s">
        <x:v>396</x:v>
      </x:c>
      <x:c r="C192" t="s">
        <x:v>331</x:v>
      </x:c>
      <x:c r="D192">
        <x:v>8475764</x:v>
      </x:c>
      <x:c r="E192" t="s">
        <x:v>224</x:v>
      </x:c>
      <x:c r="F192">
        <x:v>82</x:v>
      </x:c>
      <x:c r="G192">
        <x:v>68</x:v>
      </x:c>
      <x:c r="J192" t="s">
        <x:v>2150</x:v>
      </x:c>
      <x:c r="K192">
        <x:v>65</x:v>
      </x:c>
      <x:c r="L192">
        <x:v>41</x:v>
      </x:c>
      <x:c r="M192">
        <x:v>91</x:v>
      </x:c>
      <x:c r="N192">
        <x:v>39</x:v>
      </x:c>
      <x:c r="O192">
        <x:v>86</x:v>
      </x:c>
      <x:c r="P192">
        <x:v>93</x:v>
      </x:c>
      <x:c r="Q192">
        <x:v>99</x:v>
      </x:c>
      <x:c r="R192">
        <x:v>45</x:v>
      </x:c>
      <x:c r="S192">
        <x:v>30</x:v>
      </x:c>
      <x:c r="T192">
        <x:v>56</x:v>
      </x:c>
      <x:c r="U192">
        <x:v>47</x:v>
      </x:c>
      <x:c r="V192">
        <x:v>74</x:v>
      </x:c>
      <x:c r="W192">
        <x:v>58</x:v>
      </x:c>
      <x:c r="X192">
        <x:v>89</x:v>
      </x:c>
      <x:c r="Y192">
        <x:v>79</x:v>
      </x:c>
      <x:c r="Z192">
        <x:v>51</x:v>
      </x:c>
      <x:c r="AA192">
        <x:v>61</x:v>
      </x:c>
    </x:row>
    <x:row r="193">
      <x:c r="A193" t="s">
        <x:v>624</x:v>
      </x:c>
      <x:c r="B193" t="s">
        <x:v>320</x:v>
      </x:c>
      <x:c r="C193" t="s">
        <x:v>331</x:v>
      </x:c>
      <x:c r="D193">
        <x:v>8478013</x:v>
      </x:c>
      <x:c r="E193" t="s">
        <x:v>224</x:v>
      </x:c>
      <x:c r="F193">
        <x:v>53</x:v>
      </x:c>
      <x:c r="G193">
        <x:v>65</x:v>
      </x:c>
      <x:c r="J193" t="s">
        <x:v>2151</x:v>
      </x:c>
      <x:c r="K193">
        <x:v>68</x:v>
      </x:c>
      <x:c r="L193">
        <x:v>41</x:v>
      </x:c>
      <x:c r="M193">
        <x:v>90</x:v>
      </x:c>
      <x:c r="N193">
        <x:v>44</x:v>
      </x:c>
      <x:c r="O193">
        <x:v>87</x:v>
      </x:c>
      <x:c r="P193">
        <x:v>91</x:v>
      </x:c>
      <x:c r="Q193">
        <x:v>81</x:v>
      </x:c>
      <x:c r="R193">
        <x:v>44</x:v>
      </x:c>
      <x:c r="S193">
        <x:v>30</x:v>
      </x:c>
      <x:c r="T193">
        <x:v>55</x:v>
      </x:c>
      <x:c r="U193">
        <x:v>50</x:v>
      </x:c>
      <x:c r="V193">
        <x:v>74</x:v>
      </x:c>
      <x:c r="W193">
        <x:v>52</x:v>
      </x:c>
      <x:c r="X193">
        <x:v>75</x:v>
      </x:c>
      <x:c r="Y193">
        <x:v>70</x:v>
      </x:c>
      <x:c r="Z193">
        <x:v>51</x:v>
      </x:c>
      <x:c r="AA193">
        <x:v>60</x:v>
      </x:c>
    </x:row>
    <x:row r="194">
      <x:c r="A194" t="s">
        <x:v>639</x:v>
      </x:c>
      <x:c r="B194" t="s">
        <x:v>420</x:v>
      </x:c>
      <x:c r="C194" t="s">
        <x:v>331</x:v>
      </x:c>
      <x:c r="D194">
        <x:v>8474568</x:v>
      </x:c>
      <x:c r="E194" t="s">
        <x:v>224</x:v>
      </x:c>
      <x:c r="F194">
        <x:v>50</x:v>
      </x:c>
      <x:c r="G194">
        <x:v>76</x:v>
      </x:c>
      <x:c r="J194" t="s">
        <x:v>2141</x:v>
      </x:c>
      <x:c r="K194">
        <x:v>91</x:v>
      </x:c>
      <x:c r="L194">
        <x:v>89</x:v>
      </x:c>
      <x:c r="M194">
        <x:v>78</x:v>
      </x:c>
      <x:c r="N194">
        <x:v>34</x:v>
      </x:c>
      <x:c r="O194">
        <x:v>89</x:v>
      </x:c>
      <x:c r="P194">
        <x:v>84</x:v>
      </x:c>
      <x:c r="Q194">
        <x:v>81</x:v>
      </x:c>
      <x:c r="R194">
        <x:v>37</x:v>
      </x:c>
      <x:c r="S194">
        <x:v>30</x:v>
      </x:c>
      <x:c r="T194">
        <x:v>51</x:v>
      </x:c>
      <x:c r="U194">
        <x:v>46</x:v>
      </x:c>
      <x:c r="V194">
        <x:v>74</x:v>
      </x:c>
      <x:c r="W194">
        <x:v>52</x:v>
      </x:c>
      <x:c r="X194">
        <x:v>88</x:v>
      </x:c>
      <x:c r="Y194">
        <x:v>79</x:v>
      </x:c>
      <x:c r="Z194">
        <x:v>51</x:v>
      </x:c>
      <x:c r="AA194">
        <x:v>60</x:v>
      </x:c>
    </x:row>
    <x:row r="195">
      <x:c r="A195" t="s">
        <x:v>643</x:v>
      </x:c>
      <x:c r="B195" t="s">
        <x:v>427</x:v>
      </x:c>
      <x:c r="C195" t="s">
        <x:v>358</x:v>
      </x:c>
      <x:c r="D195">
        <x:v>8480220</x:v>
      </x:c>
      <x:c r="E195" t="s">
        <x:v>224</x:v>
      </x:c>
      <x:c r="F195">
        <x:v>82</x:v>
      </x:c>
      <x:c r="G195">
        <x:v>78</x:v>
      </x:c>
      <x:c r="J195" t="s">
        <x:v>2032</x:v>
      </x:c>
      <x:c r="K195">
        <x:v>67</x:v>
      </x:c>
      <x:c r="L195">
        <x:v>51</x:v>
      </x:c>
      <x:c r="M195">
        <x:v>88</x:v>
      </x:c>
      <x:c r="N195">
        <x:v>49</x:v>
      </x:c>
      <x:c r="O195">
        <x:v>79</x:v>
      </x:c>
      <x:c r="P195">
        <x:v>86</x:v>
      </x:c>
      <x:c r="Q195">
        <x:v>98</x:v>
      </x:c>
      <x:c r="R195">
        <x:v>57</x:v>
      </x:c>
      <x:c r="S195">
        <x:v>86</x:v>
      </x:c>
      <x:c r="T195">
        <x:v>59</x:v>
      </x:c>
      <x:c r="U195">
        <x:v>57</x:v>
      </x:c>
      <x:c r="V195">
        <x:v>74</x:v>
      </x:c>
      <x:c r="W195">
        <x:v>52</x:v>
      </x:c>
      <x:c r="X195">
        <x:v>70</x:v>
      </x:c>
      <x:c r="Y195">
        <x:v>68</x:v>
      </x:c>
      <x:c r="Z195">
        <x:v>51</x:v>
      </x:c>
      <x:c r="AA195">
        <x:v>59</x:v>
      </x:c>
    </x:row>
    <x:row r="196">
      <x:c r="A196" t="s">
        <x:v>660</x:v>
      </x:c>
      <x:c r="B196" t="s">
        <x:v>396</x:v>
      </x:c>
      <x:c r="C196" t="s">
        <x:v>331</x:v>
      </x:c>
      <x:c r="D196">
        <x:v>8481006</x:v>
      </x:c>
      <x:c r="E196" t="s">
        <x:v>224</x:v>
      </x:c>
      <x:c r="F196">
        <x:v>69</x:v>
      </x:c>
      <x:c r="G196">
        <x:v>38</x:v>
      </x:c>
      <x:c r="J196" t="s">
        <x:v>2152</x:v>
      </x:c>
      <x:c r="K196">
        <x:v>80</x:v>
      </x:c>
      <x:c r="L196">
        <x:v>91</x:v>
      </x:c>
      <x:c r="M196">
        <x:v>80</x:v>
      </x:c>
      <x:c r="N196">
        <x:v>39</x:v>
      </x:c>
      <x:c r="O196">
        <x:v>82</x:v>
      </x:c>
      <x:c r="P196">
        <x:v>84</x:v>
      </x:c>
      <x:c r="Q196">
        <x:v>87</x:v>
      </x:c>
      <x:c r="R196">
        <x:v>39</x:v>
      </x:c>
      <x:c r="S196">
        <x:v>30</x:v>
      </x:c>
      <x:c r="T196">
        <x:v>55</x:v>
      </x:c>
      <x:c r="U196">
        <x:v>47</x:v>
      </x:c>
      <x:c r="V196">
        <x:v>74</x:v>
      </x:c>
      <x:c r="W196">
        <x:v>52</x:v>
      </x:c>
      <x:c r="X196">
        <x:v>69</x:v>
      </x:c>
      <x:c r="Y196">
        <x:v>68</x:v>
      </x:c>
      <x:c r="Z196">
        <x:v>51</x:v>
      </x:c>
      <x:c r="AA196">
        <x:v>59</x:v>
      </x:c>
    </x:row>
    <x:row r="197">
      <x:c r="A197" t="s">
        <x:v>719</x:v>
      </x:c>
      <x:c r="B197" t="s">
        <x:v>427</x:v>
      </x:c>
      <x:c r="C197" t="s">
        <x:v>331</x:v>
      </x:c>
      <x:c r="D197">
        <x:v>8482142</x:v>
      </x:c>
      <x:c r="E197" t="s">
        <x:v>224</x:v>
      </x:c>
      <x:c r="F197">
        <x:v>78</x:v>
      </x:c>
      <x:c r="G197">
        <x:v>70</x:v>
      </x:c>
      <x:c r="J197" t="s">
        <x:v>2153</x:v>
      </x:c>
      <x:c r="K197">
        <x:v>66</x:v>
      </x:c>
      <x:c r="L197">
        <x:v>44</x:v>
      </x:c>
      <x:c r="M197">
        <x:v>90</x:v>
      </x:c>
      <x:c r="N197">
        <x:v>60</x:v>
      </x:c>
      <x:c r="O197">
        <x:v>76</x:v>
      </x:c>
      <x:c r="P197">
        <x:v>92</x:v>
      </x:c>
      <x:c r="Q197">
        <x:v>95</x:v>
      </x:c>
      <x:c r="R197">
        <x:v>44</x:v>
      </x:c>
      <x:c r="S197">
        <x:v>30</x:v>
      </x:c>
      <x:c r="T197">
        <x:v>54</x:v>
      </x:c>
      <x:c r="U197">
        <x:v>49</x:v>
      </x:c>
      <x:c r="V197">
        <x:v>74</x:v>
      </x:c>
      <x:c r="W197">
        <x:v>52</x:v>
      </x:c>
      <x:c r="X197">
        <x:v>71</x:v>
      </x:c>
      <x:c r="Y197">
        <x:v>71</x:v>
      </x:c>
      <x:c r="Z197">
        <x:v>51</x:v>
      </x:c>
      <x:c r="AA197">
        <x:v>59</x:v>
      </x:c>
    </x:row>
    <x:row r="198">
      <x:c r="A198" t="s">
        <x:v>762</x:v>
      </x:c>
      <x:c r="B198" t="s">
        <x:v>372</x:v>
      </x:c>
      <x:c r="C198" t="s">
        <x:v>331</x:v>
      </x:c>
      <x:c r="D198">
        <x:v>8480246</x:v>
      </x:c>
      <x:c r="E198" t="s">
        <x:v>224</x:v>
      </x:c>
      <x:c r="F198">
        <x:v>79</x:v>
      </x:c>
      <x:c r="G198">
        <x:v>74</x:v>
      </x:c>
      <x:c r="J198" t="s">
        <x:v>2154</x:v>
      </x:c>
      <x:c r="K198">
        <x:v>68</x:v>
      </x:c>
      <x:c r="L198">
        <x:v>40</x:v>
      </x:c>
      <x:c r="M198">
        <x:v>87</x:v>
      </x:c>
      <x:c r="N198">
        <x:v>37</x:v>
      </x:c>
      <x:c r="O198">
        <x:v>83</x:v>
      </x:c>
      <x:c r="P198">
        <x:v>90</x:v>
      </x:c>
      <x:c r="Q198">
        <x:v>98</x:v>
      </x:c>
      <x:c r="R198">
        <x:v>38</x:v>
      </x:c>
      <x:c r="S198">
        <x:v>30</x:v>
      </x:c>
      <x:c r="T198">
        <x:v>51</x:v>
      </x:c>
      <x:c r="U198">
        <x:v>47</x:v>
      </x:c>
      <x:c r="V198">
        <x:v>74</x:v>
      </x:c>
      <x:c r="W198">
        <x:v>52</x:v>
      </x:c>
      <x:c r="X198">
        <x:v>73</x:v>
      </x:c>
      <x:c r="Y198">
        <x:v>70</x:v>
      </x:c>
      <x:c r="Z198">
        <x:v>51</x:v>
      </x:c>
      <x:c r="AA198">
        <x:v>58</x:v>
      </x:c>
    </x:row>
    <x:row r="199">
      <x:c r="A199" t="s">
        <x:v>763</x:v>
      </x:c>
      <x:c r="B199" t="s">
        <x:v>393</x:v>
      </x:c>
      <x:c r="C199" t="s">
        <x:v>331</x:v>
      </x:c>
      <x:c r="D199">
        <x:v>8481563</x:v>
      </x:c>
      <x:c r="E199" t="s">
        <x:v>224</x:v>
      </x:c>
      <x:c r="F199">
        <x:v>60</x:v>
      </x:c>
      <x:c r="G199">
        <x:v>56</x:v>
      </x:c>
      <x:c r="J199" t="s">
        <x:v>2155</x:v>
      </x:c>
      <x:c r="K199">
        <x:v>76</x:v>
      </x:c>
      <x:c r="L199">
        <x:v>42</x:v>
      </x:c>
      <x:c r="M199">
        <x:v>82</x:v>
      </x:c>
      <x:c r="N199">
        <x:v>39</x:v>
      </x:c>
      <x:c r="O199">
        <x:v>83</x:v>
      </x:c>
      <x:c r="P199">
        <x:v>87</x:v>
      </x:c>
      <x:c r="Q199">
        <x:v>84</x:v>
      </x:c>
      <x:c r="R199">
        <x:v>40</x:v>
      </x:c>
      <x:c r="S199">
        <x:v>30</x:v>
      </x:c>
      <x:c r="T199">
        <x:v>53</x:v>
      </x:c>
      <x:c r="U199">
        <x:v>46</x:v>
      </x:c>
      <x:c r="V199">
        <x:v>74</x:v>
      </x:c>
      <x:c r="W199">
        <x:v>52</x:v>
      </x:c>
      <x:c r="X199">
        <x:v>69</x:v>
      </x:c>
      <x:c r="Y199">
        <x:v>67</x:v>
      </x:c>
      <x:c r="Z199">
        <x:v>51</x:v>
      </x:c>
      <x:c r="AA199">
        <x:v>58</x:v>
      </x:c>
    </x:row>
    <x:row r="200">
      <x:c r="A200" t="s">
        <x:v>770</x:v>
      </x:c>
      <x:c r="B200" t="s">
        <x:v>356</x:v>
      </x:c>
      <x:c r="C200" t="s">
        <x:v>331</x:v>
      </x:c>
      <x:c r="D200">
        <x:v>8482964</x:v>
      </x:c>
      <x:c r="E200" t="s">
        <x:v>224</x:v>
      </x:c>
      <x:c r="F200">
        <x:v>65</x:v>
      </x:c>
      <x:c r="G200">
        <x:v>70</x:v>
      </x:c>
      <x:c r="J200" t="s">
        <x:v>2156</x:v>
      </x:c>
      <x:c r="K200">
        <x:v>93</x:v>
      </x:c>
      <x:c r="L200">
        <x:v>91</x:v>
      </x:c>
      <x:c r="M200">
        <x:v>72</x:v>
      </x:c>
      <x:c r="N200">
        <x:v>38</x:v>
      </x:c>
      <x:c r="O200">
        <x:v>93</x:v>
      </x:c>
      <x:c r="P200">
        <x:v>83</x:v>
      </x:c>
      <x:c r="Q200">
        <x:v>87</x:v>
      </x:c>
      <x:c r="R200">
        <x:v>37</x:v>
      </x:c>
      <x:c r="S200">
        <x:v>30</x:v>
      </x:c>
      <x:c r="T200">
        <x:v>49</x:v>
      </x:c>
      <x:c r="U200">
        <x:v>46</x:v>
      </x:c>
      <x:c r="V200">
        <x:v>74</x:v>
      </x:c>
      <x:c r="W200">
        <x:v>52</x:v>
      </x:c>
      <x:c r="X200">
        <x:v>71</x:v>
      </x:c>
      <x:c r="Y200">
        <x:v>68</x:v>
      </x:c>
      <x:c r="Z200">
        <x:v>54</x:v>
      </x:c>
      <x:c r="AA200">
        <x:v>58</x:v>
      </x:c>
    </x:row>
    <x:row r="201">
      <x:c r="A201" t="s">
        <x:v>785</x:v>
      </x:c>
      <x:c r="B201" t="s">
        <x:v>402</x:v>
      </x:c>
      <x:c r="C201" t="s">
        <x:v>331</x:v>
      </x:c>
      <x:c r="D201">
        <x:v>8484873</x:v>
      </x:c>
      <x:c r="E201" t="s">
        <x:v>224</x:v>
      </x:c>
      <x:c r="F201">
        <x:v>14</x:v>
      </x:c>
      <x:c r="J201" t="s">
        <x:v>2157</x:v>
      </x:c>
      <x:c r="K201">
        <x:v>75</x:v>
      </x:c>
      <x:c r="L201">
        <x:v>31</x:v>
      </x:c>
      <x:c r="M201">
        <x:v>79</x:v>
      </x:c>
      <x:c r="N201">
        <x:v>59</x:v>
      </x:c>
      <x:c r="O201">
        <x:v>74</x:v>
      </x:c>
      <x:c r="P201">
        <x:v>85</x:v>
      </x:c>
      <x:c r="Q201">
        <x:v>35</x:v>
      </x:c>
      <x:c r="R201">
        <x:v>42</x:v>
      </x:c>
      <x:c r="S201">
        <x:v>30</x:v>
      </x:c>
      <x:c r="T201">
        <x:v>53</x:v>
      </x:c>
      <x:c r="U201">
        <x:v>49</x:v>
      </x:c>
      <x:c r="V201">
        <x:v>74</x:v>
      </x:c>
      <x:c r="W201">
        <x:v>51</x:v>
      </x:c>
      <x:c r="X201">
        <x:v>55</x:v>
      </x:c>
      <x:c r="Y201">
        <x:v>65</x:v>
      </x:c>
      <x:c r="Z201">
        <x:v>54</x:v>
      </x:c>
      <x:c r="AA201">
        <x:v>58</x:v>
      </x:c>
    </x:row>
    <x:row r="202">
      <x:c r="A202" t="s">
        <x:v>808</x:v>
      </x:c>
      <x:c r="B202" t="s">
        <x:v>386</x:v>
      </x:c>
      <x:c r="C202" t="s">
        <x:v>339</x:v>
      </x:c>
      <x:c r="D202">
        <x:v>8476873</x:v>
      </x:c>
      <x:c r="E202" t="s">
        <x:v>224</x:v>
      </x:c>
      <x:c r="F202">
        <x:v>68</x:v>
      </x:c>
      <x:c r="G202">
        <x:v>60</x:v>
      </x:c>
      <x:c r="J202" t="s">
        <x:v>2158</x:v>
      </x:c>
      <x:c r="K202">
        <x:v>65</x:v>
      </x:c>
      <x:c r="L202">
        <x:v>47</x:v>
      </x:c>
      <x:c r="M202">
        <x:v>82</x:v>
      </x:c>
      <x:c r="N202">
        <x:v>51</x:v>
      </x:c>
      <x:c r="O202">
        <x:v>80</x:v>
      </x:c>
      <x:c r="P202">
        <x:v>82</x:v>
      </x:c>
      <x:c r="Q202">
        <x:v>86</x:v>
      </x:c>
      <x:c r="R202">
        <x:v>51</x:v>
      </x:c>
      <x:c r="S202">
        <x:v>87</x:v>
      </x:c>
      <x:c r="T202">
        <x:v>51</x:v>
      </x:c>
      <x:c r="U202">
        <x:v>57</x:v>
      </x:c>
      <x:c r="V202">
        <x:v>74</x:v>
      </x:c>
      <x:c r="W202">
        <x:v>55</x:v>
      </x:c>
      <x:c r="X202">
        <x:v>78</x:v>
      </x:c>
      <x:c r="Y202">
        <x:v>75</x:v>
      </x:c>
      <x:c r="Z202">
        <x:v>51</x:v>
      </x:c>
      <x:c r="AA202">
        <x:v>57</x:v>
      </x:c>
    </x:row>
    <x:row r="203">
      <x:c r="A203" t="s">
        <x:v>817</x:v>
      </x:c>
      <x:c r="B203" t="s">
        <x:v>350</x:v>
      </x:c>
      <x:c r="C203" t="s">
        <x:v>339</x:v>
      </x:c>
      <x:c r="D203">
        <x:v>8474641</x:v>
      </x:c>
      <x:c r="E203" t="s">
        <x:v>224</x:v>
      </x:c>
      <x:c r="F203">
        <x:v>65</x:v>
      </x:c>
      <x:c r="G203">
        <x:v>81</x:v>
      </x:c>
      <x:c r="J203" t="s">
        <x:v>2159</x:v>
      </x:c>
      <x:c r="K203">
        <x:v>62</x:v>
      </x:c>
      <x:c r="L203">
        <x:v>36</x:v>
      </x:c>
      <x:c r="M203">
        <x:v>82</x:v>
      </x:c>
      <x:c r="N203">
        <x:v>51</x:v>
      </x:c>
      <x:c r="O203">
        <x:v>79</x:v>
      </x:c>
      <x:c r="P203">
        <x:v>84</x:v>
      </x:c>
      <x:c r="Q203">
        <x:v>87</x:v>
      </x:c>
      <x:c r="R203">
        <x:v>52</x:v>
      </x:c>
      <x:c r="S203">
        <x:v>88</x:v>
      </x:c>
      <x:c r="T203">
        <x:v>52</x:v>
      </x:c>
      <x:c r="U203">
        <x:v>51</x:v>
      </x:c>
      <x:c r="V203">
        <x:v>74</x:v>
      </x:c>
      <x:c r="W203">
        <x:v>58</x:v>
      </x:c>
      <x:c r="X203">
        <x:v>87</x:v>
      </x:c>
      <x:c r="Y203">
        <x:v>80</x:v>
      </x:c>
      <x:c r="Z203">
        <x:v>51</x:v>
      </x:c>
      <x:c r="AA203">
        <x:v>57</x:v>
      </x:c>
    </x:row>
    <x:row r="204">
      <x:c r="A204" t="s">
        <x:v>836</x:v>
      </x:c>
      <x:c r="B204" t="s">
        <x:v>343</x:v>
      </x:c>
      <x:c r="C204" t="s">
        <x:v>319</x:v>
      </x:c>
      <x:c r="D204">
        <x:v>8476889</x:v>
      </x:c>
      <x:c r="E204" t="s">
        <x:v>224</x:v>
      </x:c>
      <x:c r="F204">
        <x:v>58</x:v>
      </x:c>
      <x:c r="G204">
        <x:v>70</x:v>
      </x:c>
      <x:c r="J204" t="s">
        <x:v>2160</x:v>
      </x:c>
      <x:c r="K204">
        <x:v>70</x:v>
      </x:c>
      <x:c r="L204">
        <x:v>43</x:v>
      </x:c>
      <x:c r="M204">
        <x:v>83</x:v>
      </x:c>
      <x:c r="N204">
        <x:v>49</x:v>
      </x:c>
      <x:c r="O204">
        <x:v>86</x:v>
      </x:c>
      <x:c r="P204">
        <x:v>83</x:v>
      </x:c>
      <x:c r="Q204">
        <x:v>81</x:v>
      </x:c>
      <x:c r="R204">
        <x:v>51</x:v>
      </x:c>
      <x:c r="S204">
        <x:v>87</x:v>
      </x:c>
      <x:c r="T204">
        <x:v>57</x:v>
      </x:c>
      <x:c r="U204">
        <x:v>49</x:v>
      </x:c>
      <x:c r="V204">
        <x:v>74</x:v>
      </x:c>
      <x:c r="W204">
        <x:v>59</x:v>
      </x:c>
      <x:c r="X204">
        <x:v>85</x:v>
      </x:c>
      <x:c r="Y204">
        <x:v>77</x:v>
      </x:c>
      <x:c r="Z204">
        <x:v>51</x:v>
      </x:c>
      <x:c r="AA204">
        <x:v>57</x:v>
      </x:c>
    </x:row>
    <x:row r="205">
      <x:c r="A205" t="s">
        <x:v>861</x:v>
      </x:c>
      <x:c r="B205" t="s">
        <x:v>400</x:v>
      </x:c>
      <x:c r="C205" t="s">
        <x:v>333</x:v>
      </x:c>
      <x:c r="D205">
        <x:v>8477903</x:v>
      </x:c>
      <x:c r="E205" t="s">
        <x:v>224</x:v>
      </x:c>
      <x:c r="F205">
        <x:v>66</x:v>
      </x:c>
      <x:c r="G205">
        <x:v>67</x:v>
      </x:c>
      <x:c r="J205" t="s">
        <x:v>2161</x:v>
      </x:c>
      <x:c r="K205">
        <x:v>90</x:v>
      </x:c>
      <x:c r="L205">
        <x:v>86</x:v>
      </x:c>
      <x:c r="M205">
        <x:v>85</x:v>
      </x:c>
      <x:c r="N205">
        <x:v>56</x:v>
      </x:c>
      <x:c r="O205">
        <x:v>85</x:v>
      </x:c>
      <x:c r="P205">
        <x:v>82</x:v>
      </x:c>
      <x:c r="Q205">
        <x:v>86</x:v>
      </x:c>
      <x:c r="R205">
        <x:v>48</x:v>
      </x:c>
      <x:c r="S205">
        <x:v>70</x:v>
      </x:c>
      <x:c r="T205">
        <x:v>49</x:v>
      </x:c>
      <x:c r="U205">
        <x:v>49</x:v>
      </x:c>
      <x:c r="V205">
        <x:v>74</x:v>
      </x:c>
      <x:c r="W205">
        <x:v>52</x:v>
      </x:c>
      <x:c r="X205">
        <x:v>80</x:v>
      </x:c>
      <x:c r="Y205">
        <x:v>74</x:v>
      </x:c>
      <x:c r="Z205">
        <x:v>51</x:v>
      </x:c>
      <x:c r="AA205">
        <x:v>57</x:v>
      </x:c>
    </x:row>
    <x:row r="206">
      <x:c r="A206" t="s">
        <x:v>907</x:v>
      </x:c>
      <x:c r="B206" t="s">
        <x:v>584</x:v>
      </x:c>
      <x:c r="C206" t="s">
        <x:v>331</x:v>
      </x:c>
      <x:c r="D206">
        <x:v>8477018</x:v>
      </x:c>
      <x:c r="E206" t="s">
        <x:v>224</x:v>
      </x:c>
      <x:c r="F206">
        <x:v>55</x:v>
      </x:c>
      <x:c r="G206">
        <x:v>11</x:v>
      </x:c>
      <x:c r="J206" t="s">
        <x:v>2162</x:v>
      </x:c>
      <x:c r="K206">
        <x:v>71</x:v>
      </x:c>
      <x:c r="L206">
        <x:v>57</x:v>
      </x:c>
      <x:c r="M206">
        <x:v>90</x:v>
      </x:c>
      <x:c r="N206">
        <x:v>36</x:v>
      </x:c>
      <x:c r="O206">
        <x:v>84</x:v>
      </x:c>
      <x:c r="P206">
        <x:v>84</x:v>
      </x:c>
      <x:c r="Q206">
        <x:v>73</x:v>
      </x:c>
      <x:c r="R206">
        <x:v>38</x:v>
      </x:c>
      <x:c r="S206">
        <x:v>30</x:v>
      </x:c>
      <x:c r="T206">
        <x:v>53</x:v>
      </x:c>
      <x:c r="U206">
        <x:v>48</x:v>
      </x:c>
      <x:c r="V206">
        <x:v>74</x:v>
      </x:c>
      <x:c r="W206">
        <x:v>52</x:v>
      </x:c>
      <x:c r="X206">
        <x:v>77</x:v>
      </x:c>
      <x:c r="Y206">
        <x:v>73</x:v>
      </x:c>
      <x:c r="Z206">
        <x:v>51</x:v>
      </x:c>
      <x:c r="AA206">
        <x:v>56</x:v>
      </x:c>
    </x:row>
    <x:row r="207">
      <x:c r="A207" t="s">
        <x:v>934</x:v>
      </x:c>
      <x:c r="B207" t="s">
        <x:v>372</x:v>
      </x:c>
      <x:c r="C207" t="s">
        <x:v>319</x:v>
      </x:c>
      <x:c r="D207">
        <x:v>8480835</x:v>
      </x:c>
      <x:c r="E207" t="s">
        <x:v>224</x:v>
      </x:c>
      <x:c r="F207">
        <x:v>82</x:v>
      </x:c>
      <x:c r="G207">
        <x:v>72</x:v>
      </x:c>
      <x:c r="J207" t="s">
        <x:v>2163</x:v>
      </x:c>
      <x:c r="K207">
        <x:v>62</x:v>
      </x:c>
      <x:c r="L207">
        <x:v>46</x:v>
      </x:c>
      <x:c r="M207">
        <x:v>83</x:v>
      </x:c>
      <x:c r="N207">
        <x:v>51</x:v>
      </x:c>
      <x:c r="O207">
        <x:v>77</x:v>
      </x:c>
      <x:c r="P207">
        <x:v>84</x:v>
      </x:c>
      <x:c r="Q207">
        <x:v>97</x:v>
      </x:c>
      <x:c r="R207">
        <x:v>53</x:v>
      </x:c>
      <x:c r="S207">
        <x:v>90</x:v>
      </x:c>
      <x:c r="T207">
        <x:v>53</x:v>
      </x:c>
      <x:c r="U207">
        <x:v>52</x:v>
      </x:c>
      <x:c r="V207">
        <x:v>74</x:v>
      </x:c>
      <x:c r="W207">
        <x:v>52</x:v>
      </x:c>
      <x:c r="X207">
        <x:v>73</x:v>
      </x:c>
      <x:c r="Y207">
        <x:v>66</x:v>
      </x:c>
      <x:c r="Z207">
        <x:v>51</x:v>
      </x:c>
      <x:c r="AA207">
        <x:v>56</x:v>
      </x:c>
    </x:row>
    <x:row r="208">
      <x:c r="A208" t="s">
        <x:v>937</x:v>
      </x:c>
      <x:c r="B208" t="s">
        <x:v>379</x:v>
      </x:c>
      <x:c r="C208" t="s">
        <x:v>331</x:v>
      </x:c>
      <x:c r="D208">
        <x:v>8481059</x:v>
      </x:c>
      <x:c r="E208" t="s">
        <x:v>224</x:v>
      </x:c>
      <x:c r="G208">
        <x:v>35</x:v>
      </x:c>
      <x:c r="J208" t="s">
        <x:v>2164</x:v>
      </x:c>
      <x:c r="K208">
        <x:v>68</x:v>
      </x:c>
      <x:c r="L208">
        <x:v>37</x:v>
      </x:c>
      <x:c r="M208">
        <x:v>91</x:v>
      </x:c>
      <x:c r="N208">
        <x:v>44</x:v>
      </x:c>
      <x:c r="O208">
        <x:v>74</x:v>
      </x:c>
      <x:c r="P208">
        <x:v>83</x:v>
      </x:c>
      <x:c r="Q208">
        <x:v>86</x:v>
      </x:c>
      <x:c r="R208">
        <x:v>38</x:v>
      </x:c>
      <x:c r="S208">
        <x:v>30</x:v>
      </x:c>
      <x:c r="T208">
        <x:v>52</x:v>
      </x:c>
      <x:c r="U208">
        <x:v>46</x:v>
      </x:c>
      <x:c r="V208">
        <x:v>74</x:v>
      </x:c>
      <x:c r="W208">
        <x:v>53</x:v>
      </x:c>
      <x:c r="X208">
        <x:v>69</x:v>
      </x:c>
      <x:c r="Y208">
        <x:v>70</x:v>
      </x:c>
      <x:c r="Z208">
        <x:v>54</x:v>
      </x:c>
      <x:c r="AA208">
        <x:v>56</x:v>
      </x:c>
    </x:row>
    <x:row r="209">
      <x:c r="A209" t="s">
        <x:v>963</x:v>
      </x:c>
      <x:c r="B209" t="s">
        <x:v>584</x:v>
      </x:c>
      <x:c r="C209" t="s">
        <x:v>331</x:v>
      </x:c>
      <x:c r="D209">
        <x:v>8474090</x:v>
      </x:c>
      <x:c r="E209" t="s">
        <x:v>224</x:v>
      </x:c>
      <x:c r="F209">
        <x:v>15</x:v>
      </x:c>
      <x:c r="G209">
        <x:v>32</x:v>
      </x:c>
      <x:c r="J209" t="s">
        <x:v>2165</x:v>
      </x:c>
      <x:c r="K209">
        <x:v>76</x:v>
      </x:c>
      <x:c r="L209">
        <x:v>84</x:v>
      </x:c>
      <x:c r="M209">
        <x:v>77</x:v>
      </x:c>
      <x:c r="N209">
        <x:v>38</x:v>
      </x:c>
      <x:c r="O209">
        <x:v>81</x:v>
      </x:c>
      <x:c r="P209">
        <x:v>80</x:v>
      </x:c>
      <x:c r="Q209">
        <x:v>56</x:v>
      </x:c>
      <x:c r="R209">
        <x:v>37</x:v>
      </x:c>
      <x:c r="S209">
        <x:v>30</x:v>
      </x:c>
      <x:c r="T209">
        <x:v>52</x:v>
      </x:c>
      <x:c r="U209">
        <x:v>45</x:v>
      </x:c>
      <x:c r="V209">
        <x:v>74</x:v>
      </x:c>
      <x:c r="W209">
        <x:v>52</x:v>
      </x:c>
      <x:c r="X209">
        <x:v>84</x:v>
      </x:c>
      <x:c r="Y209">
        <x:v>78</x:v>
      </x:c>
      <x:c r="Z209">
        <x:v>51</x:v>
      </x:c>
      <x:c r="AA209">
        <x:v>56</x:v>
      </x:c>
    </x:row>
    <x:row r="210">
      <x:c r="A210" t="s">
        <x:v>1014</x:v>
      </x:c>
      <x:c r="B210" t="s">
        <x:v>337</x:v>
      </x:c>
      <x:c r="C210" t="s">
        <x:v>323</x:v>
      </x:c>
      <x:c r="D210">
        <x:v>8480806</x:v>
      </x:c>
      <x:c r="E210" t="s">
        <x:v>224</x:v>
      </x:c>
      <x:c r="F210">
        <x:v>68</x:v>
      </x:c>
      <x:c r="G210">
        <x:v>79</x:v>
      </x:c>
      <x:c r="J210" t="s">
        <x:v>2166</x:v>
      </x:c>
      <x:c r="K210">
        <x:v>63</x:v>
      </x:c>
      <x:c r="L210">
        <x:v>35</x:v>
      </x:c>
      <x:c r="M210">
        <x:v>94</x:v>
      </x:c>
      <x:c r="N210">
        <x:v>61</x:v>
      </x:c>
      <x:c r="O210">
        <x:v>78</x:v>
      </x:c>
      <x:c r="P210">
        <x:v>83</x:v>
      </x:c>
      <x:c r="Q210">
        <x:v>88</x:v>
      </x:c>
      <x:c r="R210">
        <x:v>49</x:v>
      </x:c>
      <x:c r="S210">
        <x:v>83</x:v>
      </x:c>
      <x:c r="T210">
        <x:v>51</x:v>
      </x:c>
      <x:c r="U210">
        <x:v>50</x:v>
      </x:c>
      <x:c r="V210">
        <x:v>74</x:v>
      </x:c>
      <x:c r="W210">
        <x:v>52</x:v>
      </x:c>
      <x:c r="X210">
        <x:v>72</x:v>
      </x:c>
      <x:c r="Y210">
        <x:v>69</x:v>
      </x:c>
      <x:c r="Z210">
        <x:v>51</x:v>
      </x:c>
      <x:c r="AA210">
        <x:v>55</x:v>
      </x:c>
    </x:row>
    <x:row r="211">
      <x:c r="A211" t="s">
        <x:v>1114</x:v>
      </x:c>
      <x:c r="B211" t="s">
        <x:v>320</x:v>
      </x:c>
      <x:c r="C211" t="s">
        <x:v>331</x:v>
      </x:c>
      <x:c r="D211">
        <x:v>8480831</x:v>
      </x:c>
      <x:c r="E211" t="s">
        <x:v>224</x:v>
      </x:c>
      <x:c r="F211">
        <x:v>29</x:v>
      </x:c>
      <x:c r="J211" t="s">
        <x:v>2167</x:v>
      </x:c>
      <x:c r="K211">
        <x:v>70</x:v>
      </x:c>
      <x:c r="L211">
        <x:v>78</x:v>
      </x:c>
      <x:c r="M211">
        <x:v>73</x:v>
      </x:c>
      <x:c r="N211">
        <x:v>37</x:v>
      </x:c>
      <x:c r="O211">
        <x:v>85</x:v>
      </x:c>
      <x:c r="P211">
        <x:v>82</x:v>
      </x:c>
      <x:c r="Q211">
        <x:v>75</x:v>
      </x:c>
      <x:c r="R211">
        <x:v>38</x:v>
      </x:c>
      <x:c r="S211">
        <x:v>30</x:v>
      </x:c>
      <x:c r="T211">
        <x:v>50</x:v>
      </x:c>
      <x:c r="U211">
        <x:v>39</x:v>
      </x:c>
      <x:c r="V211">
        <x:v>74</x:v>
      </x:c>
      <x:c r="W211">
        <x:v>51</x:v>
      </x:c>
      <x:c r="X211">
        <x:v>65</x:v>
      </x:c>
      <x:c r="Y211">
        <x:v>67</x:v>
      </x:c>
      <x:c r="Z211">
        <x:v>51</x:v>
      </x:c>
      <x:c r="AA211">
        <x:v>54</x:v>
      </x:c>
    </x:row>
    <x:row r="212">
      <x:c r="A212" t="s">
        <x:v>622</x:v>
      </x:c>
      <x:c r="B212" t="s">
        <x:v>361</x:v>
      </x:c>
      <x:c r="C212" t="s">
        <x:v>331</x:v>
      </x:c>
      <x:c r="D212">
        <x:v>8481806</x:v>
      </x:c>
      <x:c r="E212" t="s">
        <x:v>224</x:v>
      </x:c>
      <x:c r="F212">
        <x:v>77</x:v>
      </x:c>
      <x:c r="G212">
        <x:v>32</x:v>
      </x:c>
      <x:c r="J212" t="s">
        <x:v>2168</x:v>
      </x:c>
      <x:c r="K212">
        <x:v>79</x:v>
      </x:c>
      <x:c r="L212">
        <x:v>68</x:v>
      </x:c>
      <x:c r="M212">
        <x:v>77</x:v>
      </x:c>
      <x:c r="N212">
        <x:v>51</x:v>
      </x:c>
      <x:c r="O212">
        <x:v>90</x:v>
      </x:c>
      <x:c r="P212">
        <x:v>87</x:v>
      </x:c>
      <x:c r="Q212">
        <x:v>94</x:v>
      </x:c>
      <x:c r="R212">
        <x:v>41</x:v>
      </x:c>
      <x:c r="S212">
        <x:v>30</x:v>
      </x:c>
      <x:c r="T212">
        <x:v>53</x:v>
      </x:c>
      <x:c r="U212">
        <x:v>49</x:v>
      </x:c>
      <x:c r="V212">
        <x:v>73</x:v>
      </x:c>
      <x:c r="W212">
        <x:v>67</x:v>
      </x:c>
      <x:c r="X212">
        <x:v>68</x:v>
      </x:c>
      <x:c r="Y212">
        <x:v>68</x:v>
      </x:c>
      <x:c r="Z212">
        <x:v>51</x:v>
      </x:c>
      <x:c r="AA212">
        <x:v>60</x:v>
      </x:c>
    </x:row>
    <x:row r="213">
      <x:c r="A213" t="s">
        <x:v>700</x:v>
      </x:c>
      <x:c r="B213" t="s">
        <x:v>372</x:v>
      </x:c>
      <x:c r="C213" t="s">
        <x:v>331</x:v>
      </x:c>
      <x:c r="D213">
        <x:v>8479980</x:v>
      </x:c>
      <x:c r="E213" t="s">
        <x:v>224</x:v>
      </x:c>
      <x:c r="F213">
        <x:v>62</x:v>
      </x:c>
      <x:c r="G213">
        <x:v>68</x:v>
      </x:c>
      <x:c r="J213" t="s">
        <x:v>2169</x:v>
      </x:c>
      <x:c r="K213">
        <x:v>74</x:v>
      </x:c>
      <x:c r="L213">
        <x:v>82</x:v>
      </x:c>
      <x:c r="M213">
        <x:v>80</x:v>
      </x:c>
      <x:c r="N213">
        <x:v>39</x:v>
      </x:c>
      <x:c r="O213">
        <x:v>96</x:v>
      </x:c>
      <x:c r="P213">
        <x:v>90</x:v>
      </x:c>
      <x:c r="Q213">
        <x:v>85</x:v>
      </x:c>
      <x:c r="R213">
        <x:v>39</x:v>
      </x:c>
      <x:c r="S213">
        <x:v>30</x:v>
      </x:c>
      <x:c r="T213">
        <x:v>51</x:v>
      </x:c>
      <x:c r="U213">
        <x:v>47</x:v>
      </x:c>
      <x:c r="V213">
        <x:v>73</x:v>
      </x:c>
      <x:c r="W213">
        <x:v>52</x:v>
      </x:c>
      <x:c r="X213">
        <x:v>77</x:v>
      </x:c>
      <x:c r="Y213">
        <x:v>70</x:v>
      </x:c>
      <x:c r="Z213">
        <x:v>51</x:v>
      </x:c>
      <x:c r="AA213">
        <x:v>59</x:v>
      </x:c>
    </x:row>
    <x:row r="214">
      <x:c r="A214" t="s">
        <x:v>714</x:v>
      </x:c>
      <x:c r="B214" t="s">
        <x:v>320</x:v>
      </x:c>
      <x:c r="C214" t="s">
        <x:v>331</x:v>
      </x:c>
      <x:c r="D214">
        <x:v>8479442</x:v>
      </x:c>
      <x:c r="E214" t="s">
        <x:v>224</x:v>
      </x:c>
      <x:c r="F214">
        <x:v>64</x:v>
      </x:c>
      <x:c r="G214">
        <x:v>66</x:v>
      </x:c>
      <x:c r="J214" t="s">
        <x:v>2170</x:v>
      </x:c>
      <x:c r="K214">
        <x:v>68</x:v>
      </x:c>
      <x:c r="L214">
        <x:v>35</x:v>
      </x:c>
      <x:c r="M214">
        <x:v>85</x:v>
      </x:c>
      <x:c r="N214">
        <x:v>42</x:v>
      </x:c>
      <x:c r="O214">
        <x:v>76</x:v>
      </x:c>
      <x:c r="P214">
        <x:v>90</x:v>
      </x:c>
      <x:c r="Q214">
        <x:v>86</x:v>
      </x:c>
      <x:c r="R214">
        <x:v>38</x:v>
      </x:c>
      <x:c r="S214">
        <x:v>30</x:v>
      </x:c>
      <x:c r="T214">
        <x:v>51</x:v>
      </x:c>
      <x:c r="U214">
        <x:v>46</x:v>
      </x:c>
      <x:c r="V214">
        <x:v>73</x:v>
      </x:c>
      <x:c r="W214">
        <x:v>52</x:v>
      </x:c>
      <x:c r="X214">
        <x:v>80</x:v>
      </x:c>
      <x:c r="Y214">
        <x:v>72</x:v>
      </x:c>
      <x:c r="Z214">
        <x:v>51</x:v>
      </x:c>
      <x:c r="AA214">
        <x:v>59</x:v>
      </x:c>
    </x:row>
    <x:row r="215">
      <x:c r="A215" t="s">
        <x:v>775</x:v>
      </x:c>
      <x:c r="B215" t="s">
        <x:v>427</x:v>
      </x:c>
      <x:c r="C215" t="s">
        <x:v>329</x:v>
      </x:c>
      <x:c r="D215">
        <x:v>8478569</x:v>
      </x:c>
      <x:c r="E215" t="s">
        <x:v>224</x:v>
      </x:c>
      <x:c r="F215">
        <x:v>67</x:v>
      </x:c>
      <x:c r="G215">
        <x:v>79</x:v>
      </x:c>
      <x:c r="J215" t="s">
        <x:v>2171</x:v>
      </x:c>
      <x:c r="K215">
        <x:v>68</x:v>
      </x:c>
      <x:c r="L215">
        <x:v>54</x:v>
      </x:c>
      <x:c r="M215">
        <x:v>91</x:v>
      </x:c>
      <x:c r="N215">
        <x:v>46</x:v>
      </x:c>
      <x:c r="O215">
        <x:v>82</x:v>
      </x:c>
      <x:c r="P215">
        <x:v>84</x:v>
      </x:c>
      <x:c r="Q215">
        <x:v>87</x:v>
      </x:c>
      <x:c r="R215">
        <x:v>52</x:v>
      </x:c>
      <x:c r="S215">
        <x:v>86</x:v>
      </x:c>
      <x:c r="T215">
        <x:v>52</x:v>
      </x:c>
      <x:c r="U215">
        <x:v>56</x:v>
      </x:c>
      <x:c r="V215">
        <x:v>73</x:v>
      </x:c>
      <x:c r="W215">
        <x:v>52</x:v>
      </x:c>
      <x:c r="X215">
        <x:v>80</x:v>
      </x:c>
      <x:c r="Y215">
        <x:v>76</x:v>
      </x:c>
      <x:c r="Z215">
        <x:v>51</x:v>
      </x:c>
      <x:c r="AA215">
        <x:v>58</x:v>
      </x:c>
    </x:row>
    <x:row r="216">
      <x:c r="A216" t="s">
        <x:v>867</x:v>
      </x:c>
      <x:c r="B216" t="s">
        <x:v>439</x:v>
      </x:c>
      <x:c r="C216" t="s">
        <x:v>319</x:v>
      </x:c>
      <x:c r="D216">
        <x:v>8475231</x:v>
      </x:c>
      <x:c r="E216" t="s">
        <x:v>224</x:v>
      </x:c>
      <x:c r="F216">
        <x:v>81</x:v>
      </x:c>
      <x:c r="G216">
        <x:v>82</x:v>
      </x:c>
      <x:c r="J216" t="s">
        <x:v>2011</x:v>
      </x:c>
      <x:c r="K216">
        <x:v>75</x:v>
      </x:c>
      <x:c r="L216">
        <x:v>42</x:v>
      </x:c>
      <x:c r="M216">
        <x:v>82</x:v>
      </x:c>
      <x:c r="N216">
        <x:v>59</x:v>
      </x:c>
      <x:c r="O216">
        <x:v>78</x:v>
      </x:c>
      <x:c r="P216">
        <x:v>83</x:v>
      </x:c>
      <x:c r="Q216">
        <x:v>98</x:v>
      </x:c>
      <x:c r="R216">
        <x:v>49</x:v>
      </x:c>
      <x:c r="S216">
        <x:v>87</x:v>
      </x:c>
      <x:c r="T216">
        <x:v>51</x:v>
      </x:c>
      <x:c r="U216">
        <x:v>54</x:v>
      </x:c>
      <x:c r="V216">
        <x:v>73</x:v>
      </x:c>
      <x:c r="W216">
        <x:v>57</x:v>
      </x:c>
      <x:c r="X216">
        <x:v>87</x:v>
      </x:c>
      <x:c r="Y216">
        <x:v>78</x:v>
      </x:c>
      <x:c r="Z216">
        <x:v>51</x:v>
      </x:c>
      <x:c r="AA216">
        <x:v>57</x:v>
      </x:c>
    </x:row>
    <x:row r="217">
      <x:c r="A217" t="s">
        <x:v>880</x:v>
      </x:c>
      <x:c r="B217" t="s">
        <x:v>354</x:v>
      </x:c>
      <x:c r="C217" t="s">
        <x:v>323</x:v>
      </x:c>
      <x:c r="D217">
        <x:v>8475343</x:v>
      </x:c>
      <x:c r="E217" t="s">
        <x:v>224</x:v>
      </x:c>
      <x:c r="F217">
        <x:v>75</x:v>
      </x:c>
      <x:c r="G217">
        <x:v>82</x:v>
      </x:c>
      <x:c r="J217" t="s">
        <x:v>2096</x:v>
      </x:c>
      <x:c r="K217">
        <x:v>71</x:v>
      </x:c>
      <x:c r="L217">
        <x:v>54</x:v>
      </x:c>
      <x:c r="M217">
        <x:v>77</x:v>
      </x:c>
      <x:c r="N217">
        <x:v>52</x:v>
      </x:c>
      <x:c r="O217">
        <x:v>79</x:v>
      </x:c>
      <x:c r="P217">
        <x:v>85</x:v>
      </x:c>
      <x:c r="Q217">
        <x:v>93</x:v>
      </x:c>
      <x:c r="R217">
        <x:v>51</x:v>
      </x:c>
      <x:c r="S217">
        <x:v>88</x:v>
      </x:c>
      <x:c r="T217">
        <x:v>52</x:v>
      </x:c>
      <x:c r="U217">
        <x:v>51</x:v>
      </x:c>
      <x:c r="V217">
        <x:v>73</x:v>
      </x:c>
      <x:c r="W217">
        <x:v>66</x:v>
      </x:c>
      <x:c r="X217">
        <x:v>81</x:v>
      </x:c>
      <x:c r="Y217">
        <x:v>75</x:v>
      </x:c>
      <x:c r="Z217">
        <x:v>51</x:v>
      </x:c>
      <x:c r="AA217">
        <x:v>57</x:v>
      </x:c>
    </x:row>
    <x:row r="218">
      <x:c r="A218" t="s">
        <x:v>997</x:v>
      </x:c>
      <x:c r="B218" t="s">
        <x:v>393</x:v>
      </x:c>
      <x:c r="C218" t="s">
        <x:v>998</x:v>
      </x:c>
      <x:c r="D218">
        <x:v>8482178</x:v>
      </x:c>
      <x:c r="E218" t="s">
        <x:v>224</x:v>
      </x:c>
      <x:c r="F218">
        <x:v>67</x:v>
      </x:c>
      <x:c r="G218">
        <x:v>3</x:v>
      </x:c>
      <x:c r="J218" t="s">
        <x:v>2172</x:v>
      </x:c>
      <x:c r="K218">
        <x:v>62</x:v>
      </x:c>
      <x:c r="L218">
        <x:v>40</x:v>
      </x:c>
      <x:c r="M218">
        <x:v>81</x:v>
      </x:c>
      <x:c r="N218">
        <x:v>52</x:v>
      </x:c>
      <x:c r="O218">
        <x:v>82</x:v>
      </x:c>
      <x:c r="P218">
        <x:v>83</x:v>
      </x:c>
      <x:c r="Q218">
        <x:v>87</x:v>
      </x:c>
      <x:c r="R218">
        <x:v>38</x:v>
      </x:c>
      <x:c r="S218">
        <x:v>30</x:v>
      </x:c>
      <x:c r="T218">
        <x:v>51</x:v>
      </x:c>
      <x:c r="U218">
        <x:v>50</x:v>
      </x:c>
      <x:c r="V218">
        <x:v>73</x:v>
      </x:c>
      <x:c r="W218">
        <x:v>51</x:v>
      </x:c>
      <x:c r="X218">
        <x:v>68</x:v>
      </x:c>
      <x:c r="Y218">
        <x:v>65</x:v>
      </x:c>
      <x:c r="Z218">
        <x:v>51</x:v>
      </x:c>
      <x:c r="AA218">
        <x:v>55</x:v>
      </x:c>
    </x:row>
    <x:row r="219">
      <x:c r="A219" t="s">
        <x:v>353</x:v>
      </x:c>
      <x:c r="B219" t="s">
        <x:v>354</x:v>
      </x:c>
      <x:c r="C219" t="s">
        <x:v>326</x:v>
      </x:c>
      <x:c r="D219">
        <x:v>8475913</x:v>
      </x:c>
      <x:c r="E219" t="s">
        <x:v>224</x:v>
      </x:c>
      <x:c r="F219">
        <x:v>60</x:v>
      </x:c>
      <x:c r="G219">
        <x:v>66</x:v>
      </x:c>
      <x:c r="J219" t="s">
        <x:v>2173</x:v>
      </x:c>
      <x:c r="K219">
        <x:v>60</x:v>
      </x:c>
      <x:c r="L219">
        <x:v>57</x:v>
      </x:c>
      <x:c r="M219">
        <x:v>97</x:v>
      </x:c>
      <x:c r="N219">
        <x:v>49</x:v>
      </x:c>
      <x:c r="O219">
        <x:v>84</x:v>
      </x:c>
      <x:c r="P219">
        <x:v>91</x:v>
      </x:c>
      <x:c r="Q219">
        <x:v>81</x:v>
      </x:c>
      <x:c r="R219">
        <x:v>71</x:v>
      </x:c>
      <x:c r="S219">
        <x:v>66</x:v>
      </x:c>
      <x:c r="T219">
        <x:v>75</x:v>
      </x:c>
      <x:c r="U219">
        <x:v>64</x:v>
      </x:c>
      <x:c r="V219">
        <x:v>72</x:v>
      </x:c>
      <x:c r="W219">
        <x:v>62</x:v>
      </x:c>
      <x:c r="X219">
        <x:v>87</x:v>
      </x:c>
      <x:c r="Y219">
        <x:v>89</x:v>
      </x:c>
      <x:c r="Z219">
        <x:v>51</x:v>
      </x:c>
      <x:c r="AA219">
        <x:v>67</x:v>
      </x:c>
    </x:row>
    <x:row r="220">
      <x:c r="A220" t="s">
        <x:v>466</x:v>
      </x:c>
      <x:c r="B220" t="s">
        <x:v>324</x:v>
      </x:c>
      <x:c r="C220" t="s">
        <x:v>339</x:v>
      </x:c>
      <x:c r="D220">
        <x:v>8475754</x:v>
      </x:c>
      <x:c r="E220" t="s">
        <x:v>224</x:v>
      </x:c>
      <x:c r="F220">
        <x:v>81</x:v>
      </x:c>
      <x:c r="G220">
        <x:v>80</x:v>
      </x:c>
      <x:c r="J220" t="s">
        <x:v>2174</x:v>
      </x:c>
      <x:c r="K220">
        <x:v>60</x:v>
      </x:c>
      <x:c r="L220">
        <x:v>42</x:v>
      </x:c>
      <x:c r="M220">
        <x:v>87</x:v>
      </x:c>
      <x:c r="N220">
        <x:v>55</x:v>
      </x:c>
      <x:c r="O220">
        <x:v>82</x:v>
      </x:c>
      <x:c r="P220">
        <x:v>91</x:v>
      </x:c>
      <x:c r="Q220">
        <x:v>98</x:v>
      </x:c>
      <x:c r="R220">
        <x:v>63</x:v>
      </x:c>
      <x:c r="S220">
        <x:v>90</x:v>
      </x:c>
      <x:c r="T220">
        <x:v>58</x:v>
      </x:c>
      <x:c r="U220">
        <x:v>66</x:v>
      </x:c>
      <x:c r="V220">
        <x:v>72</x:v>
      </x:c>
      <x:c r="W220">
        <x:v>65</x:v>
      </x:c>
      <x:c r="X220">
        <x:v>89</x:v>
      </x:c>
      <x:c r="Y220">
        <x:v>84</x:v>
      </x:c>
      <x:c r="Z220">
        <x:v>51</x:v>
      </x:c>
      <x:c r="AA220">
        <x:v>63</x:v>
      </x:c>
    </x:row>
    <x:row r="221">
      <x:c r="A221" t="s">
        <x:v>600</x:v>
      </x:c>
      <x:c r="B221" t="s">
        <x:v>345</x:v>
      </x:c>
      <x:c r="C221" t="s">
        <x:v>333</x:v>
      </x:c>
      <x:c r="D221">
        <x:v>8476399</x:v>
      </x:c>
      <x:c r="E221" t="s">
        <x:v>224</x:v>
      </x:c>
      <x:c r="F221">
        <x:v>69</x:v>
      </x:c>
      <x:c r="G221">
        <x:v>82</x:v>
      </x:c>
      <x:c r="J221" t="s">
        <x:v>2175</x:v>
      </x:c>
      <x:c r="K221">
        <x:v>71</x:v>
      </x:c>
      <x:c r="L221">
        <x:v>54</x:v>
      </x:c>
      <x:c r="M221">
        <x:v>79</x:v>
      </x:c>
      <x:c r="N221">
        <x:v>55</x:v>
      </x:c>
      <x:c r="O221">
        <x:v>80</x:v>
      </x:c>
      <x:c r="P221">
        <x:v>88</x:v>
      </x:c>
      <x:c r="Q221">
        <x:v>88</x:v>
      </x:c>
      <x:c r="R221">
        <x:v>55</x:v>
      </x:c>
      <x:c r="S221">
        <x:v>70</x:v>
      </x:c>
      <x:c r="T221">
        <x:v>52</x:v>
      </x:c>
      <x:c r="U221">
        <x:v>58</x:v>
      </x:c>
      <x:c r="V221">
        <x:v>72</x:v>
      </x:c>
      <x:c r="W221">
        <x:v>56</x:v>
      </x:c>
      <x:c r="X221">
        <x:v>82</x:v>
      </x:c>
      <x:c r="Y221">
        <x:v>80</x:v>
      </x:c>
      <x:c r="Z221">
        <x:v>51</x:v>
      </x:c>
      <x:c r="AA221">
        <x:v>60</x:v>
      </x:c>
    </x:row>
    <x:row r="222">
      <x:c r="A222" t="s">
        <x:v>625</x:v>
      </x:c>
      <x:c r="B222" t="s">
        <x:v>370</x:v>
      </x:c>
      <x:c r="C222" t="s">
        <x:v>319</x:v>
      </x:c>
      <x:c r="D222">
        <x:v>8481596</x:v>
      </x:c>
      <x:c r="E222" t="s">
        <x:v>224</x:v>
      </x:c>
      <x:c r="F222">
        <x:v>72</x:v>
      </x:c>
      <x:c r="G222">
        <x:v>70</x:v>
      </x:c>
      <x:c r="J222" t="s">
        <x:v>2176</x:v>
      </x:c>
      <x:c r="K222">
        <x:v>66</x:v>
      </x:c>
      <x:c r="L222">
        <x:v>39</x:v>
      </x:c>
      <x:c r="M222">
        <x:v>84</x:v>
      </x:c>
      <x:c r="N222">
        <x:v>52</x:v>
      </x:c>
      <x:c r="O222">
        <x:v>83</x:v>
      </x:c>
      <x:c r="P222">
        <x:v>90</x:v>
      </x:c>
      <x:c r="Q222">
        <x:v>88</x:v>
      </x:c>
      <x:c r="R222">
        <x:v>56</x:v>
      </x:c>
      <x:c r="S222">
        <x:v>88</x:v>
      </x:c>
      <x:c r="T222">
        <x:v>54</x:v>
      </x:c>
      <x:c r="U222">
        <x:v>59</x:v>
      </x:c>
      <x:c r="V222">
        <x:v>72</x:v>
      </x:c>
      <x:c r="W222">
        <x:v>75</x:v>
      </x:c>
      <x:c r="X222">
        <x:v>70</x:v>
      </x:c>
      <x:c r="Y222">
        <x:v>75</x:v>
      </x:c>
      <x:c r="Z222">
        <x:v>51</x:v>
      </x:c>
      <x:c r="AA222">
        <x:v>60</x:v>
      </x:c>
    </x:row>
    <x:row r="223">
      <x:c r="A223" t="s">
        <x:v>667</x:v>
      </x:c>
      <x:c r="B223" t="s">
        <x:v>327</x:v>
      </x:c>
      <x:c r="C223" t="s">
        <x:v>329</x:v>
      </x:c>
      <x:c r="D223">
        <x:v>8476826</x:v>
      </x:c>
      <x:c r="E223" t="s">
        <x:v>224</x:v>
      </x:c>
      <x:c r="F223">
        <x:v>82</x:v>
      </x:c>
      <x:c r="G223">
        <x:v>57</x:v>
      </x:c>
      <x:c r="J223" t="s">
        <x:v>2177</x:v>
      </x:c>
      <x:c r="K223">
        <x:v>69</x:v>
      </x:c>
      <x:c r="L223">
        <x:v>66</x:v>
      </x:c>
      <x:c r="M223">
        <x:v>81</x:v>
      </x:c>
      <x:c r="N223">
        <x:v>49</x:v>
      </x:c>
      <x:c r="O223">
        <x:v>74</x:v>
      </x:c>
      <x:c r="P223">
        <x:v>86</x:v>
      </x:c>
      <x:c r="Q223">
        <x:v>96</x:v>
      </x:c>
      <x:c r="R223">
        <x:v>54</x:v>
      </x:c>
      <x:c r="S223">
        <x:v>85</x:v>
      </x:c>
      <x:c r="T223">
        <x:v>55</x:v>
      </x:c>
      <x:c r="U223">
        <x:v>52</x:v>
      </x:c>
      <x:c r="V223">
        <x:v>72</x:v>
      </x:c>
      <x:c r="W223">
        <x:v>58</x:v>
      </x:c>
      <x:c r="X223">
        <x:v>83</x:v>
      </x:c>
      <x:c r="Y223">
        <x:v>80</x:v>
      </x:c>
      <x:c r="Z223">
        <x:v>51</x:v>
      </x:c>
      <x:c r="AA223">
        <x:v>59</x:v>
      </x:c>
    </x:row>
    <x:row r="224">
      <x:c r="A224" t="s">
        <x:v>777</x:v>
      </x:c>
      <x:c r="B224" t="s">
        <x:v>400</x:v>
      </x:c>
      <x:c r="C224" t="s">
        <x:v>339</x:v>
      </x:c>
      <x:c r="D224">
        <x:v>8480185</x:v>
      </x:c>
      <x:c r="E224" t="s">
        <x:v>224</x:v>
      </x:c>
      <x:c r="F224">
        <x:v>73</x:v>
      </x:c>
      <x:c r="G224">
        <x:v>80</x:v>
      </x:c>
      <x:c r="J224" t="s">
        <x:v>2178</x:v>
      </x:c>
      <x:c r="K224">
        <x:v>70</x:v>
      </x:c>
      <x:c r="L224">
        <x:v>40</x:v>
      </x:c>
      <x:c r="M224">
        <x:v>90</x:v>
      </x:c>
      <x:c r="N224">
        <x:v>51</x:v>
      </x:c>
      <x:c r="O224">
        <x:v>78</x:v>
      </x:c>
      <x:c r="P224">
        <x:v>87</x:v>
      </x:c>
      <x:c r="Q224">
        <x:v>91</x:v>
      </x:c>
      <x:c r="R224">
        <x:v>54</x:v>
      </x:c>
      <x:c r="S224">
        <x:v>78</x:v>
      </x:c>
      <x:c r="T224">
        <x:v>55</x:v>
      </x:c>
      <x:c r="U224">
        <x:v>53</x:v>
      </x:c>
      <x:c r="V224">
        <x:v>72</x:v>
      </x:c>
      <x:c r="W224">
        <x:v>55</x:v>
      </x:c>
      <x:c r="X224">
        <x:v>79</x:v>
      </x:c>
      <x:c r="Y224">
        <x:v>71</x:v>
      </x:c>
      <x:c r="Z224">
        <x:v>51</x:v>
      </x:c>
      <x:c r="AA224">
        <x:v>58</x:v>
      </x:c>
    </x:row>
    <x:row r="225">
      <x:c r="A225" t="s">
        <x:v>788</x:v>
      </x:c>
      <x:c r="B225" t="s">
        <x:v>427</x:v>
      </x:c>
      <x:c r="C225" t="s">
        <x:v>326</x:v>
      </x:c>
      <x:c r="D225">
        <x:v>8482159</x:v>
      </x:c>
      <x:c r="E225" t="s">
        <x:v>224</x:v>
      </x:c>
      <x:c r="F225">
        <x:v>29</x:v>
      </x:c>
      <x:c r="G225">
        <x:v>81</x:v>
      </x:c>
      <x:c r="J225" t="s">
        <x:v>2179</x:v>
      </x:c>
      <x:c r="K225">
        <x:v>64</x:v>
      </x:c>
      <x:c r="L225">
        <x:v>41</x:v>
      </x:c>
      <x:c r="M225">
        <x:v>80</x:v>
      </x:c>
      <x:c r="N225">
        <x:v>46</x:v>
      </x:c>
      <x:c r="O225">
        <x:v>86</x:v>
      </x:c>
      <x:c r="P225">
        <x:v>87</x:v>
      </x:c>
      <x:c r="Q225">
        <x:v>65</x:v>
      </x:c>
      <x:c r="R225">
        <x:v>55</x:v>
      </x:c>
      <x:c r="S225">
        <x:v>68</x:v>
      </x:c>
      <x:c r="T225">
        <x:v>49</x:v>
      </x:c>
      <x:c r="U225">
        <x:v>58</x:v>
      </x:c>
      <x:c r="V225">
        <x:v>72</x:v>
      </x:c>
      <x:c r="W225">
        <x:v>74</x:v>
      </x:c>
      <x:c r="X225">
        <x:v>69</x:v>
      </x:c>
      <x:c r="Y225">
        <x:v>77</x:v>
      </x:c>
      <x:c r="Z225">
        <x:v>51</x:v>
      </x:c>
      <x:c r="AA225">
        <x:v>58</x:v>
      </x:c>
    </x:row>
    <x:row r="226">
      <x:c r="A226" t="s">
        <x:v>789</x:v>
      </x:c>
      <x:c r="B226" t="s">
        <x:v>356</x:v>
      </x:c>
      <x:c r="C226" t="s">
        <x:v>319</x:v>
      </x:c>
      <x:c r="D226">
        <x:v>8478133</x:v>
      </x:c>
      <x:c r="E226" t="s">
        <x:v>224</x:v>
      </x:c>
      <x:c r="F226">
        <x:v>68</x:v>
      </x:c>
      <x:c r="G226">
        <x:v>82</x:v>
      </x:c>
      <x:c r="J226" t="s">
        <x:v>2063</x:v>
      </x:c>
      <x:c r="K226">
        <x:v>68</x:v>
      </x:c>
      <x:c r="L226">
        <x:v>35</x:v>
      </x:c>
      <x:c r="M226">
        <x:v>93</x:v>
      </x:c>
      <x:c r="N226">
        <x:v>56</x:v>
      </x:c>
      <x:c r="O226">
        <x:v>78</x:v>
      </x:c>
      <x:c r="P226">
        <x:v>85</x:v>
      </x:c>
      <x:c r="Q226">
        <x:v>89</x:v>
      </x:c>
      <x:c r="R226">
        <x:v>54</x:v>
      </x:c>
      <x:c r="S226">
        <x:v>90</x:v>
      </x:c>
      <x:c r="T226">
        <x:v>52</x:v>
      </x:c>
      <x:c r="U226">
        <x:v>55</x:v>
      </x:c>
      <x:c r="V226">
        <x:v>72</x:v>
      </x:c>
      <x:c r="W226">
        <x:v>52</x:v>
      </x:c>
      <x:c r="X226">
        <x:v>77</x:v>
      </x:c>
      <x:c r="Y226">
        <x:v>73</x:v>
      </x:c>
      <x:c r="Z226">
        <x:v>51</x:v>
      </x:c>
      <x:c r="AA226">
        <x:v>58</x:v>
      </x:c>
    </x:row>
    <x:row r="227">
      <x:c r="A227" t="s">
        <x:v>809</x:v>
      </x:c>
      <x:c r="B227" t="s">
        <x:v>327</x:v>
      </x:c>
      <x:c r="C227" t="s">
        <x:v>319</x:v>
      </x:c>
      <x:c r="D227">
        <x:v>8476878</x:v>
      </x:c>
      <x:c r="E227" t="s">
        <x:v>224</x:v>
      </x:c>
      <x:c r="F227">
        <x:v>74</x:v>
      </x:c>
      <x:c r="G227">
        <x:v>82</x:v>
      </x:c>
      <x:c r="J227" t="s">
        <x:v>2180</x:v>
      </x:c>
      <x:c r="K227">
        <x:v>76</x:v>
      </x:c>
      <x:c r="L227">
        <x:v>68</x:v>
      </x:c>
      <x:c r="M227">
        <x:v>85</x:v>
      </x:c>
      <x:c r="N227">
        <x:v>57</x:v>
      </x:c>
      <x:c r="O227">
        <x:v>80</x:v>
      </x:c>
      <x:c r="P227">
        <x:v>85</x:v>
      </x:c>
      <x:c r="Q227">
        <x:v>92</x:v>
      </x:c>
      <x:c r="R227">
        <x:v>49</x:v>
      </x:c>
      <x:c r="S227">
        <x:v>79</x:v>
      </x:c>
      <x:c r="T227">
        <x:v>51</x:v>
      </x:c>
      <x:c r="U227">
        <x:v>52</x:v>
      </x:c>
      <x:c r="V227">
        <x:v>72</x:v>
      </x:c>
      <x:c r="W227">
        <x:v>59</x:v>
      </x:c>
      <x:c r="X227">
        <x:v>81</x:v>
      </x:c>
      <x:c r="Y227">
        <x:v>78</x:v>
      </x:c>
      <x:c r="Z227">
        <x:v>51</x:v>
      </x:c>
      <x:c r="AA227">
        <x:v>57</x:v>
      </x:c>
    </x:row>
    <x:row r="228">
      <x:c r="A228" t="s">
        <x:v>873</x:v>
      </x:c>
      <x:c r="B228" t="s">
        <x:v>352</x:v>
      </x:c>
      <x:c r="C228" t="s">
        <x:v>319</x:v>
      </x:c>
      <x:c r="D228">
        <x:v>8478904</x:v>
      </x:c>
      <x:c r="E228" t="s">
        <x:v>224</x:v>
      </x:c>
      <x:c r="F228">
        <x:v>71</x:v>
      </x:c>
      <x:c r="G228">
        <x:v>80</x:v>
      </x:c>
      <x:c r="J228" t="s">
        <x:v>2030</x:v>
      </x:c>
      <x:c r="K228">
        <x:v>78</x:v>
      </x:c>
      <x:c r="L228">
        <x:v>45</x:v>
      </x:c>
      <x:c r="M228">
        <x:v>91</x:v>
      </x:c>
      <x:c r="N228">
        <x:v>57</x:v>
      </x:c>
      <x:c r="O228">
        <x:v>87</x:v>
      </x:c>
      <x:c r="P228">
        <x:v>83</x:v>
      </x:c>
      <x:c r="Q228">
        <x:v>89</x:v>
      </x:c>
      <x:c r="R228">
        <x:v>48</x:v>
      </x:c>
      <x:c r="S228">
        <x:v>73</x:v>
      </x:c>
      <x:c r="T228">
        <x:v>53</x:v>
      </x:c>
      <x:c r="U228">
        <x:v>52</x:v>
      </x:c>
      <x:c r="V228">
        <x:v>72</x:v>
      </x:c>
      <x:c r="W228">
        <x:v>52</x:v>
      </x:c>
      <x:c r="X228">
        <x:v>77</x:v>
      </x:c>
      <x:c r="Y228">
        <x:v>71</x:v>
      </x:c>
      <x:c r="Z228">
        <x:v>51</x:v>
      </x:c>
      <x:c r="AA228">
        <x:v>57</x:v>
      </x:c>
    </x:row>
    <x:row r="229">
      <x:c r="A229" t="s">
        <x:v>890</x:v>
      </x:c>
      <x:c r="B229" t="s">
        <x:v>350</x:v>
      </x:c>
      <x:c r="C229" t="s">
        <x:v>339</x:v>
      </x:c>
      <x:c r="D229">
        <x:v>8480980</x:v>
      </x:c>
      <x:c r="E229" t="s">
        <x:v>224</x:v>
      </x:c>
      <x:c r="F229">
        <x:v>78</x:v>
      </x:c>
      <x:c r="G229">
        <x:v>48</x:v>
      </x:c>
      <x:c r="J229" t="s">
        <x:v>2181</x:v>
      </x:c>
      <x:c r="K229">
        <x:v>74</x:v>
      </x:c>
      <x:c r="L229">
        <x:v>57</x:v>
      </x:c>
      <x:c r="M229">
        <x:v>95</x:v>
      </x:c>
      <x:c r="N229">
        <x:v>55</x:v>
      </x:c>
      <x:c r="O229">
        <x:v>77</x:v>
      </x:c>
      <x:c r="P229">
        <x:v>84</x:v>
      </x:c>
      <x:c r="Q229">
        <x:v>92</x:v>
      </x:c>
      <x:c r="R229">
        <x:v>53</x:v>
      </x:c>
      <x:c r="S229">
        <x:v>74</x:v>
      </x:c>
      <x:c r="T229">
        <x:v>53</x:v>
      </x:c>
      <x:c r="U229">
        <x:v>56</x:v>
      </x:c>
      <x:c r="V229">
        <x:v>72</x:v>
      </x:c>
      <x:c r="W229">
        <x:v>52</x:v>
      </x:c>
      <x:c r="X229">
        <x:v>73</x:v>
      </x:c>
      <x:c r="Y229">
        <x:v>68</x:v>
      </x:c>
      <x:c r="Z229">
        <x:v>51</x:v>
      </x:c>
      <x:c r="AA229">
        <x:v>57</x:v>
      </x:c>
    </x:row>
    <x:row r="230">
      <x:c r="A230" t="s">
        <x:v>965</x:v>
      </x:c>
      <x:c r="B230" t="s">
        <x:v>343</x:v>
      </x:c>
      <x:c r="C230" t="s">
        <x:v>319</x:v>
      </x:c>
      <x:c r="D230">
        <x:v>8476278</x:v>
      </x:c>
      <x:c r="E230" t="s">
        <x:v>224</x:v>
      </x:c>
      <x:c r="F230">
        <x:v>70</x:v>
      </x:c>
      <x:c r="G230">
        <x:v>63</x:v>
      </x:c>
      <x:c r="J230" t="s">
        <x:v>2182</x:v>
      </x:c>
      <x:c r="K230">
        <x:v>71</x:v>
      </x:c>
      <x:c r="L230">
        <x:v>33</x:v>
      </x:c>
      <x:c r="M230">
        <x:v>87</x:v>
      </x:c>
      <x:c r="N230">
        <x:v>57</x:v>
      </x:c>
      <x:c r="O230">
        <x:v>76</x:v>
      </x:c>
      <x:c r="P230">
        <x:v>83</x:v>
      </x:c>
      <x:c r="Q230">
        <x:v>86</x:v>
      </x:c>
      <x:c r="R230">
        <x:v>51</x:v>
      </x:c>
      <x:c r="S230">
        <x:v>79</x:v>
      </x:c>
      <x:c r="T230">
        <x:v>53</x:v>
      </x:c>
      <x:c r="U230">
        <x:v>50</x:v>
      </x:c>
      <x:c r="V230">
        <x:v>72</x:v>
      </x:c>
      <x:c r="W230">
        <x:v>52</x:v>
      </x:c>
      <x:c r="X230">
        <x:v>75</x:v>
      </x:c>
      <x:c r="Y230">
        <x:v>75</x:v>
      </x:c>
      <x:c r="Z230">
        <x:v>51</x:v>
      </x:c>
      <x:c r="AA230">
        <x:v>56</x:v>
      </x:c>
    </x:row>
    <x:row r="231">
      <x:c r="A231" t="s">
        <x:v>969</x:v>
      </x:c>
      <x:c r="B231" t="s">
        <x:v>327</x:v>
      </x:c>
      <x:c r="C231" t="s">
        <x:v>331</x:v>
      </x:c>
      <x:c r="D231">
        <x:v>8475762</x:v>
      </x:c>
      <x:c r="E231" t="s">
        <x:v>224</x:v>
      </x:c>
      <x:c r="F231">
        <x:v>2</x:v>
      </x:c>
      <x:c r="G231">
        <x:v>54</x:v>
      </x:c>
      <x:c r="J231" t="s">
        <x:v>2183</x:v>
      </x:c>
      <x:c r="K231">
        <x:v>76</x:v>
      </x:c>
      <x:c r="L231">
        <x:v>79</x:v>
      </x:c>
      <x:c r="M231">
        <x:v>72</x:v>
      </x:c>
      <x:c r="N231">
        <x:v>39</x:v>
      </x:c>
      <x:c r="O231">
        <x:v>87</x:v>
      </x:c>
      <x:c r="P231">
        <x:v>81</x:v>
      </x:c>
      <x:c r="Q231">
        <x:v>27</x:v>
      </x:c>
      <x:c r="R231">
        <x:v>35</x:v>
      </x:c>
      <x:c r="S231">
        <x:v>30</x:v>
      </x:c>
      <x:c r="T231">
        <x:v>48</x:v>
      </x:c>
      <x:c r="U231">
        <x:v>45</x:v>
      </x:c>
      <x:c r="V231">
        <x:v>72</x:v>
      </x:c>
      <x:c r="W231">
        <x:v>47</x:v>
      </x:c>
      <x:c r="X231">
        <x:v>79</x:v>
      </x:c>
      <x:c r="Y231">
        <x:v>75</x:v>
      </x:c>
      <x:c r="Z231">
        <x:v>51</x:v>
      </x:c>
      <x:c r="AA231">
        <x:v>56</x:v>
      </x:c>
    </x:row>
    <x:row r="232">
      <x:c r="A232" t="s">
        <x:v>391</x:v>
      </x:c>
      <x:c r="B232" t="s">
        <x:v>354</x:v>
      </x:c>
      <x:c r="C232" t="s">
        <x:v>323</x:v>
      </x:c>
      <x:c r="D232">
        <x:v>8478483</x:v>
      </x:c>
      <x:c r="E232" t="s">
        <x:v>224</x:v>
      </x:c>
      <x:c r="F232">
        <x:v>81</x:v>
      </x:c>
      <x:c r="G232">
        <x:v>81</x:v>
      </x:c>
      <x:c r="J232" t="s">
        <x:v>2035</x:v>
      </x:c>
      <x:c r="K232">
        <x:v>58</x:v>
      </x:c>
      <x:c r="L232">
        <x:v>33</x:v>
      </x:c>
      <x:c r="M232">
        <x:v>93</x:v>
      </x:c>
      <x:c r="N232">
        <x:v>49</x:v>
      </x:c>
      <x:c r="O232">
        <x:v>76</x:v>
      </x:c>
      <x:c r="P232">
        <x:v>91</x:v>
      </x:c>
      <x:c r="Q232">
        <x:v>98</x:v>
      </x:c>
      <x:c r="R232">
        <x:v>72</x:v>
      </x:c>
      <x:c r="S232">
        <x:v>76</x:v>
      </x:c>
      <x:c r="T232">
        <x:v>80</x:v>
      </x:c>
      <x:c r="U232">
        <x:v>57</x:v>
      </x:c>
      <x:c r="V232">
        <x:v>71</x:v>
      </x:c>
      <x:c r="W232">
        <x:v>86</x:v>
      </x:c>
      <x:c r="X232">
        <x:v>84</x:v>
      </x:c>
      <x:c r="Y232">
        <x:v>82</x:v>
      </x:c>
      <x:c r="Z232">
        <x:v>51</x:v>
      </x:c>
      <x:c r="AA232">
        <x:v>65</x:v>
      </x:c>
    </x:row>
    <x:row r="233">
      <x:c r="A233" t="s">
        <x:v>412</x:v>
      </x:c>
      <x:c r="B233" t="s">
        <x:v>383</x:v>
      </x:c>
      <x:c r="C233" t="s">
        <x:v>323</x:v>
      </x:c>
      <x:c r="D233">
        <x:v>8476459</x:v>
      </x:c>
      <x:c r="E233" t="s">
        <x:v>224</x:v>
      </x:c>
      <x:c r="F233">
        <x:v>81</x:v>
      </x:c>
      <x:c r="G233">
        <x:v>82</x:v>
      </x:c>
      <x:c r="J233" t="s">
        <x:v>2011</x:v>
      </x:c>
      <x:c r="K233">
        <x:v>65</x:v>
      </x:c>
      <x:c r="L233">
        <x:v>41</x:v>
      </x:c>
      <x:c r="M233">
        <x:v>91</x:v>
      </x:c>
      <x:c r="N233">
        <x:v>53</x:v>
      </x:c>
      <x:c r="O233">
        <x:v>83</x:v>
      </x:c>
      <x:c r="P233">
        <x:v>92</x:v>
      </x:c>
      <x:c r="Q233">
        <x:v>98</x:v>
      </x:c>
      <x:c r="R233">
        <x:v>66</x:v>
      </x:c>
      <x:c r="S233">
        <x:v>89</x:v>
      </x:c>
      <x:c r="T233">
        <x:v>62</x:v>
      </x:c>
      <x:c r="U233">
        <x:v>63</x:v>
      </x:c>
      <x:c r="V233">
        <x:v>71</x:v>
      </x:c>
      <x:c r="W233">
        <x:v>72</x:v>
      </x:c>
      <x:c r="X233">
        <x:v>87</x:v>
      </x:c>
      <x:c r="Y233">
        <x:v>83</x:v>
      </x:c>
      <x:c r="Z233">
        <x:v>51</x:v>
      </x:c>
      <x:c r="AA233">
        <x:v>65</x:v>
      </x:c>
    </x:row>
    <x:row r="234">
      <x:c r="A234" t="s">
        <x:v>414</x:v>
      </x:c>
      <x:c r="B234" t="s">
        <x:v>402</x:v>
      </x:c>
      <x:c r="C234" t="s">
        <x:v>326</x:v>
      </x:c>
      <x:c r="D234">
        <x:v>8476880</x:v>
      </x:c>
      <x:c r="E234" t="s">
        <x:v>224</x:v>
      </x:c>
      <x:c r="F234">
        <x:v>72</x:v>
      </x:c>
      <x:c r="G234">
        <x:v>81</x:v>
      </x:c>
      <x:c r="J234" t="s">
        <x:v>2184</x:v>
      </x:c>
      <x:c r="K234">
        <x:v>72</x:v>
      </x:c>
      <x:c r="L234">
        <x:v>85</x:v>
      </x:c>
      <x:c r="M234">
        <x:v>79</x:v>
      </x:c>
      <x:c r="N234">
        <x:v>58</x:v>
      </x:c>
      <x:c r="O234">
        <x:v>88</x:v>
      </x:c>
      <x:c r="P234">
        <x:v>91</x:v>
      </x:c>
      <x:c r="Q234">
        <x:v>90</x:v>
      </x:c>
      <x:c r="R234">
        <x:v>64</x:v>
      </x:c>
      <x:c r="S234">
        <x:v>70</x:v>
      </x:c>
      <x:c r="T234">
        <x:v>60</x:v>
      </x:c>
      <x:c r="U234">
        <x:v>67</x:v>
      </x:c>
      <x:c r="V234">
        <x:v>71</x:v>
      </x:c>
      <x:c r="W234">
        <x:v>52</x:v>
      </x:c>
      <x:c r="X234">
        <x:v>87</x:v>
      </x:c>
      <x:c r="Y234">
        <x:v>81</x:v>
      </x:c>
      <x:c r="Z234">
        <x:v>51</x:v>
      </x:c>
      <x:c r="AA234">
        <x:v>65</x:v>
      </x:c>
    </x:row>
    <x:row r="235">
      <x:c r="A235" t="s">
        <x:v>485</x:v>
      </x:c>
      <x:c r="B235" t="s">
        <x:v>352</x:v>
      </x:c>
      <x:c r="C235" t="s">
        <x:v>331</x:v>
      </x:c>
      <x:c r="D235">
        <x:v>8476853</x:v>
      </x:c>
      <x:c r="E235" t="s">
        <x:v>224</x:v>
      </x:c>
      <x:c r="F235">
        <x:v>78</x:v>
      </x:c>
      <x:c r="G235">
        <x:v>82</x:v>
      </x:c>
      <x:c r="J235" t="s">
        <x:v>2019</x:v>
      </x:c>
      <x:c r="K235">
        <x:v>67</x:v>
      </x:c>
      <x:c r="L235">
        <x:v>58</x:v>
      </x:c>
      <x:c r="M235">
        <x:v>86</x:v>
      </x:c>
      <x:c r="N235">
        <x:v>45</x:v>
      </x:c>
      <x:c r="O235">
        <x:v>88</x:v>
      </x:c>
      <x:c r="P235">
        <x:v>93</x:v>
      </x:c>
      <x:c r="Q235">
        <x:v>98</x:v>
      </x:c>
      <x:c r="R235">
        <x:v>47</x:v>
      </x:c>
      <x:c r="S235">
        <x:v>30</x:v>
      </x:c>
      <x:c r="T235">
        <x:v>56</x:v>
      </x:c>
      <x:c r="U235">
        <x:v>50</x:v>
      </x:c>
      <x:c r="V235">
        <x:v>71</x:v>
      </x:c>
      <x:c r="W235">
        <x:v>52</x:v>
      </x:c>
      <x:c r="X235">
        <x:v>87</x:v>
      </x:c>
      <x:c r="Y235">
        <x:v>80</x:v>
      </x:c>
      <x:c r="Z235">
        <x:v>51</x:v>
      </x:c>
      <x:c r="AA235">
        <x:v>62</x:v>
      </x:c>
    </x:row>
    <x:row r="236">
      <x:c r="A236" t="s">
        <x:v>509</x:v>
      </x:c>
      <x:c r="B236" t="s">
        <x:v>345</x:v>
      </x:c>
      <x:c r="C236" t="s">
        <x:v>319</x:v>
      </x:c>
      <x:c r="D236">
        <x:v>8478493</x:v>
      </x:c>
      <x:c r="E236" t="s">
        <x:v>224</x:v>
      </x:c>
      <x:c r="F236">
        <x:v>70</x:v>
      </x:c>
      <x:c r="G236">
        <x:v>46</x:v>
      </x:c>
      <x:c r="J236" t="s">
        <x:v>2185</x:v>
      </x:c>
      <x:c r="K236">
        <x:v>68</x:v>
      </x:c>
      <x:c r="L236">
        <x:v>41</x:v>
      </x:c>
      <x:c r="M236">
        <x:v>88</x:v>
      </x:c>
      <x:c r="N236">
        <x:v>54</x:v>
      </x:c>
      <x:c r="O236">
        <x:v>83</x:v>
      </x:c>
      <x:c r="P236">
        <x:v>91</x:v>
      </x:c>
      <x:c r="Q236">
        <x:v>86</x:v>
      </x:c>
      <x:c r="R236">
        <x:v>61</x:v>
      </x:c>
      <x:c r="S236">
        <x:v>90</x:v>
      </x:c>
      <x:c r="T236">
        <x:v>58</x:v>
      </x:c>
      <x:c r="U236">
        <x:v>57</x:v>
      </x:c>
      <x:c r="V236">
        <x:v>71</x:v>
      </x:c>
      <x:c r="W236">
        <x:v>57</x:v>
      </x:c>
      <x:c r="X236">
        <x:v>80</x:v>
      </x:c>
      <x:c r="Y236">
        <x:v>79</x:v>
      </x:c>
      <x:c r="Z236">
        <x:v>51</x:v>
      </x:c>
      <x:c r="AA236">
        <x:v>62</x:v>
      </x:c>
    </x:row>
    <x:row r="237">
      <x:c r="A237" t="s">
        <x:v>519</x:v>
      </x:c>
      <x:c r="B237" t="s">
        <x:v>337</x:v>
      </x:c>
      <x:c r="C237" t="s">
        <x:v>323</x:v>
      </x:c>
      <x:c r="D237">
        <x:v>8475745</x:v>
      </x:c>
      <x:c r="E237" t="s">
        <x:v>224</x:v>
      </x:c>
      <x:c r="F237">
        <x:v>82</x:v>
      </x:c>
      <x:c r="G237">
        <x:v>83</x:v>
      </x:c>
      <x:c r="J237" t="s">
        <x:v>2186</x:v>
      </x:c>
      <x:c r="K237">
        <x:v>67</x:v>
      </x:c>
      <x:c r="L237">
        <x:v>43</x:v>
      </x:c>
      <x:c r="M237">
        <x:v>95</x:v>
      </x:c>
      <x:c r="N237">
        <x:v>53</x:v>
      </x:c>
      <x:c r="O237">
        <x:v>88</x:v>
      </x:c>
      <x:c r="P237">
        <x:v>89</x:v>
      </x:c>
      <x:c r="Q237">
        <x:v>99</x:v>
      </x:c>
      <x:c r="R237">
        <x:v>57</x:v>
      </x:c>
      <x:c r="S237">
        <x:v>89</x:v>
      </x:c>
      <x:c r="T237">
        <x:v>62</x:v>
      </x:c>
      <x:c r="U237">
        <x:v>57</x:v>
      </x:c>
      <x:c r="V237">
        <x:v>71</x:v>
      </x:c>
      <x:c r="W237">
        <x:v>86</x:v>
      </x:c>
      <x:c r="X237">
        <x:v>90</x:v>
      </x:c>
      <x:c r="Y237">
        <x:v>78</x:v>
      </x:c>
      <x:c r="Z237">
        <x:v>51</x:v>
      </x:c>
      <x:c r="AA237">
        <x:v>61</x:v>
      </x:c>
    </x:row>
    <x:row r="238">
      <x:c r="A238" t="s">
        <x:v>568</x:v>
      </x:c>
      <x:c r="B238" t="s">
        <x:v>402</x:v>
      </x:c>
      <x:c r="C238" t="s">
        <x:v>326</x:v>
      </x:c>
      <x:c r="D238">
        <x:v>8477949</x:v>
      </x:c>
      <x:c r="E238" t="s">
        <x:v>224</x:v>
      </x:c>
      <x:c r="F238">
        <x:v>79</x:v>
      </x:c>
      <x:c r="G238">
        <x:v>82</x:v>
      </x:c>
      <x:c r="J238" t="s">
        <x:v>2187</x:v>
      </x:c>
      <x:c r="K238">
        <x:v>64</x:v>
      </x:c>
      <x:c r="L238">
        <x:v>74</x:v>
      </x:c>
      <x:c r="M238">
        <x:v>80</x:v>
      </x:c>
      <x:c r="N238">
        <x:v>56</x:v>
      </x:c>
      <x:c r="O238">
        <x:v>87</x:v>
      </x:c>
      <x:c r="P238">
        <x:v>91</x:v>
      </x:c>
      <x:c r="Q238">
        <x:v>96</x:v>
      </x:c>
      <x:c r="R238">
        <x:v>64</x:v>
      </x:c>
      <x:c r="S238">
        <x:v>73</x:v>
      </x:c>
      <x:c r="T238">
        <x:v>61</x:v>
      </x:c>
      <x:c r="U238">
        <x:v>67</x:v>
      </x:c>
      <x:c r="V238">
        <x:v>71</x:v>
      </x:c>
      <x:c r="W238">
        <x:v>86</x:v>
      </x:c>
      <x:c r="X238">
        <x:v>81</x:v>
      </x:c>
      <x:c r="Y238">
        <x:v>8</x:v>
      </x:c>
      <x:c r="Z238">
        <x:v>51</x:v>
      </x:c>
      <x:c r="AA238">
        <x:v>61</x:v>
      </x:c>
    </x:row>
    <x:row r="239">
      <x:c r="A239" t="s">
        <x:v>569</x:v>
      </x:c>
      <x:c r="B239" t="s">
        <x:v>340</x:v>
      </x:c>
      <x:c r="C239" t="s">
        <x:v>319</x:v>
      </x:c>
      <x:c r="D239">
        <x:v>8477505</x:v>
      </x:c>
      <x:c r="E239" t="s">
        <x:v>224</x:v>
      </x:c>
      <x:c r="F239">
        <x:v>80</x:v>
      </x:c>
      <x:c r="G239">
        <x:v>77</x:v>
      </x:c>
      <x:c r="J239" t="s">
        <x:v>2003</x:v>
      </x:c>
      <x:c r="K239">
        <x:v>58</x:v>
      </x:c>
      <x:c r="L239">
        <x:v>37</x:v>
      </x:c>
      <x:c r="M239">
        <x:v>95</x:v>
      </x:c>
      <x:c r="N239">
        <x:v>53</x:v>
      </x:c>
      <x:c r="O239">
        <x:v>78</x:v>
      </x:c>
      <x:c r="P239">
        <x:v>92</x:v>
      </x:c>
      <x:c r="Q239">
        <x:v>96</x:v>
      </x:c>
      <x:c r="R239">
        <x:v>58</x:v>
      </x:c>
      <x:c r="S239">
        <x:v>88</x:v>
      </x:c>
      <x:c r="T239">
        <x:v>59</x:v>
      </x:c>
      <x:c r="U239">
        <x:v>54</x:v>
      </x:c>
      <x:c r="V239">
        <x:v>71</x:v>
      </x:c>
      <x:c r="W239">
        <x:v>63</x:v>
      </x:c>
      <x:c r="X239">
        <x:v>86</x:v>
      </x:c>
      <x:c r="Y239">
        <x:v>76</x:v>
      </x:c>
      <x:c r="Z239">
        <x:v>51</x:v>
      </x:c>
      <x:c r="AA239">
        <x:v>61</x:v>
      </x:c>
    </x:row>
    <x:row r="240">
      <x:c r="A240" t="s">
        <x:v>673</x:v>
      </x:c>
      <x:c r="B240" t="s">
        <x:v>356</x:v>
      </x:c>
      <x:c r="C240" t="s">
        <x:v>323</x:v>
      </x:c>
      <x:c r="D240">
        <x:v>8482110</x:v>
      </x:c>
      <x:c r="E240" t="s">
        <x:v>224</x:v>
      </x:c>
      <x:c r="F240">
        <x:v>82</x:v>
      </x:c>
      <x:c r="G240">
        <x:v>82</x:v>
      </x:c>
      <x:c r="J240" t="s">
        <x:v>1992</x:v>
      </x:c>
      <x:c r="K240">
        <x:v>60</x:v>
      </x:c>
      <x:c r="L240">
        <x:v>48</x:v>
      </x:c>
      <x:c r="M240">
        <x:v>90</x:v>
      </x:c>
      <x:c r="N240">
        <x:v>52</x:v>
      </x:c>
      <x:c r="O240">
        <x:v>76</x:v>
      </x:c>
      <x:c r="P240">
        <x:v>89</x:v>
      </x:c>
      <x:c r="Q240">
        <x:v>99</x:v>
      </x:c>
      <x:c r="R240">
        <x:v>56</x:v>
      </x:c>
      <x:c r="S240">
        <x:v>77</x:v>
      </x:c>
      <x:c r="T240">
        <x:v>53</x:v>
      </x:c>
      <x:c r="U240">
        <x:v>57</x:v>
      </x:c>
      <x:c r="V240">
        <x:v>71</x:v>
      </x:c>
      <x:c r="W240">
        <x:v>54</x:v>
      </x:c>
      <x:c r="X240">
        <x:v>76</x:v>
      </x:c>
      <x:c r="Y240">
        <x:v>78</x:v>
      </x:c>
      <x:c r="Z240">
        <x:v>51</x:v>
      </x:c>
      <x:c r="AA240">
        <x:v>59</x:v>
      </x:c>
    </x:row>
    <x:row r="241">
      <x:c r="A241" t="s">
        <x:v>708</x:v>
      </x:c>
      <x:c r="B241" t="s">
        <x:v>348</x:v>
      </x:c>
      <x:c r="C241" t="s">
        <x:v>339</x:v>
      </x:c>
      <x:c r="D241">
        <x:v>8476392</x:v>
      </x:c>
      <x:c r="E241" t="s">
        <x:v>224</x:v>
      </x:c>
      <x:c r="F241">
        <x:v>70</x:v>
      </x:c>
      <x:c r="G241">
        <x:v>73</x:v>
      </x:c>
      <x:c r="J241" t="s">
        <x:v>2188</x:v>
      </x:c>
      <x:c r="K241">
        <x:v>73</x:v>
      </x:c>
      <x:c r="L241">
        <x:v>84</x:v>
      </x:c>
      <x:c r="M241">
        <x:v>89</x:v>
      </x:c>
      <x:c r="N241">
        <x:v>54</x:v>
      </x:c>
      <x:c r="O241">
        <x:v>84</x:v>
      </x:c>
      <x:c r="P241">
        <x:v>85</x:v>
      </x:c>
      <x:c r="Q241">
        <x:v>89</x:v>
      </x:c>
      <x:c r="R241">
        <x:v>53</x:v>
      </x:c>
      <x:c r="S241">
        <x:v>90</x:v>
      </x:c>
      <x:c r="T241">
        <x:v>53</x:v>
      </x:c>
      <x:c r="U241">
        <x:v>52</x:v>
      </x:c>
      <x:c r="V241">
        <x:v>71</x:v>
      </x:c>
      <x:c r="W241">
        <x:v>52</x:v>
      </x:c>
      <x:c r="X241">
        <x:v>85</x:v>
      </x:c>
      <x:c r="Y241">
        <x:v>88</x:v>
      </x:c>
      <x:c r="Z241">
        <x:v>51</x:v>
      </x:c>
      <x:c r="AA241">
        <x:v>59</x:v>
      </x:c>
    </x:row>
    <x:row r="242">
      <x:c r="A242" t="s">
        <x:v>716</x:v>
      </x:c>
      <x:c r="B242" t="s">
        <x:v>379</x:v>
      </x:c>
      <x:c r="C242" t="s">
        <x:v>339</x:v>
      </x:c>
      <x:c r="D242">
        <x:v>8476872</x:v>
      </x:c>
      <x:c r="E242" t="s">
        <x:v>224</x:v>
      </x:c>
      <x:c r="F242">
        <x:v>64</x:v>
      </x:c>
      <x:c r="G242">
        <x:v>80</x:v>
      </x:c>
      <x:c r="J242" t="s">
        <x:v>2189</x:v>
      </x:c>
      <x:c r="K242">
        <x:v>72</x:v>
      </x:c>
      <x:c r="L242">
        <x:v>66</x:v>
      </x:c>
      <x:c r="M242">
        <x:v>83</x:v>
      </x:c>
      <x:c r="N242">
        <x:v>53</x:v>
      </x:c>
      <x:c r="O242">
        <x:v>78</x:v>
      </x:c>
      <x:c r="P242">
        <x:v>84</x:v>
      </x:c>
      <x:c r="Q242">
        <x:v>86</x:v>
      </x:c>
      <x:c r="R242">
        <x:v>54</x:v>
      </x:c>
      <x:c r="S242">
        <x:v>89</x:v>
      </x:c>
      <x:c r="T242">
        <x:v>51</x:v>
      </x:c>
      <x:c r="U242">
        <x:v>57</x:v>
      </x:c>
      <x:c r="V242">
        <x:v>71</x:v>
      </x:c>
      <x:c r="W242">
        <x:v>53</x:v>
      </x:c>
      <x:c r="X242">
        <x:v>82</x:v>
      </x:c>
      <x:c r="Y242">
        <x:v>80</x:v>
      </x:c>
      <x:c r="Z242">
        <x:v>51</x:v>
      </x:c>
      <x:c r="AA242">
        <x:v>59</x:v>
      </x:c>
    </x:row>
    <x:row r="243">
      <x:c r="A243" t="s">
        <x:v>741</x:v>
      </x:c>
      <x:c r="B243" t="s">
        <x:v>420</x:v>
      </x:c>
      <x:c r="C243" t="s">
        <x:v>331</x:v>
      </x:c>
      <x:c r="D243">
        <x:v>8483678</x:v>
      </x:c>
      <x:c r="E243" t="s">
        <x:v>224</x:v>
      </x:c>
      <x:c r="F243">
        <x:v>70</x:v>
      </x:c>
      <x:c r="G243">
        <x:v>28</x:v>
      </x:c>
      <x:c r="J243" t="s">
        <x:v>2190</x:v>
      </x:c>
      <x:c r="K243">
        <x:v>81</x:v>
      </x:c>
      <x:c r="L243">
        <x:v>46</x:v>
      </x:c>
      <x:c r="M243">
        <x:v>87</x:v>
      </x:c>
      <x:c r="N243">
        <x:v>45</x:v>
      </x:c>
      <x:c r="O243">
        <x:v>76</x:v>
      </x:c>
      <x:c r="P243">
        <x:v>86</x:v>
      </x:c>
      <x:c r="Q243">
        <x:v>90</x:v>
      </x:c>
      <x:c r="R243">
        <x:v>38</x:v>
      </x:c>
      <x:c r="S243">
        <x:v>30</x:v>
      </x:c>
      <x:c r="T243">
        <x:v>50</x:v>
      </x:c>
      <x:c r="U243">
        <x:v>46</x:v>
      </x:c>
      <x:c r="V243">
        <x:v>71</x:v>
      </x:c>
      <x:c r="W243">
        <x:v>51</x:v>
      </x:c>
      <x:c r="X243">
        <x:v>68</x:v>
      </x:c>
      <x:c r="Y243">
        <x:v>66</x:v>
      </x:c>
      <x:c r="Z243">
        <x:v>51</x:v>
      </x:c>
      <x:c r="AA243">
        <x:v>58</x:v>
      </x:c>
    </x:row>
    <x:row r="244">
      <x:c r="A244" t="s">
        <x:v>746</x:v>
      </x:c>
      <x:c r="B244" t="s">
        <x:v>345</x:v>
      </x:c>
      <x:c r="C244" t="s">
        <x:v>333</x:v>
      </x:c>
      <x:c r="D244">
        <x:v>8475220</x:v>
      </x:c>
      <x:c r="E244" t="s">
        <x:v>224</x:v>
      </x:c>
      <x:c r="F244">
        <x:v>56</x:v>
      </x:c>
      <x:c r="G244">
        <x:v>77</x:v>
      </x:c>
      <x:c r="J244" t="s">
        <x:v>2191</x:v>
      </x:c>
      <x:c r="K244">
        <x:v>82</x:v>
      </x:c>
      <x:c r="L244">
        <x:v>88</x:v>
      </x:c>
      <x:c r="M244">
        <x:v>75</x:v>
      </x:c>
      <x:c r="N244">
        <x:v>49</x:v>
      </x:c>
      <x:c r="O244">
        <x:v>89</x:v>
      </x:c>
      <x:c r="P244">
        <x:v>83</x:v>
      </x:c>
      <x:c r="Q244">
        <x:v>81</x:v>
      </x:c>
      <x:c r="R244">
        <x:v>49</x:v>
      </x:c>
      <x:c r="S244">
        <x:v>69</x:v>
      </x:c>
      <x:c r="T244">
        <x:v>50</x:v>
      </x:c>
      <x:c r="U244">
        <x:v>54</x:v>
      </x:c>
      <x:c r="V244">
        <x:v>71</x:v>
      </x:c>
      <x:c r="W244">
        <x:v>53</x:v>
      </x:c>
      <x:c r="X244">
        <x:v>86</x:v>
      </x:c>
      <x:c r="Y244">
        <x:v>79</x:v>
      </x:c>
      <x:c r="Z244">
        <x:v>51</x:v>
      </x:c>
      <x:c r="AA244">
        <x:v>58</x:v>
      </x:c>
    </x:row>
    <x:row r="245">
      <x:c r="A245" t="s">
        <x:v>801</x:v>
      </x:c>
      <x:c r="B245" t="s">
        <x:v>379</x:v>
      </x:c>
      <x:c r="C245" t="s">
        <x:v>326</x:v>
      </x:c>
      <x:c r="D245">
        <x:v>8476469</x:v>
      </x:c>
      <x:c r="E245" t="s">
        <x:v>224</x:v>
      </x:c>
      <x:c r="F245">
        <x:v>67</x:v>
      </x:c>
      <x:c r="G245">
        <x:v>81</x:v>
      </x:c>
      <x:c r="J245" t="s">
        <x:v>2192</x:v>
      </x:c>
      <x:c r="K245">
        <x:v>67</x:v>
      </x:c>
      <x:c r="L245">
        <x:v>42</x:v>
      </x:c>
      <x:c r="M245">
        <x:v>79</x:v>
      </x:c>
      <x:c r="N245">
        <x:v>51</x:v>
      </x:c>
      <x:c r="O245">
        <x:v>86</x:v>
      </x:c>
      <x:c r="P245">
        <x:v>84</x:v>
      </x:c>
      <x:c r="Q245">
        <x:v>88</x:v>
      </x:c>
      <x:c r="R245">
        <x:v>53</x:v>
      </x:c>
      <x:c r="S245">
        <x:v>71</x:v>
      </x:c>
      <x:c r="T245">
        <x:v>52</x:v>
      </x:c>
      <x:c r="U245">
        <x:v>56</x:v>
      </x:c>
      <x:c r="V245">
        <x:v>71</x:v>
      </x:c>
      <x:c r="W245">
        <x:v>58</x:v>
      </x:c>
      <x:c r="X245">
        <x:v>80</x:v>
      </x:c>
      <x:c r="Y245">
        <x:v>73</x:v>
      </x:c>
      <x:c r="Z245">
        <x:v>51</x:v>
      </x:c>
      <x:c r="AA245">
        <x:v>58</x:v>
      </x:c>
    </x:row>
    <x:row r="246">
      <x:c r="A246" t="s">
        <x:v>820</x:v>
      </x:c>
      <x:c r="B246" t="s">
        <x:v>320</x:v>
      </x:c>
      <x:c r="C246" t="s">
        <x:v>339</x:v>
      </x:c>
      <x:c r="D246">
        <x:v>8481481</x:v>
      </x:c>
      <x:c r="E246" t="s">
        <x:v>224</x:v>
      </x:c>
      <x:c r="F246">
        <x:v>55</x:v>
      </x:c>
      <x:c r="G246">
        <x:v>59</x:v>
      </x:c>
      <x:c r="J246" t="s">
        <x:v>2193</x:v>
      </x:c>
      <x:c r="K246">
        <x:v>66</x:v>
      </x:c>
      <x:c r="L246">
        <x:v>54</x:v>
      </x:c>
      <x:c r="M246">
        <x:v>82</x:v>
      </x:c>
      <x:c r="N246">
        <x:v>58</x:v>
      </x:c>
      <x:c r="O246">
        <x:v>75</x:v>
      </x:c>
      <x:c r="P246">
        <x:v>84</x:v>
      </x:c>
      <x:c r="Q246">
        <x:v>79</x:v>
      </x:c>
      <x:c r="R246">
        <x:v>52</x:v>
      </x:c>
      <x:c r="S246">
        <x:v>85</x:v>
      </x:c>
      <x:c r="T246">
        <x:v>53</x:v>
      </x:c>
      <x:c r="U246">
        <x:v>53</x:v>
      </x:c>
      <x:c r="V246">
        <x:v>71</x:v>
      </x:c>
      <x:c r="W246">
        <x:v>52</x:v>
      </x:c>
      <x:c r="X246">
        <x:v>77</x:v>
      </x:c>
      <x:c r="Y246">
        <x:v>70</x:v>
      </x:c>
      <x:c r="Z246">
        <x:v>51</x:v>
      </x:c>
      <x:c r="AA246">
        <x:v>57</x:v>
      </x:c>
    </x:row>
    <x:row r="247">
      <x:c r="A247" t="s">
        <x:v>834</x:v>
      </x:c>
      <x:c r="B247" t="s">
        <x:v>343</x:v>
      </x:c>
      <x:c r="C247" t="s">
        <x:v>319</x:v>
      </x:c>
      <x:c r="D247">
        <x:v>8484829</x:v>
      </x:c>
      <x:c r="E247" t="s">
        <x:v>224</x:v>
      </x:c>
      <x:c r="F247">
        <x:v>81</x:v>
      </x:c>
      <x:c r="G247">
        <x:v>5</x:v>
      </x:c>
      <x:c r="J247" t="s">
        <x:v>2194</x:v>
      </x:c>
      <x:c r="K247">
        <x:v>71</x:v>
      </x:c>
      <x:c r="L247">
        <x:v>72</x:v>
      </x:c>
      <x:c r="M247">
        <x:v>90</x:v>
      </x:c>
      <x:c r="N247">
        <x:v>53</x:v>
      </x:c>
      <x:c r="O247">
        <x:v>80</x:v>
      </x:c>
      <x:c r="P247">
        <x:v>84</x:v>
      </x:c>
      <x:c r="Q247">
        <x:v>97</x:v>
      </x:c>
      <x:c r="R247">
        <x:v>52</x:v>
      </x:c>
      <x:c r="S247">
        <x:v>83</x:v>
      </x:c>
      <x:c r="T247">
        <x:v>54</x:v>
      </x:c>
      <x:c r="U247">
        <x:v>53</x:v>
      </x:c>
      <x:c r="V247">
        <x:v>71</x:v>
      </x:c>
      <x:c r="W247">
        <x:v>56</x:v>
      </x:c>
      <x:c r="X247">
        <x:v>69</x:v>
      </x:c>
      <x:c r="Y247">
        <x:v>68</x:v>
      </x:c>
      <x:c r="Z247">
        <x:v>54</x:v>
      </x:c>
      <x:c r="AA247">
        <x:v>57</x:v>
      </x:c>
    </x:row>
    <x:row r="248">
      <x:c r="A248" t="s">
        <x:v>839</x:v>
      </x:c>
      <x:c r="B248" t="s">
        <x:v>320</x:v>
      </x:c>
      <x:c r="C248" t="s">
        <x:v>339</x:v>
      </x:c>
      <x:c r="D248">
        <x:v>8477450</x:v>
      </x:c>
      <x:c r="E248" t="s">
        <x:v>224</x:v>
      </x:c>
      <x:c r="F248">
        <x:v>63</x:v>
      </x:c>
      <x:c r="G248">
        <x:v>59</x:v>
      </x:c>
      <x:c r="J248" t="s">
        <x:v>2195</x:v>
      </x:c>
      <x:c r="K248">
        <x:v>68</x:v>
      </x:c>
      <x:c r="L248">
        <x:v>48</x:v>
      </x:c>
      <x:c r="M248">
        <x:v>85</x:v>
      </x:c>
      <x:c r="N248">
        <x:v>55</x:v>
      </x:c>
      <x:c r="O248">
        <x:v>80</x:v>
      </x:c>
      <x:c r="P248">
        <x:v>86</x:v>
      </x:c>
      <x:c r="Q248">
        <x:v>83</x:v>
      </x:c>
      <x:c r="R248">
        <x:v>52</x:v>
      </x:c>
      <x:c r="S248">
        <x:v>88</x:v>
      </x:c>
      <x:c r="T248">
        <x:v>51</x:v>
      </x:c>
      <x:c r="U248">
        <x:v>51</x:v>
      </x:c>
      <x:c r="V248">
        <x:v>71</x:v>
      </x:c>
      <x:c r="W248">
        <x:v>53</x:v>
      </x:c>
      <x:c r="X248">
        <x:v>80</x:v>
      </x:c>
      <x:c r="Y248">
        <x:v>74</x:v>
      </x:c>
      <x:c r="Z248">
        <x:v>51</x:v>
      </x:c>
      <x:c r="AA248">
        <x:v>57</x:v>
      </x:c>
    </x:row>
    <x:row r="249">
      <x:c r="A249" t="s">
        <x:v>841</x:v>
      </x:c>
      <x:c r="B249" t="s">
        <x:v>345</x:v>
      </x:c>
      <x:c r="C249" t="s">
        <x:v>323</x:v>
      </x:c>
      <x:c r="D249">
        <x:v>8477446</x:v>
      </x:c>
      <x:c r="E249" t="s">
        <x:v>224</x:v>
      </x:c>
      <x:c r="F249">
        <x:v>79</x:v>
      </x:c>
      <x:c r="G249">
        <x:v>74</x:v>
      </x:c>
      <x:c r="J249" t="s">
        <x:v>2154</x:v>
      </x:c>
      <x:c r="K249">
        <x:v>76</x:v>
      </x:c>
      <x:c r="L249">
        <x:v>90</x:v>
      </x:c>
      <x:c r="M249">
        <x:v>78</x:v>
      </x:c>
      <x:c r="N249">
        <x:v>53</x:v>
      </x:c>
      <x:c r="O249">
        <x:v>90</x:v>
      </x:c>
      <x:c r="P249">
        <x:v>84</x:v>
      </x:c>
      <x:c r="Q249">
        <x:v>95</x:v>
      </x:c>
      <x:c r="R249">
        <x:v>48</x:v>
      </x:c>
      <x:c r="S249">
        <x:v>89</x:v>
      </x:c>
      <x:c r="T249">
        <x:v>51</x:v>
      </x:c>
      <x:c r="U249">
        <x:v>52</x:v>
      </x:c>
      <x:c r="V249">
        <x:v>71</x:v>
      </x:c>
      <x:c r="W249">
        <x:v>52</x:v>
      </x:c>
      <x:c r="X249">
        <x:v>75</x:v>
      </x:c>
      <x:c r="Y249">
        <x:v>72</x:v>
      </x:c>
      <x:c r="Z249">
        <x:v>51</x:v>
      </x:c>
      <x:c r="AA249">
        <x:v>57</x:v>
      </x:c>
    </x:row>
    <x:row r="250">
      <x:c r="A250" t="s">
        <x:v>882</x:v>
      </x:c>
      <x:c r="B250" t="s">
        <x:v>348</x:v>
      </x:c>
      <x:c r="C250" t="s">
        <x:v>329</x:v>
      </x:c>
      <x:c r="D250">
        <x:v>8480289</x:v>
      </x:c>
      <x:c r="E250" t="s">
        <x:v>224</x:v>
      </x:c>
      <x:c r="F250">
        <x:v>65</x:v>
      </x:c>
      <x:c r="G250">
        <x:v>74</x:v>
      </x:c>
      <x:c r="J250" t="s">
        <x:v>2196</x:v>
      </x:c>
      <x:c r="K250">
        <x:v>74</x:v>
      </x:c>
      <x:c r="L250">
        <x:v>63</x:v>
      </x:c>
      <x:c r="M250">
        <x:v>83</x:v>
      </x:c>
      <x:c r="N250">
        <x:v>69</x:v>
      </x:c>
      <x:c r="O250">
        <x:v>87</x:v>
      </x:c>
      <x:c r="P250">
        <x:v>83</x:v>
      </x:c>
      <x:c r="Q250">
        <x:v>86</x:v>
      </x:c>
      <x:c r="R250">
        <x:v>52</x:v>
      </x:c>
      <x:c r="S250">
        <x:v>83</x:v>
      </x:c>
      <x:c r="T250">
        <x:v>52</x:v>
      </x:c>
      <x:c r="U250">
        <x:v>56</x:v>
      </x:c>
      <x:c r="V250">
        <x:v>71</x:v>
      </x:c>
      <x:c r="W250">
        <x:v>52</x:v>
      </x:c>
      <x:c r="X250">
        <x:v>73</x:v>
      </x:c>
      <x:c r="Y250">
        <x:v>70</x:v>
      </x:c>
      <x:c r="Z250">
        <x:v>51</x:v>
      </x:c>
      <x:c r="AA250">
        <x:v>57</x:v>
      </x:c>
    </x:row>
    <x:row r="251">
      <x:c r="A251" t="s">
        <x:v>929</x:v>
      </x:c>
      <x:c r="B251" t="s">
        <x:v>400</x:v>
      </x:c>
      <x:c r="C251" t="s">
        <x:v>331</x:v>
      </x:c>
      <x:c r="D251">
        <x:v>8484304</x:v>
      </x:c>
      <x:c r="E251" t="s">
        <x:v>224</x:v>
      </x:c>
      <x:c r="F251">
        <x:v>54</x:v>
      </x:c>
      <x:c r="G251">
        <x:v>76</x:v>
      </x:c>
      <x:c r="J251" t="s">
        <x:v>2197</x:v>
      </x:c>
      <x:c r="K251">
        <x:v>77</x:v>
      </x:c>
      <x:c r="L251">
        <x:v>36</x:v>
      </x:c>
      <x:c r="M251">
        <x:v>85</x:v>
      </x:c>
      <x:c r="N251">
        <x:v>47</x:v>
      </x:c>
      <x:c r="O251">
        <x:v>79</x:v>
      </x:c>
      <x:c r="P251">
        <x:v>86</x:v>
      </x:c>
      <x:c r="Q251">
        <x:v>82</x:v>
      </x:c>
      <x:c r="R251">
        <x:v>37</x:v>
      </x:c>
      <x:c r="S251">
        <x:v>30</x:v>
      </x:c>
      <x:c r="T251">
        <x:v>52</x:v>
      </x:c>
      <x:c r="U251">
        <x:v>48</x:v>
      </x:c>
      <x:c r="V251">
        <x:v>71</x:v>
      </x:c>
      <x:c r="W251">
        <x:v>52</x:v>
      </x:c>
      <x:c r="X251">
        <x:v>69</x:v>
      </x:c>
      <x:c r="Y251">
        <x:v>70</x:v>
      </x:c>
      <x:c r="Z251">
        <x:v>51</x:v>
      </x:c>
      <x:c r="AA251">
        <x:v>56</x:v>
      </x:c>
    </x:row>
    <x:row r="252">
      <x:c r="A252" t="s">
        <x:v>941</x:v>
      </x:c>
      <x:c r="B252" t="s">
        <x:v>352</x:v>
      </x:c>
      <x:c r="C252" t="s">
        <x:v>333</x:v>
      </x:c>
      <x:c r="D252">
        <x:v>8479520</x:v>
      </x:c>
      <x:c r="E252" t="s">
        <x:v>224</x:v>
      </x:c>
      <x:c r="F252">
        <x:v>82</x:v>
      </x:c>
      <x:c r="G252">
        <x:v>82</x:v>
      </x:c>
      <x:c r="J252" t="s">
        <x:v>1992</x:v>
      </x:c>
      <x:c r="K252">
        <x:v>76</x:v>
      </x:c>
      <x:c r="L252">
        <x:v>91</x:v>
      </x:c>
      <x:c r="M252">
        <x:v>79</x:v>
      </x:c>
      <x:c r="N252">
        <x:v>61</x:v>
      </x:c>
      <x:c r="O252">
        <x:v>84</x:v>
      </x:c>
      <x:c r="P252">
        <x:v>82</x:v>
      </x:c>
      <x:c r="Q252">
        <x:v>99</x:v>
      </x:c>
      <x:c r="R252">
        <x:v>48</x:v>
      </x:c>
      <x:c r="S252">
        <x:v>68</x:v>
      </x:c>
      <x:c r="T252">
        <x:v>50</x:v>
      </x:c>
      <x:c r="U252">
        <x:v>51</x:v>
      </x:c>
      <x:c r="V252">
        <x:v>71</x:v>
      </x:c>
      <x:c r="W252">
        <x:v>52</x:v>
      </x:c>
      <x:c r="X252">
        <x:v>76</x:v>
      </x:c>
      <x:c r="Y252">
        <x:v>70</x:v>
      </x:c>
      <x:c r="Z252">
        <x:v>51</x:v>
      </x:c>
      <x:c r="AA252">
        <x:v>56</x:v>
      </x:c>
    </x:row>
    <x:row r="253">
      <x:c r="A253" t="s">
        <x:v>957</x:v>
      </x:c>
      <x:c r="B253" t="s">
        <x:v>337</x:v>
      </x:c>
      <x:c r="C253" t="s">
        <x:v>333</x:v>
      </x:c>
      <x:c r="D253">
        <x:v>8478046</x:v>
      </x:c>
      <x:c r="E253" t="s">
        <x:v>224</x:v>
      </x:c>
      <x:c r="F253">
        <x:v>46</x:v>
      </x:c>
      <x:c r="G253">
        <x:v>79</x:v>
      </x:c>
      <x:c r="J253" t="s">
        <x:v>2198</x:v>
      </x:c>
      <x:c r="K253">
        <x:v>69</x:v>
      </x:c>
      <x:c r="L253">
        <x:v>37</x:v>
      </x:c>
      <x:c r="M253">
        <x:v>79</x:v>
      </x:c>
      <x:c r="N253">
        <x:v>49</x:v>
      </x:c>
      <x:c r="O253">
        <x:v>77</x:v>
      </x:c>
      <x:c r="P253">
        <x:v>82</x:v>
      </x:c>
      <x:c r="Q253">
        <x:v>82</x:v>
      </x:c>
      <x:c r="R253">
        <x:v>48</x:v>
      </x:c>
      <x:c r="S253">
        <x:v>69</x:v>
      </x:c>
      <x:c r="T253">
        <x:v>52</x:v>
      </x:c>
      <x:c r="U253">
        <x:v>53</x:v>
      </x:c>
      <x:c r="V253">
        <x:v>71</x:v>
      </x:c>
      <x:c r="W253">
        <x:v>54</x:v>
      </x:c>
      <x:c r="X253">
        <x:v>80</x:v>
      </x:c>
      <x:c r="Y253">
        <x:v>72</x:v>
      </x:c>
      <x:c r="Z253">
        <x:v>51</x:v>
      </x:c>
      <x:c r="AA253">
        <x:v>56</x:v>
      </x:c>
    </x:row>
    <x:row r="254">
      <x:c r="A254" t="s">
        <x:v>958</x:v>
      </x:c>
      <x:c r="B254" t="s">
        <x:v>364</x:v>
      </x:c>
      <x:c r="C254" t="s">
        <x:v>319</x:v>
      </x:c>
      <x:c r="D254">
        <x:v>8478831</x:v>
      </x:c>
      <x:c r="E254" t="s">
        <x:v>224</x:v>
      </x:c>
      <x:c r="F254">
        <x:v>80</x:v>
      </x:c>
      <x:c r="G254">
        <x:v>82</x:v>
      </x:c>
      <x:c r="J254" t="s">
        <x:v>2129</x:v>
      </x:c>
      <x:c r="K254">
        <x:v>62</x:v>
      </x:c>
      <x:c r="L254">
        <x:v>42</x:v>
      </x:c>
      <x:c r="M254">
        <x:v>83</x:v>
      </x:c>
      <x:c r="N254">
        <x:v>46</x:v>
      </x:c>
      <x:c r="O254">
        <x:v>85</x:v>
      </x:c>
      <x:c r="P254">
        <x:v>84</x:v>
      </x:c>
      <x:c r="Q254">
        <x:v>97</x:v>
      </x:c>
      <x:c r="R254">
        <x:v>49</x:v>
      </x:c>
      <x:c r="S254">
        <x:v>90</x:v>
      </x:c>
      <x:c r="T254">
        <x:v>52</x:v>
      </x:c>
      <x:c r="U254">
        <x:v>50</x:v>
      </x:c>
      <x:c r="V254">
        <x:v>71</x:v>
      </x:c>
      <x:c r="W254">
        <x:v>54</x:v>
      </x:c>
      <x:c r="X254">
        <x:v>76</x:v>
      </x:c>
      <x:c r="Y254">
        <x:v>73</x:v>
      </x:c>
      <x:c r="Z254">
        <x:v>51</x:v>
      </x:c>
      <x:c r="AA254">
        <x:v>56</x:v>
      </x:c>
    </x:row>
    <x:row r="255">
      <x:c r="A255" t="s">
        <x:v>959</x:v>
      </x:c>
      <x:c r="B255" t="s">
        <x:v>352</x:v>
      </x:c>
      <x:c r="C255" t="s">
        <x:v>323</x:v>
      </x:c>
      <x:c r="D255">
        <x:v>8476925</x:v>
      </x:c>
      <x:c r="E255" t="s">
        <x:v>224</x:v>
      </x:c>
      <x:c r="F255">
        <x:v>66</x:v>
      </x:c>
      <x:c r="G255">
        <x:v>72</x:v>
      </x:c>
      <x:c r="J255" t="s">
        <x:v>2199</x:v>
      </x:c>
      <x:c r="K255">
        <x:v>70</x:v>
      </x:c>
      <x:c r="L255">
        <x:v>71</x:v>
      </x:c>
      <x:c r="M255">
        <x:v>83</x:v>
      </x:c>
      <x:c r="N255">
        <x:v>55</x:v>
      </x:c>
      <x:c r="O255">
        <x:v>80</x:v>
      </x:c>
      <x:c r="P255">
        <x:v>83</x:v>
      </x:c>
      <x:c r="Q255">
        <x:v>86</x:v>
      </x:c>
      <x:c r="R255">
        <x:v>49</x:v>
      </x:c>
      <x:c r="S255">
        <x:v>88</x:v>
      </x:c>
      <x:c r="T255">
        <x:v>50</x:v>
      </x:c>
      <x:c r="U255">
        <x:v>52</x:v>
      </x:c>
      <x:c r="V255">
        <x:v>71</x:v>
      </x:c>
      <x:c r="W255">
        <x:v>52</x:v>
      </x:c>
      <x:c r="X255">
        <x:v>85</x:v>
      </x:c>
      <x:c r="Y255">
        <x:v>73</x:v>
      </x:c>
      <x:c r="Z255">
        <x:v>51</x:v>
      </x:c>
      <x:c r="AA255">
        <x:v>56</x:v>
      </x:c>
    </x:row>
    <x:row r="256">
      <x:c r="A256" t="s">
        <x:v>982</x:v>
      </x:c>
      <x:c r="B256" t="s">
        <x:v>320</x:v>
      </x:c>
      <x:c r="C256" t="s">
        <x:v>333</x:v>
      </x:c>
      <x:c r="D256">
        <x:v>8478472</x:v>
      </x:c>
      <x:c r="E256" t="s">
        <x:v>224</x:v>
      </x:c>
      <x:c r="F256">
        <x:v>51</x:v>
      </x:c>
      <x:c r="G256">
        <x:v>60</x:v>
      </x:c>
      <x:c r="J256" t="s">
        <x:v>2200</x:v>
      </x:c>
      <x:c r="K256">
        <x:v>77</x:v>
      </x:c>
      <x:c r="L256">
        <x:v>51</x:v>
      </x:c>
      <x:c r="M256">
        <x:v>96</x:v>
      </x:c>
      <x:c r="N256">
        <x:v>61</x:v>
      </x:c>
      <x:c r="O256">
        <x:v>77</x:v>
      </x:c>
      <x:c r="P256">
        <x:v>83</x:v>
      </x:c>
      <x:c r="Q256">
        <x:v>78</x:v>
      </x:c>
      <x:c r="R256">
        <x:v>47</x:v>
      </x:c>
      <x:c r="S256">
        <x:v>66</x:v>
      </x:c>
      <x:c r="T256">
        <x:v>52</x:v>
      </x:c>
      <x:c r="U256">
        <x:v>49</x:v>
      </x:c>
      <x:c r="V256">
        <x:v>71</x:v>
      </x:c>
      <x:c r="W256">
        <x:v>53</x:v>
      </x:c>
      <x:c r="X256">
        <x:v>77</x:v>
      </x:c>
      <x:c r="Y256">
        <x:v>72</x:v>
      </x:c>
      <x:c r="Z256">
        <x:v>51</x:v>
      </x:c>
      <x:c r="AA256">
        <x:v>55</x:v>
      </x:c>
    </x:row>
    <x:row r="257">
      <x:c r="A257" t="s">
        <x:v>1052</x:v>
      </x:c>
      <x:c r="B257" t="s">
        <x:v>324</x:v>
      </x:c>
      <x:c r="C257" t="s">
        <x:v>323</x:v>
      </x:c>
      <x:c r="D257">
        <x:v>8481186</x:v>
      </x:c>
      <x:c r="E257" t="s">
        <x:v>224</x:v>
      </x:c>
      <x:c r="F257">
        <x:v>13</x:v>
      </x:c>
      <x:c r="G257">
        <x:v>80</x:v>
      </x:c>
      <x:c r="J257" t="s">
        <x:v>2201</x:v>
      </x:c>
      <x:c r="K257">
        <x:v>66</x:v>
      </x:c>
      <x:c r="L257">
        <x:v>41</x:v>
      </x:c>
      <x:c r="M257">
        <x:v>92</x:v>
      </x:c>
      <x:c r="N257">
        <x:v>69</x:v>
      </x:c>
      <x:c r="O257">
        <x:v>75</x:v>
      </x:c>
      <x:c r="P257">
        <x:v>80</x:v>
      </x:c>
      <x:c r="Q257">
        <x:v>45</x:v>
      </x:c>
      <x:c r="R257">
        <x:v>51</x:v>
      </x:c>
      <x:c r="S257">
        <x:v>63</x:v>
      </x:c>
      <x:c r="T257">
        <x:v>51</x:v>
      </x:c>
      <x:c r="U257">
        <x:v>47</x:v>
      </x:c>
      <x:c r="V257">
        <x:v>71</x:v>
      </x:c>
      <x:c r="W257">
        <x:v>52</x:v>
      </x:c>
      <x:c r="X257">
        <x:v>76</x:v>
      </x:c>
      <x:c r="Y257">
        <x:v>71</x:v>
      </x:c>
      <x:c r="Z257">
        <x:v>51</x:v>
      </x:c>
      <x:c r="AA257">
        <x:v>55</x:v>
      </x:c>
    </x:row>
    <x:row r="258">
      <x:c r="A258" t="s">
        <x:v>362</x:v>
      </x:c>
      <x:c r="B258" t="s">
        <x:v>354</x:v>
      </x:c>
      <x:c r="C258" t="s">
        <x:v>319</x:v>
      </x:c>
      <x:c r="D258">
        <x:v>8478403</x:v>
      </x:c>
      <x:c r="E258" t="s">
        <x:v>224</x:v>
      </x:c>
      <x:c r="F258">
        <x:v>74</x:v>
      </x:c>
      <x:c r="G258">
        <x:v>77</x:v>
      </x:c>
      <x:c r="J258" t="s">
        <x:v>2202</x:v>
      </x:c>
      <x:c r="K258">
        <x:v>59</x:v>
      </x:c>
      <x:c r="L258">
        <x:v>41</x:v>
      </x:c>
      <x:c r="M258">
        <x:v>96</x:v>
      </x:c>
      <x:c r="N258">
        <x:v>70</x:v>
      </x:c>
      <x:c r="O258">
        <x:v>83</x:v>
      </x:c>
      <x:c r="P258">
        <x:v>93</x:v>
      </x:c>
      <x:c r="Q258">
        <x:v>91</x:v>
      </x:c>
      <x:c r="R258">
        <x:v>72</x:v>
      </x:c>
      <x:c r="S258">
        <x:v>88</x:v>
      </x:c>
      <x:c r="T258">
        <x:v>78</x:v>
      </x:c>
      <x:c r="U258">
        <x:v>60</x:v>
      </x:c>
      <x:c r="V258">
        <x:v>70</x:v>
      </x:c>
      <x:c r="W258">
        <x:v>85</x:v>
      </x:c>
      <x:c r="X258">
        <x:v>82</x:v>
      </x:c>
      <x:c r="Y258">
        <x:v>87</x:v>
      </x:c>
      <x:c r="Z258">
        <x:v>51</x:v>
      </x:c>
      <x:c r="AA258">
        <x:v>67</x:v>
      </x:c>
    </x:row>
    <x:row r="259">
      <x:c r="A259" t="s">
        <x:v>375</x:v>
      </x:c>
      <x:c r="B259" t="s">
        <x:v>327</x:v>
      </x:c>
      <x:c r="C259" t="s">
        <x:v>358</x:v>
      </x:c>
      <x:c r="D259">
        <x:v>8479542</x:v>
      </x:c>
      <x:c r="E259" t="s">
        <x:v>224</x:v>
      </x:c>
      <x:c r="F259">
        <x:v>71</x:v>
      </x:c>
      <x:c r="G259">
        <x:v>82</x:v>
      </x:c>
      <x:c r="J259" t="s">
        <x:v>2203</x:v>
      </x:c>
      <x:c r="K259">
        <x:v>60</x:v>
      </x:c>
      <x:c r="L259">
        <x:v>72</x:v>
      </x:c>
      <x:c r="M259">
        <x:v>87</x:v>
      </x:c>
      <x:c r="N259">
        <x:v>59</x:v>
      </x:c>
      <x:c r="O259">
        <x:v>77</x:v>
      </x:c>
      <x:c r="P259">
        <x:v>91</x:v>
      </x:c>
      <x:c r="Q259">
        <x:v>90</x:v>
      </x:c>
      <x:c r="R259">
        <x:v>68</x:v>
      </x:c>
      <x:c r="S259">
        <x:v>71</x:v>
      </x:c>
      <x:c r="T259">
        <x:v>70</x:v>
      </x:c>
      <x:c r="U259">
        <x:v>71</x:v>
      </x:c>
      <x:c r="V259">
        <x:v>70</x:v>
      </x:c>
      <x:c r="W259">
        <x:v>54</x:v>
      </x:c>
      <x:c r="X259">
        <x:v>78</x:v>
      </x:c>
      <x:c r="Y259">
        <x:v>81</x:v>
      </x:c>
      <x:c r="Z259">
        <x:v>51</x:v>
      </x:c>
      <x:c r="AA259">
        <x:v>66</x:v>
      </x:c>
    </x:row>
    <x:row r="260">
      <x:c r="A260" t="s">
        <x:v>381</x:v>
      </x:c>
      <x:c r="B260" t="s">
        <x:v>345</x:v>
      </x:c>
      <x:c r="C260" t="s">
        <x:v>358</x:v>
      </x:c>
      <x:c r="D260">
        <x:v>8481557</x:v>
      </x:c>
      <x:c r="E260" t="s">
        <x:v>224</x:v>
      </x:c>
      <x:c r="F260">
        <x:v>76</x:v>
      </x:c>
      <x:c r="G260">
        <x:v>82</x:v>
      </x:c>
      <x:c r="J260" t="s">
        <x:v>2204</x:v>
      </x:c>
      <x:c r="K260">
        <x:v>62</x:v>
      </x:c>
      <x:c r="L260">
        <x:v>46</x:v>
      </x:c>
      <x:c r="M260">
        <x:v>90</x:v>
      </x:c>
      <x:c r="N260">
        <x:v>53</x:v>
      </x:c>
      <x:c r="O260">
        <x:v>81</x:v>
      </x:c>
      <x:c r="P260">
        <x:v>92</x:v>
      </x:c>
      <x:c r="Q260">
        <x:v>94</x:v>
      </x:c>
      <x:c r="R260">
        <x:v>69</x:v>
      </x:c>
      <x:c r="S260">
        <x:v>74</x:v>
      </x:c>
      <x:c r="T260">
        <x:v>62</x:v>
      </x:c>
      <x:c r="U260">
        <x:v>71</x:v>
      </x:c>
      <x:c r="V260">
        <x:v>70</x:v>
      </x:c>
      <x:c r="W260">
        <x:v>90</x:v>
      </x:c>
      <x:c r="X260">
        <x:v>75</x:v>
      </x:c>
      <x:c r="Y260">
        <x:v>80</x:v>
      </x:c>
      <x:c r="Z260">
        <x:v>51</x:v>
      </x:c>
      <x:c r="AA260">
        <x:v>66</x:v>
      </x:c>
    </x:row>
    <x:row r="261">
      <x:c r="A261" t="s">
        <x:v>399</x:v>
      </x:c>
      <x:c r="B261" t="s">
        <x:v>400</x:v>
      </x:c>
      <x:c r="C261" t="s">
        <x:v>323</x:v>
      </x:c>
      <x:c r="D261">
        <x:v>8477933</x:v>
      </x:c>
      <x:c r="E261" t="s">
        <x:v>224</x:v>
      </x:c>
      <x:c r="F261">
        <x:v>64</x:v>
      </x:c>
      <x:c r="G261">
        <x:v>79</x:v>
      </x:c>
      <x:c r="J261" t="s">
        <x:v>2205</x:v>
      </x:c>
      <x:c r="K261">
        <x:v>64</x:v>
      </x:c>
      <x:c r="L261">
        <x:v>44</x:v>
      </x:c>
      <x:c r="M261">
        <x:v>92</x:v>
      </x:c>
      <x:c r="N261">
        <x:v>48</x:v>
      </x:c>
      <x:c r="O261">
        <x:v>79</x:v>
      </x:c>
      <x:c r="P261">
        <x:v>93</x:v>
      </x:c>
      <x:c r="Q261">
        <x:v>86</x:v>
      </x:c>
      <x:c r="R261">
        <x:v>68</x:v>
      </x:c>
      <x:c r="S261">
        <x:v>76</x:v>
      </x:c>
      <x:c r="T261">
        <x:v>58</x:v>
      </x:c>
      <x:c r="U261">
        <x:v>65</x:v>
      </x:c>
      <x:c r="V261">
        <x:v>70</x:v>
      </x:c>
      <x:c r="W261">
        <x:v>88</x:v>
      </x:c>
      <x:c r="X261">
        <x:v>86</x:v>
      </x:c>
      <x:c r="Y261">
        <x:v>81</x:v>
      </x:c>
      <x:c r="Z261">
        <x:v>56</x:v>
      </x:c>
      <x:c r="AA261">
        <x:v>65</x:v>
      </x:c>
    </x:row>
    <x:row r="262">
      <x:c r="A262" t="s">
        <x:v>416</x:v>
      </x:c>
      <x:c r="B262" t="s">
        <x:v>366</x:v>
      </x:c>
      <x:c r="C262" t="s">
        <x:v>319</x:v>
      </x:c>
      <x:c r="D262">
        <x:v>8480002</x:v>
      </x:c>
      <x:c r="E262" t="s">
        <x:v>224</x:v>
      </x:c>
      <x:c r="F262">
        <x:v>82</x:v>
      </x:c>
      <x:c r="G262">
        <x:v>75</x:v>
      </x:c>
      <x:c r="J262" t="s">
        <x:v>2098</x:v>
      </x:c>
      <x:c r="K262">
        <x:v>61</x:v>
      </x:c>
      <x:c r="L262">
        <x:v>52</x:v>
      </x:c>
      <x:c r="M262">
        <x:v>93</x:v>
      </x:c>
      <x:c r="N262">
        <x:v>54</x:v>
      </x:c>
      <x:c r="O262">
        <x:v>80</x:v>
      </x:c>
      <x:c r="P262">
        <x:v>92</x:v>
      </x:c>
      <x:c r="Q262">
        <x:v>97</x:v>
      </x:c>
      <x:c r="R262">
        <x:v>67</x:v>
      </x:c>
      <x:c r="S262">
        <x:v>94</x:v>
      </x:c>
      <x:c r="T262">
        <x:v>58</x:v>
      </x:c>
      <x:c r="U262">
        <x:v>62</x:v>
      </x:c>
      <x:c r="V262">
        <x:v>70</x:v>
      </x:c>
      <x:c r="W262">
        <x:v>55</x:v>
      </x:c>
      <x:c r="X262">
        <x:v>79</x:v>
      </x:c>
      <x:c r="Y262">
        <x:v>88</x:v>
      </x:c>
      <x:c r="Z262">
        <x:v>51</x:v>
      </x:c>
      <x:c r="AA262">
        <x:v>64</x:v>
      </x:c>
    </x:row>
    <x:row r="263">
      <x:c r="A263" t="s">
        <x:v>432</x:v>
      </x:c>
      <x:c r="B263" t="s">
        <x:v>345</x:v>
      </x:c>
      <x:c r="C263" t="s">
        <x:v>319</x:v>
      </x:c>
      <x:c r="D263">
        <x:v>8475158</x:v>
      </x:c>
      <x:c r="E263" t="s">
        <x:v>224</x:v>
      </x:c>
      <x:c r="F263">
        <x:v>81</x:v>
      </x:c>
      <x:c r="G263">
        <x:v>79</x:v>
      </x:c>
      <x:c r="J263" t="s">
        <x:v>2104</x:v>
      </x:c>
      <x:c r="K263">
        <x:v>57</x:v>
      </x:c>
      <x:c r="L263">
        <x:v>48</x:v>
      </x:c>
      <x:c r="M263">
        <x:v>87</x:v>
      </x:c>
      <x:c r="N263">
        <x:v>51</x:v>
      </x:c>
      <x:c r="O263">
        <x:v>83</x:v>
      </x:c>
      <x:c r="P263">
        <x:v>92</x:v>
      </x:c>
      <x:c r="Q263">
        <x:v>98</x:v>
      </x:c>
      <x:c r="R263">
        <x:v>64</x:v>
      </x:c>
      <x:c r="S263">
        <x:v>91</x:v>
      </x:c>
      <x:c r="T263">
        <x:v>67</x:v>
      </x:c>
      <x:c r="U263">
        <x:v>58</x:v>
      </x:c>
      <x:c r="V263">
        <x:v>70</x:v>
      </x:c>
      <x:c r="W263">
        <x:v>88</x:v>
      </x:c>
      <x:c r="X263">
        <x:v>89</x:v>
      </x:c>
      <x:c r="Y263">
        <x:v>91</x:v>
      </x:c>
      <x:c r="Z263">
        <x:v>51</x:v>
      </x:c>
      <x:c r="AA263">
        <x:v>64</x:v>
      </x:c>
    </x:row>
    <x:row r="264">
      <x:c r="A264" t="s">
        <x:v>445</x:v>
      </x:c>
      <x:c r="B264" t="s">
        <x:v>320</x:v>
      </x:c>
      <x:c r="C264" t="s">
        <x:v>319</x:v>
      </x:c>
      <x:c r="D264">
        <x:v>8471685</x:v>
      </x:c>
      <x:c r="E264" t="s">
        <x:v>224</x:v>
      </x:c>
      <x:c r="F264">
        <x:v>67</x:v>
      </x:c>
      <x:c r="G264">
        <x:v>81</x:v>
      </x:c>
      <x:c r="J264" t="s">
        <x:v>2192</x:v>
      </x:c>
      <x:c r="K264">
        <x:v>60</x:v>
      </x:c>
      <x:c r="L264">
        <x:v>42</x:v>
      </x:c>
      <x:c r="M264">
        <x:v>92</x:v>
      </x:c>
      <x:c r="N264">
        <x:v>48</x:v>
      </x:c>
      <x:c r="O264">
        <x:v>88</x:v>
      </x:c>
      <x:c r="P264">
        <x:v>91</x:v>
      </x:c>
      <x:c r="Q264">
        <x:v>88</x:v>
      </x:c>
      <x:c r="R264">
        <x:v>63</x:v>
      </x:c>
      <x:c r="S264">
        <x:v>93</x:v>
      </x:c>
      <x:c r="T264">
        <x:v>58</x:v>
      </x:c>
      <x:c r="U264">
        <x:v>53</x:v>
      </x:c>
      <x:c r="V264">
        <x:v>70</x:v>
      </x:c>
      <x:c r="W264">
        <x:v>71</x:v>
      </x:c>
      <x:c r="X264">
        <x:v>93</x:v>
      </x:c>
      <x:c r="Y264">
        <x:v>98</x:v>
      </x:c>
      <x:c r="Z264">
        <x:v>51</x:v>
      </x:c>
      <x:c r="AA264">
        <x:v>63</x:v>
      </x:c>
    </x:row>
    <x:row r="265">
      <x:c r="A265" t="s">
        <x:v>500</x:v>
      </x:c>
      <x:c r="B265" t="s">
        <x:v>327</x:v>
      </x:c>
      <x:c r="C265" t="s">
        <x:v>329</x:v>
      </x:c>
      <x:c r="D265">
        <x:v>8478519</x:v>
      </x:c>
      <x:c r="E265" t="s">
        <x:v>224</x:v>
      </x:c>
      <x:c r="F265">
        <x:v>71</x:v>
      </x:c>
      <x:c r="G265">
        <x:v>80</x:v>
      </x:c>
      <x:c r="J265" t="s">
        <x:v>2030</x:v>
      </x:c>
      <x:c r="K265">
        <x:v>62</x:v>
      </x:c>
      <x:c r="L265">
        <x:v>71</x:v>
      </x:c>
      <x:c r="M265">
        <x:v>86</x:v>
      </x:c>
      <x:c r="N265">
        <x:v>55</x:v>
      </x:c>
      <x:c r="O265">
        <x:v>79</x:v>
      </x:c>
      <x:c r="P265">
        <x:v>88</x:v>
      </x:c>
      <x:c r="Q265">
        <x:v>90</x:v>
      </x:c>
      <x:c r="R265">
        <x:v>59</x:v>
      </x:c>
      <x:c r="S265">
        <x:v>88</x:v>
      </x:c>
      <x:c r="T265">
        <x:v>60</x:v>
      </x:c>
      <x:c r="U265">
        <x:v>62</x:v>
      </x:c>
      <x:c r="V265">
        <x:v>70</x:v>
      </x:c>
      <x:c r="W265">
        <x:v>53</x:v>
      </x:c>
      <x:c r="X265">
        <x:v>82</x:v>
      </x:c>
      <x:c r="Y265">
        <x:v>78</x:v>
      </x:c>
      <x:c r="Z265">
        <x:v>51</x:v>
      </x:c>
      <x:c r="AA265">
        <x:v>62</x:v>
      </x:c>
    </x:row>
    <x:row r="266">
      <x:c r="A266" t="s">
        <x:v>525</x:v>
      </x:c>
      <x:c r="B266" t="s">
        <x:v>370</x:v>
      </x:c>
      <x:c r="C266" t="s">
        <x:v>329</x:v>
      </x:c>
      <x:c r="D266">
        <x:v>8473512</x:v>
      </x:c>
      <x:c r="E266" t="s">
        <x:v>224</x:v>
      </x:c>
      <x:c r="F266">
        <x:v>82</x:v>
      </x:c>
      <x:c r="G266">
        <x:v>81</x:v>
      </x:c>
      <x:c r="J266" t="s">
        <x:v>2102</x:v>
      </x:c>
      <x:c r="K266">
        <x:v>64</x:v>
      </x:c>
      <x:c r="L266">
        <x:v>36</x:v>
      </x:c>
      <x:c r="M266">
        <x:v>89</x:v>
      </x:c>
      <x:c r="N266">
        <x:v>49</x:v>
      </x:c>
      <x:c r="O266">
        <x:v>77</x:v>
      </x:c>
      <x:c r="P266">
        <x:v>87</x:v>
      </x:c>
      <x:c r="Q266">
        <x:v>99</x:v>
      </x:c>
      <x:c r="R266">
        <x:v>61</x:v>
      </x:c>
      <x:c r="S266">
        <x:v>92</x:v>
      </x:c>
      <x:c r="T266">
        <x:v>62</x:v>
      </x:c>
      <x:c r="U266">
        <x:v>55</x:v>
      </x:c>
      <x:c r="V266">
        <x:v>70</x:v>
      </x:c>
      <x:c r="W266">
        <x:v>71</x:v>
      </x:c>
      <x:c r="X266">
        <x:v>92</x:v>
      </x:c>
      <x:c r="Y266">
        <x:v>90</x:v>
      </x:c>
      <x:c r="Z266">
        <x:v>51</x:v>
      </x:c>
      <x:c r="AA266">
        <x:v>61</x:v>
      </x:c>
    </x:row>
    <x:row r="267">
      <x:c r="A267" t="s">
        <x:v>541</x:v>
      </x:c>
      <x:c r="B267" t="s">
        <x:v>379</x:v>
      </x:c>
      <x:c r="C267" t="s">
        <x:v>323</x:v>
      </x:c>
      <x:c r="D267">
        <x:v>8482124</x:v>
      </x:c>
      <x:c r="E267" t="s">
        <x:v>224</x:v>
      </x:c>
      <x:c r="F267">
        <x:v>79</x:v>
      </x:c>
      <x:c r="G267">
        <x:v>81</x:v>
      </x:c>
      <x:c r="J267" t="s">
        <x:v>2082</x:v>
      </x:c>
      <x:c r="K267">
        <x:v>63</x:v>
      </x:c>
      <x:c r="L267">
        <x:v>43</x:v>
      </x:c>
      <x:c r="M267">
        <x:v>89</x:v>
      </x:c>
      <x:c r="N267">
        <x:v>69</x:v>
      </x:c>
      <x:c r="O267">
        <x:v>89</x:v>
      </x:c>
      <x:c r="P267">
        <x:v>91</x:v>
      </x:c>
      <x:c r="Q267">
        <x:v>96</x:v>
      </x:c>
      <x:c r="R267">
        <x:v>59</x:v>
      </x:c>
      <x:c r="S267">
        <x:v>86</x:v>
      </x:c>
      <x:c r="T267">
        <x:v>54</x:v>
      </x:c>
      <x:c r="U267">
        <x:v>58</x:v>
      </x:c>
      <x:c r="V267">
        <x:v>70</x:v>
      </x:c>
      <x:c r="W267">
        <x:v>59</x:v>
      </x:c>
      <x:c r="X267">
        <x:v>74</x:v>
      </x:c>
      <x:c r="Y267">
        <x:v>77</x:v>
      </x:c>
      <x:c r="Z267">
        <x:v>51</x:v>
      </x:c>
      <x:c r="AA267">
        <x:v>61</x:v>
      </x:c>
    </x:row>
    <x:row r="268">
      <x:c r="A268" t="s">
        <x:v>562</x:v>
      </x:c>
      <x:c r="B268" t="s">
        <x:v>400</x:v>
      </x:c>
      <x:c r="C268" t="s">
        <x:v>319</x:v>
      </x:c>
      <x:c r="D268">
        <x:v>8482113</x:v>
      </x:c>
      <x:c r="E268" t="s">
        <x:v>224</x:v>
      </x:c>
      <x:c r="F268">
        <x:v>64</x:v>
      </x:c>
      <x:c r="G268">
        <x:v>79</x:v>
      </x:c>
      <x:c r="J268" t="s">
        <x:v>2205</x:v>
      </x:c>
      <x:c r="K268">
        <x:v>66</x:v>
      </x:c>
      <x:c r="L268">
        <x:v>39</x:v>
      </x:c>
      <x:c r="M268">
        <x:v>88</x:v>
      </x:c>
      <x:c r="N268">
        <x:v>49</x:v>
      </x:c>
      <x:c r="O268">
        <x:v>79</x:v>
      </x:c>
      <x:c r="P268">
        <x:v>90</x:v>
      </x:c>
      <x:c r="Q268">
        <x:v>86</x:v>
      </x:c>
      <x:c r="R268">
        <x:v>58</x:v>
      </x:c>
      <x:c r="S268">
        <x:v>90</x:v>
      </x:c>
      <x:c r="T268">
        <x:v>56</x:v>
      </x:c>
      <x:c r="U268">
        <x:v>57</x:v>
      </x:c>
      <x:c r="V268">
        <x:v>70</x:v>
      </x:c>
      <x:c r="W268">
        <x:v>92</x:v>
      </x:c>
      <x:c r="X268">
        <x:v>77</x:v>
      </x:c>
      <x:c r="Y268">
        <x:v>72</x:v>
      </x:c>
      <x:c r="Z268">
        <x:v>51</x:v>
      </x:c>
      <x:c r="AA268">
        <x:v>61</x:v>
      </x:c>
    </x:row>
    <x:row r="269">
      <x:c r="A269" t="s">
        <x:v>572</x:v>
      </x:c>
      <x:c r="B269" t="s">
        <x:v>386</x:v>
      </x:c>
      <x:c r="C269" t="s">
        <x:v>339</x:v>
      </x:c>
      <x:c r="D269">
        <x:v>8473533</x:v>
      </x:c>
      <x:c r="E269" t="s">
        <x:v>224</x:v>
      </x:c>
      <x:c r="F269">
        <x:v>75</x:v>
      </x:c>
      <x:c r="G269">
        <x:v>75</x:v>
      </x:c>
      <x:c r="J269" t="s">
        <x:v>2206</x:v>
      </x:c>
      <x:c r="K269">
        <x:v>72</x:v>
      </x:c>
      <x:c r="L269">
        <x:v>62</x:v>
      </x:c>
      <x:c r="M269">
        <x:v>92</x:v>
      </x:c>
      <x:c r="N269">
        <x:v>54</x:v>
      </x:c>
      <x:c r="O269">
        <x:v>87</x:v>
      </x:c>
      <x:c r="P269">
        <x:v>86</x:v>
      </x:c>
      <x:c r="Q269">
        <x:v>92</x:v>
      </x:c>
      <x:c r="R269">
        <x:v>55</x:v>
      </x:c>
      <x:c r="S269">
        <x:v>93</x:v>
      </x:c>
      <x:c r="T269">
        <x:v>53</x:v>
      </x:c>
      <x:c r="U269">
        <x:v>58</x:v>
      </x:c>
      <x:c r="V269">
        <x:v>70</x:v>
      </x:c>
      <x:c r="W269">
        <x:v>52</x:v>
      </x:c>
      <x:c r="X269">
        <x:v>93</x:v>
      </x:c>
      <x:c r="Y269">
        <x:v>91</x:v>
      </x:c>
      <x:c r="Z269">
        <x:v>42</x:v>
      </x:c>
      <x:c r="AA269">
        <x:v>61</x:v>
      </x:c>
    </x:row>
    <x:row r="270">
      <x:c r="A270" t="s">
        <x:v>599</x:v>
      </x:c>
      <x:c r="B270" t="s">
        <x:v>439</x:v>
      </x:c>
      <x:c r="C270" t="s">
        <x:v>319</x:v>
      </x:c>
      <x:c r="D270">
        <x:v>8476461</x:v>
      </x:c>
      <x:c r="E270" t="s">
        <x:v>224</x:v>
      </x:c>
      <x:c r="F270">
        <x:v>78</x:v>
      </x:c>
      <x:c r="G270">
        <x:v>79</x:v>
      </x:c>
      <x:c r="J270" t="s">
        <x:v>2207</x:v>
      </x:c>
      <x:c r="K270">
        <x:v>66</x:v>
      </x:c>
      <x:c r="L270">
        <x:v>45</x:v>
      </x:c>
      <x:c r="M270">
        <x:v>83</x:v>
      </x:c>
      <x:c r="N270">
        <x:v>47</x:v>
      </x:c>
      <x:c r="O270">
        <x:v>84</x:v>
      </x:c>
      <x:c r="P270">
        <x:v>87</x:v>
      </x:c>
      <x:c r="Q270">
        <x:v>95</x:v>
      </x:c>
      <x:c r="R270">
        <x:v>55</x:v>
      </x:c>
      <x:c r="S270">
        <x:v>90</x:v>
      </x:c>
      <x:c r="T270">
        <x:v>57</x:v>
      </x:c>
      <x:c r="U270">
        <x:v>53</x:v>
      </x:c>
      <x:c r="V270">
        <x:v>70</x:v>
      </x:c>
      <x:c r="W270">
        <x:v>66</x:v>
      </x:c>
      <x:c r="X270">
        <x:v>86</x:v>
      </x:c>
      <x:c r="Y270">
        <x:v>89</x:v>
      </x:c>
      <x:c r="Z270">
        <x:v>51</x:v>
      </x:c>
      <x:c r="AA270">
        <x:v>60</x:v>
      </x:c>
    </x:row>
    <x:row r="271">
      <x:c r="A271" t="s">
        <x:v>616</x:v>
      </x:c>
      <x:c r="B271" t="s">
        <x:v>334</x:v>
      </x:c>
      <x:c r="C271" t="s">
        <x:v>333</x:v>
      </x:c>
      <x:c r="D271">
        <x:v>8478474</x:v>
      </x:c>
      <x:c r="E271" t="s">
        <x:v>224</x:v>
      </x:c>
      <x:c r="F271">
        <x:v>81</x:v>
      </x:c>
      <x:c r="G271">
        <x:v>81</x:v>
      </x:c>
      <x:c r="J271" t="s">
        <x:v>2035</x:v>
      </x:c>
      <x:c r="K271">
        <x:v>74</x:v>
      </x:c>
      <x:c r="L271">
        <x:v>74</x:v>
      </x:c>
      <x:c r="M271">
        <x:v>83</x:v>
      </x:c>
      <x:c r="N271">
        <x:v>58</x:v>
      </x:c>
      <x:c r="O271">
        <x:v>85</x:v>
      </x:c>
      <x:c r="P271">
        <x:v>87</x:v>
      </x:c>
      <x:c r="Q271">
        <x:v>98</x:v>
      </x:c>
      <x:c r="R271">
        <x:v>56</x:v>
      </x:c>
      <x:c r="S271">
        <x:v>71</x:v>
      </x:c>
      <x:c r="T271">
        <x:v>53</x:v>
      </x:c>
      <x:c r="U271">
        <x:v>60</x:v>
      </x:c>
      <x:c r="V271">
        <x:v>70</x:v>
      </x:c>
      <x:c r="W271">
        <x:v>52</x:v>
      </x:c>
      <x:c r="X271">
        <x:v>79</x:v>
      </x:c>
      <x:c r="Y271">
        <x:v>78</x:v>
      </x:c>
      <x:c r="Z271">
        <x:v>51</x:v>
      </x:c>
      <x:c r="AA271">
        <x:v>60</x:v>
      </x:c>
    </x:row>
    <x:row r="272">
      <x:c r="A272" t="s">
        <x:v>621</x:v>
      </x:c>
      <x:c r="B272" t="s">
        <x:v>379</x:v>
      </x:c>
      <x:c r="C272" t="s">
        <x:v>326</x:v>
      </x:c>
      <x:c r="D272">
        <x:v>8482155</x:v>
      </x:c>
      <x:c r="E272" t="s">
        <x:v>224</x:v>
      </x:c>
      <x:c r="F272">
        <x:v>82</x:v>
      </x:c>
      <x:c r="G272">
        <x:v>77</x:v>
      </x:c>
      <x:c r="J272" t="s">
        <x:v>2208</x:v>
      </x:c>
      <x:c r="K272">
        <x:v>74</x:v>
      </x:c>
      <x:c r="L272">
        <x:v>41</x:v>
      </x:c>
      <x:c r="M272">
        <x:v>93</x:v>
      </x:c>
      <x:c r="N272">
        <x:v>59</x:v>
      </x:c>
      <x:c r="O272">
        <x:v>82</x:v>
      </x:c>
      <x:c r="P272">
        <x:v>88</x:v>
      </x:c>
      <x:c r="Q272">
        <x:v>98</x:v>
      </x:c>
      <x:c r="R272">
        <x:v>57</x:v>
      </x:c>
      <x:c r="S272">
        <x:v>78</x:v>
      </x:c>
      <x:c r="T272">
        <x:v>55</x:v>
      </x:c>
      <x:c r="U272">
        <x:v>58</x:v>
      </x:c>
      <x:c r="V272">
        <x:v>70</x:v>
      </x:c>
      <x:c r="W272">
        <x:v>55</x:v>
      </x:c>
      <x:c r="X272">
        <x:v>70</x:v>
      </x:c>
      <x:c r="Y272">
        <x:v>74</x:v>
      </x:c>
      <x:c r="Z272">
        <x:v>51</x:v>
      </x:c>
      <x:c r="AA272">
        <x:v>60</x:v>
      </x:c>
    </x:row>
    <x:row r="273">
      <x:c r="A273" t="s">
        <x:v>631</x:v>
      </x:c>
      <x:c r="B273" t="s">
        <x:v>383</x:v>
      </x:c>
      <x:c r="C273" t="s">
        <x:v>331</x:v>
      </x:c>
      <x:c r="D273">
        <x:v>8480434</x:v>
      </x:c>
      <x:c r="E273" t="s">
        <x:v>224</x:v>
      </x:c>
      <x:c r="F273">
        <x:v>60</x:v>
      </x:c>
      <x:c r="G273">
        <x:v>30</x:v>
      </x:c>
      <x:c r="J273" t="s">
        <x:v>2209</x:v>
      </x:c>
      <x:c r="K273">
        <x:v>70</x:v>
      </x:c>
      <x:c r="L273">
        <x:v>39</x:v>
      </x:c>
      <x:c r="M273">
        <x:v>84</x:v>
      </x:c>
      <x:c r="N273">
        <x:v>49</x:v>
      </x:c>
      <x:c r="O273">
        <x:v>79</x:v>
      </x:c>
      <x:c r="P273">
        <x:v>91</x:v>
      </x:c>
      <x:c r="Q273">
        <x:v>80</x:v>
      </x:c>
      <x:c r="R273">
        <x:v>43</x:v>
      </x:c>
      <x:c r="S273">
        <x:v>30</x:v>
      </x:c>
      <x:c r="T273">
        <x:v>57</x:v>
      </x:c>
      <x:c r="U273">
        <x:v>48</x:v>
      </x:c>
      <x:c r="V273">
        <x:v>70</x:v>
      </x:c>
      <x:c r="W273">
        <x:v>52</x:v>
      </x:c>
      <x:c r="X273">
        <x:v>74</x:v>
      </x:c>
      <x:c r="Y273">
        <x:v>70</x:v>
      </x:c>
      <x:c r="Z273">
        <x:v>51</x:v>
      </x:c>
      <x:c r="AA273">
        <x:v>60</x:v>
      </x:c>
    </x:row>
    <x:row r="274">
      <x:c r="A274" t="s">
        <x:v>644</x:v>
      </x:c>
      <x:c r="B274" t="s">
        <x:v>386</x:v>
      </x:c>
      <x:c r="C274" t="s">
        <x:v>329</x:v>
      </x:c>
      <x:c r="D274">
        <x:v>8476921</x:v>
      </x:c>
      <x:c r="E274" t="s">
        <x:v>224</x:v>
      </x:c>
      <x:c r="F274">
        <x:v>77</x:v>
      </x:c>
      <x:c r="G274">
        <x:v>79</x:v>
      </x:c>
      <x:c r="J274" t="s">
        <x:v>2210</x:v>
      </x:c>
      <x:c r="K274">
        <x:v>68</x:v>
      </x:c>
      <x:c r="L274">
        <x:v>55</x:v>
      </x:c>
      <x:c r="M274">
        <x:v>85</x:v>
      </x:c>
      <x:c r="N274">
        <x:v>55</x:v>
      </x:c>
      <x:c r="O274">
        <x:v>83</x:v>
      </x:c>
      <x:c r="P274">
        <x:v>85</x:v>
      </x:c>
      <x:c r="Q274">
        <x:v>94</x:v>
      </x:c>
      <x:c r="R274">
        <x:v>54</x:v>
      </x:c>
      <x:c r="S274">
        <x:v>72</x:v>
      </x:c>
      <x:c r="T274">
        <x:v>54</x:v>
      </x:c>
      <x:c r="U274">
        <x:v>55</x:v>
      </x:c>
      <x:c r="V274">
        <x:v>70</x:v>
      </x:c>
      <x:c r="W274">
        <x:v>59</x:v>
      </x:c>
      <x:c r="X274">
        <x:v>86</x:v>
      </x:c>
      <x:c r="Y274">
        <x:v>80</x:v>
      </x:c>
      <x:c r="Z274">
        <x:v>51</x:v>
      </x:c>
      <x:c r="AA274">
        <x:v>59</x:v>
      </x:c>
    </x:row>
    <x:row r="275">
      <x:c r="A275" t="s">
        <x:v>659</x:v>
      </x:c>
      <x:c r="B275" t="s">
        <x:v>368</x:v>
      </x:c>
      <x:c r="C275" t="s">
        <x:v>329</x:v>
      </x:c>
      <x:c r="D275">
        <x:v>8477429</x:v>
      </x:c>
      <x:c r="E275" t="s">
        <x:v>224</x:v>
      </x:c>
      <x:c r="F275">
        <x:v>79</x:v>
      </x:c>
      <x:c r="G275">
        <x:v>56</x:v>
      </x:c>
      <x:c r="J275" t="s">
        <x:v>2211</x:v>
      </x:c>
      <x:c r="K275">
        <x:v>60</x:v>
      </x:c>
      <x:c r="L275">
        <x:v>37</x:v>
      </x:c>
      <x:c r="M275">
        <x:v>88</x:v>
      </x:c>
      <x:c r="N275">
        <x:v>55</x:v>
      </x:c>
      <x:c r="O275">
        <x:v>80</x:v>
      </x:c>
      <x:c r="P275">
        <x:v>86</x:v>
      </x:c>
      <x:c r="Q275">
        <x:v>93</x:v>
      </x:c>
      <x:c r="R275">
        <x:v>56</x:v>
      </x:c>
      <x:c r="S275">
        <x:v>89</x:v>
      </x:c>
      <x:c r="T275">
        <x:v>61</x:v>
      </x:c>
      <x:c r="U275">
        <x:v>53</x:v>
      </x:c>
      <x:c r="V275">
        <x:v>70</x:v>
      </x:c>
      <x:c r="W275">
        <x:v>52</x:v>
      </x:c>
      <x:c r="X275">
        <x:v>83</x:v>
      </x:c>
      <x:c r="Y275">
        <x:v>77</x:v>
      </x:c>
      <x:c r="Z275">
        <x:v>51</x:v>
      </x:c>
      <x:c r="AA275">
        <x:v>59</x:v>
      </x:c>
    </x:row>
    <x:row r="276">
      <x:c r="A276" t="s">
        <x:v>686</x:v>
      </x:c>
      <x:c r="B276" t="s">
        <x:v>337</x:v>
      </x:c>
      <x:c r="C276" t="s">
        <x:v>326</x:v>
      </x:c>
      <x:c r="D276">
        <x:v>8479671</x:v>
      </x:c>
      <x:c r="E276" t="s">
        <x:v>224</x:v>
      </x:c>
      <x:c r="F276">
        <x:v>61</x:v>
      </x:c>
      <x:c r="G276">
        <x:v>82</x:v>
      </x:c>
      <x:c r="J276" t="s">
        <x:v>2212</x:v>
      </x:c>
      <x:c r="K276">
        <x:v>82</x:v>
      </x:c>
      <x:c r="L276">
        <x:v>95</x:v>
      </x:c>
      <x:c r="M276">
        <x:v>79</x:v>
      </x:c>
      <x:c r="N276">
        <x:v>51</x:v>
      </x:c>
      <x:c r="O276">
        <x:v>90</x:v>
      </x:c>
      <x:c r="P276">
        <x:v>84</x:v>
      </x:c>
      <x:c r="Q276">
        <x:v>83</x:v>
      </x:c>
      <x:c r="R276">
        <x:v>53</x:v>
      </x:c>
      <x:c r="S276">
        <x:v>64</x:v>
      </x:c>
      <x:c r="T276">
        <x:v>52</x:v>
      </x:c>
      <x:c r="U276">
        <x:v>59</x:v>
      </x:c>
      <x:c r="V276">
        <x:v>70</x:v>
      </x:c>
      <x:c r="W276">
        <x:v>52</x:v>
      </x:c>
      <x:c r="X276">
        <x:v>70</x:v>
      </x:c>
      <x:c r="Y276">
        <x:v>71</x:v>
      </x:c>
      <x:c r="Z276">
        <x:v>51</x:v>
      </x:c>
      <x:c r="AA276">
        <x:v>59</x:v>
      </x:c>
    </x:row>
    <x:row r="277">
      <x:c r="A277" t="s">
        <x:v>690</x:v>
      </x:c>
      <x:c r="B277" t="s">
        <x:v>340</x:v>
      </x:c>
      <x:c r="C277" t="s">
        <x:v>326</x:v>
      </x:c>
      <x:c r="D277">
        <x:v>8484911</x:v>
      </x:c>
      <x:c r="E277" t="s">
        <x:v>224</x:v>
      </x:c>
      <x:c r="F277">
        <x:v>81</x:v>
      </x:c>
      <x:c r="G277">
        <x:v>33</x:v>
      </x:c>
      <x:c r="J277" t="s">
        <x:v>2213</x:v>
      </x:c>
      <x:c r="K277">
        <x:v>65</x:v>
      </x:c>
      <x:c r="L277">
        <x:v>38</x:v>
      </x:c>
      <x:c r="M277">
        <x:v>93</x:v>
      </x:c>
      <x:c r="N277">
        <x:v>57</x:v>
      </x:c>
      <x:c r="O277">
        <x:v>78</x:v>
      </x:c>
      <x:c r="P277">
        <x:v>85</x:v>
      </x:c>
      <x:c r="Q277">
        <x:v>94</x:v>
      </x:c>
      <x:c r="R277">
        <x:v>57</x:v>
      </x:c>
      <x:c r="S277">
        <x:v>66</x:v>
      </x:c>
      <x:c r="T277">
        <x:v>54</x:v>
      </x:c>
      <x:c r="U277">
        <x:v>57</x:v>
      </x:c>
      <x:c r="V277">
        <x:v>70</x:v>
      </x:c>
      <x:c r="W277">
        <x:v>64</x:v>
      </x:c>
      <x:c r="X277">
        <x:v>67</x:v>
      </x:c>
      <x:c r="Y277">
        <x:v>66</x:v>
      </x:c>
      <x:c r="Z277">
        <x:v>51</x:v>
      </x:c>
      <x:c r="AA277">
        <x:v>59</x:v>
      </x:c>
    </x:row>
    <x:row r="278">
      <x:c r="A278" t="s">
        <x:v>715</x:v>
      </x:c>
      <x:c r="B278" t="s">
        <x:v>481</x:v>
      </x:c>
      <x:c r="C278" t="s">
        <x:v>319</x:v>
      </x:c>
      <x:c r="D278">
        <x:v>8482665</x:v>
      </x:c>
      <x:c r="E278" t="s">
        <x:v>224</x:v>
      </x:c>
      <x:c r="F278">
        <x:v>82</x:v>
      </x:c>
      <x:c r="G278">
        <x:v>82</x:v>
      </x:c>
      <x:c r="J278" t="s">
        <x:v>1992</x:v>
      </x:c>
      <x:c r="K278">
        <x:v>59</x:v>
      </x:c>
      <x:c r="L278">
        <x:v>47</x:v>
      </x:c>
      <x:c r="M278">
        <x:v>95</x:v>
      </x:c>
      <x:c r="N278">
        <x:v>54</x:v>
      </x:c>
      <x:c r="O278">
        <x:v>76</x:v>
      </x:c>
      <x:c r="P278">
        <x:v>91</x:v>
      </x:c>
      <x:c r="Q278">
        <x:v>99</x:v>
      </x:c>
      <x:c r="R278">
        <x:v>57</x:v>
      </x:c>
      <x:c r="S278">
        <x:v>88</x:v>
      </x:c>
      <x:c r="T278">
        <x:v>56</x:v>
      </x:c>
      <x:c r="U278">
        <x:v>57</x:v>
      </x:c>
      <x:c r="V278">
        <x:v>70</x:v>
      </x:c>
      <x:c r="W278">
        <x:v>78</x:v>
      </x:c>
      <x:c r="X278">
        <x:v>73</x:v>
      </x:c>
      <x:c r="Y278">
        <x:v>74</x:v>
      </x:c>
      <x:c r="Z278">
        <x:v>51</x:v>
      </x:c>
      <x:c r="AA278">
        <x:v>59</x:v>
      </x:c>
    </x:row>
    <x:row r="279">
      <x:c r="A279" t="s">
        <x:v>735</x:v>
      </x:c>
      <x:c r="B279" t="s">
        <x:v>334</x:v>
      </x:c>
      <x:c r="C279" t="s">
        <x:v>339</x:v>
      </x:c>
      <x:c r="D279">
        <x:v>8483489</x:v>
      </x:c>
      <x:c r="E279" t="s">
        <x:v>224</x:v>
      </x:c>
      <x:c r="F279">
        <x:v>82</x:v>
      </x:c>
      <x:c r="G279">
        <x:v>21</x:v>
      </x:c>
      <x:c r="J279" t="s">
        <x:v>2214</x:v>
      </x:c>
      <x:c r="K279">
        <x:v>71</x:v>
      </x:c>
      <x:c r="L279">
        <x:v>36</x:v>
      </x:c>
      <x:c r="M279">
        <x:v>88</x:v>
      </x:c>
      <x:c r="N279">
        <x:v>58</x:v>
      </x:c>
      <x:c r="O279">
        <x:v>82</x:v>
      </x:c>
      <x:c r="P279">
        <x:v>85</x:v>
      </x:c>
      <x:c r="Q279">
        <x:v>95</x:v>
      </x:c>
      <x:c r="R279">
        <x:v>54</x:v>
      </x:c>
      <x:c r="S279">
        <x:v>86</x:v>
      </x:c>
      <x:c r="T279">
        <x:v>52</x:v>
      </x:c>
      <x:c r="U279">
        <x:v>56</x:v>
      </x:c>
      <x:c r="V279">
        <x:v>70</x:v>
      </x:c>
      <x:c r="W279">
        <x:v>74</x:v>
      </x:c>
      <x:c r="X279">
        <x:v>69</x:v>
      </x:c>
      <x:c r="Y279">
        <x:v>69</x:v>
      </x:c>
      <x:c r="Z279">
        <x:v>51</x:v>
      </x:c>
      <x:c r="AA279">
        <x:v>58</x:v>
      </x:c>
    </x:row>
    <x:row r="280">
      <x:c r="A280" t="s">
        <x:v>756</x:v>
      </x:c>
      <x:c r="B280" t="s">
        <x:v>370</x:v>
      </x:c>
      <x:c r="C280" t="s">
        <x:v>329</x:v>
      </x:c>
      <x:c r="D280">
        <x:v>8478020</x:v>
      </x:c>
      <x:c r="E280" t="s">
        <x:v>224</x:v>
      </x:c>
      <x:c r="F280">
        <x:v>81</x:v>
      </x:c>
      <x:c r="G280">
        <x:v>72</x:v>
      </x:c>
      <x:c r="J280" t="s">
        <x:v>2215</x:v>
      </x:c>
      <x:c r="K280">
        <x:v>68</x:v>
      </x:c>
      <x:c r="L280">
        <x:v>38</x:v>
      </x:c>
      <x:c r="M280">
        <x:v>94</x:v>
      </x:c>
      <x:c r="N280">
        <x:v>55</x:v>
      </x:c>
      <x:c r="O280">
        <x:v>83</x:v>
      </x:c>
      <x:c r="P280">
        <x:v>86</x:v>
      </x:c>
      <x:c r="Q280">
        <x:v>96</x:v>
      </x:c>
      <x:c r="R280">
        <x:v>53</x:v>
      </x:c>
      <x:c r="S280">
        <x:v>69</x:v>
      </x:c>
      <x:c r="T280">
        <x:v>53</x:v>
      </x:c>
      <x:c r="U280">
        <x:v>55</x:v>
      </x:c>
      <x:c r="V280">
        <x:v>70</x:v>
      </x:c>
      <x:c r="W280">
        <x:v>53</x:v>
      </x:c>
      <x:c r="X280">
        <x:v>78</x:v>
      </x:c>
      <x:c r="Y280">
        <x:v>73</x:v>
      </x:c>
      <x:c r="Z280">
        <x:v>51</x:v>
      </x:c>
      <x:c r="AA280">
        <x:v>58</x:v>
      </x:c>
    </x:row>
    <x:row r="281">
      <x:c r="A281" t="s">
        <x:v>781</x:v>
      </x:c>
      <x:c r="B281" t="s">
        <x:v>343</x:v>
      </x:c>
      <x:c r="C281" t="s">
        <x:v>339</x:v>
      </x:c>
      <x:c r="D281">
        <x:v>8479351</x:v>
      </x:c>
      <x:c r="E281" t="s">
        <x:v>224</x:v>
      </x:c>
      <x:c r="F281">
        <x:v>73</x:v>
      </x:c>
      <x:c r="G281">
        <x:v>79</x:v>
      </x:c>
      <x:c r="J281" t="s">
        <x:v>2039</x:v>
      </x:c>
      <x:c r="K281">
        <x:v>66</x:v>
      </x:c>
      <x:c r="L281">
        <x:v>39</x:v>
      </x:c>
      <x:c r="M281">
        <x:v>91</x:v>
      </x:c>
      <x:c r="N281">
        <x:v>54</x:v>
      </x:c>
      <x:c r="O281">
        <x:v>77</x:v>
      </x:c>
      <x:c r="P281">
        <x:v>86</x:v>
      </x:c>
      <x:c r="Q281">
        <x:v>91</x:v>
      </x:c>
      <x:c r="R281">
        <x:v>53</x:v>
      </x:c>
      <x:c r="S281">
        <x:v>83</x:v>
      </x:c>
      <x:c r="T281">
        <x:v>56</x:v>
      </x:c>
      <x:c r="U281">
        <x:v>53</x:v>
      </x:c>
      <x:c r="V281">
        <x:v>70</x:v>
      </x:c>
      <x:c r="W281">
        <x:v>53</x:v>
      </x:c>
      <x:c r="X281">
        <x:v>79</x:v>
      </x:c>
      <x:c r="Y281">
        <x:v>69</x:v>
      </x:c>
      <x:c r="Z281">
        <x:v>51</x:v>
      </x:c>
      <x:c r="AA281">
        <x:v>58</x:v>
      </x:c>
    </x:row>
    <x:row r="282">
      <x:c r="A282" t="s">
        <x:v>786</x:v>
      </x:c>
      <x:c r="B282" t="s">
        <x:v>354</x:v>
      </x:c>
      <x:c r="C282" t="s">
        <x:v>319</x:v>
      </x:c>
      <x:c r="D282">
        <x:v>8476448</x:v>
      </x:c>
      <x:c r="E282" t="s">
        <x:v>224</x:v>
      </x:c>
      <x:c r="F282">
        <x:v>14</x:v>
      </x:c>
      <x:c r="G282">
        <x:v>53</x:v>
      </x:c>
      <x:c r="J282" t="s">
        <x:v>2216</x:v>
      </x:c>
      <x:c r="K282">
        <x:v>58</x:v>
      </x:c>
      <x:c r="L282">
        <x:v>34</x:v>
      </x:c>
      <x:c r="M282">
        <x:v>86</x:v>
      </x:c>
      <x:c r="N282">
        <x:v>61</x:v>
      </x:c>
      <x:c r="O282">
        <x:v>78</x:v>
      </x:c>
      <x:c r="P282">
        <x:v>83</x:v>
      </x:c>
      <x:c r="Q282">
        <x:v>43</x:v>
      </x:c>
      <x:c r="R282">
        <x:v>55</x:v>
      </x:c>
      <x:c r="S282">
        <x:v>90</x:v>
      </x:c>
      <x:c r="T282">
        <x:v>51</x:v>
      </x:c>
      <x:c r="U282">
        <x:v>56</x:v>
      </x:c>
      <x:c r="V282">
        <x:v>70</x:v>
      </x:c>
      <x:c r="W282">
        <x:v>58</x:v>
      </x:c>
      <x:c r="X282">
        <x:v>86</x:v>
      </x:c>
      <x:c r="Y282">
        <x:v>82</x:v>
      </x:c>
      <x:c r="Z282">
        <x:v>51</x:v>
      </x:c>
      <x:c r="AA282">
        <x:v>58</x:v>
      </x:c>
    </x:row>
    <x:row r="283">
      <x:c r="A283" t="s">
        <x:v>790</x:v>
      </x:c>
      <x:c r="B283" t="s">
        <x:v>345</x:v>
      </x:c>
      <x:c r="C283" t="s">
        <x:v>333</x:v>
      </x:c>
      <x:c r="D283">
        <x:v>8473422</x:v>
      </x:c>
      <x:c r="E283" t="s">
        <x:v>224</x:v>
      </x:c>
      <x:c r="F283">
        <x:v>53</x:v>
      </x:c>
      <x:c r="G283">
        <x:v>78</x:v>
      </x:c>
      <x:c r="J283" t="s">
        <x:v>2217</x:v>
      </x:c>
      <x:c r="K283">
        <x:v>77</x:v>
      </x:c>
      <x:c r="L283">
        <x:v>85</x:v>
      </x:c>
      <x:c r="M283">
        <x:v>81</x:v>
      </x:c>
      <x:c r="N283">
        <x:v>43</x:v>
      </x:c>
      <x:c r="O283">
        <x:v>84</x:v>
      </x:c>
      <x:c r="P283">
        <x:v>84</x:v>
      </x:c>
      <x:c r="Q283">
        <x:v>80</x:v>
      </x:c>
      <x:c r="R283">
        <x:v>52</x:v>
      </x:c>
      <x:c r="S283">
        <x:v>85</x:v>
      </x:c>
      <x:c r="T283">
        <x:v>53</x:v>
      </x:c>
      <x:c r="U283">
        <x:v>51</x:v>
      </x:c>
      <x:c r="V283">
        <x:v>70</x:v>
      </x:c>
      <x:c r="W283">
        <x:v>64</x:v>
      </x:c>
      <x:c r="X283">
        <x:v>90</x:v>
      </x:c>
      <x:c r="Y283">
        <x:v>87</x:v>
      </x:c>
      <x:c r="Z283">
        <x:v>51</x:v>
      </x:c>
      <x:c r="AA283">
        <x:v>58</x:v>
      </x:c>
    </x:row>
    <x:row r="284">
      <x:c r="A284" t="s">
        <x:v>845</x:v>
      </x:c>
      <x:c r="B284" t="s">
        <x:v>372</x:v>
      </x:c>
      <x:c r="C284" t="s">
        <x:v>319</x:v>
      </x:c>
      <x:c r="D284">
        <x:v>8477021</x:v>
      </x:c>
      <x:c r="E284" t="s">
        <x:v>224</x:v>
      </x:c>
      <x:c r="F284">
        <x:v>34</x:v>
      </x:c>
      <x:c r="G284">
        <x:v>81</x:v>
      </x:c>
      <x:c r="J284" t="s">
        <x:v>2116</x:v>
      </x:c>
      <x:c r="K284">
        <x:v>66</x:v>
      </x:c>
      <x:c r="L284">
        <x:v>68</x:v>
      </x:c>
      <x:c r="M284">
        <x:v>79</x:v>
      </x:c>
      <x:c r="N284">
        <x:v>57</x:v>
      </x:c>
      <x:c r="O284">
        <x:v>77</x:v>
      </x:c>
      <x:c r="P284">
        <x:v>82</x:v>
      </x:c>
      <x:c r="Q284">
        <x:v>71</x:v>
      </x:c>
      <x:c r="R284">
        <x:v>52</x:v>
      </x:c>
      <x:c r="S284">
        <x:v>84</x:v>
      </x:c>
      <x:c r="T284">
        <x:v>52</x:v>
      </x:c>
      <x:c r="U284">
        <x:v>55</x:v>
      </x:c>
      <x:c r="V284">
        <x:v>70</x:v>
      </x:c>
      <x:c r="W284">
        <x:v>61</x:v>
      </x:c>
      <x:c r="X284">
        <x:v>80</x:v>
      </x:c>
      <x:c r="Y284">
        <x:v>75</x:v>
      </x:c>
      <x:c r="Z284">
        <x:v>51</x:v>
      </x:c>
      <x:c r="AA284">
        <x:v>57</x:v>
      </x:c>
    </x:row>
    <x:row r="285">
      <x:c r="A285" t="s">
        <x:v>856</x:v>
      </x:c>
      <x:c r="B285" t="s">
        <x:v>402</x:v>
      </x:c>
      <x:c r="C285" t="s">
        <x:v>323</x:v>
      </x:c>
      <x:c r="D285">
        <x:v>8482088</x:v>
      </x:c>
      <x:c r="E285" t="s">
        <x:v>224</x:v>
      </x:c>
      <x:c r="F285">
        <x:v>78</x:v>
      </x:c>
      <x:c r="G285">
        <x:v>1</x:v>
      </x:c>
      <x:c r="J285" t="s">
        <x:v>2218</x:v>
      </x:c>
      <x:c r="K285">
        <x:v>66</x:v>
      </x:c>
      <x:c r="L285">
        <x:v>46</x:v>
      </x:c>
      <x:c r="M285">
        <x:v>92</x:v>
      </x:c>
      <x:c r="N285">
        <x:v>58</x:v>
      </x:c>
      <x:c r="O285">
        <x:v>79</x:v>
      </x:c>
      <x:c r="P285">
        <x:v>84</x:v>
      </x:c>
      <x:c r="Q285">
        <x:v>93</x:v>
      </x:c>
      <x:c r="R285">
        <x:v>54</x:v>
      </x:c>
      <x:c r="S285">
        <x:v>83</x:v>
      </x:c>
      <x:c r="T285">
        <x:v>52</x:v>
      </x:c>
      <x:c r="U285">
        <x:v>69</x:v>
      </x:c>
      <x:c r="V285">
        <x:v>70</x:v>
      </x:c>
      <x:c r="W285">
        <x:v>56</x:v>
      </x:c>
      <x:c r="X285">
        <x:v>67</x:v>
      </x:c>
      <x:c r="Y285">
        <x:v>66</x:v>
      </x:c>
      <x:c r="Z285">
        <x:v>54</x:v>
      </x:c>
      <x:c r="AA285">
        <x:v>57</x:v>
      </x:c>
    </x:row>
    <x:row r="286">
      <x:c r="A286" t="s">
        <x:v>923</x:v>
      </x:c>
      <x:c r="B286" t="s">
        <x:v>396</x:v>
      </x:c>
      <x:c r="C286" t="s">
        <x:v>333</x:v>
      </x:c>
      <x:c r="D286">
        <x:v>8480281</x:v>
      </x:c>
      <x:c r="E286" t="s">
        <x:v>224</x:v>
      </x:c>
      <x:c r="F286">
        <x:v>65</x:v>
      </x:c>
      <x:c r="G286">
        <x:v>80</x:v>
      </x:c>
      <x:c r="J286" t="s">
        <x:v>2219</x:v>
      </x:c>
      <x:c r="K286">
        <x:v>77</x:v>
      </x:c>
      <x:c r="L286">
        <x:v>73</x:v>
      </x:c>
      <x:c r="M286">
        <x:v>87</x:v>
      </x:c>
      <x:c r="N286">
        <x:v>69</x:v>
      </x:c>
      <x:c r="O286">
        <x:v>88</x:v>
      </x:c>
      <x:c r="P286">
        <x:v>83</x:v>
      </x:c>
      <x:c r="Q286">
        <x:v>86</x:v>
      </x:c>
      <x:c r="R286">
        <x:v>51</x:v>
      </x:c>
      <x:c r="S286">
        <x:v>69</x:v>
      </x:c>
      <x:c r="T286">
        <x:v>51</x:v>
      </x:c>
      <x:c r="U286">
        <x:v>50</x:v>
      </x:c>
      <x:c r="V286">
        <x:v>70</x:v>
      </x:c>
      <x:c r="W286">
        <x:v>53</x:v>
      </x:c>
      <x:c r="X286">
        <x:v>74</x:v>
      </x:c>
      <x:c r="Y286">
        <x:v>69</x:v>
      </x:c>
      <x:c r="Z286">
        <x:v>51</x:v>
      </x:c>
      <x:c r="AA286">
        <x:v>56</x:v>
      </x:c>
    </x:row>
    <x:row r="287">
      <x:c r="A287" t="s">
        <x:v>924</x:v>
      </x:c>
      <x:c r="B287" t="s">
        <x:v>396</x:v>
      </x:c>
      <x:c r="C287" t="s">
        <x:v>339</x:v>
      </x:c>
      <x:c r="D287">
        <x:v>8479992</x:v>
      </x:c>
      <x:c r="E287" t="s">
        <x:v>224</x:v>
      </x:c>
      <x:c r="F287">
        <x:v>64</x:v>
      </x:c>
      <x:c r="G287">
        <x:v>77</x:v>
      </x:c>
      <x:c r="J287" t="s">
        <x:v>2220</x:v>
      </x:c>
      <x:c r="K287">
        <x:v>68</x:v>
      </x:c>
      <x:c r="L287">
        <x:v>53</x:v>
      </x:c>
      <x:c r="M287">
        <x:v>91</x:v>
      </x:c>
      <x:c r="N287">
        <x:v>56</x:v>
      </x:c>
      <x:c r="O287">
        <x:v>88</x:v>
      </x:c>
      <x:c r="P287">
        <x:v>83</x:v>
      </x:c>
      <x:c r="Q287">
        <x:v>85</x:v>
      </x:c>
      <x:c r="R287">
        <x:v>51</x:v>
      </x:c>
      <x:c r="S287">
        <x:v>80</x:v>
      </x:c>
      <x:c r="T287">
        <x:v>51</x:v>
      </x:c>
      <x:c r="U287">
        <x:v>52</x:v>
      </x:c>
      <x:c r="V287">
        <x:v>70</x:v>
      </x:c>
      <x:c r="W287">
        <x:v>52</x:v>
      </x:c>
      <x:c r="X287">
        <x:v>73</x:v>
      </x:c>
      <x:c r="Y287">
        <x:v>71</x:v>
      </x:c>
      <x:c r="Z287">
        <x:v>51</x:v>
      </x:c>
      <x:c r="AA287">
        <x:v>56</x:v>
      </x:c>
    </x:row>
    <x:row r="288">
      <x:c r="A288" t="s">
        <x:v>930</x:v>
      </x:c>
      <x:c r="B288" t="s">
        <x:v>340</x:v>
      </x:c>
      <x:c r="C288" t="s">
        <x:v>319</x:v>
      </x:c>
      <x:c r="D288">
        <x:v>8476624</x:v>
      </x:c>
      <x:c r="E288" t="s">
        <x:v>224</x:v>
      </x:c>
      <x:c r="F288">
        <x:v>82</x:v>
      </x:c>
      <x:c r="G288">
        <x:v>77</x:v>
      </x:c>
      <x:c r="J288" t="s">
        <x:v>2208</x:v>
      </x:c>
      <x:c r="K288">
        <x:v>74</x:v>
      </x:c>
      <x:c r="L288">
        <x:v>82</x:v>
      </x:c>
      <x:c r="M288">
        <x:v>79</x:v>
      </x:c>
      <x:c r="N288">
        <x:v>54</x:v>
      </x:c>
      <x:c r="O288">
        <x:v>84</x:v>
      </x:c>
      <x:c r="P288">
        <x:v>82</x:v>
      </x:c>
      <x:c r="Q288">
        <x:v>98</x:v>
      </x:c>
      <x:c r="R288">
        <x:v>47</x:v>
      </x:c>
      <x:c r="S288">
        <x:v>72</x:v>
      </x:c>
      <x:c r="T288">
        <x:v>49</x:v>
      </x:c>
      <x:c r="U288">
        <x:v>51</x:v>
      </x:c>
      <x:c r="V288">
        <x:v>70</x:v>
      </x:c>
      <x:c r="W288">
        <x:v>53</x:v>
      </x:c>
      <x:c r="X288">
        <x:v>85</x:v>
      </x:c>
      <x:c r="Y288">
        <x:v>80</x:v>
      </x:c>
      <x:c r="Z288">
        <x:v>51</x:v>
      </x:c>
      <x:c r="AA288">
        <x:v>56</x:v>
      </x:c>
    </x:row>
    <x:row r="289">
      <x:c r="A289" t="s">
        <x:v>939</x:v>
      </x:c>
      <x:c r="B289" t="s">
        <x:v>327</x:v>
      </x:c>
      <x:c r="C289" t="s">
        <x:v>329</x:v>
      </x:c>
      <x:c r="D289">
        <x:v>8480995</x:v>
      </x:c>
      <x:c r="E289" t="s">
        <x:v>224</x:v>
      </x:c>
      <x:c r="F289">
        <x:v>70</x:v>
      </x:c>
      <x:c r="G289">
        <x:v>68</x:v>
      </x:c>
      <x:c r="J289" t="s">
        <x:v>2221</x:v>
      </x:c>
      <x:c r="K289">
        <x:v>66</x:v>
      </x:c>
      <x:c r="L289">
        <x:v>52</x:v>
      </x:c>
      <x:c r="M289">
        <x:v>91</x:v>
      </x:c>
      <x:c r="N289">
        <x:v>57</x:v>
      </x:c>
      <x:c r="O289">
        <x:v>81</x:v>
      </x:c>
      <x:c r="P289">
        <x:v>84</x:v>
      </x:c>
      <x:c r="Q289">
        <x:v>88</x:v>
      </x:c>
      <x:c r="R289">
        <x:v>52</x:v>
      </x:c>
      <x:c r="S289">
        <x:v>72</x:v>
      </x:c>
      <x:c r="T289">
        <x:v>52</x:v>
      </x:c>
      <x:c r="U289">
        <x:v>55</x:v>
      </x:c>
      <x:c r="V289">
        <x:v>70</x:v>
      </x:c>
      <x:c r="W289">
        <x:v>52</x:v>
      </x:c>
      <x:c r="X289">
        <x:v>70</x:v>
      </x:c>
      <x:c r="Y289">
        <x:v>70</x:v>
      </x:c>
      <x:c r="Z289">
        <x:v>51</x:v>
      </x:c>
      <x:c r="AA289">
        <x:v>56</x:v>
      </x:c>
    </x:row>
    <x:row r="290">
      <x:c r="A290" t="s">
        <x:v>1029</x:v>
      </x:c>
      <x:c r="B290" t="s">
        <x:v>383</x:v>
      </x:c>
      <x:c r="C290" t="s">
        <x:v>319</x:v>
      </x:c>
      <x:c r="D290">
        <x:v>8480813</x:v>
      </x:c>
      <x:c r="E290" t="s">
        <x:v>224</x:v>
      </x:c>
      <x:c r="F290">
        <x:v>61</x:v>
      </x:c>
      <x:c r="G290">
        <x:v>74</x:v>
      </x:c>
      <x:c r="J290" t="s">
        <x:v>2222</x:v>
      </x:c>
      <x:c r="K290">
        <x:v>80</x:v>
      </x:c>
      <x:c r="L290">
        <x:v>55</x:v>
      </x:c>
      <x:c r="M290">
        <x:v>86</x:v>
      </x:c>
      <x:c r="N290">
        <x:v>62</x:v>
      </x:c>
      <x:c r="O290">
        <x:v>81</x:v>
      </x:c>
      <x:c r="P290">
        <x:v>83</x:v>
      </x:c>
      <x:c r="Q290">
        <x:v>82</x:v>
      </x:c>
      <x:c r="R290">
        <x:v>49</x:v>
      </x:c>
      <x:c r="S290">
        <x:v>83</x:v>
      </x:c>
      <x:c r="T290">
        <x:v>49</x:v>
      </x:c>
      <x:c r="U290">
        <x:v>50</x:v>
      </x:c>
      <x:c r="V290">
        <x:v>70</x:v>
      </x:c>
      <x:c r="W290">
        <x:v>52</x:v>
      </x:c>
      <x:c r="X290">
        <x:v>73</x:v>
      </x:c>
      <x:c r="Y290">
        <x:v>71</x:v>
      </x:c>
      <x:c r="Z290">
        <x:v>51</x:v>
      </x:c>
      <x:c r="AA290">
        <x:v>55</x:v>
      </x:c>
    </x:row>
    <x:row r="291">
      <x:c r="A291" t="s">
        <x:v>1037</x:v>
      </x:c>
      <x:c r="B291" t="s">
        <x:v>334</x:v>
      </x:c>
      <x:c r="C291" t="s">
        <x:v>329</x:v>
      </x:c>
      <x:c r="D291">
        <x:v>8482634</x:v>
      </x:c>
      <x:c r="E291" t="s">
        <x:v>224</x:v>
      </x:c>
      <x:c r="F291">
        <x:v>43</x:v>
      </x:c>
      <x:c r="G291">
        <x:v>7</x:v>
      </x:c>
      <x:c r="J291" t="s">
        <x:v>2223</x:v>
      </x:c>
      <x:c r="K291">
        <x:v>85</x:v>
      </x:c>
      <x:c r="L291">
        <x:v>72</x:v>
      </x:c>
      <x:c r="M291">
        <x:v>89</x:v>
      </x:c>
      <x:c r="N291">
        <x:v>47</x:v>
      </x:c>
      <x:c r="O291">
        <x:v>80</x:v>
      </x:c>
      <x:c r="P291">
        <x:v>84</x:v>
      </x:c>
      <x:c r="Q291">
        <x:v>79</x:v>
      </x:c>
      <x:c r="R291">
        <x:v>52</x:v>
      </x:c>
      <x:c r="S291">
        <x:v>68</x:v>
      </x:c>
      <x:c r="T291">
        <x:v>51</x:v>
      </x:c>
      <x:c r="U291">
        <x:v>56</x:v>
      </x:c>
      <x:c r="V291">
        <x:v>70</x:v>
      </x:c>
      <x:c r="W291">
        <x:v>57</x:v>
      </x:c>
      <x:c r="X291">
        <x:v>67</x:v>
      </x:c>
      <x:c r="Y291">
        <x:v>69</x:v>
      </x:c>
      <x:c r="Z291">
        <x:v>51</x:v>
      </x:c>
      <x:c r="AA291">
        <x:v>55</x:v>
      </x:c>
    </x:row>
    <x:row r="292">
      <x:c r="A292" t="s">
        <x:v>1064</x:v>
      </x:c>
      <x:c r="B292" t="s">
        <x:v>584</x:v>
      </x:c>
      <x:c r="C292" t="s">
        <x:v>319</x:v>
      </x:c>
      <x:c r="D292">
        <x:v>8479291</x:v>
      </x:c>
      <x:c r="E292" t="s">
        <x:v>224</x:v>
      </x:c>
      <x:c r="F292">
        <x:v>1</x:v>
      </x:c>
      <x:c r="G292">
        <x:v>70</x:v>
      </x:c>
      <x:c r="J292" t="s">
        <x:v>2224</x:v>
      </x:c>
      <x:c r="K292">
        <x:v>61</x:v>
      </x:c>
      <x:c r="L292">
        <x:v>33</x:v>
      </x:c>
      <x:c r="M292">
        <x:v>91</x:v>
      </x:c>
      <x:c r="N292">
        <x:v>54</x:v>
      </x:c>
      <x:c r="O292">
        <x:v>78</x:v>
      </x:c>
      <x:c r="P292">
        <x:v>80</x:v>
      </x:c>
      <x:c r="Q292">
        <x:v>82</x:v>
      </x:c>
      <x:c r="R292">
        <x:v>44</x:v>
      </x:c>
      <x:c r="S292">
        <x:v>81</x:v>
      </x:c>
      <x:c r="T292">
        <x:v>47</x:v>
      </x:c>
      <x:c r="U292">
        <x:v>60</x:v>
      </x:c>
      <x:c r="V292">
        <x:v>70</x:v>
      </x:c>
      <x:c r="W292">
        <x:v>66</x:v>
      </x:c>
      <x:c r="X292">
        <x:v>74</x:v>
      </x:c>
      <x:c r="Y292">
        <x:v>76</x:v>
      </x:c>
      <x:c r="Z292">
        <x:v>51</x:v>
      </x:c>
      <x:c r="AA292">
        <x:v>54</x:v>
      </x:c>
    </x:row>
    <x:row r="293">
      <x:c r="A293" t="s">
        <x:v>1098</x:v>
      </x:c>
      <x:c r="B293" t="s">
        <x:v>370</x:v>
      </x:c>
      <x:c r="C293" t="s">
        <x:v>333</x:v>
      </x:c>
      <x:c r="D293">
        <x:v>8481577</x:v>
      </x:c>
      <x:c r="E293" t="s">
        <x:v>224</x:v>
      </x:c>
      <x:c r="F293">
        <x:v>9</x:v>
      </x:c>
      <x:c r="G293">
        <x:v>61</x:v>
      </x:c>
      <x:c r="J293" t="s">
        <x:v>2225</x:v>
      </x:c>
      <x:c r="K293">
        <x:v>69</x:v>
      </x:c>
      <x:c r="L293">
        <x:v>35</x:v>
      </x:c>
      <x:c r="M293">
        <x:v>91</x:v>
      </x:c>
      <x:c r="N293">
        <x:v>51</x:v>
      </x:c>
      <x:c r="O293">
        <x:v>77</x:v>
      </x:c>
      <x:c r="P293">
        <x:v>84</x:v>
      </x:c>
      <x:c r="Q293">
        <x:v>87</x:v>
      </x:c>
      <x:c r="R293">
        <x:v>47</x:v>
      </x:c>
      <x:c r="S293">
        <x:v>71</x:v>
      </x:c>
      <x:c r="T293">
        <x:v>50</x:v>
      </x:c>
      <x:c r="U293">
        <x:v>50</x:v>
      </x:c>
      <x:c r="V293">
        <x:v>70</x:v>
      </x:c>
      <x:c r="W293">
        <x:v>71</x:v>
      </x:c>
      <x:c r="X293">
        <x:v>69</x:v>
      </x:c>
      <x:c r="Y293">
        <x:v>71</x:v>
      </x:c>
      <x:c r="Z293">
        <x:v>51</x:v>
      </x:c>
      <x:c r="AA293">
        <x:v>54</x:v>
      </x:c>
    </x:row>
    <x:row r="294">
      <x:c r="A294" t="s">
        <x:v>1122</x:v>
      </x:c>
      <x:c r="B294" t="s">
        <x:v>379</x:v>
      </x:c>
      <x:c r="C294" t="s">
        <x:v>326</x:v>
      </x:c>
      <x:c r="D294">
        <x:v>8483756</x:v>
      </x:c>
      <x:c r="E294" t="s">
        <x:v>224</x:v>
      </x:c>
      <x:c r="F294">
        <x:v>23</x:v>
      </x:c>
      <x:c r="J294" t="s">
        <x:v>2226</x:v>
      </x:c>
      <x:c r="K294">
        <x:v>69</x:v>
      </x:c>
      <x:c r="L294">
        <x:v>34</x:v>
      </x:c>
      <x:c r="M294">
        <x:v>87</x:v>
      </x:c>
      <x:c r="N294">
        <x:v>80</x:v>
      </x:c>
      <x:c r="O294">
        <x:v>75</x:v>
      </x:c>
      <x:c r="P294">
        <x:v>80</x:v>
      </x:c>
      <x:c r="Q294">
        <x:v>91</x:v>
      </x:c>
      <x:c r="R294">
        <x:v>48</x:v>
      </x:c>
      <x:c r="S294">
        <x:v>61</x:v>
      </x:c>
      <x:c r="T294">
        <x:v>52</x:v>
      </x:c>
      <x:c r="U294">
        <x:v>50</x:v>
      </x:c>
      <x:c r="V294">
        <x:v>70</x:v>
      </x:c>
      <x:c r="W294">
        <x:v>51</x:v>
      </x:c>
      <x:c r="X294">
        <x:v>66</x:v>
      </x:c>
      <x:c r="Y294">
        <x:v>70</x:v>
      </x:c>
      <x:c r="Z294">
        <x:v>54</x:v>
      </x:c>
      <x:c r="AA294">
        <x:v>54</x:v>
      </x:c>
    </x:row>
    <x:row r="295">
      <x:c r="A295" t="s">
        <x:v>1125</x:v>
      </x:c>
      <x:c r="B295" t="s">
        <x:v>340</x:v>
      </x:c>
      <x:c r="C295" t="s">
        <x:v>319</x:v>
      </x:c>
      <x:c r="D295">
        <x:v>8482859</x:v>
      </x:c>
      <x:c r="E295" t="s">
        <x:v>224</x:v>
      </x:c>
      <x:c r="F295">
        <x:v>59</x:v>
      </x:c>
      <x:c r="G295">
        <x:v>56</x:v>
      </x:c>
      <x:c r="J295" t="s">
        <x:v>2227</x:v>
      </x:c>
      <x:c r="K295">
        <x:v>81</x:v>
      </x:c>
      <x:c r="L295">
        <x:v>80</x:v>
      </x:c>
      <x:c r="M295">
        <x:v>86</x:v>
      </x:c>
      <x:c r="N295">
        <x:v>70</x:v>
      </x:c>
      <x:c r="O295">
        <x:v>85</x:v>
      </x:c>
      <x:c r="P295">
        <x:v>81</x:v>
      </x:c>
      <x:c r="Q295">
        <x:v>88</x:v>
      </x:c>
      <x:c r="R295">
        <x:v>48</x:v>
      </x:c>
      <x:c r="S295">
        <x:v>84</x:v>
      </x:c>
      <x:c r="T295">
        <x:v>49</x:v>
      </x:c>
      <x:c r="U295">
        <x:v>50</x:v>
      </x:c>
      <x:c r="V295">
        <x:v>70</x:v>
      </x:c>
      <x:c r="W295">
        <x:v>52</x:v>
      </x:c>
      <x:c r="X295">
        <x:v>67</x:v>
      </x:c>
      <x:c r="Y295">
        <x:v>65</x:v>
      </x:c>
      <x:c r="Z295">
        <x:v>51</x:v>
      </x:c>
      <x:c r="AA295">
        <x:v>54</x:v>
      </x:c>
    </x:row>
    <x:row r="296">
      <x:c r="A296" t="s">
        <x:v>355</x:v>
      </x:c>
      <x:c r="B296" t="s">
        <x:v>356</x:v>
      </x:c>
      <x:c r="C296" t="s">
        <x:v>319</x:v>
      </x:c>
      <x:c r="D296">
        <x:v>8480018</x:v>
      </x:c>
      <x:c r="E296" t="s">
        <x:v>224</x:v>
      </x:c>
      <x:c r="F296">
        <x:v>82</x:v>
      </x:c>
      <x:c r="G296">
        <x:v>82</x:v>
      </x:c>
      <x:c r="J296" t="s">
        <x:v>1992</x:v>
      </x:c>
      <x:c r="K296">
        <x:v>62</x:v>
      </x:c>
      <x:c r="L296">
        <x:v>37</x:v>
      </x:c>
      <x:c r="M296">
        <x:v>91</x:v>
      </x:c>
      <x:c r="N296">
        <x:v>59</x:v>
      </x:c>
      <x:c r="O296">
        <x:v>83</x:v>
      </x:c>
      <x:c r="P296">
        <x:v>92</x:v>
      </x:c>
      <x:c r="Q296">
        <x:v>99</x:v>
      </x:c>
      <x:c r="R296">
        <x:v>71</x:v>
      </x:c>
      <x:c r="S296">
        <x:v>90</x:v>
      </x:c>
      <x:c r="T296">
        <x:v>80</x:v>
      </x:c>
      <x:c r="U296">
        <x:v>61</x:v>
      </x:c>
      <x:c r="V296">
        <x:v>69</x:v>
      </x:c>
      <x:c r="W296">
        <x:v>79</x:v>
      </x:c>
      <x:c r="X296">
        <x:v>80</x:v>
      </x:c>
      <x:c r="Y296">
        <x:v>87</x:v>
      </x:c>
      <x:c r="Z296">
        <x:v>51</x:v>
      </x:c>
      <x:c r="AA296">
        <x:v>67</x:v>
      </x:c>
    </x:row>
    <x:row r="297">
      <x:c r="A297" t="s">
        <x:v>434</x:v>
      </x:c>
      <x:c r="B297" t="s">
        <x:v>386</x:v>
      </x:c>
      <x:c r="C297" t="s">
        <x:v>329</x:v>
      </x:c>
      <x:c r="D297">
        <x:v>8482093</x:v>
      </x:c>
      <x:c r="E297" t="s">
        <x:v>224</x:v>
      </x:c>
      <x:c r="F297">
        <x:v>71</x:v>
      </x:c>
      <x:c r="G297">
        <x:v>73</x:v>
      </x:c>
      <x:c r="J297" t="s">
        <x:v>2228</x:v>
      </x:c>
      <x:c r="K297">
        <x:v>65</x:v>
      </x:c>
      <x:c r="L297">
        <x:v>48</x:v>
      </x:c>
      <x:c r="M297">
        <x:v>95</x:v>
      </x:c>
      <x:c r="N297">
        <x:v>60</x:v>
      </x:c>
      <x:c r="O297">
        <x:v>76</x:v>
      </x:c>
      <x:c r="P297">
        <x:v>90</x:v>
      </x:c>
      <x:c r="Q297">
        <x:v>89</x:v>
      </x:c>
      <x:c r="R297">
        <x:v>67</x:v>
      </x:c>
      <x:c r="S297">
        <x:v>72</x:v>
      </x:c>
      <x:c r="T297">
        <x:v>58</x:v>
      </x:c>
      <x:c r="U297">
        <x:v>69</x:v>
      </x:c>
      <x:c r="V297">
        <x:v>69</x:v>
      </x:c>
      <x:c r="W297">
        <x:v>77</x:v>
      </x:c>
      <x:c r="X297">
        <x:v>77</x:v>
      </x:c>
      <x:c r="Y297">
        <x:v>81</x:v>
      </x:c>
      <x:c r="Z297">
        <x:v>51</x:v>
      </x:c>
      <x:c r="AA297">
        <x:v>64</x:v>
      </x:c>
    </x:row>
    <x:row r="298">
      <x:c r="A298" t="s">
        <x:v>451</x:v>
      </x:c>
      <x:c r="B298" t="s">
        <x:v>364</x:v>
      </x:c>
      <x:c r="C298" t="s">
        <x:v>323</x:v>
      </x:c>
      <x:c r="D298">
        <x:v>8477951</x:v>
      </x:c>
      <x:c r="E298" t="s">
        <x:v>224</x:v>
      </x:c>
      <x:c r="F298">
        <x:v>82</x:v>
      </x:c>
      <x:c r="G298">
        <x:v>82</x:v>
      </x:c>
      <x:c r="J298" t="s">
        <x:v>1992</x:v>
      </x:c>
      <x:c r="K298">
        <x:v>58</x:v>
      </x:c>
      <x:c r="L298">
        <x:v>31</x:v>
      </x:c>
      <x:c r="M298">
        <x:v>92</x:v>
      </x:c>
      <x:c r="N298">
        <x:v>59</x:v>
      </x:c>
      <x:c r="O298">
        <x:v>76</x:v>
      </x:c>
      <x:c r="P298">
        <x:v>91</x:v>
      </x:c>
      <x:c r="Q298">
        <x:v>99</x:v>
      </x:c>
      <x:c r="R298">
        <x:v>64</x:v>
      </x:c>
      <x:c r="S298">
        <x:v>85</x:v>
      </x:c>
      <x:c r="T298">
        <x:v>63</x:v>
      </x:c>
      <x:c r="U298">
        <x:v>63</x:v>
      </x:c>
      <x:c r="V298">
        <x:v>69</x:v>
      </x:c>
      <x:c r="W298">
        <x:v>73</x:v>
      </x:c>
      <x:c r="X298">
        <x:v>79</x:v>
      </x:c>
      <x:c r="Y298">
        <x:v>74</x:v>
      </x:c>
      <x:c r="Z298">
        <x:v>51</x:v>
      </x:c>
      <x:c r="AA298">
        <x:v>63</x:v>
      </x:c>
    </x:row>
    <x:row r="299">
      <x:c r="A299" t="s">
        <x:v>471</x:v>
      </x:c>
      <x:c r="B299" t="s">
        <x:v>343</x:v>
      </x:c>
      <x:c r="C299" t="s">
        <x:v>339</x:v>
      </x:c>
      <x:c r="D299">
        <x:v>8478449</x:v>
      </x:c>
      <x:c r="E299" t="s">
        <x:v>224</x:v>
      </x:c>
      <x:c r="F299">
        <x:v>53</x:v>
      </x:c>
      <x:c r="G299">
        <x:v>76</x:v>
      </x:c>
      <x:c r="J299" t="s">
        <x:v>2229</x:v>
      </x:c>
      <x:c r="K299">
        <x:v>65</x:v>
      </x:c>
      <x:c r="L299">
        <x:v>42</x:v>
      </x:c>
      <x:c r="M299">
        <x:v>89</x:v>
      </x:c>
      <x:c r="N299">
        <x:v>76</x:v>
      </x:c>
      <x:c r="O299">
        <x:v>86</x:v>
      </x:c>
      <x:c r="P299">
        <x:v>88</x:v>
      </x:c>
      <x:c r="Q299">
        <x:v>80</x:v>
      </x:c>
      <x:c r="R299">
        <x:v>63</x:v>
      </x:c>
      <x:c r="S299">
        <x:v>90</x:v>
      </x:c>
      <x:c r="T299">
        <x:v>62</x:v>
      </x:c>
      <x:c r="U299">
        <x:v>58</x:v>
      </x:c>
      <x:c r="V299">
        <x:v>69</x:v>
      </x:c>
      <x:c r="W299">
        <x:v>63</x:v>
      </x:c>
      <x:c r="X299">
        <x:v>80</x:v>
      </x:c>
      <x:c r="Y299">
        <x:v>82</x:v>
      </x:c>
      <x:c r="Z299">
        <x:v>51</x:v>
      </x:c>
      <x:c r="AA299">
        <x:v>63</x:v>
      </x:c>
    </x:row>
    <x:row r="300">
      <x:c r="A300" t="s">
        <x:v>482</x:v>
      </x:c>
      <x:c r="B300" t="s">
        <x:v>340</x:v>
      </x:c>
      <x:c r="C300" t="s">
        <x:v>331</x:v>
      </x:c>
      <x:c r="D300">
        <x:v>8475200</x:v>
      </x:c>
      <x:c r="E300" t="s">
        <x:v>224</x:v>
      </x:c>
      <x:c r="F300">
        <x:v>82</x:v>
      </x:c>
      <x:c r="G300">
        <x:v>76</x:v>
      </x:c>
      <x:c r="J300" t="s">
        <x:v>2014</x:v>
      </x:c>
      <x:c r="K300">
        <x:v>75</x:v>
      </x:c>
      <x:c r="L300">
        <x:v>40</x:v>
      </x:c>
      <x:c r="M300">
        <x:v>82</x:v>
      </x:c>
      <x:c r="N300">
        <x:v>36</x:v>
      </x:c>
      <x:c r="O300">
        <x:v>86</x:v>
      </x:c>
      <x:c r="P300">
        <x:v>93</x:v>
      </x:c>
      <x:c r="Q300">
        <x:v>99</x:v>
      </x:c>
      <x:c r="R300">
        <x:v>44</x:v>
      </x:c>
      <x:c r="S300">
        <x:v>30</x:v>
      </x:c>
      <x:c r="T300">
        <x:v>58</x:v>
      </x:c>
      <x:c r="U300">
        <x:v>46</x:v>
      </x:c>
      <x:c r="V300">
        <x:v>69</x:v>
      </x:c>
      <x:c r="W300">
        <x:v>53</x:v>
      </x:c>
      <x:c r="X300">
        <x:v>88</x:v>
      </x:c>
      <x:c r="Y300">
        <x:v>78</x:v>
      </x:c>
      <x:c r="Z300">
        <x:v>51</x:v>
      </x:c>
      <x:c r="AA300">
        <x:v>62</x:v>
      </x:c>
    </x:row>
    <x:row r="301">
      <x:c r="A301" t="s">
        <x:v>501</x:v>
      </x:c>
      <x:c r="B301" t="s">
        <x:v>481</x:v>
      </x:c>
      <x:c r="C301" t="s">
        <x:v>331</x:v>
      </x:c>
      <x:c r="D301">
        <x:v>8478407</x:v>
      </x:c>
      <x:c r="E301" t="s">
        <x:v>224</x:v>
      </x:c>
      <x:c r="F301">
        <x:v>81</x:v>
      </x:c>
      <x:c r="G301">
        <x:v>62</x:v>
      </x:c>
      <x:c r="J301" t="s">
        <x:v>2230</x:v>
      </x:c>
      <x:c r="K301">
        <x:v>67</x:v>
      </x:c>
      <x:c r="L301">
        <x:v>38</x:v>
      </x:c>
      <x:c r="M301">
        <x:v>82</x:v>
      </x:c>
      <x:c r="N301">
        <x:v>38</x:v>
      </x:c>
      <x:c r="O301">
        <x:v>81</x:v>
      </x:c>
      <x:c r="P301">
        <x:v>93</x:v>
      </x:c>
      <x:c r="Q301">
        <x:v>97</x:v>
      </x:c>
      <x:c r="R301">
        <x:v>52</x:v>
      </x:c>
      <x:c r="S301">
        <x:v>30</x:v>
      </x:c>
      <x:c r="T301">
        <x:v>56</x:v>
      </x:c>
      <x:c r="U301">
        <x:v>50</x:v>
      </x:c>
      <x:c r="V301">
        <x:v>69</x:v>
      </x:c>
      <x:c r="W301">
        <x:v>52</x:v>
      </x:c>
      <x:c r="X301">
        <x:v>81</x:v>
      </x:c>
      <x:c r="Y301">
        <x:v>77</x:v>
      </x:c>
      <x:c r="Z301">
        <x:v>51</x:v>
      </x:c>
      <x:c r="AA301">
        <x:v>62</x:v>
      </x:c>
    </x:row>
    <x:row r="302">
      <x:c r="A302" t="s">
        <x:v>506</x:v>
      </x:c>
      <x:c r="B302" t="s">
        <x:v>352</x:v>
      </x:c>
      <x:c r="C302" t="s">
        <x:v>331</x:v>
      </x:c>
      <x:c r="D302">
        <x:v>8475171</x:v>
      </x:c>
      <x:c r="E302" t="s">
        <x:v>224</x:v>
      </x:c>
      <x:c r="F302">
        <x:v>78</x:v>
      </x:c>
      <x:c r="G302">
        <x:v>77</x:v>
      </x:c>
      <x:c r="J302" t="s">
        <x:v>2049</x:v>
      </x:c>
      <x:c r="K302">
        <x:v>73</x:v>
      </x:c>
      <x:c r="L302">
        <x:v>38</x:v>
      </x:c>
      <x:c r="M302">
        <x:v>77</x:v>
      </x:c>
      <x:c r="N302">
        <x:v>38</x:v>
      </x:c>
      <x:c r="O302">
        <x:v>77</x:v>
      </x:c>
      <x:c r="P302">
        <x:v>92</x:v>
      </x:c>
      <x:c r="Q302">
        <x:v>97</x:v>
      </x:c>
      <x:c r="R302">
        <x:v>48</x:v>
      </x:c>
      <x:c r="S302">
        <x:v>30</x:v>
      </x:c>
      <x:c r="T302">
        <x:v>59</x:v>
      </x:c>
      <x:c r="U302">
        <x:v>48</x:v>
      </x:c>
      <x:c r="V302">
        <x:v>69</x:v>
      </x:c>
      <x:c r="W302">
        <x:v>57</x:v>
      </x:c>
      <x:c r="X302">
        <x:v>88</x:v>
      </x:c>
      <x:c r="Y302">
        <x:v>84</x:v>
      </x:c>
      <x:c r="Z302">
        <x:v>51</x:v>
      </x:c>
      <x:c r="AA302">
        <x:v>62</x:v>
      </x:c>
    </x:row>
    <x:row r="303">
      <x:c r="A303" t="s">
        <x:v>578</x:v>
      </x:c>
      <x:c r="B303" t="s">
        <x:v>368</x:v>
      </x:c>
      <x:c r="C303" t="s">
        <x:v>339</x:v>
      </x:c>
      <x:c r="D303">
        <x:v>8474150</x:v>
      </x:c>
      <x:c r="E303" t="s">
        <x:v>224</x:v>
      </x:c>
      <x:c r="F303">
        <x:v>82</x:v>
      </x:c>
      <x:c r="G303">
        <x:v>76</x:v>
      </x:c>
      <x:c r="J303" t="s">
        <x:v>2014</x:v>
      </x:c>
      <x:c r="K303">
        <x:v>58</x:v>
      </x:c>
      <x:c r="L303">
        <x:v>40</x:v>
      </x:c>
      <x:c r="M303">
        <x:v>86</x:v>
      </x:c>
      <x:c r="N303">
        <x:v>51</x:v>
      </x:c>
      <x:c r="O303">
        <x:v>83</x:v>
      </x:c>
      <x:c r="P303">
        <x:v>88</x:v>
      </x:c>
      <x:c r="Q303">
        <x:v>98</x:v>
      </x:c>
      <x:c r="R303">
        <x:v>56</x:v>
      </x:c>
      <x:c r="S303">
        <x:v>90</x:v>
      </x:c>
      <x:c r="T303">
        <x:v>55</x:v>
      </x:c>
      <x:c r="U303">
        <x:v>56</x:v>
      </x:c>
      <x:c r="V303">
        <x:v>69</x:v>
      </x:c>
      <x:c r="W303">
        <x:v>55</x:v>
      </x:c>
      <x:c r="X303">
        <x:v>87</x:v>
      </x:c>
      <x:c r="Y303">
        <x:v>87</x:v>
      </x:c>
      <x:c r="Z303">
        <x:v>51</x:v>
      </x:c>
      <x:c r="AA303">
        <x:v>60</x:v>
      </x:c>
    </x:row>
    <x:row r="304">
      <x:c r="A304" t="s">
        <x:v>640</x:v>
      </x:c>
      <x:c r="B304" t="s">
        <x:v>383</x:v>
      </x:c>
      <x:c r="C304" t="s">
        <x:v>333</x:v>
      </x:c>
      <x:c r="D304">
        <x:v>8482157</x:v>
      </x:c>
      <x:c r="E304" t="s">
        <x:v>224</x:v>
      </x:c>
      <x:c r="F304">
        <x:v>82</x:v>
      </x:c>
      <x:c r="G304">
        <x:v>82</x:v>
      </x:c>
      <x:c r="J304" t="s">
        <x:v>1992</x:v>
      </x:c>
      <x:c r="K304">
        <x:v>81</x:v>
      </x:c>
      <x:c r="L304">
        <x:v>79</x:v>
      </x:c>
      <x:c r="M304">
        <x:v>79</x:v>
      </x:c>
      <x:c r="N304">
        <x:v>55</x:v>
      </x:c>
      <x:c r="O304">
        <x:v>85</x:v>
      </x:c>
      <x:c r="P304">
        <x:v>86</x:v>
      </x:c>
      <x:c r="Q304">
        <x:v>99</x:v>
      </x:c>
      <x:c r="R304">
        <x:v>56</x:v>
      </x:c>
      <x:c r="S304">
        <x:v>71</x:v>
      </x:c>
      <x:c r="T304">
        <x:v>53</x:v>
      </x:c>
      <x:c r="U304">
        <x:v>58</x:v>
      </x:c>
      <x:c r="V304">
        <x:v>69</x:v>
      </x:c>
      <x:c r="W304">
        <x:v>52</x:v>
      </x:c>
      <x:c r="X304">
        <x:v>70</x:v>
      </x:c>
      <x:c r="Y304">
        <x:v>76</x:v>
      </x:c>
      <x:c r="Z304">
        <x:v>51</x:v>
      </x:c>
      <x:c r="AA304">
        <x:v>60</x:v>
      </x:c>
    </x:row>
    <x:row r="305">
      <x:c r="A305" t="s">
        <x:v>647</x:v>
      </x:c>
      <x:c r="B305" t="s">
        <x:v>366</x:v>
      </x:c>
      <x:c r="C305" t="s">
        <x:v>333</x:v>
      </x:c>
      <x:c r="D305">
        <x:v>8477015</x:v>
      </x:c>
      <x:c r="E305" t="s">
        <x:v>224</x:v>
      </x:c>
      <x:c r="F305">
        <x:v>75</x:v>
      </x:c>
      <x:c r="G305">
        <x:v>82</x:v>
      </x:c>
      <x:c r="J305" t="s">
        <x:v>2096</x:v>
      </x:c>
      <x:c r="K305">
        <x:v>59</x:v>
      </x:c>
      <x:c r="L305">
        <x:v>31</x:v>
      </x:c>
      <x:c r="M305">
        <x:v>91</x:v>
      </x:c>
      <x:c r="N305">
        <x:v>56</x:v>
      </x:c>
      <x:c r="O305">
        <x:v>76</x:v>
      </x:c>
      <x:c r="P305">
        <x:v>87</x:v>
      </x:c>
      <x:c r="Q305">
        <x:v>93</x:v>
      </x:c>
      <x:c r="R305">
        <x:v>56</x:v>
      </x:c>
      <x:c r="S305">
        <x:v>67</x:v>
      </x:c>
      <x:c r="T305">
        <x:v>56</x:v>
      </x:c>
      <x:c r="U305">
        <x:v>57</x:v>
      </x:c>
      <x:c r="V305">
        <x:v>69</x:v>
      </x:c>
      <x:c r="W305">
        <x:v>52</x:v>
      </x:c>
      <x:c r="X305">
        <x:v>82</x:v>
      </x:c>
      <x:c r="Y305">
        <x:v>76</x:v>
      </x:c>
      <x:c r="Z305">
        <x:v>49</x:v>
      </x:c>
      <x:c r="AA305">
        <x:v>59</x:v>
      </x:c>
    </x:row>
    <x:row r="306">
      <x:c r="A306" t="s">
        <x:v>677</x:v>
      </x:c>
      <x:c r="B306" t="s">
        <x:v>379</x:v>
      </x:c>
      <x:c r="C306" t="s">
        <x:v>329</x:v>
      </x:c>
      <x:c r="D306">
        <x:v>8479675</x:v>
      </x:c>
      <x:c r="E306" t="s">
        <x:v>224</x:v>
      </x:c>
      <x:c r="F306">
        <x:v>69</x:v>
      </x:c>
      <x:c r="G306">
        <x:v>71</x:v>
      </x:c>
      <x:c r="J306" t="s">
        <x:v>2231</x:v>
      </x:c>
      <x:c r="K306">
        <x:v>64</x:v>
      </x:c>
      <x:c r="L306">
        <x:v>34</x:v>
      </x:c>
      <x:c r="M306">
        <x:v>91</x:v>
      </x:c>
      <x:c r="N306">
        <x:v>58</x:v>
      </x:c>
      <x:c r="O306">
        <x:v>79</x:v>
      </x:c>
      <x:c r="P306">
        <x:v>87</x:v>
      </x:c>
      <x:c r="Q306">
        <x:v>88</x:v>
      </x:c>
      <x:c r="R306">
        <x:v>55</x:v>
      </x:c>
      <x:c r="S306">
        <x:v>65</x:v>
      </x:c>
      <x:c r="T306">
        <x:v>55</x:v>
      </x:c>
      <x:c r="U306">
        <x:v>55</x:v>
      </x:c>
      <x:c r="V306">
        <x:v>69</x:v>
      </x:c>
      <x:c r="W306">
        <x:v>83</x:v>
      </x:c>
      <x:c r="X306">
        <x:v>78</x:v>
      </x:c>
      <x:c r="Y306">
        <x:v>75</x:v>
      </x:c>
      <x:c r="Z306">
        <x:v>51</x:v>
      </x:c>
      <x:c r="AA306">
        <x:v>59</x:v>
      </x:c>
    </x:row>
    <x:row r="307">
      <x:c r="A307" t="s">
        <x:v>678</x:v>
      </x:c>
      <x:c r="B307" t="s">
        <x:v>361</x:v>
      </x:c>
      <x:c r="C307" t="s">
        <x:v>333</x:v>
      </x:c>
      <x:c r="D307">
        <x:v>8484145</x:v>
      </x:c>
      <x:c r="E307" t="s">
        <x:v>224</x:v>
      </x:c>
      <x:c r="F307">
        <x:v>65</x:v>
      </x:c>
      <x:c r="G307">
        <x:v>75</x:v>
      </x:c>
      <x:c r="J307" t="s">
        <x:v>2232</x:v>
      </x:c>
      <x:c r="K307">
        <x:v>62</x:v>
      </x:c>
      <x:c r="L307">
        <x:v>34</x:v>
      </x:c>
      <x:c r="M307">
        <x:v>87</x:v>
      </x:c>
      <x:c r="N307">
        <x:v>54</x:v>
      </x:c>
      <x:c r="O307">
        <x:v>75</x:v>
      </x:c>
      <x:c r="P307">
        <x:v>86</x:v>
      </x:c>
      <x:c r="Q307">
        <x:v>85</x:v>
      </x:c>
      <x:c r="R307">
        <x:v>58</x:v>
      </x:c>
      <x:c r="S307">
        <x:v>68</x:v>
      </x:c>
      <x:c r="T307">
        <x:v>62</x:v>
      </x:c>
      <x:c r="U307">
        <x:v>56</x:v>
      </x:c>
      <x:c r="V307">
        <x:v>69</x:v>
      </x:c>
      <x:c r="W307">
        <x:v>52</x:v>
      </x:c>
      <x:c r="X307">
        <x:v>70</x:v>
      </x:c>
      <x:c r="Y307">
        <x:v>65</x:v>
      </x:c>
      <x:c r="Z307">
        <x:v>51</x:v>
      </x:c>
      <x:c r="AA307">
        <x:v>59</x:v>
      </x:c>
    </x:row>
    <x:row r="308">
      <x:c r="A308" t="s">
        <x:v>693</x:v>
      </x:c>
      <x:c r="B308" t="s">
        <x:v>393</x:v>
      </x:c>
      <x:c r="C308" t="s">
        <x:v>333</x:v>
      </x:c>
      <x:c r="D308">
        <x:v>8473986</x:v>
      </x:c>
      <x:c r="E308" t="s">
        <x:v>224</x:v>
      </x:c>
      <x:c r="F308">
        <x:v>82</x:v>
      </x:c>
      <x:c r="G308">
        <x:v>82</x:v>
      </x:c>
      <x:c r="J308" t="s">
        <x:v>1992</x:v>
      </x:c>
      <x:c r="K308">
        <x:v>64</x:v>
      </x:c>
      <x:c r="L308">
        <x:v>41</x:v>
      </x:c>
      <x:c r="M308">
        <x:v>86</x:v>
      </x:c>
      <x:c r="N308">
        <x:v>52</x:v>
      </x:c>
      <x:c r="O308">
        <x:v>82</x:v>
      </x:c>
      <x:c r="P308">
        <x:v>87</x:v>
      </x:c>
      <x:c r="Q308">
        <x:v>98</x:v>
      </x:c>
      <x:c r="R308">
        <x:v>54</x:v>
      </x:c>
      <x:c r="S308">
        <x:v>71</x:v>
      </x:c>
      <x:c r="T308">
        <x:v>52</x:v>
      </x:c>
      <x:c r="U308">
        <x:v>56</x:v>
      </x:c>
      <x:c r="V308">
        <x:v>69</x:v>
      </x:c>
      <x:c r="W308">
        <x:v>68</x:v>
      </x:c>
      <x:c r="X308">
        <x:v>91</x:v>
      </x:c>
      <x:c r="Y308">
        <x:v>83</x:v>
      </x:c>
      <x:c r="Z308">
        <x:v>51</x:v>
      </x:c>
      <x:c r="AA308">
        <x:v>59</x:v>
      </x:c>
    </x:row>
    <x:row r="309">
      <x:c r="A309" t="s">
        <x:v>697</x:v>
      </x:c>
      <x:c r="B309" t="s">
        <x:v>439</x:v>
      </x:c>
      <x:c r="C309" t="s">
        <x:v>333</x:v>
      </x:c>
      <x:c r="D309">
        <x:v>8481601</x:v>
      </x:c>
      <x:c r="E309" t="s">
        <x:v>224</x:v>
      </x:c>
      <x:c r="F309">
        <x:v>79</x:v>
      </x:c>
      <x:c r="G309">
        <x:v>75</x:v>
      </x:c>
      <x:c r="J309" t="s">
        <x:v>2233</x:v>
      </x:c>
      <x:c r="K309">
        <x:v>58</x:v>
      </x:c>
      <x:c r="L309">
        <x:v>40</x:v>
      </x:c>
      <x:c r="M309">
        <x:v>96</x:v>
      </x:c>
      <x:c r="N309">
        <x:v>58</x:v>
      </x:c>
      <x:c r="O309">
        <x:v>83</x:v>
      </x:c>
      <x:c r="P309">
        <x:v>87</x:v>
      </x:c>
      <x:c r="Q309">
        <x:v>95</x:v>
      </x:c>
      <x:c r="R309">
        <x:v>56</x:v>
      </x:c>
      <x:c r="S309">
        <x:v>64</x:v>
      </x:c>
      <x:c r="T309">
        <x:v>55</x:v>
      </x:c>
      <x:c r="U309">
        <x:v>57</x:v>
      </x:c>
      <x:c r="V309">
        <x:v>69</x:v>
      </x:c>
      <x:c r="W309">
        <x:v>82</x:v>
      </x:c>
      <x:c r="X309">
        <x:v>70</x:v>
      </x:c>
      <x:c r="Y309">
        <x:v>74</x:v>
      </x:c>
      <x:c r="Z309">
        <x:v>51</x:v>
      </x:c>
      <x:c r="AA309">
        <x:v>59</x:v>
      </x:c>
    </x:row>
    <x:row r="310">
      <x:c r="A310" t="s">
        <x:v>713</x:v>
      </x:c>
      <x:c r="B310" t="s">
        <x:v>393</x:v>
      </x:c>
      <x:c r="C310" t="s">
        <x:v>331</x:v>
      </x:c>
      <x:c r="D310">
        <x:v>8475324</x:v>
      </x:c>
      <x:c r="E310" t="s">
        <x:v>224</x:v>
      </x:c>
      <x:c r="F310">
        <x:v>61</x:v>
      </x:c>
      <x:c r="G310">
        <x:v>71</x:v>
      </x:c>
      <x:c r="J310" t="s">
        <x:v>2234</x:v>
      </x:c>
      <x:c r="K310">
        <x:v>70</x:v>
      </x:c>
      <x:c r="L310">
        <x:v>37</x:v>
      </x:c>
      <x:c r="M310">
        <x:v>91</x:v>
      </x:c>
      <x:c r="N310">
        <x:v>43</x:v>
      </x:c>
      <x:c r="O310">
        <x:v>82</x:v>
      </x:c>
      <x:c r="P310">
        <x:v>89</x:v>
      </x:c>
      <x:c r="Q310">
        <x:v>84</x:v>
      </x:c>
      <x:c r="R310">
        <x:v>39</x:v>
      </x:c>
      <x:c r="S310">
        <x:v>30</x:v>
      </x:c>
      <x:c r="T310">
        <x:v>54</x:v>
      </x:c>
      <x:c r="U310">
        <x:v>47</x:v>
      </x:c>
      <x:c r="V310">
        <x:v>69</x:v>
      </x:c>
      <x:c r="W310">
        <x:v>52</x:v>
      </x:c>
      <x:c r="X310">
        <x:v>82</x:v>
      </x:c>
      <x:c r="Y310">
        <x:v>74</x:v>
      </x:c>
      <x:c r="Z310">
        <x:v>51</x:v>
      </x:c>
      <x:c r="AA310">
        <x:v>59</x:v>
      </x:c>
    </x:row>
    <x:row r="311">
      <x:c r="A311" t="s">
        <x:v>726</x:v>
      </x:c>
      <x:c r="B311" t="s">
        <x:v>348</x:v>
      </x:c>
      <x:c r="C311" t="s">
        <x:v>339</x:v>
      </x:c>
      <x:c r="D311">
        <x:v>8480113</x:v>
      </x:c>
      <x:c r="E311" t="s">
        <x:v>224</x:v>
      </x:c>
      <x:c r="F311">
        <x:v>79</x:v>
      </x:c>
      <x:c r="G311">
        <x:v>82</x:v>
      </x:c>
      <x:c r="J311" t="s">
        <x:v>2187</x:v>
      </x:c>
      <x:c r="K311">
        <x:v>68</x:v>
      </x:c>
      <x:c r="L311">
        <x:v>42</x:v>
      </x:c>
      <x:c r="M311">
        <x:v>88</x:v>
      </x:c>
      <x:c r="N311">
        <x:v>53</x:v>
      </x:c>
      <x:c r="O311">
        <x:v>81</x:v>
      </x:c>
      <x:c r="P311">
        <x:v>86</x:v>
      </x:c>
      <x:c r="Q311">
        <x:v>96</x:v>
      </x:c>
      <x:c r="R311">
        <x:v>54</x:v>
      </x:c>
      <x:c r="S311">
        <x:v>69</x:v>
      </x:c>
      <x:c r="T311">
        <x:v>52</x:v>
      </x:c>
      <x:c r="U311">
        <x:v>55</x:v>
      </x:c>
      <x:c r="V311">
        <x:v>69</x:v>
      </x:c>
      <x:c r="W311">
        <x:v>56</x:v>
      </x:c>
      <x:c r="X311">
        <x:v>80</x:v>
      </x:c>
      <x:c r="Y311">
        <x:v>75</x:v>
      </x:c>
      <x:c r="Z311">
        <x:v>51</x:v>
      </x:c>
      <x:c r="AA311">
        <x:v>58</x:v>
      </x:c>
    </x:row>
    <x:row r="312">
      <x:c r="A312" t="s">
        <x:v>730</x:v>
      </x:c>
      <x:c r="B312" t="s">
        <x:v>320</x:v>
      </x:c>
      <x:c r="C312" t="s">
        <x:v>339</x:v>
      </x:c>
      <x:c r="D312">
        <x:v>8480068</x:v>
      </x:c>
      <x:c r="E312" t="s">
        <x:v>224</x:v>
      </x:c>
      <x:c r="F312">
        <x:v>75</x:v>
      </x:c>
      <x:c r="G312">
        <x:v>68</x:v>
      </x:c>
      <x:c r="J312" t="s">
        <x:v>2235</x:v>
      </x:c>
      <x:c r="K312">
        <x:v>62</x:v>
      </x:c>
      <x:c r="L312">
        <x:v>40</x:v>
      </x:c>
      <x:c r="M312">
        <x:v>94</x:v>
      </x:c>
      <x:c r="N312">
        <x:v>68</x:v>
      </x:c>
      <x:c r="O312">
        <x:v>83</x:v>
      </x:c>
      <x:c r="P312">
        <x:v>85</x:v>
      </x:c>
      <x:c r="Q312">
        <x:v>91</x:v>
      </x:c>
      <x:c r="R312">
        <x:v>54</x:v>
      </x:c>
      <x:c r="S312">
        <x:v>88</x:v>
      </x:c>
      <x:c r="T312">
        <x:v>60</x:v>
      </x:c>
      <x:c r="U312">
        <x:v>54</x:v>
      </x:c>
      <x:c r="V312">
        <x:v>69</x:v>
      </x:c>
      <x:c r="W312">
        <x:v>62</x:v>
      </x:c>
      <x:c r="X312">
        <x:v>73</x:v>
      </x:c>
      <x:c r="Y312">
        <x:v>74</x:v>
      </x:c>
      <x:c r="Z312">
        <x:v>51</x:v>
      </x:c>
      <x:c r="AA312">
        <x:v>58</x:v>
      </x:c>
    </x:row>
    <x:row r="313">
      <x:c r="A313" t="s">
        <x:v>731</x:v>
      </x:c>
      <x:c r="B313" t="s">
        <x:v>320</x:v>
      </x:c>
      <x:c r="C313" t="s">
        <x:v>329</x:v>
      </x:c>
      <x:c r="D313">
        <x:v>8480459</x:v>
      </x:c>
      <x:c r="E313" t="s">
        <x:v>224</x:v>
      </x:c>
      <x:c r="F313">
        <x:v>64</x:v>
      </x:c>
      <x:c r="G313">
        <x:v>81</x:v>
      </x:c>
      <x:c r="J313" t="s">
        <x:v>2125</x:v>
      </x:c>
      <x:c r="K313">
        <x:v>62</x:v>
      </x:c>
      <x:c r="L313">
        <x:v>33</x:v>
      </x:c>
      <x:c r="M313">
        <x:v>84</x:v>
      </x:c>
      <x:c r="N313">
        <x:v>41</x:v>
      </x:c>
      <x:c r="O313">
        <x:v>73</x:v>
      </x:c>
      <x:c r="P313">
        <x:v>86</x:v>
      </x:c>
      <x:c r="Q313">
        <x:v>86</x:v>
      </x:c>
      <x:c r="R313">
        <x:v>54</x:v>
      </x:c>
      <x:c r="S313">
        <x:v>85</x:v>
      </x:c>
      <x:c r="T313">
        <x:v>53</x:v>
      </x:c>
      <x:c r="U313">
        <x:v>57</x:v>
      </x:c>
      <x:c r="V313">
        <x:v>69</x:v>
      </x:c>
      <x:c r="W313">
        <x:v>62</x:v>
      </x:c>
      <x:c r="X313">
        <x:v>76</x:v>
      </x:c>
      <x:c r="Y313">
        <x:v>73</x:v>
      </x:c>
      <x:c r="Z313">
        <x:v>51</x:v>
      </x:c>
      <x:c r="AA313">
        <x:v>58</x:v>
      </x:c>
    </x:row>
    <x:row r="314">
      <x:c r="A314" t="s">
        <x:v>749</x:v>
      </x:c>
      <x:c r="B314" t="s">
        <x:v>320</x:v>
      </x:c>
      <x:c r="C314" t="s">
        <x:v>333</x:v>
      </x:c>
      <x:c r="D314">
        <x:v>8481617</x:v>
      </x:c>
      <x:c r="E314" t="s">
        <x:v>224</x:v>
      </x:c>
      <x:c r="F314">
        <x:v>82</x:v>
      </x:c>
      <x:c r="G314">
        <x:v>82</x:v>
      </x:c>
      <x:c r="J314" t="s">
        <x:v>1992</x:v>
      </x:c>
      <x:c r="K314">
        <x:v>78</x:v>
      </x:c>
      <x:c r="L314">
        <x:v>79</x:v>
      </x:c>
      <x:c r="M314">
        <x:v>86</x:v>
      </x:c>
      <x:c r="N314">
        <x:v>62</x:v>
      </x:c>
      <x:c r="O314">
        <x:v>78</x:v>
      </x:c>
      <x:c r="P314">
        <x:v>85</x:v>
      </x:c>
      <x:c r="Q314">
        <x:v>98</x:v>
      </x:c>
      <x:c r="R314">
        <x:v>54</x:v>
      </x:c>
      <x:c r="S314">
        <x:v>70</x:v>
      </x:c>
      <x:c r="T314">
        <x:v>53</x:v>
      </x:c>
      <x:c r="U314">
        <x:v>57</x:v>
      </x:c>
      <x:c r="V314">
        <x:v>69</x:v>
      </x:c>
      <x:c r="W314">
        <x:v>53</x:v>
      </x:c>
      <x:c r="X314">
        <x:v>74</x:v>
      </x:c>
      <x:c r="Y314">
        <x:v>68</x:v>
      </x:c>
      <x:c r="Z314">
        <x:v>51</x:v>
      </x:c>
      <x:c r="AA314">
        <x:v>58</x:v>
      </x:c>
    </x:row>
    <x:row r="315">
      <x:c r="A315" t="s">
        <x:v>767</x:v>
      </x:c>
      <x:c r="B315" t="s">
        <x:v>370</x:v>
      </x:c>
      <x:c r="C315" t="s">
        <x:v>339</x:v>
      </x:c>
      <x:c r="D315">
        <x:v>8482092</x:v>
      </x:c>
      <x:c r="E315" t="s">
        <x:v>224</x:v>
      </x:c>
      <x:c r="F315">
        <x:v>77</x:v>
      </x:c>
      <x:c r="G315">
        <x:v>78</x:v>
      </x:c>
      <x:c r="J315" t="s">
        <x:v>2236</x:v>
      </x:c>
      <x:c r="K315">
        <x:v>67</x:v>
      </x:c>
      <x:c r="L315">
        <x:v>81</x:v>
      </x:c>
      <x:c r="M315">
        <x:v>85</x:v>
      </x:c>
      <x:c r="N315">
        <x:v>55</x:v>
      </x:c>
      <x:c r="O315">
        <x:v>76</x:v>
      </x:c>
      <x:c r="P315">
        <x:v>87</x:v>
      </x:c>
      <x:c r="Q315">
        <x:v>94</x:v>
      </x:c>
      <x:c r="R315">
        <x:v>54</x:v>
      </x:c>
      <x:c r="S315">
        <x:v>84</x:v>
      </x:c>
      <x:c r="T315">
        <x:v>55</x:v>
      </x:c>
      <x:c r="U315">
        <x:v>54</x:v>
      </x:c>
      <x:c r="V315">
        <x:v>69</x:v>
      </x:c>
      <x:c r="W315">
        <x:v>52</x:v>
      </x:c>
      <x:c r="X315">
        <x:v>70</x:v>
      </x:c>
      <x:c r="Y315">
        <x:v>67</x:v>
      </x:c>
      <x:c r="Z315">
        <x:v>51</x:v>
      </x:c>
      <x:c r="AA315">
        <x:v>58</x:v>
      </x:c>
    </x:row>
    <x:row r="316">
      <x:c r="A316" t="s">
        <x:v>815</x:v>
      </x:c>
      <x:c r="B316" t="s">
        <x:v>350</x:v>
      </x:c>
      <x:c r="C316" t="s">
        <x:v>339</x:v>
      </x:c>
      <x:c r="D316">
        <x:v>8478508</x:v>
      </x:c>
      <x:c r="E316" t="s">
        <x:v>224</x:v>
      </x:c>
      <x:c r="F316">
        <x:v>82</x:v>
      </x:c>
      <x:c r="G316">
        <x:v>76</x:v>
      </x:c>
      <x:c r="J316" t="s">
        <x:v>2014</x:v>
      </x:c>
      <x:c r="K316">
        <x:v>89</x:v>
      </x:c>
      <x:c r="L316">
        <x:v>74</x:v>
      </x:c>
      <x:c r="M316">
        <x:v>80</x:v>
      </x:c>
      <x:c r="N316">
        <x:v>64</x:v>
      </x:c>
      <x:c r="O316">
        <x:v>81</x:v>
      </x:c>
      <x:c r="P316">
        <x:v>84</x:v>
      </x:c>
      <x:c r="Q316">
        <x:v>98</x:v>
      </x:c>
      <x:c r="R316">
        <x:v>49</x:v>
      </x:c>
      <x:c r="S316">
        <x:v>72</x:v>
      </x:c>
      <x:c r="T316">
        <x:v>54</x:v>
      </x:c>
      <x:c r="U316">
        <x:v>51</x:v>
      </x:c>
      <x:c r="V316">
        <x:v>69</x:v>
      </x:c>
      <x:c r="W316">
        <x:v>52</x:v>
      </x:c>
      <x:c r="X316">
        <x:v>78</x:v>
      </x:c>
      <x:c r="Y316">
        <x:v>71</x:v>
      </x:c>
      <x:c r="Z316">
        <x:v>51</x:v>
      </x:c>
      <x:c r="AA316">
        <x:v>57</x:v>
      </x:c>
    </x:row>
    <x:row r="317">
      <x:c r="A317" t="s">
        <x:v>821</x:v>
      </x:c>
      <x:c r="B317" t="s">
        <x:v>320</x:v>
      </x:c>
      <x:c r="C317" t="s">
        <x:v>339</x:v>
      </x:c>
      <x:c r="D317">
        <x:v>8476374</x:v>
      </x:c>
      <x:c r="E317" t="s">
        <x:v>224</x:v>
      </x:c>
      <x:c r="F317">
        <x:v>82</x:v>
      </x:c>
      <x:c r="G317">
        <x:v>82</x:v>
      </x:c>
      <x:c r="J317" t="s">
        <x:v>1992</x:v>
      </x:c>
      <x:c r="K317">
        <x:v>69</x:v>
      </x:c>
      <x:c r="L317">
        <x:v>65</x:v>
      </x:c>
      <x:c r="M317">
        <x:v>84</x:v>
      </x:c>
      <x:c r="N317">
        <x:v>54</x:v>
      </x:c>
      <x:c r="O317">
        <x:v>83</x:v>
      </x:c>
      <x:c r="P317">
        <x:v>84</x:v>
      </x:c>
      <x:c r="Q317">
        <x:v>98</x:v>
      </x:c>
      <x:c r="R317">
        <x:v>51</x:v>
      </x:c>
      <x:c r="S317">
        <x:v>86</x:v>
      </x:c>
      <x:c r="T317">
        <x:v>54</x:v>
      </x:c>
      <x:c r="U317">
        <x:v>51</x:v>
      </x:c>
      <x:c r="V317">
        <x:v>69</x:v>
      </x:c>
      <x:c r="W317">
        <x:v>52</x:v>
      </x:c>
      <x:c r="X317">
        <x:v>81</x:v>
      </x:c>
      <x:c r="Y317">
        <x:v>78</x:v>
      </x:c>
      <x:c r="Z317">
        <x:v>51</x:v>
      </x:c>
      <x:c r="AA317">
        <x:v>57</x:v>
      </x:c>
    </x:row>
    <x:row r="318">
      <x:c r="A318" t="s">
        <x:v>823</x:v>
      </x:c>
      <x:c r="B318" t="s">
        <x:v>402</x:v>
      </x:c>
      <x:c r="C318" t="s">
        <x:v>319</x:v>
      </x:c>
      <x:c r="D318">
        <x:v>8483573</x:v>
      </x:c>
      <x:c r="E318" t="s">
        <x:v>224</x:v>
      </x:c>
      <x:c r="F318">
        <x:v>62</x:v>
      </x:c>
      <x:c r="G318">
        <x:v>24</x:v>
      </x:c>
      <x:c r="J318" t="s">
        <x:v>2237</x:v>
      </x:c>
      <x:c r="K318">
        <x:v>66</x:v>
      </x:c>
      <x:c r="L318">
        <x:v>33</x:v>
      </x:c>
      <x:c r="M318">
        <x:v>89</x:v>
      </x:c>
      <x:c r="N318">
        <x:v>74</x:v>
      </x:c>
      <x:c r="O318">
        <x:v>77</x:v>
      </x:c>
      <x:c r="P318">
        <x:v>83</x:v>
      </x:c>
      <x:c r="Q318">
        <x:v>84</x:v>
      </x:c>
      <x:c r="R318">
        <x:v>53</x:v>
      </x:c>
      <x:c r="S318">
        <x:v>63</x:v>
      </x:c>
      <x:c r="T318">
        <x:v>52</x:v>
      </x:c>
      <x:c r="U318">
        <x:v>57</x:v>
      </x:c>
      <x:c r="V318">
        <x:v>69</x:v>
      </x:c>
      <x:c r="W318">
        <x:v>61</x:v>
      </x:c>
      <x:c r="X318">
        <x:v>67</x:v>
      </x:c>
      <x:c r="Y318">
        <x:v>73</x:v>
      </x:c>
      <x:c r="Z318">
        <x:v>54</x:v>
      </x:c>
      <x:c r="AA318">
        <x:v>57</x:v>
      </x:c>
    </x:row>
    <x:row r="319">
      <x:c r="A319" t="s">
        <x:v>838</x:v>
      </x:c>
      <x:c r="B319" t="s">
        <x:v>348</x:v>
      </x:c>
      <x:c r="C319" t="s">
        <x:v>339</x:v>
      </x:c>
      <x:c r="D319">
        <x:v>8476480</x:v>
      </x:c>
      <x:c r="E319" t="s">
        <x:v>224</x:v>
      </x:c>
      <x:c r="F319">
        <x:v>60</x:v>
      </x:c>
      <x:c r="G319">
        <x:v>78</x:v>
      </x:c>
      <x:c r="J319" t="s">
        <x:v>2238</x:v>
      </x:c>
      <x:c r="K319">
        <x:v>68</x:v>
      </x:c>
      <x:c r="L319">
        <x:v>35</x:v>
      </x:c>
      <x:c r="M319">
        <x:v>88</x:v>
      </x:c>
      <x:c r="N319">
        <x:v>54</x:v>
      </x:c>
      <x:c r="O319">
        <x:v>76</x:v>
      </x:c>
      <x:c r="P319">
        <x:v>84</x:v>
      </x:c>
      <x:c r="Q319">
        <x:v>83</x:v>
      </x:c>
      <x:c r="R319">
        <x:v>53</x:v>
      </x:c>
      <x:c r="S319">
        <x:v>79</x:v>
      </x:c>
      <x:c r="T319">
        <x:v>51</x:v>
      </x:c>
      <x:c r="U319">
        <x:v>53</x:v>
      </x:c>
      <x:c r="V319">
        <x:v>69</x:v>
      </x:c>
      <x:c r="W319">
        <x:v>56</x:v>
      </x:c>
      <x:c r="X319">
        <x:v>86</x:v>
      </x:c>
      <x:c r="Y319">
        <x:v>73</x:v>
      </x:c>
      <x:c r="Z319">
        <x:v>51</x:v>
      </x:c>
      <x:c r="AA319">
        <x:v>57</x:v>
      </x:c>
    </x:row>
    <x:row r="320">
      <x:c r="A320" t="s">
        <x:v>849</x:v>
      </x:c>
      <x:c r="B320" t="s">
        <x:v>436</x:v>
      </x:c>
      <x:c r="C320" t="s">
        <x:v>358</x:v>
      </x:c>
      <x:c r="D320">
        <x:v>8482062</x:v>
      </x:c>
      <x:c r="E320" t="s">
        <x:v>224</x:v>
      </x:c>
      <x:c r="F320">
        <x:v>63</x:v>
      </x:c>
      <x:c r="G320">
        <x:v>71</x:v>
      </x:c>
      <x:c r="J320" t="s">
        <x:v>2239</x:v>
      </x:c>
      <x:c r="K320">
        <x:v>78</x:v>
      </x:c>
      <x:c r="L320">
        <x:v>81</x:v>
      </x:c>
      <x:c r="M320">
        <x:v>79</x:v>
      </x:c>
      <x:c r="N320">
        <x:v>61</x:v>
      </x:c>
      <x:c r="O320">
        <x:v>79</x:v>
      </x:c>
      <x:c r="P320">
        <x:v>84</x:v>
      </x:c>
      <x:c r="Q320">
        <x:v>83</x:v>
      </x:c>
      <x:c r="R320">
        <x:v>48</x:v>
      </x:c>
      <x:c r="S320">
        <x:v>66</x:v>
      </x:c>
      <x:c r="T320">
        <x:v>49</x:v>
      </x:c>
      <x:c r="U320">
        <x:v>52</x:v>
      </x:c>
      <x:c r="V320">
        <x:v>69</x:v>
      </x:c>
      <x:c r="W320">
        <x:v>52</x:v>
      </x:c>
      <x:c r="X320">
        <x:v>73</x:v>
      </x:c>
      <x:c r="Y320">
        <x:v>73</x:v>
      </x:c>
      <x:c r="Z320">
        <x:v>48</x:v>
      </x:c>
      <x:c r="AA320">
        <x:v>57</x:v>
      </x:c>
    </x:row>
    <x:row r="321">
      <x:c r="A321" t="s">
        <x:v>855</x:v>
      </x:c>
      <x:c r="B321" t="s">
        <x:v>393</x:v>
      </x:c>
      <x:c r="C321" t="s">
        <x:v>339</x:v>
      </x:c>
      <x:c r="D321">
        <x:v>8480849</x:v>
      </x:c>
      <x:c r="E321" t="s">
        <x:v>224</x:v>
      </x:c>
      <x:c r="F321">
        <x:v>67</x:v>
      </x:c>
      <x:c r="G321">
        <x:v>82</x:v>
      </x:c>
      <x:c r="J321" t="s">
        <x:v>2240</x:v>
      </x:c>
      <x:c r="K321">
        <x:v>61</x:v>
      </x:c>
      <x:c r="L321">
        <x:v>40</x:v>
      </x:c>
      <x:c r="M321">
        <x:v>80</x:v>
      </x:c>
      <x:c r="N321">
        <x:v>58</x:v>
      </x:c>
      <x:c r="O321">
        <x:v>80</x:v>
      </x:c>
      <x:c r="P321">
        <x:v>85</x:v>
      </x:c>
      <x:c r="Q321">
        <x:v>87</x:v>
      </x:c>
      <x:c r="R321">
        <x:v>54</x:v>
      </x:c>
      <x:c r="S321">
        <x:v>89</x:v>
      </x:c>
      <x:c r="T321">
        <x:v>53</x:v>
      </x:c>
      <x:c r="U321">
        <x:v>55</x:v>
      </x:c>
      <x:c r="V321">
        <x:v>69</x:v>
      </x:c>
      <x:c r="W321">
        <x:v>53</x:v>
      </x:c>
      <x:c r="X321">
        <x:v>72</x:v>
      </x:c>
      <x:c r="Y321">
        <x:v>75</x:v>
      </x:c>
      <x:c r="Z321">
        <x:v>51</x:v>
      </x:c>
      <x:c r="AA321">
        <x:v>57</x:v>
      </x:c>
    </x:row>
    <x:row r="322">
      <x:c r="A322" t="s">
        <x:v>858</x:v>
      </x:c>
      <x:c r="B322" t="s">
        <x:v>366</x:v>
      </x:c>
      <x:c r="C322" t="s">
        <x:v>323</x:v>
      </x:c>
      <x:c r="D322">
        <x:v>8479996</x:v>
      </x:c>
      <x:c r="E322" t="s">
        <x:v>224</x:v>
      </x:c>
      <x:c r="F322">
        <x:v>70</x:v>
      </x:c>
      <x:c r="G322">
        <x:v>65</x:v>
      </x:c>
      <x:c r="J322" t="s">
        <x:v>2241</x:v>
      </x:c>
      <x:c r="K322">
        <x:v>64</x:v>
      </x:c>
      <x:c r="L322">
        <x:v>54</x:v>
      </x:c>
      <x:c r="M322">
        <x:v>86</x:v>
      </x:c>
      <x:c r="N322">
        <x:v>52</x:v>
      </x:c>
      <x:c r="O322">
        <x:v>81</x:v>
      </x:c>
      <x:c r="P322">
        <x:v>84</x:v>
      </x:c>
      <x:c r="Q322">
        <x:v>87</x:v>
      </x:c>
      <x:c r="R322">
        <x:v>53</x:v>
      </x:c>
      <x:c r="S322">
        <x:v>88</x:v>
      </x:c>
      <x:c r="T322">
        <x:v>51</x:v>
      </x:c>
      <x:c r="U322">
        <x:v>59</x:v>
      </x:c>
      <x:c r="V322">
        <x:v>69</x:v>
      </x:c>
      <x:c r="W322">
        <x:v>65</x:v>
      </x:c>
      <x:c r="X322">
        <x:v>71</x:v>
      </x:c>
      <x:c r="Y322">
        <x:v>72</x:v>
      </x:c>
      <x:c r="Z322">
        <x:v>51</x:v>
      </x:c>
      <x:c r="AA322">
        <x:v>57</x:v>
      </x:c>
    </x:row>
    <x:row r="323">
      <x:c r="A323" t="s">
        <x:v>877</x:v>
      </x:c>
      <x:c r="B323" t="s">
        <x:v>481</x:v>
      </x:c>
      <x:c r="C323" t="s">
        <x:v>319</x:v>
      </x:c>
      <x:c r="D323">
        <x:v>8483524</x:v>
      </x:c>
      <x:c r="E323" t="s">
        <x:v>224</x:v>
      </x:c>
      <x:c r="F323">
        <x:v>74</x:v>
      </x:c>
      <x:c r="G323">
        <x:v>79</x:v>
      </x:c>
      <x:c r="J323" t="s">
        <x:v>2242</x:v>
      </x:c>
      <x:c r="K323">
        <x:v>64</x:v>
      </x:c>
      <x:c r="L323">
        <x:v>36</x:v>
      </x:c>
      <x:c r="M323">
        <x:v>89</x:v>
      </x:c>
      <x:c r="N323">
        <x:v>59</x:v>
      </x:c>
      <x:c r="O323">
        <x:v>78</x:v>
      </x:c>
      <x:c r="P323">
        <x:v>84</x:v>
      </x:c>
      <x:c r="Q323">
        <x:v>92</x:v>
      </x:c>
      <x:c r="R323">
        <x:v>54</x:v>
      </x:c>
      <x:c r="S323">
        <x:v>81</x:v>
      </x:c>
      <x:c r="T323">
        <x:v>54</x:v>
      </x:c>
      <x:c r="U323">
        <x:v>57</x:v>
      </x:c>
      <x:c r="V323">
        <x:v>69</x:v>
      </x:c>
      <x:c r="W323">
        <x:v>57</x:v>
      </x:c>
      <x:c r="X323">
        <x:v>69</x:v>
      </x:c>
      <x:c r="Y323">
        <x:v>74</x:v>
      </x:c>
      <x:c r="Z323">
        <x:v>51</x:v>
      </x:c>
      <x:c r="AA323">
        <x:v>57</x:v>
      </x:c>
    </x:row>
    <x:row r="324">
      <x:c r="A324" t="s">
        <x:v>884</x:v>
      </x:c>
      <x:c r="B324" t="s">
        <x:v>361</x:v>
      </x:c>
      <x:c r="C324" t="s">
        <x:v>323</x:v>
      </x:c>
      <x:c r="D324">
        <x:v>8475842</x:v>
      </x:c>
      <x:c r="E324" t="s">
        <x:v>224</x:v>
      </x:c>
      <x:c r="F324">
        <x:v>73</x:v>
      </x:c>
      <x:c r="G324">
        <x:v>80</x:v>
      </x:c>
      <x:c r="J324" t="s">
        <x:v>2178</x:v>
      </x:c>
      <x:c r="K324">
        <x:v>73</x:v>
      </x:c>
      <x:c r="L324">
        <x:v>90</x:v>
      </x:c>
      <x:c r="M324">
        <x:v>78</x:v>
      </x:c>
      <x:c r="N324">
        <x:v>52</x:v>
      </x:c>
      <x:c r="O324">
        <x:v>81</x:v>
      </x:c>
      <x:c r="P324">
        <x:v>82</x:v>
      </x:c>
      <x:c r="Q324">
        <x:v>91</x:v>
      </x:c>
      <x:c r="R324">
        <x:v>49</x:v>
      </x:c>
      <x:c r="S324">
        <x:v>86</x:v>
      </x:c>
      <x:c r="T324">
        <x:v>51</x:v>
      </x:c>
      <x:c r="U324">
        <x:v>54</x:v>
      </x:c>
      <x:c r="V324">
        <x:v>69</x:v>
      </x:c>
      <x:c r="W324">
        <x:v>52</x:v>
      </x:c>
      <x:c r="X324">
        <x:v>74</x:v>
      </x:c>
      <x:c r="Y324">
        <x:v>76</x:v>
      </x:c>
      <x:c r="Z324">
        <x:v>47</x:v>
      </x:c>
      <x:c r="AA324">
        <x:v>57</x:v>
      </x:c>
    </x:row>
    <x:row r="325">
      <x:c r="A325" t="s">
        <x:v>896</x:v>
      </x:c>
      <x:c r="B325" t="s">
        <x:v>348</x:v>
      </x:c>
      <x:c r="C325" t="s">
        <x:v>331</x:v>
      </x:c>
      <x:c r="D325">
        <x:v>8477938</x:v>
      </x:c>
      <x:c r="E325" t="s">
        <x:v>224</x:v>
      </x:c>
      <x:c r="F325">
        <x:v>38</x:v>
      </x:c>
      <x:c r="G325">
        <x:v>39</x:v>
      </x:c>
      <x:c r="J325" t="s">
        <x:v>2243</x:v>
      </x:c>
      <x:c r="K325">
        <x:v>78</x:v>
      </x:c>
      <x:c r="L325">
        <x:v>41</x:v>
      </x:c>
      <x:c r="M325">
        <x:v>81</x:v>
      </x:c>
      <x:c r="N325">
        <x:v>57</x:v>
      </x:c>
      <x:c r="O325">
        <x:v>83</x:v>
      </x:c>
      <x:c r="P325">
        <x:v>83</x:v>
      </x:c>
      <x:c r="Q325">
        <x:v>70</x:v>
      </x:c>
      <x:c r="R325">
        <x:v>35</x:v>
      </x:c>
      <x:c r="S325">
        <x:v>30</x:v>
      </x:c>
      <x:c r="T325">
        <x:v>49</x:v>
      </x:c>
      <x:c r="U325">
        <x:v>46</x:v>
      </x:c>
      <x:c r="V325">
        <x:v>69</x:v>
      </x:c>
      <x:c r="W325">
        <x:v>52</x:v>
      </x:c>
      <x:c r="X325">
        <x:v>75</x:v>
      </x:c>
      <x:c r="Y325">
        <x:v>73</x:v>
      </x:c>
      <x:c r="Z325">
        <x:v>51</x:v>
      </x:c>
      <x:c r="AA325">
        <x:v>57</x:v>
      </x:c>
    </x:row>
    <x:row r="326">
      <x:c r="A326" t="s">
        <x:v>936</x:v>
      </x:c>
      <x:c r="B326" t="s">
        <x:v>383</x:v>
      </x:c>
      <x:c r="C326" t="s">
        <x:v>319</x:v>
      </x:c>
      <x:c r="D326">
        <x:v>8483690</x:v>
      </x:c>
      <x:c r="E326" t="s">
        <x:v>224</x:v>
      </x:c>
      <x:c r="F326">
        <x:v>74</x:v>
      </x:c>
      <x:c r="J326" t="s">
        <x:v>2244</x:v>
      </x:c>
      <x:c r="K326">
        <x:v>70</x:v>
      </x:c>
      <x:c r="L326">
        <x:v>59</x:v>
      </x:c>
      <x:c r="M326">
        <x:v>82</x:v>
      </x:c>
      <x:c r="N326">
        <x:v>68</x:v>
      </x:c>
      <x:c r="O326">
        <x:v>85</x:v>
      </x:c>
      <x:c r="P326">
        <x:v>83</x:v>
      </x:c>
      <x:c r="Q326">
        <x:v>88</x:v>
      </x:c>
      <x:c r="R326">
        <x:v>52</x:v>
      </x:c>
      <x:c r="S326">
        <x:v>86</x:v>
      </x:c>
      <x:c r="T326">
        <x:v>53</x:v>
      </x:c>
      <x:c r="U326">
        <x:v>53</x:v>
      </x:c>
      <x:c r="V326">
        <x:v>69</x:v>
      </x:c>
      <x:c r="W326">
        <x:v>51</x:v>
      </x:c>
      <x:c r="X326">
        <x:v>66</x:v>
      </x:c>
      <x:c r="Y326">
        <x:v>66</x:v>
      </x:c>
      <x:c r="Z326">
        <x:v>54</x:v>
      </x:c>
      <x:c r="AA326">
        <x:v>56</x:v>
      </x:c>
    </x:row>
    <x:row r="327">
      <x:c r="A327" t="s">
        <x:v>999</x:v>
      </x:c>
      <x:c r="B327" t="s">
        <x:v>354</x:v>
      </x:c>
      <x:c r="C327" t="s">
        <x:v>323</x:v>
      </x:c>
      <x:c r="D327">
        <x:v>8483553</x:v>
      </x:c>
      <x:c r="E327" t="s">
        <x:v>224</x:v>
      </x:c>
      <x:c r="F327">
        <x:v>49</x:v>
      </x:c>
      <x:c r="G327">
        <x:v>39</x:v>
      </x:c>
      <x:c r="J327" t="s">
        <x:v>2245</x:v>
      </x:c>
      <x:c r="K327">
        <x:v>91</x:v>
      </x:c>
      <x:c r="L327">
        <x:v>43</x:v>
      </x:c>
      <x:c r="M327">
        <x:v>83</x:v>
      </x:c>
      <x:c r="N327">
        <x:v>67</x:v>
      </x:c>
      <x:c r="O327">
        <x:v>80</x:v>
      </x:c>
      <x:c r="P327">
        <x:v>81</x:v>
      </x:c>
      <x:c r="Q327">
        <x:v>85</x:v>
      </x:c>
      <x:c r="R327">
        <x:v>47</x:v>
      </x:c>
      <x:c r="S327">
        <x:v>64</x:v>
      </x:c>
      <x:c r="T327">
        <x:v>49</x:v>
      </x:c>
      <x:c r="U327">
        <x:v>52</x:v>
      </x:c>
      <x:c r="V327">
        <x:v>69</x:v>
      </x:c>
      <x:c r="W327">
        <x:v>52</x:v>
      </x:c>
      <x:c r="X327">
        <x:v>67</x:v>
      </x:c>
      <x:c r="Y327">
        <x:v>70</x:v>
      </x:c>
      <x:c r="Z327">
        <x:v>51</x:v>
      </x:c>
      <x:c r="AA327">
        <x:v>55</x:v>
      </x:c>
    </x:row>
    <x:row r="328">
      <x:c r="A328" t="s">
        <x:v>1097</x:v>
      </x:c>
      <x:c r="B328" t="s">
        <x:v>393</x:v>
      </x:c>
      <x:c r="C328" t="s">
        <x:v>319</x:v>
      </x:c>
      <x:c r="D328">
        <x:v>8485512</x:v>
      </x:c>
      <x:c r="E328" t="s">
        <x:v>224</x:v>
      </x:c>
      <x:c r="F328">
        <x:v>39</x:v>
      </x:c>
      <x:c r="G328">
        <x:v>2</x:v>
      </x:c>
      <x:c r="J328" t="s">
        <x:v>2246</x:v>
      </x:c>
      <x:c r="K328">
        <x:v>79</x:v>
      </x:c>
      <x:c r="L328">
        <x:v>40</x:v>
      </x:c>
      <x:c r="M328">
        <x:v>83</x:v>
      </x:c>
      <x:c r="N328">
        <x:v>60</x:v>
      </x:c>
      <x:c r="O328">
        <x:v>85</x:v>
      </x:c>
      <x:c r="P328">
        <x:v>81</x:v>
      </x:c>
      <x:c r="Q328">
        <x:v>80</x:v>
      </x:c>
      <x:c r="R328">
        <x:v>48</x:v>
      </x:c>
      <x:c r="S328">
        <x:v>80</x:v>
      </x:c>
      <x:c r="T328">
        <x:v>49</x:v>
      </x:c>
      <x:c r="U328">
        <x:v>51</x:v>
      </x:c>
      <x:c r="V328">
        <x:v>69</x:v>
      </x:c>
      <x:c r="W328">
        <x:v>51</x:v>
      </x:c>
      <x:c r="X328">
        <x:v>68</x:v>
      </x:c>
      <x:c r="Y328">
        <x:v>65</x:v>
      </x:c>
      <x:c r="Z328">
        <x:v>51</x:v>
      </x:c>
      <x:c r="AA328">
        <x:v>54</x:v>
      </x:c>
    </x:row>
    <x:row r="329">
      <x:c r="A329" t="s">
        <x:v>1186</x:v>
      </x:c>
      <x:c r="B329" t="s">
        <x:v>400</x:v>
      </x:c>
      <x:c r="C329" t="s">
        <x:v>326</x:v>
      </x:c>
      <x:c r="D329">
        <x:v>8481655</x:v>
      </x:c>
      <x:c r="E329" t="s">
        <x:v>224</x:v>
      </x:c>
      <x:c r="F329">
        <x:v>29</x:v>
      </x:c>
      <x:c r="G329">
        <x:v>42</x:v>
      </x:c>
      <x:c r="J329" t="s">
        <x:v>2247</x:v>
      </x:c>
      <x:c r="K329">
        <x:v>71</x:v>
      </x:c>
      <x:c r="L329">
        <x:v>38</x:v>
      </x:c>
      <x:c r="M329">
        <x:v>94</x:v>
      </x:c>
      <x:c r="N329">
        <x:v>53</x:v>
      </x:c>
      <x:c r="O329">
        <x:v>84</x:v>
      </x:c>
      <x:c r="P329">
        <x:v>80</x:v>
      </x:c>
      <x:c r="Q329">
        <x:v>61</x:v>
      </x:c>
      <x:c r="R329">
        <x:v>47</x:v>
      </x:c>
      <x:c r="S329">
        <x:v>81</x:v>
      </x:c>
      <x:c r="T329">
        <x:v>50</x:v>
      </x:c>
      <x:c r="U329">
        <x:v>54</x:v>
      </x:c>
      <x:c r="V329">
        <x:v>69</x:v>
      </x:c>
      <x:c r="W329">
        <x:v>52</x:v>
      </x:c>
      <x:c r="X329">
        <x:v>67</x:v>
      </x:c>
      <x:c r="Y329">
        <x:v>67</x:v>
      </x:c>
      <x:c r="Z329">
        <x:v>51</x:v>
      </x:c>
      <x:c r="AA329">
        <x:v>53</x:v>
      </x:c>
    </x:row>
    <x:row r="330">
      <x:c r="A330" t="s">
        <x:v>387</x:v>
      </x:c>
      <x:c r="B330" t="s">
        <x:v>368</x:v>
      </x:c>
      <x:c r="C330" t="s">
        <x:v>319</x:v>
      </x:c>
      <x:c r="D330">
        <x:v>8477946</x:v>
      </x:c>
      <x:c r="E330" t="s">
        <x:v>224</x:v>
      </x:c>
      <x:c r="F330">
        <x:v>74</x:v>
      </x:c>
      <x:c r="G330">
        <x:v>82</x:v>
      </x:c>
      <x:c r="J330" t="s">
        <x:v>2180</x:v>
      </x:c>
      <x:c r="K330">
        <x:v>60</x:v>
      </x:c>
      <x:c r="L330">
        <x:v>40</x:v>
      </x:c>
      <x:c r="M330">
        <x:v>88</x:v>
      </x:c>
      <x:c r="N330">
        <x:v>59</x:v>
      </x:c>
      <x:c r="O330">
        <x:v>82</x:v>
      </x:c>
      <x:c r="P330">
        <x:v>92</x:v>
      </x:c>
      <x:c r="Q330">
        <x:v>92</x:v>
      </x:c>
      <x:c r="R330">
        <x:v>66</x:v>
      </x:c>
      <x:c r="S330">
        <x:v>92</x:v>
      </x:c>
      <x:c r="T330">
        <x:v>58</x:v>
      </x:c>
      <x:c r="U330">
        <x:v>68</x:v>
      </x:c>
      <x:c r="V330">
        <x:v>68</x:v>
      </x:c>
      <x:c r="W330">
        <x:v>76</x:v>
      </x:c>
      <x:c r="X330">
        <x:v>80</x:v>
      </x:c>
      <x:c r="Y330">
        <x:v>90</x:v>
      </x:c>
      <x:c r="Z330">
        <x:v>51</x:v>
      </x:c>
      <x:c r="AA330">
        <x:v>65</x:v>
      </x:c>
    </x:row>
    <x:row r="331">
      <x:c r="A331" t="s">
        <x:v>395</x:v>
      </x:c>
      <x:c r="B331" t="s">
        <x:v>396</x:v>
      </x:c>
      <x:c r="C331" t="s">
        <x:v>323</x:v>
      </x:c>
      <x:c r="D331">
        <x:v>8480023</x:v>
      </x:c>
      <x:c r="E331" t="s">
        <x:v>224</x:v>
      </x:c>
      <x:c r="F331">
        <x:v>64</x:v>
      </x:c>
      <x:c r="G331">
        <x:v>70</x:v>
      </x:c>
      <x:c r="J331" t="s">
        <x:v>2248</x:v>
      </x:c>
      <x:c r="K331">
        <x:v>57</x:v>
      </x:c>
      <x:c r="L331">
        <x:v>39</x:v>
      </x:c>
      <x:c r="M331">
        <x:v>86</x:v>
      </x:c>
      <x:c r="N331">
        <x:v>52</x:v>
      </x:c>
      <x:c r="O331">
        <x:v>83</x:v>
      </x:c>
      <x:c r="P331">
        <x:v>91</x:v>
      </x:c>
      <x:c r="Q331">
        <x:v>84</x:v>
      </x:c>
      <x:c r="R331">
        <x:v>71</x:v>
      </x:c>
      <x:c r="S331">
        <x:v>90</x:v>
      </x:c>
      <x:c r="T331">
        <x:v>76</x:v>
      </x:c>
      <x:c r="U331">
        <x:v>59</x:v>
      </x:c>
      <x:c r="V331">
        <x:v>68</x:v>
      </x:c>
      <x:c r="W331">
        <x:v>73</x:v>
      </x:c>
      <x:c r="X331">
        <x:v>79</x:v>
      </x:c>
      <x:c r="Y331">
        <x:v>85</x:v>
      </x:c>
      <x:c r="Z331">
        <x:v>51</x:v>
      </x:c>
      <x:c r="AA331">
        <x:v>65</x:v>
      </x:c>
    </x:row>
    <x:row r="332">
      <x:c r="A332" t="s">
        <x:v>403</x:v>
      </x:c>
      <x:c r="B332" t="s">
        <x:v>352</x:v>
      </x:c>
      <x:c r="C332" t="s">
        <x:v>339</x:v>
      </x:c>
      <x:c r="D332">
        <x:v>8479318</x:v>
      </x:c>
      <x:c r="E332" t="s">
        <x:v>224</x:v>
      </x:c>
      <x:c r="F332">
        <x:v>60</x:v>
      </x:c>
      <x:c r="G332">
        <x:v>67</x:v>
      </x:c>
      <x:c r="J332" t="s">
        <x:v>2249</x:v>
      </x:c>
      <x:c r="K332">
        <x:v>61</x:v>
      </x:c>
      <x:c r="L332">
        <x:v>42</x:v>
      </x:c>
      <x:c r="M332">
        <x:v>91</x:v>
      </x:c>
      <x:c r="N332">
        <x:v>52</x:v>
      </x:c>
      <x:c r="O332">
        <x:v>86</x:v>
      </x:c>
      <x:c r="P332">
        <x:v>92</x:v>
      </x:c>
      <x:c r="Q332">
        <x:v>82</x:v>
      </x:c>
      <x:c r="R332">
        <x:v>70</x:v>
      </x:c>
      <x:c r="S332">
        <x:v>92</x:v>
      </x:c>
      <x:c r="T332">
        <x:v>57</x:v>
      </x:c>
      <x:c r="U332">
        <x:v>63</x:v>
      </x:c>
      <x:c r="V332">
        <x:v>68</x:v>
      </x:c>
      <x:c r="W332">
        <x:v>91</x:v>
      </x:c>
      <x:c r="X332">
        <x:v>82</x:v>
      </x:c>
      <x:c r="Y332">
        <x:v>89</x:v>
      </x:c>
      <x:c r="Z332">
        <x:v>51</x:v>
      </x:c>
      <x:c r="AA332">
        <x:v>65</x:v>
      </x:c>
    </x:row>
    <x:row r="333">
      <x:c r="A333" t="s">
        <x:v>443</x:v>
      </x:c>
      <x:c r="B333" t="s">
        <x:v>396</x:v>
      </x:c>
      <x:c r="C333" t="s">
        <x:v>333</x:v>
      </x:c>
      <x:c r="D333">
        <x:v>8482077</x:v>
      </x:c>
      <x:c r="E333" t="s">
        <x:v>224</x:v>
      </x:c>
      <x:c r="F333">
        <x:v>59</x:v>
      </x:c>
      <x:c r="G333">
        <x:v>77</x:v>
      </x:c>
      <x:c r="J333" t="s">
        <x:v>2250</x:v>
      </x:c>
      <x:c r="K333">
        <x:v>71</x:v>
      </x:c>
      <x:c r="L333">
        <x:v>72</x:v>
      </x:c>
      <x:c r="M333">
        <x:v>94</x:v>
      </x:c>
      <x:c r="N333">
        <x:v>57</x:v>
      </x:c>
      <x:c r="O333">
        <x:v>83</x:v>
      </x:c>
      <x:c r="P333">
        <x:v>88</x:v>
      </x:c>
      <x:c r="Q333">
        <x:v>81</x:v>
      </x:c>
      <x:c r="R333">
        <x:v>65</x:v>
      </x:c>
      <x:c r="S333">
        <x:v>73</x:v>
      </x:c>
      <x:c r="T333">
        <x:v>62</x:v>
      </x:c>
      <x:c r="U333">
        <x:v>62</x:v>
      </x:c>
      <x:c r="V333">
        <x:v>68</x:v>
      </x:c>
      <x:c r="W333">
        <x:v>63</x:v>
      </x:c>
      <x:c r="X333">
        <x:v>70</x:v>
      </x:c>
      <x:c r="Y333">
        <x:v>78</x:v>
      </x:c>
      <x:c r="Z333">
        <x:v>51</x:v>
      </x:c>
      <x:c r="AA333">
        <x:v>63</x:v>
      </x:c>
    </x:row>
    <x:row r="334">
      <x:c r="A334" t="s">
        <x:v>453</x:v>
      </x:c>
      <x:c r="B334" t="s">
        <x:v>354</x:v>
      </x:c>
      <x:c r="C334" t="s">
        <x:v>339</x:v>
      </x:c>
      <x:c r="D334">
        <x:v>8476881</x:v>
      </x:c>
      <x:c r="E334" t="s">
        <x:v>224</x:v>
      </x:c>
      <x:c r="F334">
        <x:v>82</x:v>
      </x:c>
      <x:c r="G334">
        <x:v>73</x:v>
      </x:c>
      <x:c r="J334" t="s">
        <x:v>2034</x:v>
      </x:c>
      <x:c r="K334">
        <x:v>67</x:v>
      </x:c>
      <x:c r="L334">
        <x:v>61</x:v>
      </x:c>
      <x:c r="M334">
        <x:v>91</x:v>
      </x:c>
      <x:c r="N334">
        <x:v>47</x:v>
      </x:c>
      <x:c r="O334">
        <x:v>87</x:v>
      </x:c>
      <x:c r="P334">
        <x:v>88</x:v>
      </x:c>
      <x:c r="Q334">
        <x:v>97</x:v>
      </x:c>
      <x:c r="R334">
        <x:v>63</x:v>
      </x:c>
      <x:c r="S334">
        <x:v>91</x:v>
      </x:c>
      <x:c r="T334">
        <x:v>61</x:v>
      </x:c>
      <x:c r="U334">
        <x:v>62</x:v>
      </x:c>
      <x:c r="V334">
        <x:v>68</x:v>
      </x:c>
      <x:c r="W334">
        <x:v>59</x:v>
      </x:c>
      <x:c r="X334">
        <x:v>87</x:v>
      </x:c>
      <x:c r="Y334">
        <x:v>82</x:v>
      </x:c>
      <x:c r="Z334">
        <x:v>51</x:v>
      </x:c>
      <x:c r="AA334">
        <x:v>63</x:v>
      </x:c>
    </x:row>
    <x:row r="335">
      <x:c r="A335" t="s">
        <x:v>493</x:v>
      </x:c>
      <x:c r="B335" t="s">
        <x:v>337</x:v>
      </x:c>
      <x:c r="C335" t="s">
        <x:v>333</x:v>
      </x:c>
      <x:c r="D335">
        <x:v>8477501</x:v>
      </x:c>
      <x:c r="E335" t="s">
        <x:v>224</x:v>
      </x:c>
      <x:c r="F335">
        <x:v>72</x:v>
      </x:c>
      <x:c r="G335">
        <x:v>43</x:v>
      </x:c>
      <x:c r="J335" t="s">
        <x:v>2251</x:v>
      </x:c>
      <x:c r="K335">
        <x:v>64</x:v>
      </x:c>
      <x:c r="L335">
        <x:v>43</x:v>
      </x:c>
      <x:c r="M335">
        <x:v>94</x:v>
      </x:c>
      <x:c r="N335">
        <x:v>64</x:v>
      </x:c>
      <x:c r="O335">
        <x:v>84</x:v>
      </x:c>
      <x:c r="P335">
        <x:v>88</x:v>
      </x:c>
      <x:c r="Q335">
        <x:v>86</x:v>
      </x:c>
      <x:c r="R335">
        <x:v>60</x:v>
      </x:c>
      <x:c r="S335">
        <x:v>68</x:v>
      </x:c>
      <x:c r="T335">
        <x:v>60</x:v>
      </x:c>
      <x:c r="U335">
        <x:v>58</x:v>
      </x:c>
      <x:c r="V335">
        <x:v>68</x:v>
      </x:c>
      <x:c r="W335">
        <x:v>82</x:v>
      </x:c>
      <x:c r="X335">
        <x:v>82</x:v>
      </x:c>
      <x:c r="Y335">
        <x:v>79</x:v>
      </x:c>
      <x:c r="Z335">
        <x:v>51</x:v>
      </x:c>
      <x:c r="AA335">
        <x:v>62</x:v>
      </x:c>
    </x:row>
    <x:row r="336">
      <x:c r="A336" t="s">
        <x:v>555</x:v>
      </x:c>
      <x:c r="B336" t="s">
        <x:v>481</x:v>
      </x:c>
      <x:c r="C336" t="s">
        <x:v>329</x:v>
      </x:c>
      <x:c r="D336">
        <x:v>8477955</x:v>
      </x:c>
      <x:c r="E336" t="s">
        <x:v>224</x:v>
      </x:c>
      <x:c r="F336">
        <x:v>52</x:v>
      </x:c>
      <x:c r="G336">
        <x:v>82</x:v>
      </x:c>
      <x:c r="J336" t="s">
        <x:v>2252</x:v>
      </x:c>
      <x:c r="K336">
        <x:v>63</x:v>
      </x:c>
      <x:c r="L336">
        <x:v>49</x:v>
      </x:c>
      <x:c r="M336">
        <x:v>96</x:v>
      </x:c>
      <x:c r="N336">
        <x:v>49</x:v>
      </x:c>
      <x:c r="O336">
        <x:v>78</x:v>
      </x:c>
      <x:c r="P336">
        <x:v>86</x:v>
      </x:c>
      <x:c r="Q336">
        <x:v>80</x:v>
      </x:c>
      <x:c r="R336">
        <x:v>63</x:v>
      </x:c>
      <x:c r="S336">
        <x:v>72</x:v>
      </x:c>
      <x:c r="T336">
        <x:v>59</x:v>
      </x:c>
      <x:c r="U336">
        <x:v>63</x:v>
      </x:c>
      <x:c r="V336">
        <x:v>68</x:v>
      </x:c>
      <x:c r="W336">
        <x:v>64</x:v>
      </x:c>
      <x:c r="X336">
        <x:v>80</x:v>
      </x:c>
      <x:c r="Y336">
        <x:v>77</x:v>
      </x:c>
      <x:c r="Z336">
        <x:v>51</x:v>
      </x:c>
      <x:c r="AA336">
        <x:v>61</x:v>
      </x:c>
    </x:row>
    <x:row r="337">
      <x:c r="A337" t="s">
        <x:v>558</x:v>
      </x:c>
      <x:c r="B337" t="s">
        <x:v>324</x:v>
      </x:c>
      <x:c r="C337" t="s">
        <x:v>333</x:v>
      </x:c>
      <x:c r="D337">
        <x:v>8477476</x:v>
      </x:c>
      <x:c r="E337" t="s">
        <x:v>224</x:v>
      </x:c>
      <x:c r="F337">
        <x:v>70</x:v>
      </x:c>
      <x:c r="G337">
        <x:v>69</x:v>
      </x:c>
      <x:c r="J337" t="s">
        <x:v>2253</x:v>
      </x:c>
      <x:c r="K337">
        <x:v>61</x:v>
      </x:c>
      <x:c r="L337">
        <x:v>37</x:v>
      </x:c>
      <x:c r="M337">
        <x:v>88</x:v>
      </x:c>
      <x:c r="N337">
        <x:v>48</x:v>
      </x:c>
      <x:c r="O337">
        <x:v>75</x:v>
      </x:c>
      <x:c r="P337">
        <x:v>90</x:v>
      </x:c>
      <x:c r="Q337">
        <x:v>87</x:v>
      </x:c>
      <x:c r="R337">
        <x:v>57</x:v>
      </x:c>
      <x:c r="S337">
        <x:v>65</x:v>
      </x:c>
      <x:c r="T337">
        <x:v>57</x:v>
      </x:c>
      <x:c r="U337">
        <x:v>59</x:v>
      </x:c>
      <x:c r="V337">
        <x:v>68</x:v>
      </x:c>
      <x:c r="W337">
        <x:v>61</x:v>
      </x:c>
      <x:c r="X337">
        <x:v>82</x:v>
      </x:c>
      <x:c r="Y337">
        <x:v>77</x:v>
      </x:c>
      <x:c r="Z337">
        <x:v>51</x:v>
      </x:c>
      <x:c r="AA337">
        <x:v>61</x:v>
      </x:c>
    </x:row>
    <x:row r="338">
      <x:c r="A338" t="s">
        <x:v>565</x:v>
      </x:c>
      <x:c r="B338" t="s">
        <x:v>361</x:v>
      </x:c>
      <x:c r="C338" t="s">
        <x:v>339</x:v>
      </x:c>
      <x:c r="D338">
        <x:v>8480064</x:v>
      </x:c>
      <x:c r="E338" t="s">
        <x:v>224</x:v>
      </x:c>
      <x:c r="F338">
        <x:v>44</x:v>
      </x:c>
      <x:c r="G338">
        <x:v>56</x:v>
      </x:c>
      <x:c r="J338" t="s">
        <x:v>2254</x:v>
      </x:c>
      <x:c r="K338">
        <x:v>64</x:v>
      </x:c>
      <x:c r="L338">
        <x:v>37</x:v>
      </x:c>
      <x:c r="M338">
        <x:v>82</x:v>
      </x:c>
      <x:c r="N338">
        <x:v>67</x:v>
      </x:c>
      <x:c r="O338">
        <x:v>79</x:v>
      </x:c>
      <x:c r="P338">
        <x:v>86</x:v>
      </x:c>
      <x:c r="Q338">
        <x:v>73</x:v>
      </x:c>
      <x:c r="R338">
        <x:v>59</x:v>
      </x:c>
      <x:c r="S338">
        <x:v>88</x:v>
      </x:c>
      <x:c r="T338">
        <x:v>58</x:v>
      </x:c>
      <x:c r="U338">
        <x:v>58</x:v>
      </x:c>
      <x:c r="V338">
        <x:v>68</x:v>
      </x:c>
      <x:c r="W338">
        <x:v>82</x:v>
      </x:c>
      <x:c r="X338">
        <x:v>70</x:v>
      </x:c>
      <x:c r="Y338">
        <x:v>77</x:v>
      </x:c>
      <x:c r="Z338">
        <x:v>51</x:v>
      </x:c>
      <x:c r="AA338">
        <x:v>61</x:v>
      </x:c>
    </x:row>
    <x:row r="339">
      <x:c r="A339" t="s">
        <x:v>580</x:v>
      </x:c>
      <x:c r="B339" t="s">
        <x:v>366</x:v>
      </x:c>
      <x:c r="C339" t="s">
        <x:v>339</x:v>
      </x:c>
      <x:c r="D339">
        <x:v>8475149</x:v>
      </x:c>
      <x:c r="E339" t="s">
        <x:v>224</x:v>
      </x:c>
      <x:c r="F339">
        <x:v>75</x:v>
      </x:c>
      <x:c r="G339">
        <x:v>72</x:v>
      </x:c>
      <x:c r="J339" t="s">
        <x:v>2255</x:v>
      </x:c>
      <x:c r="K339">
        <x:v>61</x:v>
      </x:c>
      <x:c r="L339">
        <x:v>37</x:v>
      </x:c>
      <x:c r="M339">
        <x:v>93</x:v>
      </x:c>
      <x:c r="N339">
        <x:v>60</x:v>
      </x:c>
      <x:c r="O339">
        <x:v>81</x:v>
      </x:c>
      <x:c r="P339">
        <x:v>86</x:v>
      </x:c>
      <x:c r="Q339">
        <x:v>92</x:v>
      </x:c>
      <x:c r="R339">
        <x:v>58</x:v>
      </x:c>
      <x:c r="S339">
        <x:v>67</x:v>
      </x:c>
      <x:c r="T339">
        <x:v>63</x:v>
      </x:c>
      <x:c r="U339">
        <x:v>56</x:v>
      </x:c>
      <x:c r="V339">
        <x:v>68</x:v>
      </x:c>
      <x:c r="W339">
        <x:v>54</x:v>
      </x:c>
      <x:c r="X339">
        <x:v>90</x:v>
      </x:c>
      <x:c r="Y339">
        <x:v>75</x:v>
      </x:c>
      <x:c r="Z339">
        <x:v>51</x:v>
      </x:c>
      <x:c r="AA339">
        <x:v>60</x:v>
      </x:c>
    </x:row>
    <x:row r="340">
      <x:c r="A340" t="s">
        <x:v>645</x:v>
      </x:c>
      <x:c r="B340" t="s">
        <x:v>576</x:v>
      </x:c>
      <x:c r="C340" t="s">
        <x:v>333</x:v>
      </x:c>
      <x:c r="D340">
        <x:v>8476456</x:v>
      </x:c>
      <x:c r="E340" t="s">
        <x:v>224</x:v>
      </x:c>
      <x:c r="F340">
        <x:v>50</x:v>
      </x:c>
      <x:c r="G340">
        <x:v>81</x:v>
      </x:c>
      <x:c r="J340" t="s">
        <x:v>2256</x:v>
      </x:c>
      <x:c r="K340">
        <x:v>61</x:v>
      </x:c>
      <x:c r="L340">
        <x:v>52</x:v>
      </x:c>
      <x:c r="M340">
        <x:v>85</x:v>
      </x:c>
      <x:c r="N340">
        <x:v>48</x:v>
      </x:c>
      <x:c r="O340">
        <x:v>80</x:v>
      </x:c>
      <x:c r="P340">
        <x:v>89</x:v>
      </x:c>
      <x:c r="Q340">
        <x:v>80</x:v>
      </x:c>
      <x:c r="R340">
        <x:v>58</x:v>
      </x:c>
      <x:c r="S340">
        <x:v>69</x:v>
      </x:c>
      <x:c r="T340">
        <x:v>54</x:v>
      </x:c>
      <x:c r="U340">
        <x:v>55</x:v>
      </x:c>
      <x:c r="V340">
        <x:v>68</x:v>
      </x:c>
      <x:c r="W340">
        <x:v>75</x:v>
      </x:c>
      <x:c r="X340">
        <x:v>84</x:v>
      </x:c>
      <x:c r="Y340">
        <x:v>81</x:v>
      </x:c>
      <x:c r="Z340">
        <x:v>51</x:v>
      </x:c>
      <x:c r="AA340">
        <x:v>59</x:v>
      </x:c>
    </x:row>
    <x:row r="341">
      <x:c r="A341" t="s">
        <x:v>720</x:v>
      </x:c>
      <x:c r="B341" t="s">
        <x:v>327</x:v>
      </x:c>
      <x:c r="C341" t="s">
        <x:v>333</x:v>
      </x:c>
      <x:c r="D341">
        <x:v>8481624</x:v>
      </x:c>
      <x:c r="E341" t="s">
        <x:v>224</x:v>
      </x:c>
      <x:c r="F341">
        <x:v>76</x:v>
      </x:c>
      <x:c r="G341">
        <x:v>80</x:v>
      </x:c>
      <x:c r="J341" t="s">
        <x:v>2257</x:v>
      </x:c>
      <x:c r="K341">
        <x:v>60</x:v>
      </x:c>
      <x:c r="L341">
        <x:v>37</x:v>
      </x:c>
      <x:c r="M341">
        <x:v>91</x:v>
      </x:c>
      <x:c r="N341">
        <x:v>61</x:v>
      </x:c>
      <x:c r="O341">
        <x:v>78</x:v>
      </x:c>
      <x:c r="P341">
        <x:v>88</x:v>
      </x:c>
      <x:c r="Q341">
        <x:v>94</x:v>
      </x:c>
      <x:c r="R341">
        <x:v>56</x:v>
      </x:c>
      <x:c r="S341">
        <x:v>64</x:v>
      </x:c>
      <x:c r="T341">
        <x:v>52</x:v>
      </x:c>
      <x:c r="U341">
        <x:v>57</x:v>
      </x:c>
      <x:c r="V341">
        <x:v>68</x:v>
      </x:c>
      <x:c r="W341">
        <x:v>54</x:v>
      </x:c>
      <x:c r="X341">
        <x:v>77</x:v>
      </x:c>
      <x:c r="Y341">
        <x:v>75</x:v>
      </x:c>
      <x:c r="Z341">
        <x:v>51</x:v>
      </x:c>
      <x:c r="AA341">
        <x:v>59</x:v>
      </x:c>
    </x:row>
    <x:row r="342">
      <x:c r="A342" t="s">
        <x:v>733</x:v>
      </x:c>
      <x:c r="B342" t="s">
        <x:v>370</x:v>
      </x:c>
      <x:c r="C342" t="s">
        <x:v>339</x:v>
      </x:c>
      <x:c r="D342">
        <x:v>8477998</x:v>
      </x:c>
      <x:c r="E342" t="s">
        <x:v>224</x:v>
      </x:c>
      <x:c r="F342">
        <x:v>68</x:v>
      </x:c>
      <x:c r="G342">
        <x:v>82</x:v>
      </x:c>
      <x:c r="J342" t="s">
        <x:v>2063</x:v>
      </x:c>
      <x:c r="K342">
        <x:v>66</x:v>
      </x:c>
      <x:c r="L342">
        <x:v>41</x:v>
      </x:c>
      <x:c r="M342">
        <x:v>86</x:v>
      </x:c>
      <x:c r="N342">
        <x:v>56</x:v>
      </x:c>
      <x:c r="O342">
        <x:v>82</x:v>
      </x:c>
      <x:c r="P342">
        <x:v>84</x:v>
      </x:c>
      <x:c r="Q342">
        <x:v>89</x:v>
      </x:c>
      <x:c r="R342">
        <x:v>54</x:v>
      </x:c>
      <x:c r="S342">
        <x:v>69</x:v>
      </x:c>
      <x:c r="T342">
        <x:v>50</x:v>
      </x:c>
      <x:c r="U342">
        <x:v>57</x:v>
      </x:c>
      <x:c r="V342">
        <x:v>68</x:v>
      </x:c>
      <x:c r="W342">
        <x:v>54</x:v>
      </x:c>
      <x:c r="X342">
        <x:v>81</x:v>
      </x:c>
      <x:c r="Y342">
        <x:v>73</x:v>
      </x:c>
      <x:c r="Z342">
        <x:v>51</x:v>
      </x:c>
      <x:c r="AA342">
        <x:v>58</x:v>
      </x:c>
    </x:row>
    <x:row r="343">
      <x:c r="A343" t="s">
        <x:v>737</x:v>
      </x:c>
      <x:c r="B343" t="s">
        <x:v>324</x:v>
      </x:c>
      <x:c r="C343" t="s">
        <x:v>323</x:v>
      </x:c>
      <x:c r="D343">
        <x:v>8478462</x:v>
      </x:c>
      <x:c r="E343" t="s">
        <x:v>224</x:v>
      </x:c>
      <x:c r="F343">
        <x:v>74</x:v>
      </x:c>
      <x:c r="G343">
        <x:v>71</x:v>
      </x:c>
      <x:c r="J343" t="s">
        <x:v>2258</x:v>
      </x:c>
      <x:c r="K343">
        <x:v>66</x:v>
      </x:c>
      <x:c r="L343">
        <x:v>67</x:v>
      </x:c>
      <x:c r="M343">
        <x:v>84</x:v>
      </x:c>
      <x:c r="N343">
        <x:v>47</x:v>
      </x:c>
      <x:c r="O343">
        <x:v>80</x:v>
      </x:c>
      <x:c r="P343">
        <x:v>84</x:v>
      </x:c>
      <x:c r="Q343">
        <x:v>90</x:v>
      </x:c>
      <x:c r="R343">
        <x:v>54</x:v>
      </x:c>
      <x:c r="S343">
        <x:v>87</x:v>
      </x:c>
      <x:c r="T343">
        <x:v>54</x:v>
      </x:c>
      <x:c r="U343">
        <x:v>53</x:v>
      </x:c>
      <x:c r="V343">
        <x:v>68</x:v>
      </x:c>
      <x:c r="W343">
        <x:v>63</x:v>
      </x:c>
      <x:c r="X343">
        <x:v>79</x:v>
      </x:c>
      <x:c r="Y343">
        <x:v>73</x:v>
      </x:c>
      <x:c r="Z343">
        <x:v>58</x:v>
      </x:c>
      <x:c r="AA343">
        <x:v>58</x:v>
      </x:c>
    </x:row>
    <x:row r="344">
      <x:c r="A344" t="s">
        <x:v>760</x:v>
      </x:c>
      <x:c r="B344" t="s">
        <x:v>481</x:v>
      </x:c>
      <x:c r="C344" t="s">
        <x:v>323</x:v>
      </x:c>
      <x:c r="D344">
        <x:v>8477919</x:v>
      </x:c>
      <x:c r="E344" t="s">
        <x:v>224</x:v>
      </x:c>
      <x:c r="F344">
        <x:v>68</x:v>
      </x:c>
      <x:c r="G344">
        <x:v>82</x:v>
      </x:c>
      <x:c r="J344" t="s">
        <x:v>2063</x:v>
      </x:c>
      <x:c r="K344">
        <x:v>61</x:v>
      </x:c>
      <x:c r="L344">
        <x:v>47</x:v>
      </x:c>
      <x:c r="M344">
        <x:v>92</x:v>
      </x:c>
      <x:c r="N344">
        <x:v>52</x:v>
      </x:c>
      <x:c r="O344">
        <x:v>76</x:v>
      </x:c>
      <x:c r="P344">
        <x:v>86</x:v>
      </x:c>
      <x:c r="Q344">
        <x:v>89</x:v>
      </x:c>
      <x:c r="R344">
        <x:v>54</x:v>
      </x:c>
      <x:c r="S344">
        <x:v>85</x:v>
      </x:c>
      <x:c r="T344">
        <x:v>53</x:v>
      </x:c>
      <x:c r="U344">
        <x:v>52</x:v>
      </x:c>
      <x:c r="V344">
        <x:v>68</x:v>
      </x:c>
      <x:c r="W344">
        <x:v>82</x:v>
      </x:c>
      <x:c r="X344">
        <x:v>78</x:v>
      </x:c>
      <x:c r="Y344">
        <x:v>73</x:v>
      </x:c>
      <x:c r="Z344">
        <x:v>51</x:v>
      </x:c>
      <x:c r="AA344">
        <x:v>58</x:v>
      </x:c>
    </x:row>
    <x:row r="345">
      <x:c r="A345" t="s">
        <x:v>774</x:v>
      </x:c>
      <x:c r="B345" t="s">
        <x:v>393</x:v>
      </x:c>
      <x:c r="C345" t="s">
        <x:v>358</x:v>
      </x:c>
      <x:c r="D345">
        <x:v>8478421</x:v>
      </x:c>
      <x:c r="E345" t="s">
        <x:v>224</x:v>
      </x:c>
      <x:c r="F345">
        <x:v>78</x:v>
      </x:c>
      <x:c r="G345">
        <x:v>81</x:v>
      </x:c>
      <x:c r="J345" t="s">
        <x:v>2259</x:v>
      </x:c>
      <x:c r="K345">
        <x:v>81</x:v>
      </x:c>
      <x:c r="L345">
        <x:v>89</x:v>
      </x:c>
      <x:c r="M345">
        <x:v>73</x:v>
      </x:c>
      <x:c r="N345">
        <x:v>53</x:v>
      </x:c>
      <x:c r="O345">
        <x:v>88</x:v>
      </x:c>
      <x:c r="P345">
        <x:v>83</x:v>
      </x:c>
      <x:c r="Q345">
        <x:v>95</x:v>
      </x:c>
      <x:c r="R345">
        <x:v>53</x:v>
      </x:c>
      <x:c r="S345">
        <x:v>66</x:v>
      </x:c>
      <x:c r="T345">
        <x:v>54</x:v>
      </x:c>
      <x:c r="U345">
        <x:v>59</x:v>
      </x:c>
      <x:c r="V345">
        <x:v>68</x:v>
      </x:c>
      <x:c r="W345">
        <x:v>52</x:v>
      </x:c>
      <x:c r="X345">
        <x:v>73</x:v>
      </x:c>
      <x:c r="Y345">
        <x:v>72</x:v>
      </x:c>
      <x:c r="Z345">
        <x:v>51</x:v>
      </x:c>
      <x:c r="AA345">
        <x:v>58</x:v>
      </x:c>
    </x:row>
    <x:row r="346">
      <x:c r="A346" t="s">
        <x:v>780</x:v>
      </x:c>
      <x:c r="B346" t="s">
        <x:v>348</x:v>
      </x:c>
      <x:c r="C346" t="s">
        <x:v>333</x:v>
      </x:c>
      <x:c r="D346">
        <x:v>8482149</x:v>
      </x:c>
      <x:c r="E346" t="s">
        <x:v>224</x:v>
      </x:c>
      <x:c r="F346">
        <x:v>68</x:v>
      </x:c>
      <x:c r="G346">
        <x:v>82</x:v>
      </x:c>
      <x:c r="J346" t="s">
        <x:v>2063</x:v>
      </x:c>
      <x:c r="K346">
        <x:v>64</x:v>
      </x:c>
      <x:c r="L346">
        <x:v>32</x:v>
      </x:c>
      <x:c r="M346">
        <x:v>85</x:v>
      </x:c>
      <x:c r="N346">
        <x:v>46</x:v>
      </x:c>
      <x:c r="O346">
        <x:v>77</x:v>
      </x:c>
      <x:c r="P346">
        <x:v>86</x:v>
      </x:c>
      <x:c r="Q346">
        <x:v>89</x:v>
      </x:c>
      <x:c r="R346">
        <x:v>57</x:v>
      </x:c>
      <x:c r="S346">
        <x:v>68</x:v>
      </x:c>
      <x:c r="T346">
        <x:v>57</x:v>
      </x:c>
      <x:c r="U346">
        <x:v>56</x:v>
      </x:c>
      <x:c r="V346">
        <x:v>68</x:v>
      </x:c>
      <x:c r="W346">
        <x:v>65</x:v>
      </x:c>
      <x:c r="X346">
        <x:v>71</x:v>
      </x:c>
      <x:c r="Y346">
        <x:v>77</x:v>
      </x:c>
      <x:c r="Z346">
        <x:v>51</x:v>
      </x:c>
      <x:c r="AA346">
        <x:v>58</x:v>
      </x:c>
    </x:row>
    <x:row r="347">
      <x:c r="A347" t="s">
        <x:v>783</x:v>
      </x:c>
      <x:c r="B347" t="s">
        <x:v>576</x:v>
      </x:c>
      <x:c r="C347" t="s">
        <x:v>358</x:v>
      </x:c>
      <x:c r="D347">
        <x:v>8480797</x:v>
      </x:c>
      <x:c r="E347" t="s">
        <x:v>224</x:v>
      </x:c>
      <x:c r="F347">
        <x:v>82</x:v>
      </x:c>
      <x:c r="G347">
        <x:v>81</x:v>
      </x:c>
      <x:c r="J347" t="s">
        <x:v>2102</x:v>
      </x:c>
      <x:c r="K347">
        <x:v>63</x:v>
      </x:c>
      <x:c r="L347">
        <x:v>57</x:v>
      </x:c>
      <x:c r="M347">
        <x:v>93</x:v>
      </x:c>
      <x:c r="N347">
        <x:v>52</x:v>
      </x:c>
      <x:c r="O347">
        <x:v>77</x:v>
      </x:c>
      <x:c r="P347">
        <x:v>87</x:v>
      </x:c>
      <x:c r="Q347">
        <x:v>99</x:v>
      </x:c>
      <x:c r="R347">
        <x:v>54</x:v>
      </x:c>
      <x:c r="S347">
        <x:v>71</x:v>
      </x:c>
      <x:c r="T347">
        <x:v>52</x:v>
      </x:c>
      <x:c r="U347">
        <x:v>57</x:v>
      </x:c>
      <x:c r="V347">
        <x:v>68</x:v>
      </x:c>
      <x:c r="W347">
        <x:v>67</x:v>
      </x:c>
      <x:c r="X347">
        <x:v>77</x:v>
      </x:c>
      <x:c r="Y347">
        <x:v>75</x:v>
      </x:c>
      <x:c r="Z347">
        <x:v>51</x:v>
      </x:c>
      <x:c r="AA347">
        <x:v>58</x:v>
      </x:c>
    </x:row>
    <x:row r="348">
      <x:c r="A348" t="s">
        <x:v>816</x:v>
      </x:c>
      <x:c r="B348" t="s">
        <x:v>350</x:v>
      </x:c>
      <x:c r="C348" t="s">
        <x:v>319</x:v>
      </x:c>
      <x:c r="D348">
        <x:v>8485414</x:v>
      </x:c>
      <x:c r="E348" t="s">
        <x:v>224</x:v>
      </x:c>
      <x:c r="F348">
        <x:v>77</x:v>
      </x:c>
      <x:c r="J348" t="s">
        <x:v>2260</x:v>
      </x:c>
      <x:c r="K348">
        <x:v>60</x:v>
      </x:c>
      <x:c r="L348">
        <x:v>31</x:v>
      </x:c>
      <x:c r="M348">
        <x:v>93</x:v>
      </x:c>
      <x:c r="N348">
        <x:v>56</x:v>
      </x:c>
      <x:c r="O348">
        <x:v>76</x:v>
      </x:c>
      <x:c r="P348">
        <x:v>84</x:v>
      </x:c>
      <x:c r="Q348">
        <x:v>91</x:v>
      </x:c>
      <x:c r="R348">
        <x:v>56</x:v>
      </x:c>
      <x:c r="S348">
        <x:v>82</x:v>
      </x:c>
      <x:c r="T348">
        <x:v>53</x:v>
      </x:c>
      <x:c r="U348">
        <x:v>58</x:v>
      </x:c>
      <x:c r="V348">
        <x:v>68</x:v>
      </x:c>
      <x:c r="W348">
        <x:v>75</x:v>
      </x:c>
      <x:c r="X348">
        <x:v>68</x:v>
      </x:c>
      <x:c r="Y348">
        <x:v>66</x:v>
      </x:c>
      <x:c r="Z348">
        <x:v>54</x:v>
      </x:c>
      <x:c r="AA348">
        <x:v>57</x:v>
      </x:c>
    </x:row>
    <x:row r="349">
      <x:c r="A349" t="s">
        <x:v>819</x:v>
      </x:c>
      <x:c r="B349" t="s">
        <x:v>320</x:v>
      </x:c>
      <x:c r="C349" t="s">
        <x:v>323</x:v>
      </x:c>
      <x:c r="D349">
        <x:v>8480355</x:v>
      </x:c>
      <x:c r="E349" t="s">
        <x:v>224</x:v>
      </x:c>
      <x:c r="F349">
        <x:v>82</x:v>
      </x:c>
      <x:c r="G349">
        <x:v>61</x:v>
      </x:c>
      <x:c r="J349" t="s">
        <x:v>2076</x:v>
      </x:c>
      <x:c r="K349">
        <x:v>81</x:v>
      </x:c>
      <x:c r="L349">
        <x:v>92</x:v>
      </x:c>
      <x:c r="M349">
        <x:v>78</x:v>
      </x:c>
      <x:c r="N349">
        <x:v>68</x:v>
      </x:c>
      <x:c r="O349">
        <x:v>91</x:v>
      </x:c>
      <x:c r="P349">
        <x:v>83</x:v>
      </x:c>
      <x:c r="Q349">
        <x:v>95</x:v>
      </x:c>
      <x:c r="R349">
        <x:v>51</x:v>
      </x:c>
      <x:c r="S349">
        <x:v>87</x:v>
      </x:c>
      <x:c r="T349">
        <x:v>51</x:v>
      </x:c>
      <x:c r="U349">
        <x:v>55</x:v>
      </x:c>
      <x:c r="V349">
        <x:v>68</x:v>
      </x:c>
      <x:c r="W349">
        <x:v>52</x:v>
      </x:c>
      <x:c r="X349">
        <x:v>70</x:v>
      </x:c>
      <x:c r="Y349">
        <x:v>68</x:v>
      </x:c>
      <x:c r="Z349">
        <x:v>51</x:v>
      </x:c>
      <x:c r="AA349">
        <x:v>57</x:v>
      </x:c>
    </x:row>
    <x:row r="350">
      <x:c r="A350" t="s">
        <x:v>826</x:v>
      </x:c>
      <x:c r="B350" t="s">
        <x:v>396</x:v>
      </x:c>
      <x:c r="C350" t="s">
        <x:v>358</x:v>
      </x:c>
      <x:c r="D350">
        <x:v>8477573</x:v>
      </x:c>
      <x:c r="E350" t="s">
        <x:v>224</x:v>
      </x:c>
      <x:c r="F350">
        <x:v>46</x:v>
      </x:c>
      <x:c r="G350">
        <x:v>73</x:v>
      </x:c>
      <x:c r="J350" t="s">
        <x:v>2261</x:v>
      </x:c>
      <x:c r="K350">
        <x:v>88</x:v>
      </x:c>
      <x:c r="L350">
        <x:v>43</x:v>
      </x:c>
      <x:c r="M350">
        <x:v>78</x:v>
      </x:c>
      <x:c r="N350">
        <x:v>57</x:v>
      </x:c>
      <x:c r="O350">
        <x:v>78</x:v>
      </x:c>
      <x:c r="P350">
        <x:v>83</x:v>
      </x:c>
      <x:c r="Q350">
        <x:v>76</x:v>
      </x:c>
      <x:c r="R350">
        <x:v>49</x:v>
      </x:c>
      <x:c r="S350">
        <x:v>81</x:v>
      </x:c>
      <x:c r="T350">
        <x:v>51</x:v>
      </x:c>
      <x:c r="U350">
        <x:v>51</x:v>
      </x:c>
      <x:c r="V350">
        <x:v>68</x:v>
      </x:c>
      <x:c r="W350">
        <x:v>53</x:v>
      </x:c>
      <x:c r="X350">
        <x:v>70</x:v>
      </x:c>
      <x:c r="Y350">
        <x:v>74</x:v>
      </x:c>
      <x:c r="Z350">
        <x:v>51</x:v>
      </x:c>
      <x:c r="AA350">
        <x:v>57</x:v>
      </x:c>
    </x:row>
    <x:row r="351">
      <x:c r="A351" t="s">
        <x:v>840</x:v>
      </x:c>
      <x:c r="B351" t="s">
        <x:v>364</x:v>
      </x:c>
      <x:c r="C351" t="s">
        <x:v>323</x:v>
      </x:c>
      <x:c r="D351">
        <x:v>8476479</x:v>
      </x:c>
      <x:c r="E351" t="s">
        <x:v>224</x:v>
      </x:c>
      <x:c r="F351">
        <x:v>75</x:v>
      </x:c>
      <x:c r="G351">
        <x:v>80</x:v>
      </x:c>
      <x:c r="J351" t="s">
        <x:v>2015</x:v>
      </x:c>
      <x:c r="K351">
        <x:v>65</x:v>
      </x:c>
      <x:c r="L351">
        <x:v>37</x:v>
      </x:c>
      <x:c r="M351">
        <x:v>87</x:v>
      </x:c>
      <x:c r="N351">
        <x:v>48</x:v>
      </x:c>
      <x:c r="O351">
        <x:v>80</x:v>
      </x:c>
      <x:c r="P351">
        <x:v>86</x:v>
      </x:c>
      <x:c r="Q351">
        <x:v>93</x:v>
      </x:c>
      <x:c r="R351">
        <x:v>53</x:v>
      </x:c>
      <x:c r="S351">
        <x:v>90</x:v>
      </x:c>
      <x:c r="T351">
        <x:v>52</x:v>
      </x:c>
      <x:c r="U351">
        <x:v>50</x:v>
      </x:c>
      <x:c r="V351">
        <x:v>68</x:v>
      </x:c>
      <x:c r="W351">
        <x:v>54</x:v>
      </x:c>
      <x:c r="X351">
        <x:v>85</x:v>
      </x:c>
      <x:c r="Y351">
        <x:v>80</x:v>
      </x:c>
      <x:c r="Z351">
        <x:v>51</x:v>
      </x:c>
      <x:c r="AA351">
        <x:v>57</x:v>
      </x:c>
    </x:row>
    <x:row r="352">
      <x:c r="A352" t="s">
        <x:v>853</x:v>
      </x:c>
      <x:c r="B352" t="s">
        <x:v>584</x:v>
      </x:c>
      <x:c r="C352" t="s">
        <x:v>333</x:v>
      </x:c>
      <x:c r="D352">
        <x:v>8478104</x:v>
      </x:c>
      <x:c r="E352" t="s">
        <x:v>224</x:v>
      </x:c>
      <x:c r="F352">
        <x:v>21</x:v>
      </x:c>
      <x:c r="J352" t="s">
        <x:v>2262</x:v>
      </x:c>
      <x:c r="K352">
        <x:v>98</x:v>
      </x:c>
      <x:c r="L352">
        <x:v>41</x:v>
      </x:c>
      <x:c r="M352">
        <x:v>78</x:v>
      </x:c>
      <x:c r="N352">
        <x:v>47</x:v>
      </x:c>
      <x:c r="O352">
        <x:v>83</x:v>
      </x:c>
      <x:c r="P352">
        <x:v>78</x:v>
      </x:c>
      <x:c r="Q352">
        <x:v>76</x:v>
      </x:c>
      <x:c r="R352">
        <x:v>49</x:v>
      </x:c>
      <x:c r="S352">
        <x:v>66</x:v>
      </x:c>
      <x:c r="T352">
        <x:v>56</x:v>
      </x:c>
      <x:c r="U352">
        <x:v>55</x:v>
      </x:c>
      <x:c r="V352">
        <x:v>68</x:v>
      </x:c>
      <x:c r="W352">
        <x:v>61</x:v>
      </x:c>
      <x:c r="X352">
        <x:v>73</x:v>
      </x:c>
      <x:c r="Y352">
        <x:v>73</x:v>
      </x:c>
      <x:c r="Z352">
        <x:v>51</x:v>
      </x:c>
      <x:c r="AA352">
        <x:v>57</x:v>
      </x:c>
    </x:row>
    <x:row r="353">
      <x:c r="A353" t="s">
        <x:v>857</x:v>
      </x:c>
      <x:c r="B353" t="s">
        <x:v>400</x:v>
      </x:c>
      <x:c r="C353" t="s">
        <x:v>339</x:v>
      </x:c>
      <x:c r="D353">
        <x:v>8474189</x:v>
      </x:c>
      <x:c r="E353" t="s">
        <x:v>224</x:v>
      </x:c>
      <x:c r="F353">
        <x:v>68</x:v>
      </x:c>
      <x:c r="G353">
        <x:v>80</x:v>
      </x:c>
      <x:c r="J353" t="s">
        <x:v>2263</x:v>
      </x:c>
      <x:c r="K353">
        <x:v>65</x:v>
      </x:c>
      <x:c r="L353">
        <x:v>39</x:v>
      </x:c>
      <x:c r="M353">
        <x:v>87</x:v>
      </x:c>
      <x:c r="N353">
        <x:v>55</x:v>
      </x:c>
      <x:c r="O353">
        <x:v>83</x:v>
      </x:c>
      <x:c r="P353">
        <x:v>82</x:v>
      </x:c>
      <x:c r="Q353">
        <x:v>89</x:v>
      </x:c>
      <x:c r="R353">
        <x:v>51</x:v>
      </x:c>
      <x:c r="S353">
        <x:v>87</x:v>
      </x:c>
      <x:c r="T353">
        <x:v>52</x:v>
      </x:c>
      <x:c r="U353">
        <x:v>51</x:v>
      </x:c>
      <x:c r="V353">
        <x:v>68</x:v>
      </x:c>
      <x:c r="W353">
        <x:v>60</x:v>
      </x:c>
      <x:c r="X353">
        <x:v>91</x:v>
      </x:c>
      <x:c r="Y353">
        <x:v>79</x:v>
      </x:c>
      <x:c r="Z353">
        <x:v>51</x:v>
      </x:c>
      <x:c r="AA353">
        <x:v>57</x:v>
      </x:c>
    </x:row>
    <x:row r="354">
      <x:c r="A354" t="s">
        <x:v>871</x:v>
      </x:c>
      <x:c r="B354" t="s">
        <x:v>396</x:v>
      </x:c>
      <x:c r="C354" t="s">
        <x:v>333</x:v>
      </x:c>
      <x:c r="D354">
        <x:v>8477953</x:v>
      </x:c>
      <x:c r="E354" t="s">
        <x:v>224</x:v>
      </x:c>
      <x:c r="F354">
        <x:v>41</x:v>
      </x:c>
      <x:c r="G354">
        <x:v>67</x:v>
      </x:c>
      <x:c r="J354" t="s">
        <x:v>2264</x:v>
      </x:c>
      <x:c r="K354">
        <x:v>71</x:v>
      </x:c>
      <x:c r="L354">
        <x:v>33</x:v>
      </x:c>
      <x:c r="M354">
        <x:v>82</x:v>
      </x:c>
      <x:c r="N354">
        <x:v>61</x:v>
      </x:c>
      <x:c r="O354">
        <x:v>79</x:v>
      </x:c>
      <x:c r="P354">
        <x:v>85</x:v>
      </x:c>
      <x:c r="Q354">
        <x:v>74</x:v>
      </x:c>
      <x:c r="R354">
        <x:v>51</x:v>
      </x:c>
      <x:c r="S354">
        <x:v>64</x:v>
      </x:c>
      <x:c r="T354">
        <x:v>52</x:v>
      </x:c>
      <x:c r="U354">
        <x:v>53</x:v>
      </x:c>
      <x:c r="V354">
        <x:v>68</x:v>
      </x:c>
      <x:c r="W354">
        <x:v>60</x:v>
      </x:c>
      <x:c r="X354">
        <x:v>80</x:v>
      </x:c>
      <x:c r="Y354">
        <x:v>76</x:v>
      </x:c>
      <x:c r="Z354">
        <x:v>51</x:v>
      </x:c>
      <x:c r="AA354">
        <x:v>57</x:v>
      </x:c>
    </x:row>
    <x:row r="355">
      <x:c r="A355" t="s">
        <x:v>893</x:v>
      </x:c>
      <x:c r="B355" t="s">
        <x:v>393</x:v>
      </x:c>
      <x:c r="C355" t="s">
        <x:v>333</x:v>
      </x:c>
      <x:c r="D355">
        <x:v>8479661</x:v>
      </x:c>
      <x:c r="E355" t="s">
        <x:v>224</x:v>
      </x:c>
      <x:c r="F355">
        <x:v>77</x:v>
      </x:c>
      <x:c r="G355">
        <x:v>67</x:v>
      </x:c>
      <x:c r="J355" t="s">
        <x:v>2265</x:v>
      </x:c>
      <x:c r="K355">
        <x:v>83</x:v>
      </x:c>
      <x:c r="L355">
        <x:v>91</x:v>
      </x:c>
      <x:c r="M355">
        <x:v>79</x:v>
      </x:c>
      <x:c r="N355">
        <x:v>56</x:v>
      </x:c>
      <x:c r="O355">
        <x:v>88</x:v>
      </x:c>
      <x:c r="P355">
        <x:v>83</x:v>
      </x:c>
      <x:c r="Q355">
        <x:v>92</x:v>
      </x:c>
      <x:c r="R355">
        <x:v>49</x:v>
      </x:c>
      <x:c r="S355">
        <x:v>68</x:v>
      </x:c>
      <x:c r="T355">
        <x:v>53</x:v>
      </x:c>
      <x:c r="U355">
        <x:v>52</x:v>
      </x:c>
      <x:c r="V355">
        <x:v>68</x:v>
      </x:c>
      <x:c r="W355">
        <x:v>52</x:v>
      </x:c>
      <x:c r="X355">
        <x:v>75</x:v>
      </x:c>
      <x:c r="Y355">
        <x:v>72</x:v>
      </x:c>
      <x:c r="Z355">
        <x:v>51</x:v>
      </x:c>
      <x:c r="AA355">
        <x:v>57</x:v>
      </x:c>
    </x:row>
    <x:row r="356">
      <x:c r="A356" t="s">
        <x:v>895</x:v>
      </x:c>
      <x:c r="B356" t="s">
        <x:v>370</x:v>
      </x:c>
      <x:c r="C356" t="s">
        <x:v>339</x:v>
      </x:c>
      <x:c r="D356">
        <x:v>8476393</x:v>
      </x:c>
      <x:c r="E356" t="s">
        <x:v>224</x:v>
      </x:c>
      <x:c r="F356">
        <x:v>81</x:v>
      </x:c>
      <x:c r="G356">
        <x:v>50</x:v>
      </x:c>
      <x:c r="J356" t="s">
        <x:v>2266</x:v>
      </x:c>
      <x:c r="K356">
        <x:v>76</x:v>
      </x:c>
      <x:c r="L356">
        <x:v>55</x:v>
      </x:c>
      <x:c r="M356">
        <x:v>78</x:v>
      </x:c>
      <x:c r="N356">
        <x:v>51</x:v>
      </x:c>
      <x:c r="O356">
        <x:v>78</x:v>
      </x:c>
      <x:c r="P356">
        <x:v>82</x:v>
      </x:c>
      <x:c r="Q356">
        <x:v>94</x:v>
      </x:c>
      <x:c r="R356">
        <x:v>51</x:v>
      </x:c>
      <x:c r="S356">
        <x:v>69</x:v>
      </x:c>
      <x:c r="T356">
        <x:v>53</x:v>
      </x:c>
      <x:c r="U356">
        <x:v>53</x:v>
      </x:c>
      <x:c r="V356">
        <x:v>68</x:v>
      </x:c>
      <x:c r="W356">
        <x:v>65</x:v>
      </x:c>
      <x:c r="X356">
        <x:v>83</x:v>
      </x:c>
      <x:c r="Y356">
        <x:v>72</x:v>
      </x:c>
      <x:c r="Z356">
        <x:v>51</x:v>
      </x:c>
      <x:c r="AA356">
        <x:v>57</x:v>
      </x:c>
    </x:row>
    <x:row r="357">
      <x:c r="A357" t="s">
        <x:v>908</x:v>
      </x:c>
      <x:c r="B357" t="s">
        <x:v>383</x:v>
      </x:c>
      <x:c r="C357" t="s">
        <x:v>333</x:v>
      </x:c>
      <x:c r="D357">
        <x:v>8479390</x:v>
      </x:c>
      <x:c r="E357" t="s">
        <x:v>224</x:v>
      </x:c>
      <x:c r="F357">
        <x:v>68</x:v>
      </x:c>
      <x:c r="G357">
        <x:v>80</x:v>
      </x:c>
      <x:c r="J357" t="s">
        <x:v>2263</x:v>
      </x:c>
      <x:c r="K357">
        <x:v>65</x:v>
      </x:c>
      <x:c r="L357">
        <x:v>39</x:v>
      </x:c>
      <x:c r="M357">
        <x:v>84</x:v>
      </x:c>
      <x:c r="N357">
        <x:v>56</x:v>
      </x:c>
      <x:c r="O357">
        <x:v>81</x:v>
      </x:c>
      <x:c r="P357">
        <x:v>83</x:v>
      </x:c>
      <x:c r="Q357">
        <x:v>89</x:v>
      </x:c>
      <x:c r="R357">
        <x:v>51</x:v>
      </x:c>
      <x:c r="S357">
        <x:v>65</x:v>
      </x:c>
      <x:c r="T357">
        <x:v>53</x:v>
      </x:c>
      <x:c r="U357">
        <x:v>53</x:v>
      </x:c>
      <x:c r="V357">
        <x:v>68</x:v>
      </x:c>
      <x:c r="W357">
        <x:v>54</x:v>
      </x:c>
      <x:c r="X357">
        <x:v>73</x:v>
      </x:c>
      <x:c r="Y357">
        <x:v>71</x:v>
      </x:c>
      <x:c r="Z357">
        <x:v>51</x:v>
      </x:c>
      <x:c r="AA357">
        <x:v>56</x:v>
      </x:c>
    </x:row>
    <x:row r="358">
      <x:c r="A358" t="s">
        <x:v>913</x:v>
      </x:c>
      <x:c r="B358" t="s">
        <x:v>345</x:v>
      </x:c>
      <x:c r="C358" t="s">
        <x:v>339</x:v>
      </x:c>
      <x:c r="D358">
        <x:v>8481477</x:v>
      </x:c>
      <x:c r="E358" t="s">
        <x:v>224</x:v>
      </x:c>
      <x:c r="F358">
        <x:v>49</x:v>
      </x:c>
      <x:c r="G358">
        <x:v>62</x:v>
      </x:c>
      <x:c r="J358" t="s">
        <x:v>2267</x:v>
      </x:c>
      <x:c r="K358">
        <x:v>70</x:v>
      </x:c>
      <x:c r="L358">
        <x:v>47</x:v>
      </x:c>
      <x:c r="M358">
        <x:v>79</x:v>
      </x:c>
      <x:c r="N358">
        <x:v>56</x:v>
      </x:c>
      <x:c r="O358">
        <x:v>84</x:v>
      </x:c>
      <x:c r="P358">
        <x:v>82</x:v>
      </x:c>
      <x:c r="Q358">
        <x:v>76</x:v>
      </x:c>
      <x:c r="R358">
        <x:v>48</x:v>
      </x:c>
      <x:c r="S358">
        <x:v>87</x:v>
      </x:c>
      <x:c r="T358">
        <x:v>51</x:v>
      </x:c>
      <x:c r="U358">
        <x:v>52</x:v>
      </x:c>
      <x:c r="V358">
        <x:v>68</x:v>
      </x:c>
      <x:c r="W358">
        <x:v>52</x:v>
      </x:c>
      <x:c r="X358">
        <x:v>77</x:v>
      </x:c>
      <x:c r="Y358">
        <x:v>74</x:v>
      </x:c>
      <x:c r="Z358">
        <x:v>54</x:v>
      </x:c>
      <x:c r="AA358">
        <x:v>56</x:v>
      </x:c>
    </x:row>
    <x:row r="359">
      <x:c r="A359" t="s">
        <x:v>920</x:v>
      </x:c>
      <x:c r="B359" t="s">
        <x:v>427</x:v>
      </x:c>
      <x:c r="C359" t="s">
        <x:v>326</x:v>
      </x:c>
      <x:c r="D359">
        <x:v>8479336</x:v>
      </x:c>
      <x:c r="E359" t="s">
        <x:v>224</x:v>
      </x:c>
      <x:c r="F359">
        <x:v>47</x:v>
      </x:c>
      <x:c r="G359">
        <x:v>56</x:v>
      </x:c>
      <x:c r="J359" t="s">
        <x:v>2268</x:v>
      </x:c>
      <x:c r="K359">
        <x:v>84</x:v>
      </x:c>
      <x:c r="L359">
        <x:v>54</x:v>
      </x:c>
      <x:c r="M359">
        <x:v>80</x:v>
      </x:c>
      <x:c r="N359">
        <x:v>65</x:v>
      </x:c>
      <x:c r="O359">
        <x:v>80</x:v>
      </x:c>
      <x:c r="P359">
        <x:v>82</x:v>
      </x:c>
      <x:c r="Q359">
        <x:v>84</x:v>
      </x:c>
      <x:c r="R359">
        <x:v>49</x:v>
      </x:c>
      <x:c r="S359">
        <x:v>66</x:v>
      </x:c>
      <x:c r="T359">
        <x:v>49</x:v>
      </x:c>
      <x:c r="U359">
        <x:v>55</x:v>
      </x:c>
      <x:c r="V359">
        <x:v>68</x:v>
      </x:c>
      <x:c r="W359">
        <x:v>57</x:v>
      </x:c>
      <x:c r="X359">
        <x:v>74</x:v>
      </x:c>
      <x:c r="Y359">
        <x:v>71</x:v>
      </x:c>
      <x:c r="Z359">
        <x:v>51</x:v>
      </x:c>
      <x:c r="AA359">
        <x:v>56</x:v>
      </x:c>
    </x:row>
    <x:row r="360">
      <x:c r="A360" t="s">
        <x:v>942</x:v>
      </x:c>
      <x:c r="B360" t="s">
        <x:v>350</x:v>
      </x:c>
      <x:c r="C360" t="s">
        <x:v>329</x:v>
      </x:c>
      <x:c r="D360">
        <x:v>8479316</x:v>
      </x:c>
      <x:c r="E360" t="s">
        <x:v>224</x:v>
      </x:c>
      <x:c r="F360">
        <x:v>62</x:v>
      </x:c>
      <x:c r="G360">
        <x:v>75</x:v>
      </x:c>
      <x:c r="J360" t="s">
        <x:v>2269</x:v>
      </x:c>
      <x:c r="K360">
        <x:v>78</x:v>
      </x:c>
      <x:c r="L360">
        <x:v>82</x:v>
      </x:c>
      <x:c r="M360">
        <x:v>81</x:v>
      </x:c>
      <x:c r="N360">
        <x:v>53</x:v>
      </x:c>
      <x:c r="O360">
        <x:v>80</x:v>
      </x:c>
      <x:c r="P360">
        <x:v>82</x:v>
      </x:c>
      <x:c r="Q360">
        <x:v>84</x:v>
      </x:c>
      <x:c r="R360">
        <x:v>49</x:v>
      </x:c>
      <x:c r="S360">
        <x:v>83</x:v>
      </x:c>
      <x:c r="T360">
        <x:v>51</x:v>
      </x:c>
      <x:c r="U360">
        <x:v>51</x:v>
      </x:c>
      <x:c r="V360">
        <x:v>68</x:v>
      </x:c>
      <x:c r="W360">
        <x:v>54</x:v>
      </x:c>
      <x:c r="X360">
        <x:v>77</x:v>
      </x:c>
      <x:c r="Y360">
        <x:v>74</x:v>
      </x:c>
      <x:c r="Z360">
        <x:v>51</x:v>
      </x:c>
      <x:c r="AA360">
        <x:v>56</x:v>
      </x:c>
    </x:row>
    <x:row r="361">
      <x:c r="A361" t="s">
        <x:v>995</x:v>
      </x:c>
      <x:c r="B361" t="s">
        <x:v>436</x:v>
      </x:c>
      <x:c r="C361" t="s">
        <x:v>333</x:v>
      </x:c>
      <x:c r="D361">
        <x:v>8478413</x:v>
      </x:c>
      <x:c r="E361" t="s">
        <x:v>224</x:v>
      </x:c>
      <x:c r="F361">
        <x:v>40</x:v>
      </x:c>
      <x:c r="G361">
        <x:v>34</x:v>
      </x:c>
      <x:c r="J361" t="s">
        <x:v>2270</x:v>
      </x:c>
      <x:c r="K361">
        <x:v>71</x:v>
      </x:c>
      <x:c r="L361">
        <x:v>74</x:v>
      </x:c>
      <x:c r="M361">
        <x:v>76</x:v>
      </x:c>
      <x:c r="N361">
        <x:v>48</x:v>
      </x:c>
      <x:c r="O361">
        <x:v>89</x:v>
      </x:c>
      <x:c r="P361">
        <x:v>83</x:v>
      </x:c>
      <x:c r="Q361">
        <x:v>70</x:v>
      </x:c>
      <x:c r="R361">
        <x:v>48</x:v>
      </x:c>
      <x:c r="S361">
        <x:v>67</x:v>
      </x:c>
      <x:c r="T361">
        <x:v>51</x:v>
      </x:c>
      <x:c r="U361">
        <x:v>48</x:v>
      </x:c>
      <x:c r="V361">
        <x:v>68</x:v>
      </x:c>
      <x:c r="W361">
        <x:v>52</x:v>
      </x:c>
      <x:c r="X361">
        <x:v>78</x:v>
      </x:c>
      <x:c r="Y361">
        <x:v>72</x:v>
      </x:c>
      <x:c r="Z361">
        <x:v>51</x:v>
      </x:c>
      <x:c r="AA361">
        <x:v>55</x:v>
      </x:c>
    </x:row>
    <x:row r="362">
      <x:c r="A362" t="s">
        <x:v>1201</x:v>
      </x:c>
      <x:c r="B362" t="s">
        <x:v>372</x:v>
      </x:c>
      <x:c r="C362" t="s">
        <x:v>326</x:v>
      </x:c>
      <x:c r="D362">
        <x:v>8483465</x:v>
      </x:c>
      <x:c r="E362" t="s">
        <x:v>224</x:v>
      </x:c>
      <x:c r="F362">
        <x:v>16</x:v>
      </x:c>
      <x:c r="G362">
        <x:v>2</x:v>
      </x:c>
      <x:c r="J362" t="s">
        <x:v>2271</x:v>
      </x:c>
      <x:c r="K362">
        <x:v>74</x:v>
      </x:c>
      <x:c r="L362">
        <x:v>33</x:v>
      </x:c>
      <x:c r="M362">
        <x:v>97</x:v>
      </x:c>
      <x:c r="N362">
        <x:v>49</x:v>
      </x:c>
      <x:c r="O362">
        <x:v>76</x:v>
      </x:c>
      <x:c r="P362">
        <x:v>81</x:v>
      </x:c>
      <x:c r="Q362">
        <x:v>84</x:v>
      </x:c>
      <x:c r="R362">
        <x:v>51</x:v>
      </x:c>
      <x:c r="S362">
        <x:v>64</x:v>
      </x:c>
      <x:c r="T362">
        <x:v>50</x:v>
      </x:c>
      <x:c r="U362">
        <x:v>50</x:v>
      </x:c>
      <x:c r="V362">
        <x:v>68</x:v>
      </x:c>
      <x:c r="W362">
        <x:v>55</x:v>
      </x:c>
      <x:c r="X362">
        <x:v>65</x:v>
      </x:c>
      <x:c r="Y362">
        <x:v>64</x:v>
      </x:c>
      <x:c r="Z362">
        <x:v>51</x:v>
      </x:c>
      <x:c r="AA362">
        <x:v>53</x:v>
      </x:c>
    </x:row>
    <x:row r="363">
      <x:c r="A363" t="s">
        <x:v>1301</x:v>
      </x:c>
      <x:c r="B363" t="s">
        <x:v>584</x:v>
      </x:c>
      <x:c r="C363" t="s">
        <x:v>326</x:v>
      </x:c>
      <x:c r="D363">
        <x:v>8477979</x:v>
      </x:c>
      <x:c r="E363" t="s">
        <x:v>224</x:v>
      </x:c>
      <x:c r="F363">
        <x:v>6</x:v>
      </x:c>
      <x:c r="G363">
        <x:v>22</x:v>
      </x:c>
      <x:c r="J363" t="s">
        <x:v>2272</x:v>
      </x:c>
      <x:c r="K363">
        <x:v>71</x:v>
      </x:c>
      <x:c r="L363">
        <x:v>75</x:v>
      </x:c>
      <x:c r="M363">
        <x:v>72</x:v>
      </x:c>
      <x:c r="N363">
        <x:v>68</x:v>
      </x:c>
      <x:c r="O363">
        <x:v>85</x:v>
      </x:c>
      <x:c r="P363">
        <x:v>85</x:v>
      </x:c>
      <x:c r="Q363">
        <x:v>89</x:v>
      </x:c>
      <x:c r="R363">
        <x:v>45</x:v>
      </x:c>
      <x:c r="S363">
        <x:v>61</x:v>
      </x:c>
      <x:c r="T363">
        <x:v>52</x:v>
      </x:c>
      <x:c r="U363">
        <x:v>48</x:v>
      </x:c>
      <x:c r="V363">
        <x:v>68</x:v>
      </x:c>
      <x:c r="W363">
        <x:v>67</x:v>
      </x:c>
      <x:c r="X363">
        <x:v>74</x:v>
      </x:c>
      <x:c r="Y363">
        <x:v>72</x:v>
      </x:c>
      <x:c r="Z363">
        <x:v>51</x:v>
      </x:c>
      <x:c r="AA363">
        <x:v>52</x:v>
      </x:c>
    </x:row>
    <x:row r="364">
      <x:c r="A364" t="s">
        <x:v>1437</x:v>
      </x:c>
      <x:c r="B364" t="s">
        <x:v>343</x:v>
      </x:c>
      <x:c r="C364" t="s">
        <x:v>326</x:v>
      </x:c>
      <x:c r="D364">
        <x:v>8480789</x:v>
      </x:c>
      <x:c r="E364" t="s">
        <x:v>224</x:v>
      </x:c>
      <x:c r="G364">
        <x:v>43</x:v>
      </x:c>
      <x:c r="J364" t="s">
        <x:v>2273</x:v>
      </x:c>
      <x:c r="K364">
        <x:v>67</x:v>
      </x:c>
      <x:c r="L364">
        <x:v>76</x:v>
      </x:c>
      <x:c r="M364">
        <x:v>79</x:v>
      </x:c>
      <x:c r="N364">
        <x:v>47</x:v>
      </x:c>
      <x:c r="O364">
        <x:v>82</x:v>
      </x:c>
      <x:c r="P364">
        <x:v>83</x:v>
      </x:c>
      <x:c r="Q364">
        <x:v>86</x:v>
      </x:c>
      <x:c r="R364">
        <x:v>45</x:v>
      </x:c>
      <x:c r="S364">
        <x:v>65</x:v>
      </x:c>
      <x:c r="T364">
        <x:v>49</x:v>
      </x:c>
      <x:c r="U364">
        <x:v>51</x:v>
      </x:c>
      <x:c r="V364">
        <x:v>68</x:v>
      </x:c>
      <x:c r="W364">
        <x:v>67</x:v>
      </x:c>
      <x:c r="X364">
        <x:v>70</x:v>
      </x:c>
      <x:c r="Y364">
        <x:v>68</x:v>
      </x:c>
      <x:c r="Z364">
        <x:v>51</x:v>
      </x:c>
      <x:c r="AA364">
        <x:v>51</x:v>
      </x:c>
    </x:row>
    <x:row r="365">
      <x:c r="A365" t="s">
        <x:v>384</x:v>
      </x:c>
      <x:c r="B365" t="s">
        <x:v>379</x:v>
      </x:c>
      <x:c r="C365" t="s">
        <x:v>333</x:v>
      </x:c>
      <x:c r="D365">
        <x:v>8477960</x:v>
      </x:c>
      <x:c r="E365" t="s">
        <x:v>224</x:v>
      </x:c>
      <x:c r="F365">
        <x:v>81</x:v>
      </x:c>
      <x:c r="G365">
        <x:v>81</x:v>
      </x:c>
      <x:c r="J365" t="s">
        <x:v>2035</x:v>
      </x:c>
      <x:c r="K365">
        <x:v>67</x:v>
      </x:c>
      <x:c r="L365">
        <x:v>40</x:v>
      </x:c>
      <x:c r="M365">
        <x:v>79</x:v>
      </x:c>
      <x:c r="N365">
        <x:v>63</x:v>
      </x:c>
      <x:c r="O365">
        <x:v>82</x:v>
      </x:c>
      <x:c r="P365">
        <x:v>91</x:v>
      </x:c>
      <x:c r="Q365">
        <x:v>98</x:v>
      </x:c>
      <x:c r="R365">
        <x:v>68</x:v>
      </x:c>
      <x:c r="S365">
        <x:v>71</x:v>
      </x:c>
      <x:c r="T365">
        <x:v>61</x:v>
      </x:c>
      <x:c r="U365">
        <x:v>70</x:v>
      </x:c>
      <x:c r="V365">
        <x:v>67</x:v>
      </x:c>
      <x:c r="W365">
        <x:v>90</x:v>
      </x:c>
      <x:c r="X365">
        <x:v>81</x:v>
      </x:c>
      <x:c r="Y365">
        <x:v>82</x:v>
      </x:c>
      <x:c r="Z365">
        <x:v>51</x:v>
      </x:c>
      <x:c r="AA365">
        <x:v>65</x:v>
      </x:c>
    </x:row>
    <x:row r="366">
      <x:c r="A366" t="s">
        <x:v>389</x:v>
      </x:c>
      <x:c r="B366" t="s">
        <x:v>370</x:v>
      </x:c>
      <x:c r="C366" t="s">
        <x:v>339</x:v>
      </x:c>
      <x:c r="D366">
        <x:v>8482116</x:v>
      </x:c>
      <x:c r="E366" t="s">
        <x:v>224</x:v>
      </x:c>
      <x:c r="F366">
        <x:v>80</x:v>
      </x:c>
      <x:c r="G366">
        <x:v>82</x:v>
      </x:c>
      <x:c r="J366" t="s">
        <x:v>2129</x:v>
      </x:c>
      <x:c r="K366">
        <x:v>67</x:v>
      </x:c>
      <x:c r="L366">
        <x:v>45</x:v>
      </x:c>
      <x:c r="M366">
        <x:v>92</x:v>
      </x:c>
      <x:c r="N366">
        <x:v>69</x:v>
      </x:c>
      <x:c r="O366">
        <x:v>77</x:v>
      </x:c>
      <x:c r="P366">
        <x:v>92</x:v>
      </x:c>
      <x:c r="Q366">
        <x:v>97</x:v>
      </x:c>
      <x:c r="R366">
        <x:v>69</x:v>
      </x:c>
      <x:c r="S366">
        <x:v>86</x:v>
      </x:c>
      <x:c r="T366">
        <x:v>74</x:v>
      </x:c>
      <x:c r="U366">
        <x:v>64</x:v>
      </x:c>
      <x:c r="V366">
        <x:v>67</x:v>
      </x:c>
      <x:c r="W366">
        <x:v>93</x:v>
      </x:c>
      <x:c r="X366">
        <x:v>76</x:v>
      </x:c>
      <x:c r="Y366">
        <x:v>78</x:v>
      </x:c>
      <x:c r="Z366">
        <x:v>51</x:v>
      </x:c>
      <x:c r="AA366">
        <x:v>65</x:v>
      </x:c>
    </x:row>
    <x:row r="367">
      <x:c r="A367" t="s">
        <x:v>406</x:v>
      </x:c>
      <x:c r="B367" t="s">
        <x:v>386</x:v>
      </x:c>
      <x:c r="C367" t="s">
        <x:v>329</x:v>
      </x:c>
      <x:c r="D367">
        <x:v>8478427</x:v>
      </x:c>
      <x:c r="E367" t="s">
        <x:v>224</x:v>
      </x:c>
      <x:c r="F367">
        <x:v>79</x:v>
      </x:c>
      <x:c r="G367">
        <x:v>79</x:v>
      </x:c>
      <x:c r="J367" t="s">
        <x:v>2274</x:v>
      </x:c>
      <x:c r="K367">
        <x:v>62</x:v>
      </x:c>
      <x:c r="L367">
        <x:v>36</x:v>
      </x:c>
      <x:c r="M367">
        <x:v>85</x:v>
      </x:c>
      <x:c r="N367">
        <x:v>54</x:v>
      </x:c>
      <x:c r="O367">
        <x:v>77</x:v>
      </x:c>
      <x:c r="P367">
        <x:v>91</x:v>
      </x:c>
      <x:c r="Q367">
        <x:v>96</x:v>
      </x:c>
      <x:c r="R367">
        <x:v>69</x:v>
      </x:c>
      <x:c r="S367">
        <x:v>89</x:v>
      </x:c>
      <x:c r="T367">
        <x:v>72</x:v>
      </x:c>
      <x:c r="U367">
        <x:v>61</x:v>
      </x:c>
      <x:c r="V367">
        <x:v>67</x:v>
      </x:c>
      <x:c r="W367">
        <x:v>68</x:v>
      </x:c>
      <x:c r="X367">
        <x:v>86</x:v>
      </x:c>
      <x:c r="Y367">
        <x:v>85</x:v>
      </x:c>
      <x:c r="Z367">
        <x:v>51</x:v>
      </x:c>
      <x:c r="AA367">
        <x:v>65</x:v>
      </x:c>
    </x:row>
    <x:row r="368">
      <x:c r="A368" t="s">
        <x:v>479</x:v>
      </x:c>
      <x:c r="B368" t="s">
        <x:v>439</x:v>
      </x:c>
      <x:c r="C368" t="s">
        <x:v>323</x:v>
      </x:c>
      <x:c r="D368">
        <x:v>8478445</x:v>
      </x:c>
      <x:c r="E368" t="s">
        <x:v>224</x:v>
      </x:c>
      <x:c r="F368">
        <x:v>81</x:v>
      </x:c>
      <x:c r="G368">
        <x:v>30</x:v>
      </x:c>
      <x:c r="J368" t="s">
        <x:v>2275</x:v>
      </x:c>
      <x:c r="K368">
        <x:v>59</x:v>
      </x:c>
      <x:c r="L368">
        <x:v>44</x:v>
      </x:c>
      <x:c r="M368">
        <x:v>92</x:v>
      </x:c>
      <x:c r="N368">
        <x:v>64</x:v>
      </x:c>
      <x:c r="O368">
        <x:v>77</x:v>
      </x:c>
      <x:c r="P368">
        <x:v>92</x:v>
      </x:c>
      <x:c r="Q368">
        <x:v>92</x:v>
      </x:c>
      <x:c r="R368">
        <x:v>64</x:v>
      </x:c>
      <x:c r="S368">
        <x:v>77</x:v>
      </x:c>
      <x:c r="T368">
        <x:v>63</x:v>
      </x:c>
      <x:c r="U368">
        <x:v>55</x:v>
      </x:c>
      <x:c r="V368">
        <x:v>67</x:v>
      </x:c>
      <x:c r="W368">
        <x:v>83</x:v>
      </x:c>
      <x:c r="X368">
        <x:v>80</x:v>
      </x:c>
      <x:c r="Y368">
        <x:v>79</x:v>
      </x:c>
      <x:c r="Z368">
        <x:v>51</x:v>
      </x:c>
      <x:c r="AA368">
        <x:v>62</x:v>
      </x:c>
    </x:row>
    <x:row r="369">
      <x:c r="A369" t="s">
        <x:v>496</x:v>
      </x:c>
      <x:c r="B369" t="s">
        <x:v>402</x:v>
      </x:c>
      <x:c r="C369" t="s">
        <x:v>339</x:v>
      </x:c>
      <x:c r="D369">
        <x:v>8481656</x:v>
      </x:c>
      <x:c r="E369" t="s">
        <x:v>224</x:v>
      </x:c>
      <x:c r="F369">
        <x:v>76</x:v>
      </x:c>
      <x:c r="G369">
        <x:v>76</x:v>
      </x:c>
      <x:c r="J369" t="s">
        <x:v>2276</x:v>
      </x:c>
      <x:c r="K369">
        <x:v>59</x:v>
      </x:c>
      <x:c r="L369">
        <x:v>43</x:v>
      </x:c>
      <x:c r="M369">
        <x:v>93</x:v>
      </x:c>
      <x:c r="N369">
        <x:v>59</x:v>
      </x:c>
      <x:c r="O369">
        <x:v>94</x:v>
      </x:c>
      <x:c r="P369">
        <x:v>88</x:v>
      </x:c>
      <x:c r="Q369">
        <x:v>93</x:v>
      </x:c>
      <x:c r="R369">
        <x:v>63</x:v>
      </x:c>
      <x:c r="S369">
        <x:v>71</x:v>
      </x:c>
      <x:c r="T369">
        <x:v>59</x:v>
      </x:c>
      <x:c r="U369">
        <x:v>63</x:v>
      </x:c>
      <x:c r="V369">
        <x:v>67</x:v>
      </x:c>
      <x:c r="W369">
        <x:v>56</x:v>
      </x:c>
      <x:c r="X369">
        <x:v>72</x:v>
      </x:c>
      <x:c r="Y369">
        <x:v>76</x:v>
      </x:c>
      <x:c r="Z369">
        <x:v>51</x:v>
      </x:c>
      <x:c r="AA369">
        <x:v>62</x:v>
      </x:c>
    </x:row>
    <x:row r="370">
      <x:c r="A370" t="s">
        <x:v>530</x:v>
      </x:c>
      <x:c r="B370" t="s">
        <x:v>481</x:v>
      </x:c>
      <x:c r="C370" t="s">
        <x:v>326</x:v>
      </x:c>
      <x:c r="D370">
        <x:v>8474586</x:v>
      </x:c>
      <x:c r="E370" t="s">
        <x:v>224</x:v>
      </x:c>
      <x:c r="F370">
        <x:v>80</x:v>
      </x:c>
      <x:c r="G370">
        <x:v>42</x:v>
      </x:c>
      <x:c r="J370" t="s">
        <x:v>2277</x:v>
      </x:c>
      <x:c r="K370">
        <x:v>61</x:v>
      </x:c>
      <x:c r="L370">
        <x:v>32</x:v>
      </x:c>
      <x:c r="M370">
        <x:v>86</x:v>
      </x:c>
      <x:c r="N370">
        <x:v>48</x:v>
      </x:c>
      <x:c r="O370">
        <x:v>76</x:v>
      </x:c>
      <x:c r="P370">
        <x:v>88</x:v>
      </x:c>
      <x:c r="Q370">
        <x:v>93</x:v>
      </x:c>
      <x:c r="R370">
        <x:v>58</x:v>
      </x:c>
      <x:c r="S370">
        <x:v>68</x:v>
      </x:c>
      <x:c r="T370">
        <x:v>56</x:v>
      </x:c>
      <x:c r="U370">
        <x:v>59</x:v>
      </x:c>
      <x:c r="V370">
        <x:v>67</x:v>
      </x:c>
      <x:c r="W370">
        <x:v>82</x:v>
      </x:c>
      <x:c r="X370">
        <x:v>88</x:v>
      </x:c>
      <x:c r="Y370">
        <x:v>78</x:v>
      </x:c>
      <x:c r="Z370">
        <x:v>51</x:v>
      </x:c>
      <x:c r="AA370">
        <x:v>61</x:v>
      </x:c>
    </x:row>
    <x:row r="371">
      <x:c r="A371" t="s">
        <x:v>538</x:v>
      </x:c>
      <x:c r="B371" t="s">
        <x:v>420</x:v>
      </x:c>
      <x:c r="C371" t="s">
        <x:v>329</x:v>
      </x:c>
      <x:c r="D371">
        <x:v>8480012</x:v>
      </x:c>
      <x:c r="E371" t="s">
        <x:v>224</x:v>
      </x:c>
      <x:c r="F371">
        <x:v>74</x:v>
      </x:c>
      <x:c r="G371">
        <x:v>64</x:v>
      </x:c>
      <x:c r="J371" t="s">
        <x:v>2278</x:v>
      </x:c>
      <x:c r="K371">
        <x:v>64</x:v>
      </x:c>
      <x:c r="L371">
        <x:v>34</x:v>
      </x:c>
      <x:c r="M371">
        <x:v>95</x:v>
      </x:c>
      <x:c r="N371">
        <x:v>54</x:v>
      </x:c>
      <x:c r="O371">
        <x:v>75</x:v>
      </x:c>
      <x:c r="P371">
        <x:v>90</x:v>
      </x:c>
      <x:c r="Q371">
        <x:v>93</x:v>
      </x:c>
      <x:c r="R371">
        <x:v>61</x:v>
      </x:c>
      <x:c r="S371">
        <x:v>89</x:v>
      </x:c>
      <x:c r="T371">
        <x:v>58</x:v>
      </x:c>
      <x:c r="U371">
        <x:v>55</x:v>
      </x:c>
      <x:c r="V371">
        <x:v>67</x:v>
      </x:c>
      <x:c r="W371">
        <x:v>86</x:v>
      </x:c>
      <x:c r="X371">
        <x:v>78</x:v>
      </x:c>
      <x:c r="Y371">
        <x:v>80</x:v>
      </x:c>
      <x:c r="Z371">
        <x:v>51</x:v>
      </x:c>
      <x:c r="AA371">
        <x:v>61</x:v>
      </x:c>
    </x:row>
    <x:row r="372">
      <x:c r="A372" t="s">
        <x:v>605</x:v>
      </x:c>
      <x:c r="B372" t="s">
        <x:v>402</x:v>
      </x:c>
      <x:c r="C372" t="s">
        <x:v>323</x:v>
      </x:c>
      <x:c r="D372">
        <x:v>8479385</x:v>
      </x:c>
      <x:c r="E372" t="s">
        <x:v>224</x:v>
      </x:c>
      <x:c r="F372">
        <x:v>72</x:v>
      </x:c>
      <x:c r="G372">
        <x:v>82</x:v>
      </x:c>
      <x:c r="J372" t="s">
        <x:v>2279</x:v>
      </x:c>
      <x:c r="K372">
        <x:v>58</x:v>
      </x:c>
      <x:c r="L372">
        <x:v>34</x:v>
      </x:c>
      <x:c r="M372">
        <x:v>94</x:v>
      </x:c>
      <x:c r="N372">
        <x:v>58</x:v>
      </x:c>
      <x:c r="O372">
        <x:v>77</x:v>
      </x:c>
      <x:c r="P372">
        <x:v>86</x:v>
      </x:c>
      <x:c r="Q372">
        <x:v>91</x:v>
      </x:c>
      <x:c r="R372">
        <x:v>58</x:v>
      </x:c>
      <x:c r="S372">
        <x:v>64</x:v>
      </x:c>
      <x:c r="T372">
        <x:v>61</x:v>
      </x:c>
      <x:c r="U372">
        <x:v>60</x:v>
      </x:c>
      <x:c r="V372">
        <x:v>67</x:v>
      </x:c>
      <x:c r="W372">
        <x:v>79</x:v>
      </x:c>
      <x:c r="X372">
        <x:v>78</x:v>
      </x:c>
      <x:c r="Y372">
        <x:v>77</x:v>
      </x:c>
      <x:c r="Z372">
        <x:v>51</x:v>
      </x:c>
      <x:c r="AA372">
        <x:v>60</x:v>
      </x:c>
    </x:row>
    <x:row r="373">
      <x:c r="A373" t="s">
        <x:v>615</x:v>
      </x:c>
      <x:c r="B373" t="s">
        <x:v>427</x:v>
      </x:c>
      <x:c r="C373" t="s">
        <x:v>333</x:v>
      </x:c>
      <x:c r="D373">
        <x:v>8480015</x:v>
      </x:c>
      <x:c r="E373" t="s">
        <x:v>224</x:v>
      </x:c>
      <x:c r="F373">
        <x:v>81</x:v>
      </x:c>
      <x:c r="G373">
        <x:v>77</x:v>
      </x:c>
      <x:c r="J373" t="s">
        <x:v>2081</x:v>
      </x:c>
      <x:c r="K373">
        <x:v>70</x:v>
      </x:c>
      <x:c r="L373">
        <x:v>42</x:v>
      </x:c>
      <x:c r="M373">
        <x:v>94</x:v>
      </x:c>
      <x:c r="N373">
        <x:v>72</x:v>
      </x:c>
      <x:c r="O373">
        <x:v>84</x:v>
      </x:c>
      <x:c r="P373">
        <x:v>87</x:v>
      </x:c>
      <x:c r="Q373">
        <x:v>97</x:v>
      </x:c>
      <x:c r="R373">
        <x:v>57</x:v>
      </x:c>
      <x:c r="S373">
        <x:v>67</x:v>
      </x:c>
      <x:c r="T373">
        <x:v>56</x:v>
      </x:c>
      <x:c r="U373">
        <x:v>64</x:v>
      </x:c>
      <x:c r="V373">
        <x:v>67</x:v>
      </x:c>
      <x:c r="W373">
        <x:v>64</x:v>
      </x:c>
      <x:c r="X373">
        <x:v>75</x:v>
      </x:c>
      <x:c r="Y373">
        <x:v>75</x:v>
      </x:c>
      <x:c r="Z373">
        <x:v>51</x:v>
      </x:c>
      <x:c r="AA373">
        <x:v>60</x:v>
      </x:c>
    </x:row>
    <x:row r="374">
      <x:c r="A374" t="s">
        <x:v>626</x:v>
      </x:c>
      <x:c r="B374" t="s">
        <x:v>439</x:v>
      </x:c>
      <x:c r="C374" t="s">
        <x:v>319</x:v>
      </x:c>
      <x:c r="D374">
        <x:v>8476419</x:v>
      </x:c>
      <x:c r="E374" t="s">
        <x:v>224</x:v>
      </x:c>
      <x:c r="F374">
        <x:v>74</x:v>
      </x:c>
      <x:c r="G374">
        <x:v>79</x:v>
      </x:c>
      <x:c r="J374" t="s">
        <x:v>2242</x:v>
      </x:c>
      <x:c r="K374">
        <x:v>69</x:v>
      </x:c>
      <x:c r="L374">
        <x:v>40</x:v>
      </x:c>
      <x:c r="M374">
        <x:v>93</x:v>
      </x:c>
      <x:c r="N374">
        <x:v>53</x:v>
      </x:c>
      <x:c r="O374">
        <x:v>76</x:v>
      </x:c>
      <x:c r="P374">
        <x:v>86</x:v>
      </x:c>
      <x:c r="Q374">
        <x:v>92</x:v>
      </x:c>
      <x:c r="R374">
        <x:v>54</x:v>
      </x:c>
      <x:c r="S374">
        <x:v>91</x:v>
      </x:c>
      <x:c r="T374">
        <x:v>54</x:v>
      </x:c>
      <x:c r="U374">
        <x:v>57</x:v>
      </x:c>
      <x:c r="V374">
        <x:v>67</x:v>
      </x:c>
      <x:c r="W374">
        <x:v>53</x:v>
      </x:c>
      <x:c r="X374">
        <x:v>87</x:v>
      </x:c>
      <x:c r="Y374">
        <x:v>81</x:v>
      </x:c>
      <x:c r="Z374">
        <x:v>51</x:v>
      </x:c>
      <x:c r="AA374">
        <x:v>60</x:v>
      </x:c>
    </x:row>
    <x:row r="375">
      <x:c r="A375" t="s">
        <x:v>710</x:v>
      </x:c>
      <x:c r="B375" t="s">
        <x:v>345</x:v>
      </x:c>
      <x:c r="C375" t="s">
        <x:v>323</x:v>
      </x:c>
      <x:c r="D375">
        <x:v>8477451</x:v>
      </x:c>
      <x:c r="E375" t="s">
        <x:v>224</x:v>
      </x:c>
      <x:c r="F375">
        <x:v>76</x:v>
      </x:c>
      <x:c r="G375">
        <x:v>69</x:v>
      </x:c>
      <x:c r="J375" t="s">
        <x:v>2280</x:v>
      </x:c>
      <x:c r="K375">
        <x:v>65</x:v>
      </x:c>
      <x:c r="L375">
        <x:v>75</x:v>
      </x:c>
      <x:c r="M375">
        <x:v>89</x:v>
      </x:c>
      <x:c r="N375">
        <x:v>52</x:v>
      </x:c>
      <x:c r="O375">
        <x:v>80</x:v>
      </x:c>
      <x:c r="P375">
        <x:v>87</x:v>
      </x:c>
      <x:c r="Q375">
        <x:v>92</x:v>
      </x:c>
      <x:c r="R375">
        <x:v>56</x:v>
      </x:c>
      <x:c r="S375">
        <x:v>86</x:v>
      </x:c>
      <x:c r="T375">
        <x:v>53</x:v>
      </x:c>
      <x:c r="U375">
        <x:v>59</x:v>
      </x:c>
      <x:c r="V375">
        <x:v>67</x:v>
      </x:c>
      <x:c r="W375">
        <x:v>54</x:v>
      </x:c>
      <x:c r="X375">
        <x:v>83</x:v>
      </x:c>
      <x:c r="Y375">
        <x:v>79</x:v>
      </x:c>
      <x:c r="Z375">
        <x:v>51</x:v>
      </x:c>
      <x:c r="AA375">
        <x:v>59</x:v>
      </x:c>
    </x:row>
    <x:row r="376">
      <x:c r="A376" t="s">
        <x:v>717</x:v>
      </x:c>
      <x:c r="B376" t="s">
        <x:v>379</x:v>
      </x:c>
      <x:c r="C376" t="s">
        <x:v>339</x:v>
      </x:c>
      <x:c r="D376">
        <x:v>8475287</x:v>
      </x:c>
      <x:c r="E376" t="s">
        <x:v>224</x:v>
      </x:c>
      <x:c r="F376">
        <x:v>81</x:v>
      </x:c>
      <x:c r="G376">
        <x:v>69</x:v>
      </x:c>
      <x:c r="J376" t="s">
        <x:v>2281</x:v>
      </x:c>
      <x:c r="K376">
        <x:v>68</x:v>
      </x:c>
      <x:c r="L376">
        <x:v>37</x:v>
      </x:c>
      <x:c r="M376">
        <x:v>78</x:v>
      </x:c>
      <x:c r="N376">
        <x:v>57</x:v>
      </x:c>
      <x:c r="O376">
        <x:v>78</x:v>
      </x:c>
      <x:c r="P376">
        <x:v>87</x:v>
      </x:c>
      <x:c r="Q376">
        <x:v>96</x:v>
      </x:c>
      <x:c r="R376">
        <x:v>54</x:v>
      </x:c>
      <x:c r="S376">
        <x:v>88</x:v>
      </x:c>
      <x:c r="T376">
        <x:v>53</x:v>
      </x:c>
      <x:c r="U376">
        <x:v>55</x:v>
      </x:c>
      <x:c r="V376">
        <x:v>67</x:v>
      </x:c>
      <x:c r="W376">
        <x:v>68</x:v>
      </x:c>
      <x:c r="X376">
        <x:v>86</x:v>
      </x:c>
      <x:c r="Y376">
        <x:v>76</x:v>
      </x:c>
      <x:c r="Z376">
        <x:v>51</x:v>
      </x:c>
      <x:c r="AA376">
        <x:v>59</x:v>
      </x:c>
    </x:row>
    <x:row r="377">
      <x:c r="A377" t="s">
        <x:v>718</x:v>
      </x:c>
      <x:c r="B377" t="s">
        <x:v>576</x:v>
      </x:c>
      <x:c r="C377" t="s">
        <x:v>331</x:v>
      </x:c>
      <x:c r="D377">
        <x:v>8483495</x:v>
      </x:c>
      <x:c r="E377" t="s">
        <x:v>224</x:v>
      </x:c>
      <x:c r="F377">
        <x:v>68</x:v>
      </x:c>
      <x:c r="G377">
        <x:v>27</x:v>
      </x:c>
      <x:c r="J377" t="s">
        <x:v>2282</x:v>
      </x:c>
      <x:c r="K377">
        <x:v>66</x:v>
      </x:c>
      <x:c r="L377">
        <x:v>33</x:v>
      </x:c>
      <x:c r="M377">
        <x:v>84</x:v>
      </x:c>
      <x:c r="N377">
        <x:v>38</x:v>
      </x:c>
      <x:c r="O377">
        <x:v>77</x:v>
      </x:c>
      <x:c r="P377">
        <x:v>90</x:v>
      </x:c>
      <x:c r="Q377">
        <x:v>88</x:v>
      </x:c>
      <x:c r="R377">
        <x:v>42</x:v>
      </x:c>
      <x:c r="S377">
        <x:v>30</x:v>
      </x:c>
      <x:c r="T377">
        <x:v>51</x:v>
      </x:c>
      <x:c r="U377">
        <x:v>50</x:v>
      </x:c>
      <x:c r="V377">
        <x:v>67</x:v>
      </x:c>
      <x:c r="W377">
        <x:v>73</x:v>
      </x:c>
      <x:c r="X377">
        <x:v>69</x:v>
      </x:c>
      <x:c r="Y377">
        <x:v>66</x:v>
      </x:c>
      <x:c r="Z377">
        <x:v>54</x:v>
      </x:c>
      <x:c r="AA377">
        <x:v>59</x:v>
      </x:c>
    </x:row>
    <x:row r="378">
      <x:c r="A378" t="s">
        <x:v>776</x:v>
      </x:c>
      <x:c r="B378" t="s">
        <x:v>481</x:v>
      </x:c>
      <x:c r="C378" t="s">
        <x:v>326</x:v>
      </x:c>
      <x:c r="D378">
        <x:v>8482713</x:v>
      </x:c>
      <x:c r="E378" t="s">
        <x:v>224</x:v>
      </x:c>
      <x:c r="F378">
        <x:v>77</x:v>
      </x:c>
      <x:c r="G378">
        <x:v>72</x:v>
      </x:c>
      <x:c r="J378" t="s">
        <x:v>2283</x:v>
      </x:c>
      <x:c r="K378">
        <x:v>71</x:v>
      </x:c>
      <x:c r="L378">
        <x:v>33</x:v>
      </x:c>
      <x:c r="M378">
        <x:v>92</x:v>
      </x:c>
      <x:c r="N378">
        <x:v>65</x:v>
      </x:c>
      <x:c r="O378">
        <x:v>76</x:v>
      </x:c>
      <x:c r="P378">
        <x:v>84</x:v>
      </x:c>
      <x:c r="Q378">
        <x:v>93</x:v>
      </x:c>
      <x:c r="R378">
        <x:v>54</x:v>
      </x:c>
      <x:c r="S378">
        <x:v>67</x:v>
      </x:c>
      <x:c r="T378">
        <x:v>54</x:v>
      </x:c>
      <x:c r="U378">
        <x:v>56</x:v>
      </x:c>
      <x:c r="V378">
        <x:v>67</x:v>
      </x:c>
      <x:c r="W378">
        <x:v>54</x:v>
      </x:c>
      <x:c r="X378">
        <x:v>69</x:v>
      </x:c>
      <x:c r="Y378">
        <x:v>73</x:v>
      </x:c>
      <x:c r="Z378">
        <x:v>51</x:v>
      </x:c>
      <x:c r="AA378">
        <x:v>58</x:v>
      </x:c>
    </x:row>
    <x:row r="379">
      <x:c r="A379" t="s">
        <x:v>806</x:v>
      </x:c>
      <x:c r="B379" t="s">
        <x:v>576</x:v>
      </x:c>
      <x:c r="C379" t="s">
        <x:v>331</x:v>
      </x:c>
      <x:c r="D379">
        <x:v>8480035</x:v>
      </x:c>
      <x:c r="E379" t="s">
        <x:v>224</x:v>
      </x:c>
      <x:c r="F379">
        <x:v>41</x:v>
      </x:c>
      <x:c r="G379">
        <x:v>60</x:v>
      </x:c>
      <x:c r="J379" t="s">
        <x:v>2284</x:v>
      </x:c>
      <x:c r="K379">
        <x:v>71</x:v>
      </x:c>
      <x:c r="L379">
        <x:v>37</x:v>
      </x:c>
      <x:c r="M379">
        <x:v>85</x:v>
      </x:c>
      <x:c r="N379">
        <x:v>39</x:v>
      </x:c>
      <x:c r="O379">
        <x:v>83</x:v>
      </x:c>
      <x:c r="P379">
        <x:v>88</x:v>
      </x:c>
      <x:c r="Q379">
        <x:v>76</x:v>
      </x:c>
      <x:c r="R379">
        <x:v>39</x:v>
      </x:c>
      <x:c r="S379">
        <x:v>30</x:v>
      </x:c>
      <x:c r="T379">
        <x:v>55</x:v>
      </x:c>
      <x:c r="U379">
        <x:v>46</x:v>
      </x:c>
      <x:c r="V379">
        <x:v>67</x:v>
      </x:c>
      <x:c r="W379">
        <x:v>52</x:v>
      </x:c>
      <x:c r="X379">
        <x:v>74</x:v>
      </x:c>
      <x:c r="Y379">
        <x:v>67</x:v>
      </x:c>
      <x:c r="Z379">
        <x:v>51</x:v>
      </x:c>
      <x:c r="AA379">
        <x:v>58</x:v>
      </x:c>
    </x:row>
    <x:row r="380">
      <x:c r="A380" t="s">
        <x:v>812</x:v>
      </x:c>
      <x:c r="B380" t="s">
        <x:v>368</x:v>
      </x:c>
      <x:c r="C380" t="s">
        <x:v>326</x:v>
      </x:c>
      <x:c r="D380">
        <x:v>8478434</x:v>
      </x:c>
      <x:c r="E380" t="s">
        <x:v>224</x:v>
      </x:c>
      <x:c r="F380">
        <x:v>82</x:v>
      </x:c>
      <x:c r="G380">
        <x:v>82</x:v>
      </x:c>
      <x:c r="J380" t="s">
        <x:v>1992</x:v>
      </x:c>
      <x:c r="K380">
        <x:v>84</x:v>
      </x:c>
      <x:c r="L380">
        <x:v>85</x:v>
      </x:c>
      <x:c r="M380">
        <x:v>81</x:v>
      </x:c>
      <x:c r="N380">
        <x:v>58</x:v>
      </x:c>
      <x:c r="O380">
        <x:v>86</x:v>
      </x:c>
      <x:c r="P380">
        <x:v>83</x:v>
      </x:c>
      <x:c r="Q380">
        <x:v>99</x:v>
      </x:c>
      <x:c r="R380">
        <x:v>51</x:v>
      </x:c>
      <x:c r="S380">
        <x:v>68</x:v>
      </x:c>
      <x:c r="T380">
        <x:v>52</x:v>
      </x:c>
      <x:c r="U380">
        <x:v>52</x:v>
      </x:c>
      <x:c r="V380">
        <x:v>67</x:v>
      </x:c>
      <x:c r="W380">
        <x:v>52</x:v>
      </x:c>
      <x:c r="X380">
        <x:v>79</x:v>
      </x:c>
      <x:c r="Y380">
        <x:v>71</x:v>
      </x:c>
      <x:c r="Z380">
        <x:v>51</x:v>
      </x:c>
      <x:c r="AA380">
        <x:v>57</x:v>
      </x:c>
    </x:row>
    <x:row r="381">
      <x:c r="A381" t="s">
        <x:v>865</x:v>
      </x:c>
      <x:c r="B381" t="s">
        <x:v>386</x:v>
      </x:c>
      <x:c r="C381" t="s">
        <x:v>333</x:v>
      </x:c>
      <x:c r="D381">
        <x:v>8480762</x:v>
      </x:c>
      <x:c r="E381" t="s">
        <x:v>224</x:v>
      </x:c>
      <x:c r="F381">
        <x:v>67</x:v>
      </x:c>
      <x:c r="G381">
        <x:v>82</x:v>
      </x:c>
      <x:c r="J381" t="s">
        <x:v>2240</x:v>
      </x:c>
      <x:c r="K381">
        <x:v>70</x:v>
      </x:c>
      <x:c r="L381">
        <x:v>40</x:v>
      </x:c>
      <x:c r="M381">
        <x:v>93</x:v>
      </x:c>
      <x:c r="N381">
        <x:v>66</x:v>
      </x:c>
      <x:c r="O381">
        <x:v>87</x:v>
      </x:c>
      <x:c r="P381">
        <x:v>82</x:v>
      </x:c>
      <x:c r="Q381">
        <x:v>88</x:v>
      </x:c>
      <x:c r="R381">
        <x:v>52</x:v>
      </x:c>
      <x:c r="S381">
        <x:v>64</x:v>
      </x:c>
      <x:c r="T381">
        <x:v>51</x:v>
      </x:c>
      <x:c r="U381">
        <x:v>58</x:v>
      </x:c>
      <x:c r="V381">
        <x:v>67</x:v>
      </x:c>
      <x:c r="W381">
        <x:v>52</x:v>
      </x:c>
      <x:c r="X381">
        <x:v>78</x:v>
      </x:c>
      <x:c r="Y381">
        <x:v>73</x:v>
      </x:c>
      <x:c r="Z381">
        <x:v>51</x:v>
      </x:c>
      <x:c r="AA381">
        <x:v>57</x:v>
      </x:c>
    </x:row>
    <x:row r="382">
      <x:c r="A382" t="s">
        <x:v>866</x:v>
      </x:c>
      <x:c r="B382" t="s">
        <x:v>383</x:v>
      </x:c>
      <x:c r="C382" t="s">
        <x:v>358</x:v>
      </x:c>
      <x:c r="D382">
        <x:v>8481789</x:v>
      </x:c>
      <x:c r="E382" t="s">
        <x:v>224</x:v>
      </x:c>
      <x:c r="F382">
        <x:v>64</x:v>
      </x:c>
      <x:c r="G382">
        <x:v>63</x:v>
      </x:c>
      <x:c r="J382" t="s">
        <x:v>2285</x:v>
      </x:c>
      <x:c r="K382">
        <x:v>81</x:v>
      </x:c>
      <x:c r="L382">
        <x:v>74</x:v>
      </x:c>
      <x:c r="M382">
        <x:v>87</x:v>
      </x:c>
      <x:c r="N382">
        <x:v>53</x:v>
      </x:c>
      <x:c r="O382">
        <x:v>81</x:v>
      </x:c>
      <x:c r="P382">
        <x:v>83</x:v>
      </x:c>
      <x:c r="Q382">
        <x:v>84</x:v>
      </x:c>
      <x:c r="R382">
        <x:v>51</x:v>
      </x:c>
      <x:c r="S382">
        <x:v>65</x:v>
      </x:c>
      <x:c r="T382">
        <x:v>54</x:v>
      </x:c>
      <x:c r="U382">
        <x:v>53</x:v>
      </x:c>
      <x:c r="V382">
        <x:v>67</x:v>
      </x:c>
      <x:c r="W382">
        <x:v>52</x:v>
      </x:c>
      <x:c r="X382">
        <x:v>70</x:v>
      </x:c>
      <x:c r="Y382">
        <x:v>68</x:v>
      </x:c>
      <x:c r="Z382">
        <x:v>54</x:v>
      </x:c>
      <x:c r="AA382">
        <x:v>57</x:v>
      </x:c>
    </x:row>
    <x:row r="383">
      <x:c r="A383" t="s">
        <x:v>903</x:v>
      </x:c>
      <x:c r="B383" t="s">
        <x:v>368</x:v>
      </x:c>
      <x:c r="C383" t="s">
        <x:v>323</x:v>
      </x:c>
      <x:c r="D383">
        <x:v>8478891</x:v>
      </x:c>
      <x:c r="E383" t="s">
        <x:v>224</x:v>
      </x:c>
      <x:c r="F383">
        <x:v>65</x:v>
      </x:c>
      <x:c r="G383">
        <x:v>71</x:v>
      </x:c>
      <x:c r="J383" t="s">
        <x:v>2286</x:v>
      </x:c>
      <x:c r="K383">
        <x:v>69</x:v>
      </x:c>
      <x:c r="L383">
        <x:v>36</x:v>
      </x:c>
      <x:c r="M383">
        <x:v>85</x:v>
      </x:c>
      <x:c r="N383">
        <x:v>55</x:v>
      </x:c>
      <x:c r="O383">
        <x:v>79</x:v>
      </x:c>
      <x:c r="P383">
        <x:v>84</x:v>
      </x:c>
      <x:c r="Q383">
        <x:v>85</x:v>
      </x:c>
      <x:c r="R383">
        <x:v>49</x:v>
      </x:c>
      <x:c r="S383">
        <x:v>66</x:v>
      </x:c>
      <x:c r="T383">
        <x:v>51</x:v>
      </x:c>
      <x:c r="U383">
        <x:v>52</x:v>
      </x:c>
      <x:c r="V383">
        <x:v>67</x:v>
      </x:c>
      <x:c r="W383">
        <x:v>52</x:v>
      </x:c>
      <x:c r="X383">
        <x:v>77</x:v>
      </x:c>
      <x:c r="Y383">
        <x:v>72</x:v>
      </x:c>
      <x:c r="Z383">
        <x:v>51</x:v>
      </x:c>
      <x:c r="AA383">
        <x:v>56</x:v>
      </x:c>
    </x:row>
    <x:row r="384">
      <x:c r="A384" t="s">
        <x:v>925</x:v>
      </x:c>
      <x:c r="B384" t="s">
        <x:v>345</x:v>
      </x:c>
      <x:c r="C384" t="s">
        <x:v>326</x:v>
      </x:c>
      <x:c r="D384">
        <x:v>8483525</x:v>
      </x:c>
      <x:c r="E384" t="s">
        <x:v>224</x:v>
      </x:c>
      <x:c r="F384">
        <x:v>73</x:v>
      </x:c>
      <x:c r="J384" t="s">
        <x:v>2287</x:v>
      </x:c>
      <x:c r="K384">
        <x:v>66</x:v>
      </x:c>
      <x:c r="L384">
        <x:v>35</x:v>
      </x:c>
      <x:c r="M384">
        <x:v>83</x:v>
      </x:c>
      <x:c r="N384">
        <x:v>58</x:v>
      </x:c>
      <x:c r="O384">
        <x:v>75</x:v>
      </x:c>
      <x:c r="P384">
        <x:v>83</x:v>
      </x:c>
      <x:c r="Q384">
        <x:v>87</x:v>
      </x:c>
      <x:c r="R384">
        <x:v>53</x:v>
      </x:c>
      <x:c r="S384">
        <x:v>82</x:v>
      </x:c>
      <x:c r="T384">
        <x:v>53</x:v>
      </x:c>
      <x:c r="U384">
        <x:v>56</x:v>
      </x:c>
      <x:c r="V384">
        <x:v>67</x:v>
      </x:c>
      <x:c r="W384">
        <x:v>51</x:v>
      </x:c>
      <x:c r="X384">
        <x:v>68</x:v>
      </x:c>
      <x:c r="Y384">
        <x:v>69</x:v>
      </x:c>
      <x:c r="Z384">
        <x:v>54</x:v>
      </x:c>
      <x:c r="AA384">
        <x:v>56</x:v>
      </x:c>
    </x:row>
    <x:row r="385">
      <x:c r="A385" t="s">
        <x:v>926</x:v>
      </x:c>
      <x:c r="B385" t="s">
        <x:v>334</x:v>
      </x:c>
      <x:c r="C385" t="s">
        <x:v>323</x:v>
      </x:c>
      <x:c r="D385">
        <x:v>8476822</x:v>
      </x:c>
      <x:c r="E385" t="s">
        <x:v>224</x:v>
      </x:c>
      <x:c r="F385">
        <x:v>70</x:v>
      </x:c>
      <x:c r="G385">
        <x:v>77</x:v>
      </x:c>
      <x:c r="J385" t="s">
        <x:v>2288</x:v>
      </x:c>
      <x:c r="K385">
        <x:v>71</x:v>
      </x:c>
      <x:c r="L385">
        <x:v>38</x:v>
      </x:c>
      <x:c r="M385">
        <x:v>87</x:v>
      </x:c>
      <x:c r="N385">
        <x:v>66</x:v>
      </x:c>
      <x:c r="O385">
        <x:v>78</x:v>
      </x:c>
      <x:c r="P385">
        <x:v>82</x:v>
      </x:c>
      <x:c r="Q385">
        <x:v>89</x:v>
      </x:c>
      <x:c r="R385">
        <x:v>47</x:v>
      </x:c>
      <x:c r="S385">
        <x:v>88</x:v>
      </x:c>
      <x:c r="T385">
        <x:v>51</x:v>
      </x:c>
      <x:c r="U385">
        <x:v>49</x:v>
      </x:c>
      <x:c r="V385">
        <x:v>67</x:v>
      </x:c>
      <x:c r="W385">
        <x:v>52</x:v>
      </x:c>
      <x:c r="X385">
        <x:v>87</x:v>
      </x:c>
      <x:c r="Y385">
        <x:v>78</x:v>
      </x:c>
      <x:c r="Z385">
        <x:v>51</x:v>
      </x:c>
      <x:c r="AA385">
        <x:v>56</x:v>
      </x:c>
    </x:row>
    <x:row r="386">
      <x:c r="A386" t="s">
        <x:v>955</x:v>
      </x:c>
      <x:c r="B386" t="s">
        <x:v>436</x:v>
      </x:c>
      <x:c r="C386" t="s">
        <x:v>331</x:v>
      </x:c>
      <x:c r="D386">
        <x:v>8483506</x:v>
      </x:c>
      <x:c r="E386" t="s">
        <x:v>224</x:v>
      </x:c>
      <x:c r="F386">
        <x:v>53</x:v>
      </x:c>
      <x:c r="G386">
        <x:v>9</x:v>
      </x:c>
      <x:c r="J386" t="s">
        <x:v>2289</x:v>
      </x:c>
      <x:c r="K386">
        <x:v>72</x:v>
      </x:c>
      <x:c r="L386">
        <x:v>37</x:v>
      </x:c>
      <x:c r="M386">
        <x:v>80</x:v>
      </x:c>
      <x:c r="N386">
        <x:v>43</x:v>
      </x:c>
      <x:c r="O386">
        <x:v>79</x:v>
      </x:c>
      <x:c r="P386">
        <x:v>88</x:v>
      </x:c>
      <x:c r="Q386">
        <x:v>93</x:v>
      </x:c>
      <x:c r="R386">
        <x:v>39</x:v>
      </x:c>
      <x:c r="S386">
        <x:v>30</x:v>
      </x:c>
      <x:c r="T386">
        <x:v>52</x:v>
      </x:c>
      <x:c r="U386">
        <x:v>47</x:v>
      </x:c>
      <x:c r="V386">
        <x:v>67</x:v>
      </x:c>
      <x:c r="W386">
        <x:v>51</x:v>
      </x:c>
      <x:c r="X386">
        <x:v>66</x:v>
      </x:c>
      <x:c r="Y386">
        <x:v>64</x:v>
      </x:c>
      <x:c r="Z386">
        <x:v>51</x:v>
      </x:c>
      <x:c r="AA386">
        <x:v>56</x:v>
      </x:c>
    </x:row>
    <x:row r="387">
      <x:c r="A387" t="s">
        <x:v>989</x:v>
      </x:c>
      <x:c r="B387" t="s">
        <x:v>584</x:v>
      </x:c>
      <x:c r="C387" t="s">
        <x:v>323</x:v>
      </x:c>
      <x:c r="D387">
        <x:v>8477508</x:v>
      </x:c>
      <x:c r="E387" t="s">
        <x:v>224</x:v>
      </x:c>
      <x:c r="F387">
        <x:v>45</x:v>
      </x:c>
      <x:c r="G387">
        <x:v>48</x:v>
      </x:c>
      <x:c r="J387" t="s">
        <x:v>2290</x:v>
      </x:c>
      <x:c r="K387">
        <x:v>81</x:v>
      </x:c>
      <x:c r="L387">
        <x:v>40</x:v>
      </x:c>
      <x:c r="M387">
        <x:v>84</x:v>
      </x:c>
      <x:c r="N387">
        <x:v>60</x:v>
      </x:c>
      <x:c r="O387">
        <x:v>81</x:v>
      </x:c>
      <x:c r="P387">
        <x:v>80</x:v>
      </x:c>
      <x:c r="Q387">
        <x:v>74</x:v>
      </x:c>
      <x:c r="R387">
        <x:v>48</x:v>
      </x:c>
      <x:c r="S387">
        <x:v>86</x:v>
      </x:c>
      <x:c r="T387">
        <x:v>49</x:v>
      </x:c>
      <x:c r="U387">
        <x:v>51</x:v>
      </x:c>
      <x:c r="V387">
        <x:v>67</x:v>
      </x:c>
      <x:c r="W387">
        <x:v>52</x:v>
      </x:c>
      <x:c r="X387">
        <x:v>80</x:v>
      </x:c>
      <x:c r="Y387">
        <x:v>75</x:v>
      </x:c>
      <x:c r="Z387">
        <x:v>51</x:v>
      </x:c>
      <x:c r="AA387">
        <x:v>55</x:v>
      </x:c>
    </x:row>
    <x:row r="388">
      <x:c r="A388" t="s">
        <x:v>1019</x:v>
      </x:c>
      <x:c r="B388" t="s">
        <x:v>400</x:v>
      </x:c>
      <x:c r="C388" t="s">
        <x:v>358</x:v>
      </x:c>
      <x:c r="D388">
        <x:v>8479981</x:v>
      </x:c>
      <x:c r="E388" t="s">
        <x:v>224</x:v>
      </x:c>
      <x:c r="F388">
        <x:v>10</x:v>
      </x:c>
      <x:c r="G388">
        <x:v>42</x:v>
      </x:c>
      <x:c r="J388" t="s">
        <x:v>2291</x:v>
      </x:c>
      <x:c r="K388">
        <x:v>90</x:v>
      </x:c>
      <x:c r="L388">
        <x:v>89</x:v>
      </x:c>
      <x:c r="M388">
        <x:v>75</x:v>
      </x:c>
      <x:c r="N388">
        <x:v>53</x:v>
      </x:c>
      <x:c r="O388">
        <x:v>85</x:v>
      </x:c>
      <x:c r="P388">
        <x:v>77</x:v>
      </x:c>
      <x:c r="Q388">
        <x:v>38</x:v>
      </x:c>
      <x:c r="R388">
        <x:v>48</x:v>
      </x:c>
      <x:c r="S388">
        <x:v>62</x:v>
      </x:c>
      <x:c r="T388">
        <x:v>56</x:v>
      </x:c>
      <x:c r="U388">
        <x:v>47</x:v>
      </x:c>
      <x:c r="V388">
        <x:v>67</x:v>
      </x:c>
      <x:c r="W388">
        <x:v>52</x:v>
      </x:c>
      <x:c r="X388">
        <x:v>70</x:v>
      </x:c>
      <x:c r="Y388">
        <x:v>68</x:v>
      </x:c>
      <x:c r="Z388">
        <x:v>51</x:v>
      </x:c>
      <x:c r="AA388">
        <x:v>55</x:v>
      </x:c>
    </x:row>
    <x:row r="389">
      <x:c r="A389" t="s">
        <x:v>1030</x:v>
      </x:c>
      <x:c r="B389" t="s">
        <x:v>343</x:v>
      </x:c>
      <x:c r="C389" t="s">
        <x:v>339</x:v>
      </x:c>
      <x:c r="D389">
        <x:v>8480829</x:v>
      </x:c>
      <x:c r="E389" t="s">
        <x:v>224</x:v>
      </x:c>
      <x:c r="F389">
        <x:v>42</x:v>
      </x:c>
      <x:c r="G389">
        <x:v>78</x:v>
      </x:c>
      <x:c r="J389" t="s">
        <x:v>2292</x:v>
      </x:c>
      <x:c r="K389">
        <x:v>70</x:v>
      </x:c>
      <x:c r="L389">
        <x:v>47</x:v>
      </x:c>
      <x:c r="M389">
        <x:v>92</x:v>
      </x:c>
      <x:c r="N389">
        <x:v>51</x:v>
      </x:c>
      <x:c r="O389">
        <x:v>85</x:v>
      </x:c>
      <x:c r="P389">
        <x:v>82</x:v>
      </x:c>
      <x:c r="Q389">
        <x:v>76</x:v>
      </x:c>
      <x:c r="R389">
        <x:v>51</x:v>
      </x:c>
      <x:c r="S389">
        <x:v>84</x:v>
      </x:c>
      <x:c r="T389">
        <x:v>53</x:v>
      </x:c>
      <x:c r="U389">
        <x:v>50</x:v>
      </x:c>
      <x:c r="V389">
        <x:v>67</x:v>
      </x:c>
      <x:c r="W389">
        <x:v>58</x:v>
      </x:c>
      <x:c r="X389">
        <x:v>80</x:v>
      </x:c>
      <x:c r="Y389">
        <x:v>70</x:v>
      </x:c>
      <x:c r="Z389">
        <x:v>51</x:v>
      </x:c>
      <x:c r="AA389">
        <x:v>55</x:v>
      </x:c>
    </x:row>
    <x:row r="390">
      <x:c r="A390" t="s">
        <x:v>1095</x:v>
      </x:c>
      <x:c r="B390" t="s">
        <x:v>436</x:v>
      </x:c>
      <x:c r="C390" t="s">
        <x:v>331</x:v>
      </x:c>
      <x:c r="D390">
        <x:v>8483466</x:v>
      </x:c>
      <x:c r="E390" t="s">
        <x:v>224</x:v>
      </x:c>
      <x:c r="F390">
        <x:v>13</x:v>
      </x:c>
      <x:c r="G390">
        <x:v>16</x:v>
      </x:c>
      <x:c r="J390" t="s">
        <x:v>2293</x:v>
      </x:c>
      <x:c r="K390">
        <x:v>67</x:v>
      </x:c>
      <x:c r="L390">
        <x:v>33</x:v>
      </x:c>
      <x:c r="M390">
        <x:v>80</x:v>
      </x:c>
      <x:c r="N390">
        <x:v>39</x:v>
      </x:c>
      <x:c r="O390">
        <x:v>76</x:v>
      </x:c>
      <x:c r="P390">
        <x:v>82</x:v>
      </x:c>
      <x:c r="Q390">
        <x:v>88</x:v>
      </x:c>
      <x:c r="R390">
        <x:v>38</x:v>
      </x:c>
      <x:c r="S390">
        <x:v>30</x:v>
      </x:c>
      <x:c r="T390">
        <x:v>51</x:v>
      </x:c>
      <x:c r="U390">
        <x:v>45</x:v>
      </x:c>
      <x:c r="V390">
        <x:v>67</x:v>
      </x:c>
      <x:c r="W390">
        <x:v>52</x:v>
      </x:c>
      <x:c r="X390">
        <x:v>68</x:v>
      </x:c>
      <x:c r="Y390">
        <x:v>67</x:v>
      </x:c>
      <x:c r="Z390">
        <x:v>51</x:v>
      </x:c>
      <x:c r="AA390">
        <x:v>54</x:v>
      </x:c>
    </x:row>
    <x:row r="391">
      <x:c r="A391" t="s">
        <x:v>388</x:v>
      </x:c>
      <x:c r="B391" t="s">
        <x:v>368</x:v>
      </x:c>
      <x:c r="C391" t="s">
        <x:v>333</x:v>
      </x:c>
      <x:c r="D391">
        <x:v>8479337</x:v>
      </x:c>
      <x:c r="E391" t="s">
        <x:v>224</x:v>
      </x:c>
      <x:c r="F391">
        <x:v>82</x:v>
      </x:c>
      <x:c r="G391">
        <x:v>82</x:v>
      </x:c>
      <x:c r="J391" t="s">
        <x:v>1992</x:v>
      </x:c>
      <x:c r="K391">
        <x:v>60</x:v>
      </x:c>
      <x:c r="L391">
        <x:v>48</x:v>
      </x:c>
      <x:c r="M391">
        <x:v>93</x:v>
      </x:c>
      <x:c r="N391">
        <x:v>53</x:v>
      </x:c>
      <x:c r="O391">
        <x:v>76</x:v>
      </x:c>
      <x:c r="P391">
        <x:v>90</x:v>
      </x:c>
      <x:c r="Q391">
        <x:v>99</x:v>
      </x:c>
      <x:c r="R391">
        <x:v>69</x:v>
      </x:c>
      <x:c r="S391">
        <x:v>70</x:v>
      </x:c>
      <x:c r="T391">
        <x:v>66</x:v>
      </x:c>
      <x:c r="U391">
        <x:v>73</x:v>
      </x:c>
      <x:c r="V391">
        <x:v>66</x:v>
      </x:c>
      <x:c r="W391">
        <x:v>78</x:v>
      </x:c>
      <x:c r="X391">
        <x:v>79</x:v>
      </x:c>
      <x:c r="Y391">
        <x:v>78</x:v>
      </x:c>
      <x:c r="Z391">
        <x:v>51</x:v>
      </x:c>
      <x:c r="AA391">
        <x:v>65</x:v>
      </x:c>
    </x:row>
    <x:row r="392">
      <x:c r="A392" t="s">
        <x:v>397</x:v>
      </x:c>
      <x:c r="B392" t="s">
        <x:v>327</x:v>
      </x:c>
      <x:c r="C392" t="s">
        <x:v>358</x:v>
      </x:c>
      <x:c r="D392">
        <x:v>8477404</x:v>
      </x:c>
      <x:c r="E392" t="s">
        <x:v>224</x:v>
      </x:c>
      <x:c r="F392">
        <x:v>81</x:v>
      </x:c>
      <x:c r="G392">
        <x:v>80</x:v>
      </x:c>
      <x:c r="J392" t="s">
        <x:v>2174</x:v>
      </x:c>
      <x:c r="K392">
        <x:v>59</x:v>
      </x:c>
      <x:c r="L392">
        <x:v>46</x:v>
      </x:c>
      <x:c r="M392">
        <x:v>88</x:v>
      </x:c>
      <x:c r="N392">
        <x:v>51</x:v>
      </x:c>
      <x:c r="O392">
        <x:v>75</x:v>
      </x:c>
      <x:c r="P392">
        <x:v>92</x:v>
      </x:c>
      <x:c r="Q392">
        <x:v>97</x:v>
      </x:c>
      <x:c r="R392">
        <x:v>68</x:v>
      </x:c>
      <x:c r="S392">
        <x:v>81</x:v>
      </x:c>
      <x:c r="T392">
        <x:v>73</x:v>
      </x:c>
      <x:c r="U392">
        <x:v>71</x:v>
      </x:c>
      <x:c r="V392">
        <x:v>66</x:v>
      </x:c>
      <x:c r="W392">
        <x:v>83</x:v>
      </x:c>
      <x:c r="X392">
        <x:v>83</x:v>
      </x:c>
      <x:c r="Y392">
        <x:v>77</x:v>
      </x:c>
      <x:c r="Z392">
        <x:v>51</x:v>
      </x:c>
      <x:c r="AA392">
        <x:v>65</x:v>
      </x:c>
    </x:row>
    <x:row r="393">
      <x:c r="A393" t="s">
        <x:v>452</x:v>
      </x:c>
      <x:c r="B393" t="s">
        <x:v>364</x:v>
      </x:c>
      <x:c r="C393" t="s">
        <x:v>319</x:v>
      </x:c>
      <x:c r="D393">
        <x:v>8476389</x:v>
      </x:c>
      <x:c r="E393" t="s">
        <x:v>224</x:v>
      </x:c>
      <x:c r="F393">
        <x:v>67</x:v>
      </x:c>
      <x:c r="G393">
        <x:v>82</x:v>
      </x:c>
      <x:c r="J393" t="s">
        <x:v>2240</x:v>
      </x:c>
      <x:c r="K393">
        <x:v>72</x:v>
      </x:c>
      <x:c r="L393">
        <x:v>39</x:v>
      </x:c>
      <x:c r="M393">
        <x:v>80</x:v>
      </x:c>
      <x:c r="N393">
        <x:v>56</x:v>
      </x:c>
      <x:c r="O393">
        <x:v>77</x:v>
      </x:c>
      <x:c r="P393">
        <x:v>92</x:v>
      </x:c>
      <x:c r="Q393">
        <x:v>89</x:v>
      </x:c>
      <x:c r="R393">
        <x:v>61</x:v>
      </x:c>
      <x:c r="S393">
        <x:v>92</x:v>
      </x:c>
      <x:c r="T393">
        <x:v>60</x:v>
      </x:c>
      <x:c r="U393">
        <x:v>56</x:v>
      </x:c>
      <x:c r="V393">
        <x:v>66</x:v>
      </x:c>
      <x:c r="W393">
        <x:v>91</x:v>
      </x:c>
      <x:c r="X393">
        <x:v>85</x:v>
      </x:c>
      <x:c r="Y393">
        <x:v>79</x:v>
      </x:c>
      <x:c r="Z393">
        <x:v>51</x:v>
      </x:c>
      <x:c r="AA393">
        <x:v>63</x:v>
      </x:c>
    </x:row>
    <x:row r="394">
      <x:c r="A394" t="s">
        <x:v>478</x:v>
      </x:c>
      <x:c r="B394" t="s">
        <x:v>356</x:v>
      </x:c>
      <x:c r="C394" t="s">
        <x:v>329</x:v>
      </x:c>
      <x:c r="D394">
        <x:v>8475798</x:v>
      </x:c>
      <x:c r="E394" t="s">
        <x:v>224</x:v>
      </x:c>
      <x:c r="F394">
        <x:v>58</x:v>
      </x:c>
      <x:c r="G394">
        <x:v>83</x:v>
      </x:c>
      <x:c r="J394" t="s">
        <x:v>2294</x:v>
      </x:c>
      <x:c r="K394">
        <x:v>60</x:v>
      </x:c>
      <x:c r="L394">
        <x:v>34</x:v>
      </x:c>
      <x:c r="M394">
        <x:v>91</x:v>
      </x:c>
      <x:c r="N394">
        <x:v>54</x:v>
      </x:c>
      <x:c r="O394">
        <x:v>79</x:v>
      </x:c>
      <x:c r="P394">
        <x:v>91</x:v>
      </x:c>
      <x:c r="Q394">
        <x:v>83</x:v>
      </x:c>
      <x:c r="R394">
        <x:v>62</x:v>
      </x:c>
      <x:c r="S394">
        <x:v>88</x:v>
      </x:c>
      <x:c r="T394">
        <x:v>57</x:v>
      </x:c>
      <x:c r="U394">
        <x:v>58</x:v>
      </x:c>
      <x:c r="V394">
        <x:v>66</x:v>
      </x:c>
      <x:c r="W394">
        <x:v>77</x:v>
      </x:c>
      <x:c r="X394">
        <x:v>87</x:v>
      </x:c>
      <x:c r="Y394">
        <x:v>79</x:v>
      </x:c>
      <x:c r="Z394">
        <x:v>51</x:v>
      </x:c>
      <x:c r="AA394">
        <x:v>62</x:v>
      </x:c>
    </x:row>
    <x:row r="395">
      <x:c r="A395" t="s">
        <x:v>489</x:v>
      </x:c>
      <x:c r="B395" t="s">
        <x:v>334</x:v>
      </x:c>
      <x:c r="C395" t="s">
        <x:v>323</x:v>
      </x:c>
      <x:c r="D395">
        <x:v>8477496</x:v>
      </x:c>
      <x:c r="E395" t="s">
        <x:v>224</x:v>
      </x:c>
      <x:c r="F395">
        <x:v>69</x:v>
      </x:c>
      <x:c r="G395">
        <x:v>82</x:v>
      </x:c>
      <x:c r="J395" t="s">
        <x:v>2175</x:v>
      </x:c>
      <x:c r="K395">
        <x:v>63</x:v>
      </x:c>
      <x:c r="L395">
        <x:v>39</x:v>
      </x:c>
      <x:c r="M395">
        <x:v>83</x:v>
      </x:c>
      <x:c r="N395">
        <x:v>46</x:v>
      </x:c>
      <x:c r="O395">
        <x:v>80</x:v>
      </x:c>
      <x:c r="P395">
        <x:v>88</x:v>
      </x:c>
      <x:c r="Q395">
        <x:v>89</x:v>
      </x:c>
      <x:c r="R395">
        <x:v>60</x:v>
      </x:c>
      <x:c r="S395">
        <x:v>91</x:v>
      </x:c>
      <x:c r="T395">
        <x:v>58</x:v>
      </x:c>
      <x:c r="U395">
        <x:v>57</x:v>
      </x:c>
      <x:c r="V395">
        <x:v>66</x:v>
      </x:c>
      <x:c r="W395">
        <x:v>61</x:v>
      </x:c>
      <x:c r="X395">
        <x:v>87</x:v>
      </x:c>
      <x:c r="Y395">
        <x:v>83</x:v>
      </x:c>
      <x:c r="Z395">
        <x:v>51</x:v>
      </x:c>
      <x:c r="AA395">
        <x:v>62</x:v>
      </x:c>
    </x:row>
    <x:row r="396">
      <x:c r="A396" t="s">
        <x:v>542</x:v>
      </x:c>
      <x:c r="B396" t="s">
        <x:v>379</x:v>
      </x:c>
      <x:c r="C396" t="s">
        <x:v>333</x:v>
      </x:c>
      <x:c r="D396">
        <x:v>8477942</x:v>
      </x:c>
      <x:c r="E396" t="s">
        <x:v>224</x:v>
      </x:c>
      <x:c r="F396">
        <x:v>56</x:v>
      </x:c>
      <x:c r="G396">
        <x:v>81</x:v>
      </x:c>
      <x:c r="J396" t="s">
        <x:v>2053</x:v>
      </x:c>
      <x:c r="K396">
        <x:v>62</x:v>
      </x:c>
      <x:c r="L396">
        <x:v>36</x:v>
      </x:c>
      <x:c r="M396">
        <x:v>84</x:v>
      </x:c>
      <x:c r="N396">
        <x:v>49</x:v>
      </x:c>
      <x:c r="O396">
        <x:v>82</x:v>
      </x:c>
      <x:c r="P396">
        <x:v>91</x:v>
      </x:c>
      <x:c r="Q396">
        <x:v>82</x:v>
      </x:c>
      <x:c r="R396">
        <x:v>60</x:v>
      </x:c>
      <x:c r="S396">
        <x:v>66</x:v>
      </x:c>
      <x:c r="T396">
        <x:v>53</x:v>
      </x:c>
      <x:c r="U396">
        <x:v>59</x:v>
      </x:c>
      <x:c r="V396">
        <x:v>66</x:v>
      </x:c>
      <x:c r="W396">
        <x:v>81</x:v>
      </x:c>
      <x:c r="X396">
        <x:v>82</x:v>
      </x:c>
      <x:c r="Y396">
        <x:v>77</x:v>
      </x:c>
      <x:c r="Z396">
        <x:v>51</x:v>
      </x:c>
      <x:c r="AA396">
        <x:v>61</x:v>
      </x:c>
    </x:row>
    <x:row r="397">
      <x:c r="A397" t="s">
        <x:v>543</x:v>
      </x:c>
      <x:c r="B397" t="s">
        <x:v>337</x:v>
      </x:c>
      <x:c r="C397" t="s">
        <x:v>319</x:v>
      </x:c>
      <x:c r="D397">
        <x:v>8477497</x:v>
      </x:c>
      <x:c r="E397" t="s">
        <x:v>224</x:v>
      </x:c>
      <x:c r="F397">
        <x:v>78</x:v>
      </x:c>
      <x:c r="G397">
        <x:v>54</x:v>
      </x:c>
      <x:c r="J397" t="s">
        <x:v>2295</x:v>
      </x:c>
      <x:c r="K397">
        <x:v>61</x:v>
      </x:c>
      <x:c r="L397">
        <x:v>39</x:v>
      </x:c>
      <x:c r="M397">
        <x:v>92</x:v>
      </x:c>
      <x:c r="N397">
        <x:v>51</x:v>
      </x:c>
      <x:c r="O397">
        <x:v>83</x:v>
      </x:c>
      <x:c r="P397">
        <x:v>88</x:v>
      </x:c>
      <x:c r="Q397">
        <x:v>92</x:v>
      </x:c>
      <x:c r="R397">
        <x:v>60</x:v>
      </x:c>
      <x:c r="S397">
        <x:v>90</x:v>
      </x:c>
      <x:c r="T397">
        <x:v>57</x:v>
      </x:c>
      <x:c r="U397">
        <x:v>55</x:v>
      </x:c>
      <x:c r="V397">
        <x:v>66</x:v>
      </x:c>
      <x:c r="W397">
        <x:v>72</x:v>
      </x:c>
      <x:c r="X397">
        <x:v>84</x:v>
      </x:c>
      <x:c r="Y397">
        <x:v>85</x:v>
      </x:c>
      <x:c r="Z397">
        <x:v>51</x:v>
      </x:c>
      <x:c r="AA397">
        <x:v>61</x:v>
      </x:c>
    </x:row>
    <x:row r="398">
      <x:c r="A398" t="s">
        <x:v>548</x:v>
      </x:c>
      <x:c r="B398" t="s">
        <x:v>383</x:v>
      </x:c>
      <x:c r="C398" t="s">
        <x:v>333</x:v>
      </x:c>
      <x:c r="D398">
        <x:v>8481604</x:v>
      </x:c>
      <x:c r="E398" t="s">
        <x:v>224</x:v>
      </x:c>
      <x:c r="F398">
        <x:v>82</x:v>
      </x:c>
      <x:c r="G398">
        <x:v>82</x:v>
      </x:c>
      <x:c r="J398" t="s">
        <x:v>1992</x:v>
      </x:c>
      <x:c r="K398">
        <x:v>59</x:v>
      </x:c>
      <x:c r="L398">
        <x:v>35</x:v>
      </x:c>
      <x:c r="M398">
        <x:v>85</x:v>
      </x:c>
      <x:c r="N398">
        <x:v>53</x:v>
      </x:c>
      <x:c r="O398">
        <x:v>79</x:v>
      </x:c>
      <x:c r="P398">
        <x:v>88</x:v>
      </x:c>
      <x:c r="Q398">
        <x:v>98</x:v>
      </x:c>
      <x:c r="R398">
        <x:v>61</x:v>
      </x:c>
      <x:c r="S398">
        <x:v>62</x:v>
      </x:c>
      <x:c r="T398">
        <x:v>55</x:v>
      </x:c>
      <x:c r="U398">
        <x:v>72</x:v>
      </x:c>
      <x:c r="V398">
        <x:v>66</x:v>
      </x:c>
      <x:c r="W398">
        <x:v>82</x:v>
      </x:c>
      <x:c r="X398">
        <x:v>71</x:v>
      </x:c>
      <x:c r="Y398">
        <x:v>74</x:v>
      </x:c>
      <x:c r="Z398">
        <x:v>51</x:v>
      </x:c>
      <x:c r="AA398">
        <x:v>61</x:v>
      </x:c>
    </x:row>
    <x:row r="399">
      <x:c r="A399" t="s">
        <x:v>590</x:v>
      </x:c>
      <x:c r="B399" t="s">
        <x:v>383</x:v>
      </x:c>
      <x:c r="C399" t="s">
        <x:v>333</x:v>
      </x:c>
      <x:c r="D399">
        <x:v>8482109</x:v>
      </x:c>
      <x:c r="E399" t="s">
        <x:v>224</x:v>
      </x:c>
      <x:c r="F399">
        <x:v>82</x:v>
      </x:c>
      <x:c r="G399">
        <x:v>82</x:v>
      </x:c>
      <x:c r="J399" t="s">
        <x:v>1992</x:v>
      </x:c>
      <x:c r="K399">
        <x:v>66</x:v>
      </x:c>
      <x:c r="L399">
        <x:v>40</x:v>
      </x:c>
      <x:c r="M399">
        <x:v>91</x:v>
      </x:c>
      <x:c r="N399">
        <x:v>55</x:v>
      </x:c>
      <x:c r="O399">
        <x:v>78</x:v>
      </x:c>
      <x:c r="P399">
        <x:v>88</x:v>
      </x:c>
      <x:c r="Q399">
        <x:v>99</x:v>
      </x:c>
      <x:c r="R399">
        <x:v>58</x:v>
      </x:c>
      <x:c r="S399">
        <x:v>66</x:v>
      </x:c>
      <x:c r="T399">
        <x:v>61</x:v>
      </x:c>
      <x:c r="U399">
        <x:v>59</x:v>
      </x:c>
      <x:c r="V399">
        <x:v>66</x:v>
      </x:c>
      <x:c r="W399">
        <x:v>63</x:v>
      </x:c>
      <x:c r="X399">
        <x:v>78</x:v>
      </x:c>
      <x:c r="Y399">
        <x:v>71</x:v>
      </x:c>
      <x:c r="Z399">
        <x:v>51</x:v>
      </x:c>
      <x:c r="AA399">
        <x:v>60</x:v>
      </x:c>
    </x:row>
    <x:row r="400">
      <x:c r="A400" t="s">
        <x:v>609</x:v>
      </x:c>
      <x:c r="B400" t="s">
        <x:v>361</x:v>
      </x:c>
      <x:c r="C400" t="s">
        <x:v>329</x:v>
      </x:c>
      <x:c r="D400">
        <x:v>8480802</x:v>
      </x:c>
      <x:c r="E400" t="s">
        <x:v>224</x:v>
      </x:c>
      <x:c r="F400">
        <x:v>81</x:v>
      </x:c>
      <x:c r="G400">
        <x:v>79</x:v>
      </x:c>
      <x:c r="J400" t="s">
        <x:v>2104</x:v>
      </x:c>
      <x:c r="K400">
        <x:v>58</x:v>
      </x:c>
      <x:c r="L400">
        <x:v>38</x:v>
      </x:c>
      <x:c r="M400">
        <x:v>88</x:v>
      </x:c>
      <x:c r="N400">
        <x:v>64</x:v>
      </x:c>
      <x:c r="O400">
        <x:v>82</x:v>
      </x:c>
      <x:c r="P400">
        <x:v>88</x:v>
      </x:c>
      <x:c r="Q400">
        <x:v>98</x:v>
      </x:c>
      <x:c r="R400">
        <x:v>56</x:v>
      </x:c>
      <x:c r="S400">
        <x:v>88</x:v>
      </x:c>
      <x:c r="T400">
        <x:v>72</x:v>
      </x:c>
      <x:c r="U400">
        <x:v>55</x:v>
      </x:c>
      <x:c r="V400">
        <x:v>66</x:v>
      </x:c>
      <x:c r="W400">
        <x:v>52</x:v>
      </x:c>
      <x:c r="X400">
        <x:v>77</x:v>
      </x:c>
      <x:c r="Y400">
        <x:v>76</x:v>
      </x:c>
      <x:c r="Z400">
        <x:v>51</x:v>
      </x:c>
      <x:c r="AA400">
        <x:v>60</x:v>
      </x:c>
    </x:row>
    <x:row r="401">
      <x:c r="A401" t="s">
        <x:v>634</x:v>
      </x:c>
      <x:c r="B401" t="s">
        <x:v>427</x:v>
      </x:c>
      <x:c r="C401" t="s">
        <x:v>339</x:v>
      </x:c>
      <x:c r="D401">
        <x:v>8477989</x:v>
      </x:c>
      <x:c r="E401" t="s">
        <x:v>224</x:v>
      </x:c>
      <x:c r="F401">
        <x:v>80</x:v>
      </x:c>
      <x:c r="G401">
        <x:v>82</x:v>
      </x:c>
      <x:c r="J401" t="s">
        <x:v>2129</x:v>
      </x:c>
      <x:c r="K401">
        <x:v>60</x:v>
      </x:c>
      <x:c r="L401">
        <x:v>49</x:v>
      </x:c>
      <x:c r="M401">
        <x:v>88</x:v>
      </x:c>
      <x:c r="N401">
        <x:v>58</x:v>
      </x:c>
      <x:c r="O401">
        <x:v>78</x:v>
      </x:c>
      <x:c r="P401">
        <x:v>88</x:v>
      </x:c>
      <x:c r="Q401">
        <x:v>96</x:v>
      </x:c>
      <x:c r="R401">
        <x:v>57</x:v>
      </x:c>
      <x:c r="S401">
        <x:v>90</x:v>
      </x:c>
      <x:c r="T401">
        <x:v>59</x:v>
      </x:c>
      <x:c r="U401">
        <x:v>56</x:v>
      </x:c>
      <x:c r="V401">
        <x:v>66</x:v>
      </x:c>
      <x:c r="W401">
        <x:v>63</x:v>
      </x:c>
      <x:c r="X401">
        <x:v>79</x:v>
      </x:c>
      <x:c r="Y401">
        <x:v>75</x:v>
      </x:c>
      <x:c r="Z401">
        <x:v>51</x:v>
      </x:c>
      <x:c r="AA401">
        <x:v>60</x:v>
      </x:c>
    </x:row>
    <x:row r="402">
      <x:c r="A402" t="s">
        <x:v>651</x:v>
      </x:c>
      <x:c r="B402" t="s">
        <x:v>334</x:v>
      </x:c>
      <x:c r="C402" t="s">
        <x:v>329</x:v>
      </x:c>
      <x:c r="D402">
        <x:v>8476882</x:v>
      </x:c>
      <x:c r="E402" t="s">
        <x:v>224</x:v>
      </x:c>
      <x:c r="F402">
        <x:v>74</x:v>
      </x:c>
      <x:c r="G402">
        <x:v>82</x:v>
      </x:c>
      <x:c r="J402" t="s">
        <x:v>2180</x:v>
      </x:c>
      <x:c r="K402">
        <x:v>58</x:v>
      </x:c>
      <x:c r="L402">
        <x:v>31</x:v>
      </x:c>
      <x:c r="M402">
        <x:v>91</x:v>
      </x:c>
      <x:c r="N402">
        <x:v>43</x:v>
      </x:c>
      <x:c r="O402">
        <x:v>78</x:v>
      </x:c>
      <x:c r="P402">
        <x:v>88</x:v>
      </x:c>
      <x:c r="Q402">
        <x:v>93</x:v>
      </x:c>
      <x:c r="R402">
        <x:v>57</x:v>
      </x:c>
      <x:c r="S402">
        <x:v>73</x:v>
      </x:c>
      <x:c r="T402">
        <x:v>54</x:v>
      </x:c>
      <x:c r="U402">
        <x:v>53</x:v>
      </x:c>
      <x:c r="V402">
        <x:v>66</x:v>
      </x:c>
      <x:c r="W402">
        <x:v>78</x:v>
      </x:c>
      <x:c r="X402">
        <x:v>87</x:v>
      </x:c>
      <x:c r="Y402">
        <x:v>75</x:v>
      </x:c>
      <x:c r="Z402">
        <x:v>51</x:v>
      </x:c>
      <x:c r="AA402">
        <x:v>59</x:v>
      </x:c>
    </x:row>
    <x:row r="403">
      <x:c r="A403" t="s">
        <x:v>680</x:v>
      </x:c>
      <x:c r="B403" t="s">
        <x:v>439</x:v>
      </x:c>
      <x:c r="C403" t="s">
        <x:v>333</x:v>
      </x:c>
      <x:c r="D403">
        <x:v>8480009</x:v>
      </x:c>
      <x:c r="E403" t="s">
        <x:v>224</x:v>
      </x:c>
      <x:c r="F403">
        <x:v>78</x:v>
      </x:c>
      <x:c r="G403">
        <x:v>81</x:v>
      </x:c>
      <x:c r="J403" t="s">
        <x:v>2259</x:v>
      </x:c>
      <x:c r="K403">
        <x:v>74</x:v>
      </x:c>
      <x:c r="L403">
        <x:v>41</x:v>
      </x:c>
      <x:c r="M403">
        <x:v>83</x:v>
      </x:c>
      <x:c r="N403">
        <x:v>47</x:v>
      </x:c>
      <x:c r="O403">
        <x:v>76</x:v>
      </x:c>
      <x:c r="P403">
        <x:v>86</x:v>
      </x:c>
      <x:c r="Q403">
        <x:v>95</x:v>
      </x:c>
      <x:c r="R403">
        <x:v>56</x:v>
      </x:c>
      <x:c r="S403">
        <x:v>62</x:v>
      </x:c>
      <x:c r="T403">
        <x:v>54</x:v>
      </x:c>
      <x:c r="U403">
        <x:v>56</x:v>
      </x:c>
      <x:c r="V403">
        <x:v>66</x:v>
      </x:c>
      <x:c r="W403">
        <x:v>73</x:v>
      </x:c>
      <x:c r="X403">
        <x:v>76</x:v>
      </x:c>
      <x:c r="Y403">
        <x:v>74</x:v>
      </x:c>
      <x:c r="Z403">
        <x:v>51</x:v>
      </x:c>
      <x:c r="AA403">
        <x:v>59</x:v>
      </x:c>
    </x:row>
    <x:row r="404">
      <x:c r="A404" t="s">
        <x:v>711</x:v>
      </x:c>
      <x:c r="B404" t="s">
        <x:v>386</x:v>
      </x:c>
      <x:c r="C404" t="s">
        <x:v>326</x:v>
      </x:c>
      <x:c r="D404">
        <x:v>8482809</x:v>
      </x:c>
      <x:c r="E404" t="s">
        <x:v>224</x:v>
      </x:c>
      <x:c r="F404">
        <x:v>81</x:v>
      </x:c>
      <x:c r="G404">
        <x:v>80</x:v>
      </x:c>
      <x:c r="J404" t="s">
        <x:v>2174</x:v>
      </x:c>
      <x:c r="K404">
        <x:v>58</x:v>
      </x:c>
      <x:c r="L404">
        <x:v>34</x:v>
      </x:c>
      <x:c r="M404">
        <x:v>87</x:v>
      </x:c>
      <x:c r="N404">
        <x:v>48</x:v>
      </x:c>
      <x:c r="O404">
        <x:v>77</x:v>
      </x:c>
      <x:c r="P404">
        <x:v>86</x:v>
      </x:c>
      <x:c r="Q404">
        <x:v>97</x:v>
      </x:c>
      <x:c r="R404">
        <x:v>57</x:v>
      </x:c>
      <x:c r="S404">
        <x:v>63</x:v>
      </x:c>
      <x:c r="T404">
        <x:v>59</x:v>
      </x:c>
      <x:c r="U404">
        <x:v>60</x:v>
      </x:c>
      <x:c r="V404">
        <x:v>66</x:v>
      </x:c>
      <x:c r="W404">
        <x:v>80</x:v>
      </x:c>
      <x:c r="X404">
        <x:v>70</x:v>
      </x:c>
      <x:c r="Y404">
        <x:v>71</x:v>
      </x:c>
      <x:c r="Z404">
        <x:v>51</x:v>
      </x:c>
      <x:c r="AA404">
        <x:v>59</x:v>
      </x:c>
    </x:row>
    <x:row r="405">
      <x:c r="A405" t="s">
        <x:v>745</x:v>
      </x:c>
      <x:c r="B405" t="s">
        <x:v>345</x:v>
      </x:c>
      <x:c r="C405" t="s">
        <x:v>326</x:v>
      </x:c>
      <x:c r="D405">
        <x:v>8481553</x:v>
      </x:c>
      <x:c r="E405" t="s">
        <x:v>224</x:v>
      </x:c>
      <x:c r="F405">
        <x:v>68</x:v>
      </x:c>
      <x:c r="G405">
        <x:v>79</x:v>
      </x:c>
      <x:c r="J405" t="s">
        <x:v>2166</x:v>
      </x:c>
      <x:c r="K405">
        <x:v>67</x:v>
      </x:c>
      <x:c r="L405">
        <x:v>32</x:v>
      </x:c>
      <x:c r="M405">
        <x:v>87</x:v>
      </x:c>
      <x:c r="N405">
        <x:v>55</x:v>
      </x:c>
      <x:c r="O405">
        <x:v>73</x:v>
      </x:c>
      <x:c r="P405">
        <x:v>85</x:v>
      </x:c>
      <x:c r="Q405">
        <x:v>88</x:v>
      </x:c>
      <x:c r="R405">
        <x:v>55</x:v>
      </x:c>
      <x:c r="S405">
        <x:v>70</x:v>
      </x:c>
      <x:c r="T405">
        <x:v>54</x:v>
      </x:c>
      <x:c r="U405">
        <x:v>57</x:v>
      </x:c>
      <x:c r="V405">
        <x:v>66</x:v>
      </x:c>
      <x:c r="W405">
        <x:v>75</x:v>
      </x:c>
      <x:c r="X405">
        <x:v>69</x:v>
      </x:c>
      <x:c r="Y405">
        <x:v>76</x:v>
      </x:c>
      <x:c r="Z405">
        <x:v>51</x:v>
      </x:c>
      <x:c r="AA405">
        <x:v>58</x:v>
      </x:c>
    </x:row>
    <x:row r="406">
      <x:c r="A406" t="s">
        <x:v>747</x:v>
      </x:c>
      <x:c r="B406" t="s">
        <x:v>352</x:v>
      </x:c>
      <x:c r="C406" t="s">
        <x:v>339</x:v>
      </x:c>
      <x:c r="D406">
        <x:v>8478057</x:v>
      </x:c>
      <x:c r="E406" t="s">
        <x:v>224</x:v>
      </x:c>
      <x:c r="F406">
        <x:v>55</x:v>
      </x:c>
      <x:c r="G406">
        <x:v>57</x:v>
      </x:c>
      <x:c r="J406" t="s">
        <x:v>2296</x:v>
      </x:c>
      <x:c r="K406">
        <x:v>85</x:v>
      </x:c>
      <x:c r="L406">
        <x:v>82</x:v>
      </x:c>
      <x:c r="M406">
        <x:v>82</x:v>
      </x:c>
      <x:c r="N406">
        <x:v>48</x:v>
      </x:c>
      <x:c r="O406">
        <x:v>87</x:v>
      </x:c>
      <x:c r="P406">
        <x:v>83</x:v>
      </x:c>
      <x:c r="Q406">
        <x:v>78</x:v>
      </x:c>
      <x:c r="R406">
        <x:v>52</x:v>
      </x:c>
      <x:c r="S406">
        <x:v>66</x:v>
      </x:c>
      <x:c r="T406">
        <x:v>51</x:v>
      </x:c>
      <x:c r="U406">
        <x:v>56</x:v>
      </x:c>
      <x:c r="V406">
        <x:v>66</x:v>
      </x:c>
      <x:c r="W406">
        <x:v>52</x:v>
      </x:c>
      <x:c r="X406">
        <x:v>72</x:v>
      </x:c>
      <x:c r="Y406">
        <x:v>71</x:v>
      </x:c>
      <x:c r="Z406">
        <x:v>51</x:v>
      </x:c>
      <x:c r="AA406">
        <x:v>58</x:v>
      </x:c>
    </x:row>
    <x:row r="407">
      <x:c r="A407" t="s">
        <x:v>753</x:v>
      </x:c>
      <x:c r="B407" t="s">
        <x:v>366</x:v>
      </x:c>
      <x:c r="C407" t="s">
        <x:v>329</x:v>
      </x:c>
      <x:c r="D407">
        <x:v>8478542</x:v>
      </x:c>
      <x:c r="E407" t="s">
        <x:v>224</x:v>
      </x:c>
      <x:c r="F407">
        <x:v>69</x:v>
      </x:c>
      <x:c r="G407">
        <x:v>82</x:v>
      </x:c>
      <x:c r="J407" t="s">
        <x:v>2175</x:v>
      </x:c>
      <x:c r="K407">
        <x:v>66</x:v>
      </x:c>
      <x:c r="L407">
        <x:v>34</x:v>
      </x:c>
      <x:c r="M407">
        <x:v>84</x:v>
      </x:c>
      <x:c r="N407">
        <x:v>53</x:v>
      </x:c>
      <x:c r="O407">
        <x:v>76</x:v>
      </x:c>
      <x:c r="P407">
        <x:v>87</x:v>
      </x:c>
      <x:c r="Q407">
        <x:v>89</x:v>
      </x:c>
      <x:c r="R407">
        <x:v>54</x:v>
      </x:c>
      <x:c r="S407">
        <x:v>85</x:v>
      </x:c>
      <x:c r="T407">
        <x:v>53</x:v>
      </x:c>
      <x:c r="U407">
        <x:v>53</x:v>
      </x:c>
      <x:c r="V407">
        <x:v>66</x:v>
      </x:c>
      <x:c r="W407">
        <x:v>73</x:v>
      </x:c>
      <x:c r="X407">
        <x:v>80</x:v>
      </x:c>
      <x:c r="Y407">
        <x:v>73</x:v>
      </x:c>
      <x:c r="Z407">
        <x:v>51</x:v>
      </x:c>
      <x:c r="AA407">
        <x:v>58</x:v>
      </x:c>
    </x:row>
    <x:row r="408">
      <x:c r="A408" t="s">
        <x:v>769</x:v>
      </x:c>
      <x:c r="B408" t="s">
        <x:v>372</x:v>
      </x:c>
      <x:c r="C408" t="s">
        <x:v>329</x:v>
      </x:c>
      <x:c r="D408">
        <x:v>8479525</x:v>
      </x:c>
      <x:c r="E408" t="s">
        <x:v>224</x:v>
      </x:c>
      <x:c r="F408">
        <x:v>73</x:v>
      </x:c>
      <x:c r="G408">
        <x:v>61</x:v>
      </x:c>
      <x:c r="J408" t="s">
        <x:v>2297</x:v>
      </x:c>
      <x:c r="K408">
        <x:v>76</x:v>
      </x:c>
      <x:c r="L408">
        <x:v>51</x:v>
      </x:c>
      <x:c r="M408">
        <x:v>95</x:v>
      </x:c>
      <x:c r="N408">
        <x:v>68</x:v>
      </x:c>
      <x:c r="O408">
        <x:v>79</x:v>
      </x:c>
      <x:c r="P408">
        <x:v>83</x:v>
      </x:c>
      <x:c r="Q408">
        <x:v>89</x:v>
      </x:c>
      <x:c r="R408">
        <x:v>54</x:v>
      </x:c>
      <x:c r="S408">
        <x:v>74</x:v>
      </x:c>
      <x:c r="T408">
        <x:v>54</x:v>
      </x:c>
      <x:c r="U408">
        <x:v>56</x:v>
      </x:c>
      <x:c r="V408">
        <x:v>66</x:v>
      </x:c>
      <x:c r="W408">
        <x:v>67</x:v>
      </x:c>
      <x:c r="X408">
        <x:v>78</x:v>
      </x:c>
      <x:c r="Y408">
        <x:v>74</x:v>
      </x:c>
      <x:c r="Z408">
        <x:v>51</x:v>
      </x:c>
      <x:c r="AA408">
        <x:v>58</x:v>
      </x:c>
    </x:row>
    <x:row r="409">
      <x:c r="A409" t="s">
        <x:v>772</x:v>
      </x:c>
      <x:c r="B409" t="s">
        <x:v>337</x:v>
      </x:c>
      <x:c r="C409" t="s">
        <x:v>339</x:v>
      </x:c>
      <x:c r="D409">
        <x:v>8482705</x:v>
      </x:c>
      <x:c r="E409" t="s">
        <x:v>224</x:v>
      </x:c>
      <x:c r="F409">
        <x:v>81</x:v>
      </x:c>
      <x:c r="G409">
        <x:v>66</x:v>
      </x:c>
      <x:c r="J409" t="s">
        <x:v>2298</x:v>
      </x:c>
      <x:c r="K409">
        <x:v>68</x:v>
      </x:c>
      <x:c r="L409">
        <x:v>60</x:v>
      </x:c>
      <x:c r="M409">
        <x:v>80</x:v>
      </x:c>
      <x:c r="N409">
        <x:v>58</x:v>
      </x:c>
      <x:c r="O409">
        <x:v>81</x:v>
      </x:c>
      <x:c r="P409">
        <x:v>85</x:v>
      </x:c>
      <x:c r="Q409">
        <x:v>96</x:v>
      </x:c>
      <x:c r="R409">
        <x:v>55</x:v>
      </x:c>
      <x:c r="S409">
        <x:v>75</x:v>
      </x:c>
      <x:c r="T409">
        <x:v>58</x:v>
      </x:c>
      <x:c r="U409">
        <x:v>52</x:v>
      </x:c>
      <x:c r="V409">
        <x:v>66</x:v>
      </x:c>
      <x:c r="W409">
        <x:v>52</x:v>
      </x:c>
      <x:c r="X409">
        <x:v>70</x:v>
      </x:c>
      <x:c r="Y409">
        <x:v>78</x:v>
      </x:c>
      <x:c r="Z409">
        <x:v>51</x:v>
      </x:c>
      <x:c r="AA409">
        <x:v>58</x:v>
      </x:c>
    </x:row>
    <x:row r="410">
      <x:c r="A410" t="s">
        <x:v>810</x:v>
      </x:c>
      <x:c r="B410" t="s">
        <x:v>366</x:v>
      </x:c>
      <x:c r="C410" t="s">
        <x:v>331</x:v>
      </x:c>
      <x:c r="D410">
        <x:v>8480990</x:v>
      </x:c>
      <x:c r="E410" t="s">
        <x:v>224</x:v>
      </x:c>
      <x:c r="F410">
        <x:v>26</x:v>
      </x:c>
      <x:c r="G410">
        <x:v>66</x:v>
      </x:c>
      <x:c r="J410" t="s">
        <x:v>2299</x:v>
      </x:c>
      <x:c r="K410">
        <x:v>69</x:v>
      </x:c>
      <x:c r="L410">
        <x:v>36</x:v>
      </x:c>
      <x:c r="M410">
        <x:v>94</x:v>
      </x:c>
      <x:c r="N410">
        <x:v>42</x:v>
      </x:c>
      <x:c r="O410">
        <x:v>83</x:v>
      </x:c>
      <x:c r="P410">
        <x:v>84</x:v>
      </x:c>
      <x:c r="Q410">
        <x:v>60</x:v>
      </x:c>
      <x:c r="R410">
        <x:v>38</x:v>
      </x:c>
      <x:c r="S410">
        <x:v>30</x:v>
      </x:c>
      <x:c r="T410">
        <x:v>54</x:v>
      </x:c>
      <x:c r="U410">
        <x:v>46</x:v>
      </x:c>
      <x:c r="V410">
        <x:v>66</x:v>
      </x:c>
      <x:c r="W410">
        <x:v>52</x:v>
      </x:c>
      <x:c r="X410">
        <x:v>68</x:v>
      </x:c>
      <x:c r="Y410">
        <x:v>68</x:v>
      </x:c>
      <x:c r="Z410">
        <x:v>54</x:v>
      </x:c>
      <x:c r="AA410">
        <x:v>57</x:v>
      </x:c>
    </x:row>
    <x:row r="411">
      <x:c r="A411" t="s">
        <x:v>828</x:v>
      </x:c>
      <x:c r="B411" t="s">
        <x:v>348</x:v>
      </x:c>
      <x:c r="C411" t="s">
        <x:v>333</x:v>
      </x:c>
      <x:c r="D411">
        <x:v>8481043</x:v>
      </x:c>
      <x:c r="E411" t="s">
        <x:v>224</x:v>
      </x:c>
      <x:c r="F411">
        <x:v>66</x:v>
      </x:c>
      <x:c r="G411">
        <x:v>73</x:v>
      </x:c>
      <x:c r="J411" t="s">
        <x:v>2300</x:v>
      </x:c>
      <x:c r="K411">
        <x:v>83</x:v>
      </x:c>
      <x:c r="L411">
        <x:v>41</x:v>
      </x:c>
      <x:c r="M411">
        <x:v>95</x:v>
      </x:c>
      <x:c r="N411">
        <x:v>70</x:v>
      </x:c>
      <x:c r="O411">
        <x:v>83</x:v>
      </x:c>
      <x:c r="P411">
        <x:v>82</x:v>
      </x:c>
      <x:c r="Q411">
        <x:v>86</x:v>
      </x:c>
      <x:c r="R411">
        <x:v>52</x:v>
      </x:c>
      <x:c r="S411">
        <x:v>62</x:v>
      </x:c>
      <x:c r="T411">
        <x:v>52</x:v>
      </x:c>
      <x:c r="U411">
        <x:v>55</x:v>
      </x:c>
      <x:c r="V411">
        <x:v>66</x:v>
      </x:c>
      <x:c r="W411">
        <x:v>52</x:v>
      </x:c>
      <x:c r="X411">
        <x:v>68</x:v>
      </x:c>
      <x:c r="Y411">
        <x:v>70</x:v>
      </x:c>
      <x:c r="Z411">
        <x:v>51</x:v>
      </x:c>
      <x:c r="AA411">
        <x:v>57</x:v>
      </x:c>
    </x:row>
    <x:row r="412">
      <x:c r="A412" t="s">
        <x:v>833</x:v>
      </x:c>
      <x:c r="B412" t="s">
        <x:v>439</x:v>
      </x:c>
      <x:c r="C412" t="s">
        <x:v>333</x:v>
      </x:c>
      <x:c r="D412">
        <x:v>8476292</x:v>
      </x:c>
      <x:c r="E412" t="s">
        <x:v>224</x:v>
      </x:c>
      <x:c r="F412">
        <x:v>80</x:v>
      </x:c>
      <x:c r="G412">
        <x:v>77</x:v>
      </x:c>
      <x:c r="J412" t="s">
        <x:v>2003</x:v>
      </x:c>
      <x:c r="K412">
        <x:v>71</x:v>
      </x:c>
      <x:c r="L412">
        <x:v>38</x:v>
      </x:c>
      <x:c r="M412">
        <x:v>96</x:v>
      </x:c>
      <x:c r="N412">
        <x:v>52</x:v>
      </x:c>
      <x:c r="O412">
        <x:v>79</x:v>
      </x:c>
      <x:c r="P412">
        <x:v>83</x:v>
      </x:c>
      <x:c r="Q412">
        <x:v>96</x:v>
      </x:c>
      <x:c r="R412">
        <x:v>52</x:v>
      </x:c>
      <x:c r="S412">
        <x:v>68</x:v>
      </x:c>
      <x:c r="T412">
        <x:v>51</x:v>
      </x:c>
      <x:c r="U412">
        <x:v>51</x:v>
      </x:c>
      <x:c r="V412">
        <x:v>66</x:v>
      </x:c>
      <x:c r="W412">
        <x:v>55</x:v>
      </x:c>
      <x:c r="X412">
        <x:v>87</x:v>
      </x:c>
      <x:c r="Y412">
        <x:v>82</x:v>
      </x:c>
      <x:c r="Z412">
        <x:v>51</x:v>
      </x:c>
      <x:c r="AA412">
        <x:v>57</x:v>
      </x:c>
    </x:row>
    <x:row r="413">
      <x:c r="A413" t="s">
        <x:v>850</x:v>
      </x:c>
      <x:c r="B413" t="s">
        <x:v>584</x:v>
      </x:c>
      <x:c r="C413" t="s">
        <x:v>358</x:v>
      </x:c>
      <x:c r="D413">
        <x:v>8476871</x:v>
      </x:c>
      <x:c r="E413" t="s">
        <x:v>224</x:v>
      </x:c>
      <x:c r="F413">
        <x:v>56</x:v>
      </x:c>
      <x:c r="G413">
        <x:v>78</x:v>
      </x:c>
      <x:c r="J413" t="s">
        <x:v>2301</x:v>
      </x:c>
      <x:c r="K413">
        <x:v>70</x:v>
      </x:c>
      <x:c r="L413">
        <x:v>54</x:v>
      </x:c>
      <x:c r="M413">
        <x:v>79</x:v>
      </x:c>
      <x:c r="N413">
        <x:v>53</x:v>
      </x:c>
      <x:c r="O413">
        <x:v>83</x:v>
      </x:c>
      <x:c r="P413">
        <x:v>82</x:v>
      </x:c>
      <x:c r="Q413">
        <x:v>81</x:v>
      </x:c>
      <x:c r="R413">
        <x:v>51</x:v>
      </x:c>
      <x:c r="S413">
        <x:v>65</x:v>
      </x:c>
      <x:c r="T413">
        <x:v>52</x:v>
      </x:c>
      <x:c r="U413">
        <x:v>55</x:v>
      </x:c>
      <x:c r="V413">
        <x:v>66</x:v>
      </x:c>
      <x:c r="W413">
        <x:v>59</x:v>
      </x:c>
      <x:c r="X413">
        <x:v>83</x:v>
      </x:c>
      <x:c r="Y413">
        <x:v>77</x:v>
      </x:c>
      <x:c r="Z413">
        <x:v>54</x:v>
      </x:c>
      <x:c r="AA413">
        <x:v>57</x:v>
      </x:c>
    </x:row>
    <x:row r="414">
      <x:c r="A414" t="s">
        <x:v>854</x:v>
      </x:c>
      <x:c r="B414" t="s">
        <x:v>327</x:v>
      </x:c>
      <x:c r="C414" t="s">
        <x:v>319</x:v>
      </x:c>
      <x:c r="D414">
        <x:v>8482201</x:v>
      </x:c>
      <x:c r="E414" t="s">
        <x:v>224</x:v>
      </x:c>
      <x:c r="F414">
        <x:v>74</x:v>
      </x:c>
      <x:c r="G414">
        <x:v>60</x:v>
      </x:c>
      <x:c r="J414" t="s">
        <x:v>2302</x:v>
      </x:c>
      <x:c r="K414">
        <x:v>68</x:v>
      </x:c>
      <x:c r="L414">
        <x:v>46</x:v>
      </x:c>
      <x:c r="M414">
        <x:v>84</x:v>
      </x:c>
      <x:c r="N414">
        <x:v>53</x:v>
      </x:c>
      <x:c r="O414">
        <x:v>77</x:v>
      </x:c>
      <x:c r="P414">
        <x:v>84</x:v>
      </x:c>
      <x:c r="Q414">
        <x:v>91</x:v>
      </x:c>
      <x:c r="R414">
        <x:v>53</x:v>
      </x:c>
      <x:c r="S414">
        <x:v>67</x:v>
      </x:c>
      <x:c r="T414">
        <x:v>59</x:v>
      </x:c>
      <x:c r="U414">
        <x:v>54</x:v>
      </x:c>
      <x:c r="V414">
        <x:v>66</x:v>
      </x:c>
      <x:c r="W414">
        <x:v>75</x:v>
      </x:c>
      <x:c r="X414">
        <x:v>69</x:v>
      </x:c>
      <x:c r="Y414">
        <x:v>67</x:v>
      </x:c>
      <x:c r="Z414">
        <x:v>54</x:v>
      </x:c>
      <x:c r="AA414">
        <x:v>57</x:v>
      </x:c>
    </x:row>
    <x:row r="415">
      <x:c r="A415" t="s">
        <x:v>859</x:v>
      </x:c>
      <x:c r="B415" t="s">
        <x:v>340</x:v>
      </x:c>
      <x:c r="C415" t="s">
        <x:v>331</x:v>
      </x:c>
      <x:c r="D415">
        <x:v>8484806</x:v>
      </x:c>
      <x:c r="E415" t="s">
        <x:v>224</x:v>
      </x:c>
      <x:c r="F415">
        <x:v>72</x:v>
      </x:c>
      <x:c r="J415" t="s">
        <x:v>2303</x:v>
      </x:c>
      <x:c r="K415">
        <x:v>74</x:v>
      </x:c>
      <x:c r="L415">
        <x:v>38</x:v>
      </x:c>
      <x:c r="M415">
        <x:v>85</x:v>
      </x:c>
      <x:c r="N415">
        <x:v>44</x:v>
      </x:c>
      <x:c r="O415">
        <x:v>81</x:v>
      </x:c>
      <x:c r="P415">
        <x:v>86</x:v>
      </x:c>
      <x:c r="Q415">
        <x:v>88</x:v>
      </x:c>
      <x:c r="R415">
        <x:v>38</x:v>
      </x:c>
      <x:c r="S415">
        <x:v>30</x:v>
      </x:c>
      <x:c r="T415">
        <x:v>52</x:v>
      </x:c>
      <x:c r="U415">
        <x:v>46</x:v>
      </x:c>
      <x:c r="V415">
        <x:v>66</x:v>
      </x:c>
      <x:c r="W415">
        <x:v>51</x:v>
      </x:c>
      <x:c r="X415">
        <x:v>66</x:v>
      </x:c>
      <x:c r="Y415">
        <x:v>65</x:v>
      </x:c>
      <x:c r="Z415">
        <x:v>54</x:v>
      </x:c>
      <x:c r="AA415">
        <x:v>57</x:v>
      </x:c>
    </x:row>
    <x:row r="416">
      <x:c r="A416" t="s">
        <x:v>870</x:v>
      </x:c>
      <x:c r="B416" t="s">
        <x:v>368</x:v>
      </x:c>
      <x:c r="C416" t="s">
        <x:v>339</x:v>
      </x:c>
      <x:c r="D416">
        <x:v>8483464</x:v>
      </x:c>
      <x:c r="E416" t="s">
        <x:v>224</x:v>
      </x:c>
      <x:c r="F416">
        <x:v>81</x:v>
      </x:c>
      <x:c r="G416">
        <x:v>77</x:v>
      </x:c>
      <x:c r="J416" t="s">
        <x:v>2081</x:v>
      </x:c>
      <x:c r="K416">
        <x:v>74</x:v>
      </x:c>
      <x:c r="L416">
        <x:v>51</x:v>
      </x:c>
      <x:c r="M416">
        <x:v>88</x:v>
      </x:c>
      <x:c r="N416">
        <x:v>57</x:v>
      </x:c>
      <x:c r="O416">
        <x:v>81</x:v>
      </x:c>
      <x:c r="P416">
        <x:v>85</x:v>
      </x:c>
      <x:c r="Q416">
        <x:v>97</x:v>
      </x:c>
      <x:c r="R416">
        <x:v>51</x:v>
      </x:c>
      <x:c r="S416">
        <x:v>83</x:v>
      </x:c>
      <x:c r="T416">
        <x:v>51</x:v>
      </x:c>
      <x:c r="U416">
        <x:v>54</x:v>
      </x:c>
      <x:c r="V416">
        <x:v>66</x:v>
      </x:c>
      <x:c r="W416">
        <x:v>52</x:v>
      </x:c>
      <x:c r="X416">
        <x:v>68</x:v>
      </x:c>
      <x:c r="Y416">
        <x:v>77</x:v>
      </x:c>
      <x:c r="Z416">
        <x:v>51</x:v>
      </x:c>
      <x:c r="AA416">
        <x:v>57</x:v>
      </x:c>
    </x:row>
    <x:row r="417">
      <x:c r="A417" t="s">
        <x:v>883</x:v>
      </x:c>
      <x:c r="B417" t="s">
        <x:v>576</x:v>
      </x:c>
      <x:c r="C417" t="s">
        <x:v>333</x:v>
      </x:c>
      <x:c r="D417">
        <x:v>8483609</x:v>
      </x:c>
      <x:c r="E417" t="s">
        <x:v>224</x:v>
      </x:c>
      <x:c r="F417">
        <x:v>79</x:v>
      </x:c>
      <x:c r="G417">
        <x:v>31</x:v>
      </x:c>
      <x:c r="J417" t="s">
        <x:v>2304</x:v>
      </x:c>
      <x:c r="K417">
        <x:v>88</x:v>
      </x:c>
      <x:c r="L417">
        <x:v>84</x:v>
      </x:c>
      <x:c r="M417">
        <x:v>73</x:v>
      </x:c>
      <x:c r="N417">
        <x:v>59</x:v>
      </x:c>
      <x:c r="O417">
        <x:v>91</x:v>
      </x:c>
      <x:c r="P417">
        <x:v>82</x:v>
      </x:c>
      <x:c r="Q417">
        <x:v>94</x:v>
      </x:c>
      <x:c r="R417">
        <x:v>51</x:v>
      </x:c>
      <x:c r="S417">
        <x:v>68</x:v>
      </x:c>
      <x:c r="T417">
        <x:v>53</x:v>
      </x:c>
      <x:c r="U417">
        <x:v>53</x:v>
      </x:c>
      <x:c r="V417">
        <x:v>66</x:v>
      </x:c>
      <x:c r="W417">
        <x:v>52</x:v>
      </x:c>
      <x:c r="X417">
        <x:v>67</x:v>
      </x:c>
      <x:c r="Y417">
        <x:v>68</x:v>
      </x:c>
      <x:c r="Z417">
        <x:v>51</x:v>
      </x:c>
      <x:c r="AA417">
        <x:v>57</x:v>
      </x:c>
    </x:row>
    <x:row r="418">
      <x:c r="A418" t="s">
        <x:v>904</x:v>
      </x:c>
      <x:c r="B418" t="s">
        <x:v>396</x:v>
      </x:c>
      <x:c r="C418" t="s">
        <x:v>323</x:v>
      </x:c>
      <x:c r="D418">
        <x:v>8476897</x:v>
      </x:c>
      <x:c r="E418" t="s">
        <x:v>224</x:v>
      </x:c>
      <x:c r="F418">
        <x:v>52</x:v>
      </x:c>
      <x:c r="G418">
        <x:v>67</x:v>
      </x:c>
      <x:c r="J418" t="s">
        <x:v>2305</x:v>
      </x:c>
      <x:c r="K418">
        <x:v>69</x:v>
      </x:c>
      <x:c r="L418">
        <x:v>42</x:v>
      </x:c>
      <x:c r="M418">
        <x:v>78</x:v>
      </x:c>
      <x:c r="N418">
        <x:v>47</x:v>
      </x:c>
      <x:c r="O418">
        <x:v>84</x:v>
      </x:c>
      <x:c r="P418">
        <x:v>83</x:v>
      </x:c>
      <x:c r="Q418">
        <x:v>78</x:v>
      </x:c>
      <x:c r="R418">
        <x:v>48</x:v>
      </x:c>
      <x:c r="S418">
        <x:v>83</x:v>
      </x:c>
      <x:c r="T418">
        <x:v>55</x:v>
      </x:c>
      <x:c r="U418">
        <x:v>51</x:v>
      </x:c>
      <x:c r="V418">
        <x:v>66</x:v>
      </x:c>
      <x:c r="W418">
        <x:v>52</x:v>
      </x:c>
      <x:c r="X418">
        <x:v>79</x:v>
      </x:c>
      <x:c r="Y418">
        <x:v>75</x:v>
      </x:c>
      <x:c r="Z418">
        <x:v>51</x:v>
      </x:c>
      <x:c r="AA418">
        <x:v>56</x:v>
      </x:c>
    </x:row>
    <x:row r="419">
      <x:c r="A419" t="s">
        <x:v>951</x:v>
      </x:c>
      <x:c r="B419" t="s">
        <x:v>366</x:v>
      </x:c>
      <x:c r="C419" t="s">
        <x:v>339</x:v>
      </x:c>
      <x:c r="D419">
        <x:v>8480003</x:v>
      </x:c>
      <x:c r="E419" t="s">
        <x:v>224</x:v>
      </x:c>
      <x:c r="F419">
        <x:v>73</x:v>
      </x:c>
      <x:c r="G419">
        <x:v>78</x:v>
      </x:c>
      <x:c r="J419" t="s">
        <x:v>2136</x:v>
      </x:c>
      <x:c r="K419">
        <x:v>76</x:v>
      </x:c>
      <x:c r="L419">
        <x:v>33</x:v>
      </x:c>
      <x:c r="M419">
        <x:v>94</x:v>
      </x:c>
      <x:c r="N419">
        <x:v>66</x:v>
      </x:c>
      <x:c r="O419">
        <x:v>78</x:v>
      </x:c>
      <x:c r="P419">
        <x:v>83</x:v>
      </x:c>
      <x:c r="Q419">
        <x:v>91</x:v>
      </x:c>
      <x:c r="R419">
        <x:v>48</x:v>
      </x:c>
      <x:c r="S419">
        <x:v>72</x:v>
      </x:c>
      <x:c r="T419">
        <x:v>51</x:v>
      </x:c>
      <x:c r="U419">
        <x:v>51</x:v>
      </x:c>
      <x:c r="V419">
        <x:v>66</x:v>
      </x:c>
      <x:c r="W419">
        <x:v>60</x:v>
      </x:c>
      <x:c r="X419">
        <x:v>76</x:v>
      </x:c>
      <x:c r="Y419">
        <x:v>70</x:v>
      </x:c>
      <x:c r="Z419">
        <x:v>51</x:v>
      </x:c>
      <x:c r="AA419">
        <x:v>56</x:v>
      </x:c>
    </x:row>
    <x:row r="420">
      <x:c r="A420" t="s">
        <x:v>962</x:v>
      </x:c>
      <x:c r="B420" t="s">
        <x:v>584</x:v>
      </x:c>
      <x:c r="C420" t="s">
        <x:v>319</x:v>
      </x:c>
      <x:c r="D420">
        <x:v>8479370</x:v>
      </x:c>
      <x:c r="E420" t="s">
        <x:v>224</x:v>
      </x:c>
      <x:c r="F420">
        <x:v>69</x:v>
      </x:c>
      <x:c r="G420">
        <x:v>39</x:v>
      </x:c>
      <x:c r="J420" t="s">
        <x:v>2306</x:v>
      </x:c>
      <x:c r="K420">
        <x:v>68</x:v>
      </x:c>
      <x:c r="L420">
        <x:v>39</x:v>
      </x:c>
      <x:c r="M420">
        <x:v>82</x:v>
      </x:c>
      <x:c r="N420">
        <x:v>53</x:v>
      </x:c>
      <x:c r="O420">
        <x:v>77</x:v>
      </x:c>
      <x:c r="P420">
        <x:v>82</x:v>
      </x:c>
      <x:c r="Q420">
        <x:v>85</x:v>
      </x:c>
      <x:c r="R420">
        <x:v>51</x:v>
      </x:c>
      <x:c r="S420">
        <x:v>74</x:v>
      </x:c>
      <x:c r="T420">
        <x:v>51</x:v>
      </x:c>
      <x:c r="U420">
        <x:v>53</x:v>
      </x:c>
      <x:c r="V420">
        <x:v>66</x:v>
      </x:c>
      <x:c r="W420">
        <x:v>56</x:v>
      </x:c>
      <x:c r="X420">
        <x:v>80</x:v>
      </x:c>
      <x:c r="Y420">
        <x:v>77</x:v>
      </x:c>
      <x:c r="Z420">
        <x:v>51</x:v>
      </x:c>
      <x:c r="AA420">
        <x:v>56</x:v>
      </x:c>
    </x:row>
    <x:row r="421">
      <x:c r="A421" t="s">
        <x:v>968</x:v>
      </x:c>
      <x:c r="B421" t="s">
        <x:v>364</x:v>
      </x:c>
      <x:c r="C421" t="s">
        <x:v>333</x:v>
      </x:c>
      <x:c r="D421">
        <x:v>8479293</x:v>
      </x:c>
      <x:c r="E421" t="s">
        <x:v>224</x:v>
      </x:c>
      <x:c r="F421">
        <x:v>56</x:v>
      </x:c>
      <x:c r="G421">
        <x:v>79</x:v>
      </x:c>
      <x:c r="J421" t="s">
        <x:v>2307</x:v>
      </x:c>
      <x:c r="K421">
        <x:v>84</x:v>
      </x:c>
      <x:c r="L421">
        <x:v>77</x:v>
      </x:c>
      <x:c r="M421">
        <x:v>87</x:v>
      </x:c>
      <x:c r="N421">
        <x:v>64</x:v>
      </x:c>
      <x:c r="O421">
        <x:v>77</x:v>
      </x:c>
      <x:c r="P421">
        <x:v>81</x:v>
      </x:c>
      <x:c r="Q421">
        <x:v>81</x:v>
      </x:c>
      <x:c r="R421">
        <x:v>49</x:v>
      </x:c>
      <x:c r="S421">
        <x:v>65</x:v>
      </x:c>
      <x:c r="T421">
        <x:v>49</x:v>
      </x:c>
      <x:c r="U421">
        <x:v>49</x:v>
      </x:c>
      <x:c r="V421">
        <x:v>66</x:v>
      </x:c>
      <x:c r="W421">
        <x:v>52</x:v>
      </x:c>
      <x:c r="X421">
        <x:v>80</x:v>
      </x:c>
      <x:c r="Y421">
        <x:v>74</x:v>
      </x:c>
      <x:c r="Z421">
        <x:v>51</x:v>
      </x:c>
      <x:c r="AA421">
        <x:v>56</x:v>
      </x:c>
    </x:row>
    <x:row r="422">
      <x:c r="A422" t="s">
        <x:v>973</x:v>
      </x:c>
      <x:c r="B422" t="s">
        <x:v>366</x:v>
      </x:c>
      <x:c r="C422" t="s">
        <x:v>323</x:v>
      </x:c>
      <x:c r="D422">
        <x:v>8475760</x:v>
      </x:c>
      <x:c r="E422" t="s">
        <x:v>224</x:v>
      </x:c>
      <x:c r="F422">
        <x:v>61</x:v>
      </x:c>
      <x:c r="G422">
        <x:v>66</x:v>
      </x:c>
      <x:c r="J422" t="s">
        <x:v>2308</x:v>
      </x:c>
      <x:c r="K422">
        <x:v>74</x:v>
      </x:c>
      <x:c r="L422">
        <x:v>65</x:v>
      </x:c>
      <x:c r="M422">
        <x:v>79</x:v>
      </x:c>
      <x:c r="N422">
        <x:v>54</x:v>
      </x:c>
      <x:c r="O422">
        <x:v>84</x:v>
      </x:c>
      <x:c r="P422">
        <x:v>82</x:v>
      </x:c>
      <x:c r="Q422">
        <x:v>81</x:v>
      </x:c>
      <x:c r="R422">
        <x:v>51</x:v>
      </x:c>
      <x:c r="S422">
        <x:v>83</x:v>
      </x:c>
      <x:c r="T422">
        <x:v>49</x:v>
      </x:c>
      <x:c r="U422">
        <x:v>52</x:v>
      </x:c>
      <x:c r="V422">
        <x:v>66</x:v>
      </x:c>
      <x:c r="W422">
        <x:v>69</x:v>
      </x:c>
      <x:c r="X422">
        <x:v>82</x:v>
      </x:c>
      <x:c r="Y422">
        <x:v>76</x:v>
      </x:c>
      <x:c r="Z422">
        <x:v>51</x:v>
      </x:c>
      <x:c r="AA422">
        <x:v>56</x:v>
      </x:c>
    </x:row>
    <x:row r="423">
      <x:c r="A423" t="s">
        <x:v>1096</x:v>
      </x:c>
      <x:c r="B423" t="s">
        <x:v>427</x:v>
      </x:c>
      <x:c r="C423" t="s">
        <x:v>331</x:v>
      </x:c>
      <x:c r="D423">
        <x:v>8483460</x:v>
      </x:c>
      <x:c r="E423" t="s">
        <x:v>224</x:v>
      </x:c>
      <x:c r="F423">
        <x:v>26</x:v>
      </x:c>
      <x:c r="G423">
        <x:v>12</x:v>
      </x:c>
      <x:c r="J423" t="s">
        <x:v>2309</x:v>
      </x:c>
      <x:c r="K423">
        <x:v>70</x:v>
      </x:c>
      <x:c r="L423">
        <x:v>38</x:v>
      </x:c>
      <x:c r="M423">
        <x:v>75</x:v>
      </x:c>
      <x:c r="N423">
        <x:v>35</x:v>
      </x:c>
      <x:c r="O423">
        <x:v>82</x:v>
      </x:c>
      <x:c r="P423">
        <x:v>81</x:v>
      </x:c>
      <x:c r="Q423">
        <x:v>85</x:v>
      </x:c>
      <x:c r="R423">
        <x:v>39</x:v>
      </x:c>
      <x:c r="S423">
        <x:v>30</x:v>
      </x:c>
      <x:c r="T423">
        <x:v>48</x:v>
      </x:c>
      <x:c r="U423">
        <x:v>46</x:v>
      </x:c>
      <x:c r="V423">
        <x:v>66</x:v>
      </x:c>
      <x:c r="W423">
        <x:v>52</x:v>
      </x:c>
      <x:c r="X423">
        <x:v>67</x:v>
      </x:c>
      <x:c r="Y423">
        <x:v>66</x:v>
      </x:c>
      <x:c r="Z423">
        <x:v>51</x:v>
      </x:c>
      <x:c r="AA423">
        <x:v>54</x:v>
      </x:c>
    </x:row>
    <x:row r="424">
      <x:c r="A424" t="s">
        <x:v>1121</x:v>
      </x:c>
      <x:c r="B424" t="s">
        <x:v>361</x:v>
      </x:c>
      <x:c r="C424" t="s">
        <x:v>323</x:v>
      </x:c>
      <x:c r="D424">
        <x:v>8479941</x:v>
      </x:c>
      <x:c r="E424" t="s">
        <x:v>224</x:v>
      </x:c>
      <x:c r="F424">
        <x:v>4</x:v>
      </x:c>
      <x:c r="G424">
        <x:v>61</x:v>
      </x:c>
      <x:c r="J424" t="s">
        <x:v>2310</x:v>
      </x:c>
      <x:c r="K424">
        <x:v>67</x:v>
      </x:c>
      <x:c r="L424">
        <x:v>34</x:v>
      </x:c>
      <x:c r="M424">
        <x:v>76</x:v>
      </x:c>
      <x:c r="N424">
        <x:v>55</x:v>
      </x:c>
      <x:c r="O424">
        <x:v>79</x:v>
      </x:c>
      <x:c r="P424">
        <x:v>78</x:v>
      </x:c>
      <x:c r="Q424">
        <x:v>32</x:v>
      </x:c>
      <x:c r="R424">
        <x:v>48</x:v>
      </x:c>
      <x:c r="S424">
        <x:v>77</x:v>
      </x:c>
      <x:c r="T424">
        <x:v>48</x:v>
      </x:c>
      <x:c r="U424">
        <x:v>48</x:v>
      </x:c>
      <x:c r="V424">
        <x:v>66</x:v>
      </x:c>
      <x:c r="W424">
        <x:v>55</x:v>
      </x:c>
      <x:c r="X424">
        <x:v>69</x:v>
      </x:c>
      <x:c r="Y424">
        <x:v>73</x:v>
      </x:c>
      <x:c r="Z424">
        <x:v>54</x:v>
      </x:c>
      <x:c r="AA424">
        <x:v>54</x:v>
      </x:c>
    </x:row>
    <x:row r="425">
      <x:c r="A425" t="s">
        <x:v>1165</x:v>
      </x:c>
      <x:c r="B425" t="s">
        <x:v>393</x:v>
      </x:c>
      <x:c r="C425" t="s">
        <x:v>319</x:v>
      </x:c>
      <x:c r="D425">
        <x:v>8481754</x:v>
      </x:c>
      <x:c r="E425" t="s">
        <x:v>224</x:v>
      </x:c>
      <x:c r="F425">
        <x:v>29</x:v>
      </x:c>
      <x:c r="G425">
        <x:v>20</x:v>
      </x:c>
      <x:c r="J425" t="s">
        <x:v>2311</x:v>
      </x:c>
      <x:c r="K425">
        <x:v>75</x:v>
      </x:c>
      <x:c r="L425">
        <x:v>37</x:v>
      </x:c>
      <x:c r="M425">
        <x:v>91</x:v>
      </x:c>
      <x:c r="N425">
        <x:v>65</x:v>
      </x:c>
      <x:c r="O425">
        <x:v>81</x:v>
      </x:c>
      <x:c r="P425">
        <x:v>81</x:v>
      </x:c>
      <x:c r="Q425">
        <x:v>84</x:v>
      </x:c>
      <x:c r="R425">
        <x:v>47</x:v>
      </x:c>
      <x:c r="S425">
        <x:v>71</x:v>
      </x:c>
      <x:c r="T425">
        <x:v>54</x:v>
      </x:c>
      <x:c r="U425">
        <x:v>50</x:v>
      </x:c>
      <x:c r="V425">
        <x:v>66</x:v>
      </x:c>
      <x:c r="W425">
        <x:v>52</x:v>
      </x:c>
      <x:c r="X425">
        <x:v>66</x:v>
      </x:c>
      <x:c r="Y425">
        <x:v>65</x:v>
      </x:c>
      <x:c r="Z425">
        <x:v>51</x:v>
      </x:c>
      <x:c r="AA425">
        <x:v>53</x:v>
      </x:c>
    </x:row>
    <x:row r="426">
      <x:c r="A426" t="s">
        <x:v>377</x:v>
      </x:c>
      <x:c r="B426" t="s">
        <x:v>343</x:v>
      </x:c>
      <x:c r="C426" t="s">
        <x:v>333</x:v>
      </x:c>
      <x:c r="D426">
        <x:v>8480027</x:v>
      </x:c>
      <x:c r="E426" t="s">
        <x:v>224</x:v>
      </x:c>
      <x:c r="F426">
        <x:v>82</x:v>
      </x:c>
      <x:c r="G426">
        <x:v>82</x:v>
      </x:c>
      <x:c r="J426" t="s">
        <x:v>1992</x:v>
      </x:c>
      <x:c r="K426">
        <x:v>61</x:v>
      </x:c>
      <x:c r="L426">
        <x:v>37</x:v>
      </x:c>
      <x:c r="M426">
        <x:v>91</x:v>
      </x:c>
      <x:c r="N426">
        <x:v>49</x:v>
      </x:c>
      <x:c r="O426">
        <x:v>82</x:v>
      </x:c>
      <x:c r="P426">
        <x:v>91</x:v>
      </x:c>
      <x:c r="Q426">
        <x:v>99</x:v>
      </x:c>
      <x:c r="R426">
        <x:v>76</x:v>
      </x:c>
      <x:c r="S426">
        <x:v>66</x:v>
      </x:c>
      <x:c r="T426">
        <x:v>67</x:v>
      </x:c>
      <x:c r="U426">
        <x:v>73</x:v>
      </x:c>
      <x:c r="V426">
        <x:v>65</x:v>
      </x:c>
      <x:c r="W426">
        <x:v>94</x:v>
      </x:c>
      <x:c r="X426">
        <x:v>78</x:v>
      </x:c>
      <x:c r="Y426">
        <x:v>77</x:v>
      </x:c>
      <x:c r="Z426">
        <x:v>51</x:v>
      </x:c>
      <x:c r="AA426">
        <x:v>66</x:v>
      </x:c>
    </x:row>
    <x:row r="427">
      <x:c r="A427" t="s">
        <x:v>463</x:v>
      </x:c>
      <x:c r="B427" t="s">
        <x:v>393</x:v>
      </x:c>
      <x:c r="C427" t="s">
        <x:v>323</x:v>
      </x:c>
      <x:c r="D427">
        <x:v>8484153</x:v>
      </x:c>
      <x:c r="E427" t="s">
        <x:v>224</x:v>
      </x:c>
      <x:c r="F427">
        <x:v>70</x:v>
      </x:c>
      <x:c r="G427">
        <x:v>76</x:v>
      </x:c>
      <x:c r="J427" t="s">
        <x:v>2312</x:v>
      </x:c>
      <x:c r="K427">
        <x:v>58</x:v>
      </x:c>
      <x:c r="L427">
        <x:v>59</x:v>
      </x:c>
      <x:c r="M427">
        <x:v>95</x:v>
      </x:c>
      <x:c r="N427">
        <x:v>61</x:v>
      </x:c>
      <x:c r="O427">
        <x:v>83</x:v>
      </x:c>
      <x:c r="P427">
        <x:v>90</x:v>
      </x:c>
      <x:c r="Q427">
        <x:v>88</x:v>
      </x:c>
      <x:c r="R427">
        <x:v>66</x:v>
      </x:c>
      <x:c r="S427">
        <x:v>85</x:v>
      </x:c>
      <x:c r="T427">
        <x:v>61</x:v>
      </x:c>
      <x:c r="U427">
        <x:v>63</x:v>
      </x:c>
      <x:c r="V427">
        <x:v>65</x:v>
      </x:c>
      <x:c r="W427">
        <x:v>88</x:v>
      </x:c>
      <x:c r="X427">
        <x:v>70</x:v>
      </x:c>
      <x:c r="Y427">
        <x:v>79</x:v>
      </x:c>
      <x:c r="Z427">
        <x:v>51</x:v>
      </x:c>
      <x:c r="AA427">
        <x:v>63</x:v>
      </x:c>
    </x:row>
    <x:row r="428">
      <x:c r="A428" t="s">
        <x:v>469</x:v>
      </x:c>
      <x:c r="B428" t="s">
        <x:v>366</x:v>
      </x:c>
      <x:c r="C428" t="s">
        <x:v>333</x:v>
      </x:c>
      <x:c r="D428">
        <x:v>8479407</x:v>
      </x:c>
      <x:c r="E428" t="s">
        <x:v>224</x:v>
      </x:c>
      <x:c r="F428">
        <x:v>82</x:v>
      </x:c>
      <x:c r="G428">
        <x:v>81</x:v>
      </x:c>
      <x:c r="J428" t="s">
        <x:v>2102</x:v>
      </x:c>
      <x:c r="K428">
        <x:v>64</x:v>
      </x:c>
      <x:c r="L428">
        <x:v>33</x:v>
      </x:c>
      <x:c r="M428">
        <x:v>94</x:v>
      </x:c>
      <x:c r="N428">
        <x:v>58</x:v>
      </x:c>
      <x:c r="O428">
        <x:v>75</x:v>
      </x:c>
      <x:c r="P428">
        <x:v>90</x:v>
      </x:c>
      <x:c r="Q428">
        <x:v>99</x:v>
      </x:c>
      <x:c r="R428">
        <x:v>64</x:v>
      </x:c>
      <x:c r="S428">
        <x:v>65</x:v>
      </x:c>
      <x:c r="T428">
        <x:v>75</x:v>
      </x:c>
      <x:c r="U428">
        <x:v>58</x:v>
      </x:c>
      <x:c r="V428">
        <x:v>65</x:v>
      </x:c>
      <x:c r="W428">
        <x:v>91</x:v>
      </x:c>
      <x:c r="X428">
        <x:v>79</x:v>
      </x:c>
      <x:c r="Y428">
        <x:v>78</x:v>
      </x:c>
      <x:c r="Z428">
        <x:v>51</x:v>
      </x:c>
      <x:c r="AA428">
        <x:v>63</x:v>
      </x:c>
    </x:row>
    <x:row r="429">
      <x:c r="A429" t="s">
        <x:v>476</x:v>
      </x:c>
      <x:c r="B429" t="s">
        <x:v>402</x:v>
      </x:c>
      <x:c r="C429" t="s">
        <x:v>339</x:v>
      </x:c>
      <x:c r="D429">
        <x:v>8476432</x:v>
      </x:c>
      <x:c r="E429" t="s">
        <x:v>224</x:v>
      </x:c>
      <x:c r="F429">
        <x:v>67</x:v>
      </x:c>
      <x:c r="G429">
        <x:v>26</x:v>
      </x:c>
      <x:c r="J429" t="s">
        <x:v>2313</x:v>
      </x:c>
      <x:c r="K429">
        <x:v>71</x:v>
      </x:c>
      <x:c r="L429">
        <x:v>71</x:v>
      </x:c>
      <x:c r="M429">
        <x:v>82</x:v>
      </x:c>
      <x:c r="N429">
        <x:v>52</x:v>
      </x:c>
      <x:c r="O429">
        <x:v>82</x:v>
      </x:c>
      <x:c r="P429">
        <x:v>86</x:v>
      </x:c>
      <x:c r="Q429">
        <x:v>80</x:v>
      </x:c>
      <x:c r="R429">
        <x:v>57</x:v>
      </x:c>
      <x:c r="S429">
        <x:v>84</x:v>
      </x:c>
      <x:c r="T429">
        <x:v>60</x:v>
      </x:c>
      <x:c r="U429">
        <x:v>56</x:v>
      </x:c>
      <x:c r="V429">
        <x:v>65</x:v>
      </x:c>
      <x:c r="W429">
        <x:v>56</x:v>
      </x:c>
      <x:c r="X429">
        <x:v>83</x:v>
      </x:c>
      <x:c r="Y429">
        <x:v>89</x:v>
      </x:c>
      <x:c r="Z429">
        <x:v>51</x:v>
      </x:c>
      <x:c r="AA429">
        <x:v>62</x:v>
      </x:c>
    </x:row>
    <x:row r="430">
      <x:c r="A430" t="s">
        <x:v>532</x:v>
      </x:c>
      <x:c r="B430" t="s">
        <x:v>481</x:v>
      </x:c>
      <x:c r="C430" t="s">
        <x:v>329</x:v>
      </x:c>
      <x:c r="D430">
        <x:v>8476905</x:v>
      </x:c>
      <x:c r="E430" t="s">
        <x:v>224</x:v>
      </x:c>
      <x:c r="F430">
        <x:v>80</x:v>
      </x:c>
      <x:c r="G430">
        <x:v>78</x:v>
      </x:c>
      <x:c r="J430" t="s">
        <x:v>2027</x:v>
      </x:c>
      <x:c r="K430">
        <x:v>58</x:v>
      </x:c>
      <x:c r="L430">
        <x:v>38</x:v>
      </x:c>
      <x:c r="M430">
        <x:v>92</x:v>
      </x:c>
      <x:c r="N430">
        <x:v>57</x:v>
      </x:c>
      <x:c r="O430">
        <x:v>81</x:v>
      </x:c>
      <x:c r="P430">
        <x:v>91</x:v>
      </x:c>
      <x:c r="Q430">
        <x:v>97</x:v>
      </x:c>
      <x:c r="R430">
        <x:v>58</x:v>
      </x:c>
      <x:c r="S430">
        <x:v>91</x:v>
      </x:c>
      <x:c r="T430">
        <x:v>58</x:v>
      </x:c>
      <x:c r="U430">
        <x:v>54</x:v>
      </x:c>
      <x:c r="V430">
        <x:v>65</x:v>
      </x:c>
      <x:c r="W430">
        <x:v>62</x:v>
      </x:c>
      <x:c r="X430">
        <x:v>83</x:v>
      </x:c>
      <x:c r="Y430">
        <x:v>78</x:v>
      </x:c>
      <x:c r="Z430">
        <x:v>51</x:v>
      </x:c>
      <x:c r="AA430">
        <x:v>61</x:v>
      </x:c>
    </x:row>
    <x:row r="431">
      <x:c r="A431" t="s">
        <x:v>552</x:v>
      </x:c>
      <x:c r="B431" t="s">
        <x:v>370</x:v>
      </x:c>
      <x:c r="C431" t="s">
        <x:v>323</x:v>
      </x:c>
      <x:c r="D431">
        <x:v>8481528</x:v>
      </x:c>
      <x:c r="E431" t="s">
        <x:v>224</x:v>
      </x:c>
      <x:c r="F431">
        <x:v>82</x:v>
      </x:c>
      <x:c r="G431">
        <x:v>82</x:v>
      </x:c>
      <x:c r="J431" t="s">
        <x:v>1992</x:v>
      </x:c>
      <x:c r="K431">
        <x:v>74</x:v>
      </x:c>
      <x:c r="L431">
        <x:v>60</x:v>
      </x:c>
      <x:c r="M431">
        <x:v>82</x:v>
      </x:c>
      <x:c r="N431">
        <x:v>63</x:v>
      </x:c>
      <x:c r="O431">
        <x:v>82</x:v>
      </x:c>
      <x:c r="P431">
        <x:v>88</x:v>
      </x:c>
      <x:c r="Q431">
        <x:v>99</x:v>
      </x:c>
      <x:c r="R431">
        <x:v>60</x:v>
      </x:c>
      <x:c r="S431">
        <x:v>89</x:v>
      </x:c>
      <x:c r="T431">
        <x:v>59</x:v>
      </x:c>
      <x:c r="U431">
        <x:v>63</x:v>
      </x:c>
      <x:c r="V431">
        <x:v>65</x:v>
      </x:c>
      <x:c r="W431">
        <x:v>54</x:v>
      </x:c>
      <x:c r="X431">
        <x:v>75</x:v>
      </x:c>
      <x:c r="Y431">
        <x:v>78</x:v>
      </x:c>
      <x:c r="Z431">
        <x:v>51</x:v>
      </x:c>
      <x:c r="AA431">
        <x:v>61</x:v>
      </x:c>
    </x:row>
    <x:row r="432">
      <x:c r="A432" t="s">
        <x:v>662</x:v>
      </x:c>
      <x:c r="B432" t="s">
        <x:v>420</x:v>
      </x:c>
      <x:c r="C432" t="s">
        <x:v>333</x:v>
      </x:c>
      <x:c r="D432">
        <x:v>8478498</x:v>
      </x:c>
      <x:c r="E432" t="s">
        <x:v>224</x:v>
      </x:c>
      <x:c r="F432">
        <x:v>81</x:v>
      </x:c>
      <x:c r="G432">
        <x:v>82</x:v>
      </x:c>
      <x:c r="J432" t="s">
        <x:v>2011</x:v>
      </x:c>
      <x:c r="K432">
        <x:v>64</x:v>
      </x:c>
      <x:c r="L432">
        <x:v>34</x:v>
      </x:c>
      <x:c r="M432">
        <x:v>91</x:v>
      </x:c>
      <x:c r="N432">
        <x:v>59</x:v>
      </x:c>
      <x:c r="O432">
        <x:v>80</x:v>
      </x:c>
      <x:c r="P432">
        <x:v>87</x:v>
      </x:c>
      <x:c r="Q432">
        <x:v>98</x:v>
      </x:c>
      <x:c r="R432">
        <x:v>57</x:v>
      </x:c>
      <x:c r="S432">
        <x:v>69</x:v>
      </x:c>
      <x:c r="T432">
        <x:v>53</x:v>
      </x:c>
      <x:c r="U432">
        <x:v>61</x:v>
      </x:c>
      <x:c r="V432">
        <x:v>65</x:v>
      </x:c>
      <x:c r="W432">
        <x:v>89</x:v>
      </x:c>
      <x:c r="X432">
        <x:v>82</x:v>
      </x:c>
      <x:c r="Y432">
        <x:v>75</x:v>
      </x:c>
      <x:c r="Z432">
        <x:v>34</x:v>
      </x:c>
      <x:c r="AA432">
        <x:v>59</x:v>
      </x:c>
    </x:row>
    <x:row r="433">
      <x:c r="A433" t="s">
        <x:v>681</x:v>
      </x:c>
      <x:c r="B433" t="s">
        <x:v>370</x:v>
      </x:c>
      <x:c r="C433" t="s">
        <x:v>331</x:v>
      </x:c>
      <x:c r="D433">
        <x:v>8476891</x:v>
      </x:c>
      <x:c r="E433" t="s">
        <x:v>224</x:v>
      </x:c>
      <x:c r="F433">
        <x:v>68</x:v>
      </x:c>
      <x:c r="G433">
        <x:v>82</x:v>
      </x:c>
      <x:c r="J433" t="s">
        <x:v>2063</x:v>
      </x:c>
      <x:c r="K433">
        <x:v>68</x:v>
      </x:c>
      <x:c r="L433">
        <x:v>32</x:v>
      </x:c>
      <x:c r="M433">
        <x:v>86</x:v>
      </x:c>
      <x:c r="N433">
        <x:v>38</x:v>
      </x:c>
      <x:c r="O433">
        <x:v>75</x:v>
      </x:c>
      <x:c r="P433">
        <x:v>88</x:v>
      </x:c>
      <x:c r="Q433">
        <x:v>91</x:v>
      </x:c>
      <x:c r="R433">
        <x:v>40</x:v>
      </x:c>
      <x:c r="S433">
        <x:v>30</x:v>
      </x:c>
      <x:c r="T433">
        <x:v>53</x:v>
      </x:c>
      <x:c r="U433">
        <x:v>45</x:v>
      </x:c>
      <x:c r="V433">
        <x:v>65</x:v>
      </x:c>
      <x:c r="W433">
        <x:v>52</x:v>
      </x:c>
      <x:c r="X433">
        <x:v>82</x:v>
      </x:c>
      <x:c r="Y433">
        <x:v>73</x:v>
      </x:c>
      <x:c r="Z433">
        <x:v>51</x:v>
      </x:c>
      <x:c r="AA433">
        <x:v>59</x:v>
      </x:c>
    </x:row>
    <x:row r="434">
      <x:c r="A434" t="s">
        <x:v>722</x:v>
      </x:c>
      <x:c r="B434" t="s">
        <x:v>340</x:v>
      </x:c>
      <x:c r="C434" t="s">
        <x:v>331</x:v>
      </x:c>
      <x:c r="D434">
        <x:v>8475181</x:v>
      </x:c>
      <x:c r="E434" t="s">
        <x:v>224</x:v>
      </x:c>
      <x:c r="F434">
        <x:v>32</x:v>
      </x:c>
      <x:c r="G434">
        <x:v>31</x:v>
      </x:c>
      <x:c r="J434" t="s">
        <x:v>2314</x:v>
      </x:c>
      <x:c r="K434">
        <x:v>66</x:v>
      </x:c>
      <x:c r="L434">
        <x:v>35</x:v>
      </x:c>
      <x:c r="M434">
        <x:v>88</x:v>
      </x:c>
      <x:c r="N434">
        <x:v>45</x:v>
      </x:c>
      <x:c r="O434">
        <x:v>83</x:v>
      </x:c>
      <x:c r="P434">
        <x:v>87</x:v>
      </x:c>
      <x:c r="Q434">
        <x:v>67</x:v>
      </x:c>
      <x:c r="R434">
        <x:v>38</x:v>
      </x:c>
      <x:c r="S434">
        <x:v>30</x:v>
      </x:c>
      <x:c r="T434">
        <x:v>51</x:v>
      </x:c>
      <x:c r="U434">
        <x:v>46</x:v>
      </x:c>
      <x:c r="V434">
        <x:v>65</x:v>
      </x:c>
      <x:c r="W434">
        <x:v>57</x:v>
      </x:c>
      <x:c r="X434">
        <x:v>91</x:v>
      </x:c>
      <x:c r="Y434">
        <x:v>76</x:v>
      </x:c>
      <x:c r="Z434">
        <x:v>51</x:v>
      </x:c>
      <x:c r="AA434">
        <x:v>58</x:v>
      </x:c>
    </x:row>
    <x:row r="435">
      <x:c r="A435" t="s">
        <x:v>755</x:v>
      </x:c>
      <x:c r="B435" t="s">
        <x:v>420</x:v>
      </x:c>
      <x:c r="C435" t="s">
        <x:v>331</x:v>
      </x:c>
      <x:c r="D435">
        <x:v>8484240</x:v>
      </x:c>
      <x:c r="E435" t="s">
        <x:v>224</x:v>
      </x:c>
      <x:c r="F435">
        <x:v>70</x:v>
      </x:c>
      <x:c r="J435" t="s">
        <x:v>2127</x:v>
      </x:c>
      <x:c r="K435">
        <x:v>69</x:v>
      </x:c>
      <x:c r="L435">
        <x:v>35</x:v>
      </x:c>
      <x:c r="M435">
        <x:v>87</x:v>
      </x:c>
      <x:c r="N435">
        <x:v>52</x:v>
      </x:c>
      <x:c r="O435">
        <x:v>75</x:v>
      </x:c>
      <x:c r="P435">
        <x:v>86</x:v>
      </x:c>
      <x:c r="Q435">
        <x:v>91</x:v>
      </x:c>
      <x:c r="R435">
        <x:v>42</x:v>
      </x:c>
      <x:c r="S435">
        <x:v>30</x:v>
      </x:c>
      <x:c r="T435">
        <x:v>54</x:v>
      </x:c>
      <x:c r="U435">
        <x:v>48</x:v>
      </x:c>
      <x:c r="V435">
        <x:v>65</x:v>
      </x:c>
      <x:c r="W435">
        <x:v>51</x:v>
      </x:c>
      <x:c r="X435">
        <x:v>66</x:v>
      </x:c>
      <x:c r="Y435">
        <x:v>69</x:v>
      </x:c>
      <x:c r="Z435">
        <x:v>54</x:v>
      </x:c>
      <x:c r="AA435">
        <x:v>58</x:v>
      </x:c>
    </x:row>
    <x:row r="436">
      <x:c r="A436" t="s">
        <x:v>773</x:v>
      </x:c>
      <x:c r="B436" t="s">
        <x:v>354</x:v>
      </x:c>
      <x:c r="C436" t="s">
        <x:v>329</x:v>
      </x:c>
      <x:c r="D436">
        <x:v>8479353</x:v>
      </x:c>
      <x:c r="E436" t="s">
        <x:v>224</x:v>
      </x:c>
      <x:c r="F436">
        <x:v>58</x:v>
      </x:c>
      <x:c r="G436">
        <x:v>80</x:v>
      </x:c>
      <x:c r="J436" t="s">
        <x:v>2315</x:v>
      </x:c>
      <x:c r="K436">
        <x:v>70</x:v>
      </x:c>
      <x:c r="L436">
        <x:v>60</x:v>
      </x:c>
      <x:c r="M436">
        <x:v>83</x:v>
      </x:c>
      <x:c r="N436">
        <x:v>64</x:v>
      </x:c>
      <x:c r="O436">
        <x:v>81</x:v>
      </x:c>
      <x:c r="P436">
        <x:v>85</x:v>
      </x:c>
      <x:c r="Q436">
        <x:v>82</x:v>
      </x:c>
      <x:c r="R436">
        <x:v>55</x:v>
      </x:c>
      <x:c r="S436">
        <x:v>86</x:v>
      </x:c>
      <x:c r="T436">
        <x:v>51</x:v>
      </x:c>
      <x:c r="U436">
        <x:v>57</x:v>
      </x:c>
      <x:c r="V436">
        <x:v>65</x:v>
      </x:c>
      <x:c r="W436">
        <x:v>52</x:v>
      </x:c>
      <x:c r="X436">
        <x:v>79</x:v>
      </x:c>
      <x:c r="Y436">
        <x:v>72</x:v>
      </x:c>
      <x:c r="Z436">
        <x:v>51</x:v>
      </x:c>
      <x:c r="AA436">
        <x:v>58</x:v>
      </x:c>
    </x:row>
    <x:row r="437">
      <x:c r="A437" t="s">
        <x:v>791</x:v>
      </x:c>
      <x:c r="B437" t="s">
        <x:v>356</x:v>
      </x:c>
      <x:c r="C437" t="s">
        <x:v>333</x:v>
      </x:c>
      <x:c r="D437">
        <x:v>8476981</x:v>
      </x:c>
      <x:c r="E437" t="s">
        <x:v>224</x:v>
      </x:c>
      <x:c r="F437">
        <x:v>72</x:v>
      </x:c>
      <x:c r="G437">
        <x:v>81</x:v>
      </x:c>
      <x:c r="J437" t="s">
        <x:v>2184</x:v>
      </x:c>
      <x:c r="K437">
        <x:v>72</x:v>
      </x:c>
      <x:c r="L437">
        <x:v>83</x:v>
      </x:c>
      <x:c r="M437">
        <x:v>77</x:v>
      </x:c>
      <x:c r="N437">
        <x:v>75</x:v>
      </x:c>
      <x:c r="O437">
        <x:v>89</x:v>
      </x:c>
      <x:c r="P437">
        <x:v>84</x:v>
      </x:c>
      <x:c r="Q437">
        <x:v>91</x:v>
      </x:c>
      <x:c r="R437">
        <x:v>53</x:v>
      </x:c>
      <x:c r="S437">
        <x:v>71</x:v>
      </x:c>
      <x:c r="T437">
        <x:v>51</x:v>
      </x:c>
      <x:c r="U437">
        <x:v>57</x:v>
      </x:c>
      <x:c r="V437">
        <x:v>65</x:v>
      </x:c>
      <x:c r="W437">
        <x:v>57</x:v>
      </x:c>
      <x:c r="X437">
        <x:v>82</x:v>
      </x:c>
      <x:c r="Y437">
        <x:v>76</x:v>
      </x:c>
      <x:c r="Z437">
        <x:v>51</x:v>
      </x:c>
      <x:c r="AA437">
        <x:v>58</x:v>
      </x:c>
    </x:row>
    <x:row r="438">
      <x:c r="A438" t="s">
        <x:v>798</x:v>
      </x:c>
      <x:c r="B438" t="s">
        <x:v>361</x:v>
      </x:c>
      <x:c r="C438" t="s">
        <x:v>329</x:v>
      </x:c>
      <x:c r="D438">
        <x:v>8481522</x:v>
      </x:c>
      <x:c r="E438" t="s">
        <x:v>224</x:v>
      </x:c>
      <x:c r="F438">
        <x:v>82</x:v>
      </x:c>
      <x:c r="G438">
        <x:v>81</x:v>
      </x:c>
      <x:c r="J438" t="s">
        <x:v>2102</x:v>
      </x:c>
      <x:c r="K438">
        <x:v>75</x:v>
      </x:c>
      <x:c r="L438">
        <x:v>82</x:v>
      </x:c>
      <x:c r="M438">
        <x:v>87</x:v>
      </x:c>
      <x:c r="N438">
        <x:v>61</x:v>
      </x:c>
      <x:c r="O438">
        <x:v>77</x:v>
      </x:c>
      <x:c r="P438">
        <x:v>84</x:v>
      </x:c>
      <x:c r="Q438">
        <x:v>99</x:v>
      </x:c>
      <x:c r="R438">
        <x:v>55</x:v>
      </x:c>
      <x:c r="S438">
        <x:v>81</x:v>
      </x:c>
      <x:c r="T438">
        <x:v>61</x:v>
      </x:c>
      <x:c r="U438">
        <x:v>54</x:v>
      </x:c>
      <x:c r="V438">
        <x:v>65</x:v>
      </x:c>
      <x:c r="W438">
        <x:v>52</x:v>
      </x:c>
      <x:c r="X438">
        <x:v>74</x:v>
      </x:c>
      <x:c r="Y438">
        <x:v>67</x:v>
      </x:c>
      <x:c r="Z438">
        <x:v>51</x:v>
      </x:c>
      <x:c r="AA438">
        <x:v>58</x:v>
      </x:c>
    </x:row>
    <x:row r="439">
      <x:c r="A439" t="s">
        <x:v>835</x:v>
      </x:c>
      <x:c r="B439" t="s">
        <x:v>340</x:v>
      </x:c>
      <x:c r="C439" t="s">
        <x:v>326</x:v>
      </x:c>
      <x:c r="D439">
        <x:v>8478874</x:v>
      </x:c>
      <x:c r="E439" t="s">
        <x:v>224</x:v>
      </x:c>
      <x:c r="F439">
        <x:v>66</x:v>
      </x:c>
      <x:c r="G439">
        <x:v>81</x:v>
      </x:c>
      <x:c r="J439" t="s">
        <x:v>2316</x:v>
      </x:c>
      <x:c r="K439">
        <x:v>66</x:v>
      </x:c>
      <x:c r="L439">
        <x:v>33</x:v>
      </x:c>
      <x:c r="M439">
        <x:v>81</x:v>
      </x:c>
      <x:c r="N439">
        <x:v>52</x:v>
      </x:c>
      <x:c r="O439">
        <x:v>78</x:v>
      </x:c>
      <x:c r="P439">
        <x:v>83</x:v>
      </x:c>
      <x:c r="Q439">
        <x:v>87</x:v>
      </x:c>
      <x:c r="R439">
        <x:v>54</x:v>
      </x:c>
      <x:c r="S439">
        <x:v>81</x:v>
      </x:c>
      <x:c r="T439">
        <x:v>51</x:v>
      </x:c>
      <x:c r="U439">
        <x:v>64</x:v>
      </x:c>
      <x:c r="V439">
        <x:v>65</x:v>
      </x:c>
      <x:c r="W439">
        <x:v>67</x:v>
      </x:c>
      <x:c r="X439">
        <x:v>74</x:v>
      </x:c>
      <x:c r="Y439">
        <x:v>73</x:v>
      </x:c>
      <x:c r="Z439">
        <x:v>51</x:v>
      </x:c>
      <x:c r="AA439">
        <x:v>57</x:v>
      </x:c>
    </x:row>
    <x:row r="440">
      <x:c r="A440" t="s">
        <x:v>844</x:v>
      </x:c>
      <x:c r="B440" t="s">
        <x:v>584</x:v>
      </x:c>
      <x:c r="C440" t="s">
        <x:v>331</x:v>
      </x:c>
      <x:c r="D440">
        <x:v>8476525</x:v>
      </x:c>
      <x:c r="E440" t="s">
        <x:v>224</x:v>
      </x:c>
      <x:c r="F440">
        <x:v>18</x:v>
      </x:c>
      <x:c r="G440">
        <x:v>60</x:v>
      </x:c>
      <x:c r="J440" t="s">
        <x:v>2317</x:v>
      </x:c>
      <x:c r="K440">
        <x:v>79</x:v>
      </x:c>
      <x:c r="L440">
        <x:v>40</x:v>
      </x:c>
      <x:c r="M440">
        <x:v>89</x:v>
      </x:c>
      <x:c r="N440">
        <x:v>39</x:v>
      </x:c>
      <x:c r="O440">
        <x:v>81</x:v>
      </x:c>
      <x:c r="P440">
        <x:v>82</x:v>
      </x:c>
      <x:c r="Q440">
        <x:v>49</x:v>
      </x:c>
      <x:c r="R440">
        <x:v>37</x:v>
      </x:c>
      <x:c r="S440">
        <x:v>30</x:v>
      </x:c>
      <x:c r="T440">
        <x:v>49</x:v>
      </x:c>
      <x:c r="U440">
        <x:v>46</x:v>
      </x:c>
      <x:c r="V440">
        <x:v>65</x:v>
      </x:c>
      <x:c r="W440">
        <x:v>52</x:v>
      </x:c>
      <x:c r="X440">
        <x:v>80</x:v>
      </x:c>
      <x:c r="Y440">
        <x:v>74</x:v>
      </x:c>
      <x:c r="Z440">
        <x:v>51</x:v>
      </x:c>
      <x:c r="AA440">
        <x:v>57</x:v>
      </x:c>
    </x:row>
    <x:row r="441">
      <x:c r="A441" t="s">
        <x:v>885</x:v>
      </x:c>
      <x:c r="B441" t="s">
        <x:v>402</x:v>
      </x:c>
      <x:c r="C441" t="s">
        <x:v>333</x:v>
      </x:c>
      <x:c r="D441">
        <x:v>8478463</x:v>
      </x:c>
      <x:c r="E441" t="s">
        <x:v>224</x:v>
      </x:c>
      <x:c r="F441">
        <x:v>82</x:v>
      </x:c>
      <x:c r="G441">
        <x:v>81</x:v>
      </x:c>
      <x:c r="J441" t="s">
        <x:v>2102</x:v>
      </x:c>
      <x:c r="K441">
        <x:v>68</x:v>
      </x:c>
      <x:c r="L441">
        <x:v>31</x:v>
      </x:c>
      <x:c r="M441">
        <x:v>85</x:v>
      </x:c>
      <x:c r="N441">
        <x:v>60</x:v>
      </x:c>
      <x:c r="O441">
        <x:v>76</x:v>
      </x:c>
      <x:c r="P441">
        <x:v>85</x:v>
      </x:c>
      <x:c r="Q441">
        <x:v>98</x:v>
      </x:c>
      <x:c r="R441">
        <x:v>53</x:v>
      </x:c>
      <x:c r="S441">
        <x:v>75</x:v>
      </x:c>
      <x:c r="T441">
        <x:v>51</x:v>
      </x:c>
      <x:c r="U441">
        <x:v>57</x:v>
      </x:c>
      <x:c r="V441">
        <x:v>65</x:v>
      </x:c>
      <x:c r="W441">
        <x:v>78</x:v>
      </x:c>
      <x:c r="X441">
        <x:v>83</x:v>
      </x:c>
      <x:c r="Y441">
        <x:v>75</x:v>
      </x:c>
      <x:c r="Z441">
        <x:v>51</x:v>
      </x:c>
      <x:c r="AA441">
        <x:v>57</x:v>
      </x:c>
    </x:row>
    <x:row r="442">
      <x:c r="A442" t="s">
        <x:v>940</x:v>
      </x:c>
      <x:c r="B442" t="s">
        <x:v>364</x:v>
      </x:c>
      <x:c r="C442" t="s">
        <x:v>333</x:v>
      </x:c>
      <x:c r="D442">
        <x:v>8479977</x:v>
      </x:c>
      <x:c r="E442" t="s">
        <x:v>224</x:v>
      </x:c>
      <x:c r="F442">
        <x:v>59</x:v>
      </x:c>
      <x:c r="G442">
        <x:v>12</x:v>
      </x:c>
      <x:c r="J442" t="s">
        <x:v>2318</x:v>
      </x:c>
      <x:c r="K442">
        <x:v>66</x:v>
      </x:c>
      <x:c r="L442">
        <x:v>33</x:v>
      </x:c>
      <x:c r="M442">
        <x:v>93</x:v>
      </x:c>
      <x:c r="N442">
        <x:v>57</x:v>
      </x:c>
      <x:c r="O442">
        <x:v>75</x:v>
      </x:c>
      <x:c r="P442">
        <x:v>82</x:v>
      </x:c>
      <x:c r="Q442">
        <x:v>80</x:v>
      </x:c>
      <x:c r="R442">
        <x:v>52</x:v>
      </x:c>
      <x:c r="S442">
        <x:v>71</x:v>
      </x:c>
      <x:c r="T442">
        <x:v>51</x:v>
      </x:c>
      <x:c r="U442">
        <x:v>57</x:v>
      </x:c>
      <x:c r="V442">
        <x:v>65</x:v>
      </x:c>
      <x:c r="W442">
        <x:v>65</x:v>
      </x:c>
      <x:c r="X442">
        <x:v>77</x:v>
      </x:c>
      <x:c r="Y442">
        <x:v>72</x:v>
      </x:c>
      <x:c r="Z442">
        <x:v>51</x:v>
      </x:c>
      <x:c r="AA442">
        <x:v>56</x:v>
      </x:c>
    </x:row>
    <x:row r="443">
      <x:c r="A443" t="s">
        <x:v>950</x:v>
      </x:c>
      <x:c r="B443" t="s">
        <x:v>584</x:v>
      </x:c>
      <x:c r="C443" t="s">
        <x:v>333</x:v>
      </x:c>
      <x:c r="D443">
        <x:v>8477454</x:v>
      </x:c>
      <x:c r="E443" t="s">
        <x:v>224</x:v>
      </x:c>
      <x:c r="F443">
        <x:v>45</x:v>
      </x:c>
      <x:c r="J443" t="s">
        <x:v>2319</x:v>
      </x:c>
      <x:c r="K443">
        <x:v>88</x:v>
      </x:c>
      <x:c r="L443">
        <x:v>66</x:v>
      </x:c>
      <x:c r="M443">
        <x:v>86</x:v>
      </x:c>
      <x:c r="N443">
        <x:v>52</x:v>
      </x:c>
      <x:c r="O443">
        <x:v>84</x:v>
      </x:c>
      <x:c r="P443">
        <x:v>80</x:v>
      </x:c>
      <x:c r="Q443">
        <x:v>74</x:v>
      </x:c>
      <x:c r="R443">
        <x:v>48</x:v>
      </x:c>
      <x:c r="S443">
        <x:v>65</x:v>
      </x:c>
      <x:c r="T443">
        <x:v>49</x:v>
      </x:c>
      <x:c r="U443">
        <x:v>55</x:v>
      </x:c>
      <x:c r="V443">
        <x:v>65</x:v>
      </x:c>
      <x:c r="W443">
        <x:v>59</x:v>
      </x:c>
      <x:c r="X443">
        <x:v>74</x:v>
      </x:c>
      <x:c r="Y443">
        <x:v>74</x:v>
      </x:c>
      <x:c r="Z443">
        <x:v>51</x:v>
      </x:c>
      <x:c r="AA443">
        <x:v>56</x:v>
      </x:c>
    </x:row>
    <x:row r="444">
      <x:c r="A444" t="s">
        <x:v>970</x:v>
      </x:c>
      <x:c r="B444" t="s">
        <x:v>481</x:v>
      </x:c>
      <x:c r="C444" t="s">
        <x:v>339</x:v>
      </x:c>
      <x:c r="D444">
        <x:v>8483570</x:v>
      </x:c>
      <x:c r="E444" t="s">
        <x:v>224</x:v>
      </x:c>
      <x:c r="F444">
        <x:v>52</x:v>
      </x:c>
      <x:c r="G444">
        <x:v>8</x:v>
      </x:c>
      <x:c r="J444" t="s">
        <x:v>2320</x:v>
      </x:c>
      <x:c r="K444">
        <x:v>70</x:v>
      </x:c>
      <x:c r="L444">
        <x:v>71</x:v>
      </x:c>
      <x:c r="M444">
        <x:v>87</x:v>
      </x:c>
      <x:c r="N444">
        <x:v>55</x:v>
      </x:c>
      <x:c r="O444">
        <x:v>79</x:v>
      </x:c>
      <x:c r="P444">
        <x:v>83</x:v>
      </x:c>
      <x:c r="Q444">
        <x:v>83</x:v>
      </x:c>
      <x:c r="R444">
        <x:v>51</x:v>
      </x:c>
      <x:c r="S444">
        <x:v>84</x:v>
      </x:c>
      <x:c r="T444">
        <x:v>51</x:v>
      </x:c>
      <x:c r="U444">
        <x:v>52</x:v>
      </x:c>
      <x:c r="V444">
        <x:v>65</x:v>
      </x:c>
      <x:c r="W444">
        <x:v>56</x:v>
      </x:c>
      <x:c r="X444">
        <x:v>69</x:v>
      </x:c>
      <x:c r="Y444">
        <x:v>70</x:v>
      </x:c>
      <x:c r="Z444">
        <x:v>51</x:v>
      </x:c>
      <x:c r="AA444">
        <x:v>56</x:v>
      </x:c>
    </x:row>
    <x:row r="445">
      <x:c r="A445" t="s">
        <x:v>1033</x:v>
      </x:c>
      <x:c r="B445" t="s">
        <x:v>386</x:v>
      </x:c>
      <x:c r="C445" t="s">
        <x:v>358</x:v>
      </x:c>
      <x:c r="D445">
        <x:v>8475235</x:v>
      </x:c>
      <x:c r="E445" t="s">
        <x:v>224</x:v>
      </x:c>
      <x:c r="F445">
        <x:v>31</x:v>
      </x:c>
      <x:c r="G445">
        <x:v>31</x:v>
      </x:c>
      <x:c r="J445" t="s">
        <x:v>2321</x:v>
      </x:c>
      <x:c r="K445">
        <x:v>97</x:v>
      </x:c>
      <x:c r="L445">
        <x:v>93</x:v>
      </x:c>
      <x:c r="M445">
        <x:v>73</x:v>
      </x:c>
      <x:c r="N445">
        <x:v>46</x:v>
      </x:c>
      <x:c r="O445">
        <x:v>87</x:v>
      </x:c>
      <x:c r="P445">
        <x:v>78</x:v>
      </x:c>
      <x:c r="Q445">
        <x:v>62</x:v>
      </x:c>
      <x:c r="R445">
        <x:v>46</x:v>
      </x:c>
      <x:c r="S445">
        <x:v>69</x:v>
      </x:c>
      <x:c r="T445">
        <x:v>49</x:v>
      </x:c>
      <x:c r="U445">
        <x:v>47</x:v>
      </x:c>
      <x:c r="V445">
        <x:v>65</x:v>
      </x:c>
      <x:c r="W445">
        <x:v>52</x:v>
      </x:c>
      <x:c r="X445">
        <x:v>79</x:v>
      </x:c>
      <x:c r="Y445">
        <x:v>77</x:v>
      </x:c>
      <x:c r="Z445">
        <x:v>51</x:v>
      </x:c>
      <x:c r="AA445">
        <x:v>55</x:v>
      </x:c>
    </x:row>
    <x:row r="446">
      <x:c r="A446" t="s">
        <x:v>1131</x:v>
      </x:c>
      <x:c r="B446" t="s">
        <x:v>400</x:v>
      </x:c>
      <x:c r="C446" t="s">
        <x:v>329</x:v>
      </x:c>
      <x:c r="D446">
        <x:v>8478043</x:v>
      </x:c>
      <x:c r="E446" t="s">
        <x:v>224</x:v>
      </x:c>
      <x:c r="F446">
        <x:v>29</x:v>
      </x:c>
      <x:c r="G446">
        <x:v>60</x:v>
      </x:c>
      <x:c r="J446" t="s">
        <x:v>2322</x:v>
      </x:c>
      <x:c r="K446">
        <x:v>74</x:v>
      </x:c>
      <x:c r="L446">
        <x:v>40</x:v>
      </x:c>
      <x:c r="M446">
        <x:v>81</x:v>
      </x:c>
      <x:c r="N446">
        <x:v>57</x:v>
      </x:c>
      <x:c r="O446">
        <x:v>82</x:v>
      </x:c>
      <x:c r="P446">
        <x:v>79</x:v>
      </x:c>
      <x:c r="Q446">
        <x:v>62</x:v>
      </x:c>
      <x:c r="R446">
        <x:v>47</x:v>
      </x:c>
      <x:c r="S446">
        <x:v>78</x:v>
      </x:c>
      <x:c r="T446">
        <x:v>48</x:v>
      </x:c>
      <x:c r="U446">
        <x:v>50</x:v>
      </x:c>
      <x:c r="V446">
        <x:v>65</x:v>
      </x:c>
      <x:c r="W446">
        <x:v>52</x:v>
      </x:c>
      <x:c r="X446">
        <x:v>75</x:v>
      </x:c>
      <x:c r="Y446">
        <x:v>72</x:v>
      </x:c>
      <x:c r="Z446">
        <x:v>51</x:v>
      </x:c>
      <x:c r="AA446">
        <x:v>54</x:v>
      </x:c>
    </x:row>
    <x:row r="447">
      <x:c r="A447" t="s">
        <x:v>1234</x:v>
      </x:c>
      <x:c r="B447" t="s">
        <x:v>584</x:v>
      </x:c>
      <x:c r="C447" t="s">
        <x:v>339</x:v>
      </x:c>
      <x:c r="D447">
        <x:v>8479022</x:v>
      </x:c>
      <x:c r="E447" t="s">
        <x:v>224</x:v>
      </x:c>
      <x:c r="F447">
        <x:v>42</x:v>
      </x:c>
      <x:c r="G447">
        <x:v>22</x:v>
      </x:c>
      <x:c r="J447" t="s">
        <x:v>2323</x:v>
      </x:c>
      <x:c r="K447">
        <x:v>70</x:v>
      </x:c>
      <x:c r="L447">
        <x:v>72</x:v>
      </x:c>
      <x:c r="M447">
        <x:v>81</x:v>
      </x:c>
      <x:c r="N447">
        <x:v>55</x:v>
      </x:c>
      <x:c r="O447">
        <x:v>83</x:v>
      </x:c>
      <x:c r="P447">
        <x:v>81</x:v>
      </x:c>
      <x:c r="Q447">
        <x:v>74</x:v>
      </x:c>
      <x:c r="R447">
        <x:v>48</x:v>
      </x:c>
      <x:c r="S447">
        <x:v>83</x:v>
      </x:c>
      <x:c r="T447">
        <x:v>52</x:v>
      </x:c>
      <x:c r="U447">
        <x:v>51</x:v>
      </x:c>
      <x:c r="V447">
        <x:v>65</x:v>
      </x:c>
      <x:c r="W447">
        <x:v>52</x:v>
      </x:c>
      <x:c r="X447">
        <x:v>66</x:v>
      </x:c>
      <x:c r="Y447">
        <x:v>68</x:v>
      </x:c>
      <x:c r="Z447">
        <x:v>51</x:v>
      </x:c>
      <x:c r="AA447">
        <x:v>53</x:v>
      </x:c>
    </x:row>
    <x:row r="448">
      <x:c r="A448" t="s">
        <x:v>342</x:v>
      </x:c>
      <x:c r="B448" t="s">
        <x:v>343</x:v>
      </x:c>
      <x:c r="C448" t="s">
        <x:v>326</x:v>
      </x:c>
      <x:c r="D448">
        <x:v>8478420</x:v>
      </x:c>
      <x:c r="E448" t="s">
        <x:v>224</x:v>
      </x:c>
      <x:c r="F448">
        <x:v>64</x:v>
      </x:c>
      <x:c r="G448">
        <x:v>82</x:v>
      </x:c>
      <x:c r="J448" t="s">
        <x:v>2324</x:v>
      </x:c>
      <x:c r="K448">
        <x:v>62</x:v>
      </x:c>
      <x:c r="L448">
        <x:v>74</x:v>
      </x:c>
      <x:c r="M448">
        <x:v>82</x:v>
      </x:c>
      <x:c r="N448">
        <x:v>51</x:v>
      </x:c>
      <x:c r="O448">
        <x:v>89</x:v>
      </x:c>
      <x:c r="P448">
        <x:v>92</x:v>
      </x:c>
      <x:c r="Q448">
        <x:v>86</x:v>
      </x:c>
      <x:c r="R448">
        <x:v>74</x:v>
      </x:c>
      <x:c r="S448">
        <x:v>75</x:v>
      </x:c>
      <x:c r="T448">
        <x:v>76</x:v>
      </x:c>
      <x:c r="U448">
        <x:v>59</x:v>
      </x:c>
      <x:c r="V448">
        <x:v>64</x:v>
      </x:c>
      <x:c r="W448">
        <x:v>88</x:v>
      </x:c>
      <x:c r="X448">
        <x:v>85</x:v>
      </x:c>
      <x:c r="Y448">
        <x:v>84</x:v>
      </x:c>
      <x:c r="Z448">
        <x:v>51</x:v>
      </x:c>
      <x:c r="AA448">
        <x:v>67</x:v>
      </x:c>
    </x:row>
    <x:row r="449">
      <x:c r="A449" t="s">
        <x:v>365</x:v>
      </x:c>
      <x:c r="B449" t="s">
        <x:v>366</x:v>
      </x:c>
      <x:c r="C449" t="s">
        <x:v>319</x:v>
      </x:c>
      <x:c r="D449">
        <x:v>8481559</x:v>
      </x:c>
      <x:c r="E449" t="s">
        <x:v>224</x:v>
      </x:c>
      <x:c r="F449">
        <x:v>61</x:v>
      </x:c>
      <x:c r="G449">
        <x:v>62</x:v>
      </x:c>
      <x:c r="J449" t="s">
        <x:v>2325</x:v>
      </x:c>
      <x:c r="K449">
        <x:v>56</x:v>
      </x:c>
      <x:c r="L449">
        <x:v>34</x:v>
      </x:c>
      <x:c r="M449">
        <x:v>96</x:v>
      </x:c>
      <x:c r="N449">
        <x:v>56</x:v>
      </x:c>
      <x:c r="O449">
        <x:v>75</x:v>
      </x:c>
      <x:c r="P449">
        <x:v>93</x:v>
      </x:c>
      <x:c r="Q449">
        <x:v>80</x:v>
      </x:c>
      <x:c r="R449">
        <x:v>74</x:v>
      </x:c>
      <x:c r="S449">
        <x:v>78</x:v>
      </x:c>
      <x:c r="T449">
        <x:v>65</x:v>
      </x:c>
      <x:c r="U449">
        <x:v>62</x:v>
      </x:c>
      <x:c r="V449">
        <x:v>64</x:v>
      </x:c>
      <x:c r="W449">
        <x:v>81</x:v>
      </x:c>
      <x:c r="X449">
        <x:v>75</x:v>
      </x:c>
      <x:c r="Y449">
        <x:v>82</x:v>
      </x:c>
      <x:c r="Z449">
        <x:v>51</x:v>
      </x:c>
      <x:c r="AA449">
        <x:v>66</x:v>
      </x:c>
    </x:row>
    <x:row r="450">
      <x:c r="A450" t="s">
        <x:v>418</x:v>
      </x:c>
      <x:c r="B450" t="s">
        <x:v>368</x:v>
      </x:c>
      <x:c r="C450" t="s">
        <x:v>358</x:v>
      </x:c>
      <x:c r="D450">
        <x:v>8482078</x:v>
      </x:c>
      <x:c r="E450" t="s">
        <x:v>224</x:v>
      </x:c>
      <x:c r="F450">
        <x:v>80</x:v>
      </x:c>
      <x:c r="G450">
        <x:v>82</x:v>
      </x:c>
      <x:c r="J450" t="s">
        <x:v>2129</x:v>
      </x:c>
      <x:c r="K450">
        <x:v>60</x:v>
      </x:c>
      <x:c r="L450">
        <x:v>34</x:v>
      </x:c>
      <x:c r="M450">
        <x:v>95</x:v>
      </x:c>
      <x:c r="N450">
        <x:v>55</x:v>
      </x:c>
      <x:c r="O450">
        <x:v>77</x:v>
      </x:c>
      <x:c r="P450">
        <x:v>90</x:v>
      </x:c>
      <x:c r="Q450">
        <x:v>97</x:v>
      </x:c>
      <x:c r="R450">
        <x:v>69</x:v>
      </x:c>
      <x:c r="S450">
        <x:v>69</x:v>
      </x:c>
      <x:c r="T450">
        <x:v>68</x:v>
      </x:c>
      <x:c r="U450">
        <x:v>59</x:v>
      </x:c>
      <x:c r="V450">
        <x:v>64</x:v>
      </x:c>
      <x:c r="W450">
        <x:v>91</x:v>
      </x:c>
      <x:c r="X450">
        <x:v>71</x:v>
      </x:c>
      <x:c r="Y450">
        <x:v>78</x:v>
      </x:c>
      <x:c r="Z450">
        <x:v>51</x:v>
      </x:c>
      <x:c r="AA450">
        <x:v>64</x:v>
      </x:c>
    </x:row>
    <x:row r="451">
      <x:c r="A451" t="s">
        <x:v>423</x:v>
      </x:c>
      <x:c r="B451" t="s">
        <x:v>400</x:v>
      </x:c>
      <x:c r="C451" t="s">
        <x:v>358</x:v>
      </x:c>
      <x:c r="D451">
        <x:v>8480801</x:v>
      </x:c>
      <x:c r="E451" t="s">
        <x:v>224</x:v>
      </x:c>
      <x:c r="F451">
        <x:v>60</x:v>
      </x:c>
      <x:c r="G451">
        <x:v>72</x:v>
      </x:c>
      <x:c r="J451" t="s">
        <x:v>2326</x:v>
      </x:c>
      <x:c r="K451">
        <x:v>74</x:v>
      </x:c>
      <x:c r="L451">
        <x:v>83</x:v>
      </x:c>
      <x:c r="M451">
        <x:v>85</x:v>
      </x:c>
      <x:c r="N451">
        <x:v>51</x:v>
      </x:c>
      <x:c r="O451">
        <x:v>89</x:v>
      </x:c>
      <x:c r="P451">
        <x:v>87</x:v>
      </x:c>
      <x:c r="Q451">
        <x:v>82</x:v>
      </x:c>
      <x:c r="R451">
        <x:v>65</x:v>
      </x:c>
      <x:c r="S451">
        <x:v>85</x:v>
      </x:c>
      <x:c r="T451">
        <x:v>71</x:v>
      </x:c>
      <x:c r="U451">
        <x:v>61</x:v>
      </x:c>
      <x:c r="V451">
        <x:v>64</x:v>
      </x:c>
      <x:c r="W451">
        <x:v>60</x:v>
      </x:c>
      <x:c r="X451">
        <x:v>77</x:v>
      </x:c>
      <x:c r="Y451">
        <x:v>89</x:v>
      </x:c>
      <x:c r="Z451">
        <x:v>51</x:v>
      </x:c>
      <x:c r="AA451">
        <x:v>64</x:v>
      </x:c>
    </x:row>
    <x:row r="452">
      <x:c r="A452" t="s">
        <x:v>431</x:v>
      </x:c>
      <x:c r="B452" t="s">
        <x:v>383</x:v>
      </x:c>
      <x:c r="C452" t="s">
        <x:v>329</x:v>
      </x:c>
      <x:c r="D452">
        <x:v>8476468</x:v>
      </x:c>
      <x:c r="E452" t="s">
        <x:v>224</x:v>
      </x:c>
      <x:c r="F452">
        <x:v>68</x:v>
      </x:c>
      <x:c r="G452">
        <x:v>72</x:v>
      </x:c>
      <x:c r="J452" t="s">
        <x:v>2327</x:v>
      </x:c>
      <x:c r="K452">
        <x:v>69</x:v>
      </x:c>
      <x:c r="L452">
        <x:v>66</x:v>
      </x:c>
      <x:c r="M452">
        <x:v>82</x:v>
      </x:c>
      <x:c r="N452">
        <x:v>58</x:v>
      </x:c>
      <x:c r="O452">
        <x:v>85</x:v>
      </x:c>
      <x:c r="P452">
        <x:v>91</x:v>
      </x:c>
      <x:c r="Q452">
        <x:v>88</x:v>
      </x:c>
      <x:c r="R452">
        <x:v>65</x:v>
      </x:c>
      <x:c r="S452">
        <x:v>92</x:v>
      </x:c>
      <x:c r="T452">
        <x:v>62</x:v>
      </x:c>
      <x:c r="U452">
        <x:v>57</x:v>
      </x:c>
      <x:c r="V452">
        <x:v>64</x:v>
      </x:c>
      <x:c r="W452">
        <x:v>82</x:v>
      </x:c>
      <x:c r="X452">
        <x:v>87</x:v>
      </x:c>
      <x:c r="Y452">
        <x:v>88</x:v>
      </x:c>
      <x:c r="Z452">
        <x:v>51</x:v>
      </x:c>
      <x:c r="AA452">
        <x:v>64</x:v>
      </x:c>
    </x:row>
    <x:row r="453">
      <x:c r="A453" t="s">
        <x:v>457</x:v>
      </x:c>
      <x:c r="B453" t="s">
        <x:v>334</x:v>
      </x:c>
      <x:c r="C453" t="s">
        <x:v>319</x:v>
      </x:c>
      <x:c r="D453">
        <x:v>8477500</x:v>
      </x:c>
      <x:c r="E453" t="s">
        <x:v>224</x:v>
      </x:c>
      <x:c r="F453">
        <x:v>68</x:v>
      </x:c>
      <x:c r="G453">
        <x:v>81</x:v>
      </x:c>
      <x:c r="J453" t="s">
        <x:v>2328</x:v>
      </x:c>
      <x:c r="K453">
        <x:v>62</x:v>
      </x:c>
      <x:c r="L453">
        <x:v>42</x:v>
      </x:c>
      <x:c r="M453">
        <x:v>86</x:v>
      </x:c>
      <x:c r="N453">
        <x:v>62</x:v>
      </x:c>
      <x:c r="O453">
        <x:v>88</x:v>
      </x:c>
      <x:c r="P453">
        <x:v>92</x:v>
      </x:c>
      <x:c r="Q453">
        <x:v>89</x:v>
      </x:c>
      <x:c r="R453">
        <x:v>63</x:v>
      </x:c>
      <x:c r="S453">
        <x:v>92</x:v>
      </x:c>
      <x:c r="T453">
        <x:v>54</x:v>
      </x:c>
      <x:c r="U453">
        <x:v>64</x:v>
      </x:c>
      <x:c r="V453">
        <x:v>64</x:v>
      </x:c>
      <x:c r="W453">
        <x:v>85</x:v>
      </x:c>
      <x:c r="X453">
        <x:v>83</x:v>
      </x:c>
      <x:c r="Y453">
        <x:v>88</x:v>
      </x:c>
      <x:c r="Z453">
        <x:v>51</x:v>
      </x:c>
      <x:c r="AA453">
        <x:v>63</x:v>
      </x:c>
    </x:row>
    <x:row r="454">
      <x:c r="A454" t="s">
        <x:v>462</x:v>
      </x:c>
      <x:c r="B454" t="s">
        <x:v>386</x:v>
      </x:c>
      <x:c r="C454" t="s">
        <x:v>333</x:v>
      </x:c>
      <x:c r="D454">
        <x:v>8477940</x:v>
      </x:c>
      <x:c r="E454" t="s">
        <x:v>224</x:v>
      </x:c>
      <x:c r="F454">
        <x:v>82</x:v>
      </x:c>
      <x:c r="G454">
        <x:v>69</x:v>
      </x:c>
      <x:c r="J454" t="s">
        <x:v>2329</x:v>
      </x:c>
      <x:c r="K454">
        <x:v>59</x:v>
      </x:c>
      <x:c r="L454">
        <x:v>36</x:v>
      </x:c>
      <x:c r="M454">
        <x:v>95</x:v>
      </x:c>
      <x:c r="N454">
        <x:v>61</x:v>
      </x:c>
      <x:c r="O454">
        <x:v>72</x:v>
      </x:c>
      <x:c r="P454">
        <x:v>87</x:v>
      </x:c>
      <x:c r="Q454">
        <x:v>97</x:v>
      </x:c>
      <x:c r="R454">
        <x:v>63</x:v>
      </x:c>
      <x:c r="S454">
        <x:v>68</x:v>
      </x:c>
      <x:c r="T454">
        <x:v>69</x:v>
      </x:c>
      <x:c r="U454">
        <x:v>63</x:v>
      </x:c>
      <x:c r="V454">
        <x:v>64</x:v>
      </x:c>
      <x:c r="W454">
        <x:v>56</x:v>
      </x:c>
      <x:c r="X454">
        <x:v>83</x:v>
      </x:c>
      <x:c r="Y454">
        <x:v>77</x:v>
      </x:c>
      <x:c r="Z454">
        <x:v>51</x:v>
      </x:c>
      <x:c r="AA454">
        <x:v>63</x:v>
      </x:c>
    </x:row>
    <x:row r="455">
      <x:c r="A455" t="s">
        <x:v>528</x:v>
      </x:c>
      <x:c r="B455" t="s">
        <x:v>439</x:v>
      </x:c>
      <x:c r="C455" t="s">
        <x:v>331</x:v>
      </x:c>
      <x:c r="D455">
        <x:v>8477950</x:v>
      </x:c>
      <x:c r="E455" t="s">
        <x:v>224</x:v>
      </x:c>
      <x:c r="F455">
        <x:v>76</x:v>
      </x:c>
      <x:c r="G455">
        <x:v>35</x:v>
      </x:c>
      <x:c r="J455" t="s">
        <x:v>2330</x:v>
      </x:c>
      <x:c r="K455">
        <x:v>68</x:v>
      </x:c>
      <x:c r="L455">
        <x:v>46</x:v>
      </x:c>
      <x:c r="M455">
        <x:v>85</x:v>
      </x:c>
      <x:c r="N455">
        <x:v>49</x:v>
      </x:c>
      <x:c r="O455">
        <x:v>77</x:v>
      </x:c>
      <x:c r="P455">
        <x:v>91</x:v>
      </x:c>
      <x:c r="Q455">
        <x:v>90</x:v>
      </x:c>
      <x:c r="R455">
        <x:v>46</x:v>
      </x:c>
      <x:c r="S455">
        <x:v>30</x:v>
      </x:c>
      <x:c r="T455">
        <x:v>61</x:v>
      </x:c>
      <x:c r="U455">
        <x:v>47</x:v>
      </x:c>
      <x:c r="V455">
        <x:v>64</x:v>
      </x:c>
      <x:c r="W455">
        <x:v>63</x:v>
      </x:c>
      <x:c r="X455">
        <x:v>78</x:v>
      </x:c>
      <x:c r="Y455">
        <x:v>72</x:v>
      </x:c>
      <x:c r="Z455">
        <x:v>51</x:v>
      </x:c>
      <x:c r="AA455">
        <x:v>61</x:v>
      </x:c>
    </x:row>
    <x:row r="456">
      <x:c r="A456" t="s">
        <x:v>553</x:v>
      </x:c>
      <x:c r="B456" t="s">
        <x:v>393</x:v>
      </x:c>
      <x:c r="C456" t="s">
        <x:v>333</x:v>
      </x:c>
      <x:c r="D456">
        <x:v>8475184</x:v>
      </x:c>
      <x:c r="E456" t="s">
        <x:v>224</x:v>
      </x:c>
      <x:c r="F456">
        <x:v>75</x:v>
      </x:c>
      <x:c r="G456">
        <x:v>68</x:v>
      </x:c>
      <x:c r="J456" t="s">
        <x:v>2235</x:v>
      </x:c>
      <x:c r="K456">
        <x:v>65</x:v>
      </x:c>
      <x:c r="L456">
        <x:v>43</x:v>
      </x:c>
      <x:c r="M456">
        <x:v>79</x:v>
      </x:c>
      <x:c r="N456">
        <x:v>56</x:v>
      </x:c>
      <x:c r="O456">
        <x:v>90</x:v>
      </x:c>
      <x:c r="P456">
        <x:v>88</x:v>
      </x:c>
      <x:c r="Q456">
        <x:v>91</x:v>
      </x:c>
      <x:c r="R456">
        <x:v>59</x:v>
      </x:c>
      <x:c r="S456">
        <x:v>70</x:v>
      </x:c>
      <x:c r="T456">
        <x:v>56</x:v>
      </x:c>
      <x:c r="U456">
        <x:v>60</x:v>
      </x:c>
      <x:c r="V456">
        <x:v>64</x:v>
      </x:c>
      <x:c r="W456">
        <x:v>57</x:v>
      </x:c>
      <x:c r="X456">
        <x:v>89</x:v>
      </x:c>
      <x:c r="Y456">
        <x:v>85</x:v>
      </x:c>
      <x:c r="Z456">
        <x:v>51</x:v>
      </x:c>
      <x:c r="AA456">
        <x:v>61</x:v>
      </x:c>
    </x:row>
    <x:row r="457">
      <x:c r="A457" t="s">
        <x:v>559</x:v>
      </x:c>
      <x:c r="B457" t="s">
        <x:v>366</x:v>
      </x:c>
      <x:c r="C457" t="s">
        <x:v>333</x:v>
      </x:c>
      <x:c r="D457">
        <x:v>8478414</x:v>
      </x:c>
      <x:c r="E457" t="s">
        <x:v>224</x:v>
      </x:c>
      <x:c r="F457">
        <x:v>77</x:v>
      </x:c>
      <x:c r="G457">
        <x:v>80</x:v>
      </x:c>
      <x:c r="J457" t="s">
        <x:v>2026</x:v>
      </x:c>
      <x:c r="K457">
        <x:v>69</x:v>
      </x:c>
      <x:c r="L457">
        <x:v>51</x:v>
      </x:c>
      <x:c r="M457">
        <x:v>90</x:v>
      </x:c>
      <x:c r="N457">
        <x:v>55</x:v>
      </x:c>
      <x:c r="O457">
        <x:v>87</x:v>
      </x:c>
      <x:c r="P457">
        <x:v>90</x:v>
      </x:c>
      <x:c r="Q457">
        <x:v>94</x:v>
      </x:c>
      <x:c r="R457">
        <x:v>59</x:v>
      </x:c>
      <x:c r="S457">
        <x:v>73</x:v>
      </x:c>
      <x:c r="T457">
        <x:v>53</x:v>
      </x:c>
      <x:c r="U457">
        <x:v>60</x:v>
      </x:c>
      <x:c r="V457">
        <x:v>64</x:v>
      </x:c>
      <x:c r="W457">
        <x:v>63</x:v>
      </x:c>
      <x:c r="X457">
        <x:v>82</x:v>
      </x:c>
      <x:c r="Y457">
        <x:v>77</x:v>
      </x:c>
      <x:c r="Z457">
        <x:v>51</x:v>
      </x:c>
      <x:c r="AA457">
        <x:v>61</x:v>
      </x:c>
    </x:row>
    <x:row r="458">
      <x:c r="A458" t="s">
        <x:v>629</x:v>
      </x:c>
      <x:c r="B458" t="s">
        <x:v>396</x:v>
      </x:c>
      <x:c r="C458" t="s">
        <x:v>329</x:v>
      </x:c>
      <x:c r="D458">
        <x:v>8481580</x:v>
      </x:c>
      <x:c r="E458" t="s">
        <x:v>224</x:v>
      </x:c>
      <x:c r="F458">
        <x:v>78</x:v>
      </x:c>
      <x:c r="G458">
        <x:v>82</x:v>
      </x:c>
      <x:c r="J458" t="s">
        <x:v>2019</x:v>
      </x:c>
      <x:c r="K458">
        <x:v>61</x:v>
      </x:c>
      <x:c r="L458">
        <x:v>38</x:v>
      </x:c>
      <x:c r="M458">
        <x:v>81</x:v>
      </x:c>
      <x:c r="N458">
        <x:v>60</x:v>
      </x:c>
      <x:c r="O458">
        <x:v>76</x:v>
      </x:c>
      <x:c r="P458">
        <x:v>87</x:v>
      </x:c>
      <x:c r="Q458">
        <x:v>96</x:v>
      </x:c>
      <x:c r="R458">
        <x:v>58</x:v>
      </x:c>
      <x:c r="S458">
        <x:v>81</x:v>
      </x:c>
      <x:c r="T458">
        <x:v>62</x:v>
      </x:c>
      <x:c r="U458">
        <x:v>57</x:v>
      </x:c>
      <x:c r="V458">
        <x:v>64</x:v>
      </x:c>
      <x:c r="W458">
        <x:v>63</x:v>
      </x:c>
      <x:c r="X458">
        <x:v>73</x:v>
      </x:c>
      <x:c r="Y458">
        <x:v>75</x:v>
      </x:c>
      <x:c r="Z458">
        <x:v>51</x:v>
      </x:c>
      <x:c r="AA458">
        <x:v>60</x:v>
      </x:c>
    </x:row>
    <x:row r="459">
      <x:c r="A459" t="s">
        <x:v>646</x:v>
      </x:c>
      <x:c r="B459" t="s">
        <x:v>361</x:v>
      </x:c>
      <x:c r="C459" t="s">
        <x:v>329</x:v>
      </x:c>
      <x:c r="D459">
        <x:v>8482659</x:v>
      </x:c>
      <x:c r="E459" t="s">
        <x:v>224</x:v>
      </x:c>
      <x:c r="F459">
        <x:v>82</x:v>
      </x:c>
      <x:c r="G459">
        <x:v>51</x:v>
      </x:c>
      <x:c r="J459" t="s">
        <x:v>2331</x:v>
      </x:c>
      <x:c r="K459">
        <x:v>65</x:v>
      </x:c>
      <x:c r="L459">
        <x:v>52</x:v>
      </x:c>
      <x:c r="M459">
        <x:v>94</x:v>
      </x:c>
      <x:c r="N459">
        <x:v>58</x:v>
      </x:c>
      <x:c r="O459">
        <x:v>80</x:v>
      </x:c>
      <x:c r="P459">
        <x:v>85</x:v>
      </x:c>
      <x:c r="Q459">
        <x:v>98</x:v>
      </x:c>
      <x:c r="R459">
        <x:v>56</x:v>
      </x:c>
      <x:c r="S459">
        <x:v>65</x:v>
      </x:c>
      <x:c r="T459">
        <x:v>57</x:v>
      </x:c>
      <x:c r="U459">
        <x:v>60</x:v>
      </x:c>
      <x:c r="V459">
        <x:v>64</x:v>
      </x:c>
      <x:c r="W459">
        <x:v>55</x:v>
      </x:c>
      <x:c r="X459">
        <x:v>69</x:v>
      </x:c>
      <x:c r="Y459">
        <x:v>65</x:v>
      </x:c>
      <x:c r="Z459">
        <x:v>51</x:v>
      </x:c>
      <x:c r="AA459">
        <x:v>59</x:v>
      </x:c>
    </x:row>
    <x:row r="460">
      <x:c r="A460" t="s">
        <x:v>653</x:v>
      </x:c>
      <x:c r="B460" t="s">
        <x:v>396</x:v>
      </x:c>
      <x:c r="C460" t="s">
        <x:v>333</x:v>
      </x:c>
      <x:c r="D460">
        <x:v>8482089</x:v>
      </x:c>
      <x:c r="E460" t="s">
        <x:v>224</x:v>
      </x:c>
      <x:c r="F460">
        <x:v>69</x:v>
      </x:c>
      <x:c r="G460">
        <x:v>82</x:v>
      </x:c>
      <x:c r="J460" t="s">
        <x:v>2175</x:v>
      </x:c>
      <x:c r="K460">
        <x:v>74</x:v>
      </x:c>
      <x:c r="L460">
        <x:v>63</x:v>
      </x:c>
      <x:c r="M460">
        <x:v>80</x:v>
      </x:c>
      <x:c r="N460">
        <x:v>51</x:v>
      </x:c>
      <x:c r="O460">
        <x:v>81</x:v>
      </x:c>
      <x:c r="P460">
        <x:v>85</x:v>
      </x:c>
      <x:c r="Q460">
        <x:v>89</x:v>
      </x:c>
      <x:c r="R460">
        <x:v>56</x:v>
      </x:c>
      <x:c r="S460">
        <x:v>65</x:v>
      </x:c>
      <x:c r="T460">
        <x:v>57</x:v>
      </x:c>
      <x:c r="U460">
        <x:v>57</x:v>
      </x:c>
      <x:c r="V460">
        <x:v>64</x:v>
      </x:c>
      <x:c r="W460">
        <x:v>83</x:v>
      </x:c>
      <x:c r="X460">
        <x:v>70</x:v>
      </x:c>
      <x:c r="Y460">
        <x:v>67</x:v>
      </x:c>
      <x:c r="Z460">
        <x:v>51</x:v>
      </x:c>
      <x:c r="AA460">
        <x:v>59</x:v>
      </x:c>
    </x:row>
    <x:row r="461">
      <x:c r="A461" t="s">
        <x:v>666</x:v>
      </x:c>
      <x:c r="B461" t="s">
        <x:v>402</x:v>
      </x:c>
      <x:c r="C461" t="s">
        <x:v>339</x:v>
      </x:c>
      <x:c r="D461">
        <x:v>8479400</x:v>
      </x:c>
      <x:c r="E461" t="s">
        <x:v>224</x:v>
      </x:c>
      <x:c r="F461">
        <x:v>29</x:v>
      </x:c>
      <x:c r="G461">
        <x:v>82</x:v>
      </x:c>
      <x:c r="J461" t="s">
        <x:v>2332</x:v>
      </x:c>
      <x:c r="K461">
        <x:v>63</x:v>
      </x:c>
      <x:c r="L461">
        <x:v>44</x:v>
      </x:c>
      <x:c r="M461">
        <x:v>94</x:v>
      </x:c>
      <x:c r="N461">
        <x:v>52</x:v>
      </x:c>
      <x:c r="O461">
        <x:v>87</x:v>
      </x:c>
      <x:c r="P461">
        <x:v>86</x:v>
      </x:c>
      <x:c r="Q461">
        <x:v>65</x:v>
      </x:c>
      <x:c r="R461">
        <x:v>57</x:v>
      </x:c>
      <x:c r="S461">
        <x:v>87</x:v>
      </x:c>
      <x:c r="T461">
        <x:v>59</x:v>
      </x:c>
      <x:c r="U461">
        <x:v>53</x:v>
      </x:c>
      <x:c r="V461">
        <x:v>64</x:v>
      </x:c>
      <x:c r="W461">
        <x:v>83</x:v>
      </x:c>
      <x:c r="X461">
        <x:v>80</x:v>
      </x:c>
      <x:c r="Y461">
        <x:v>77</x:v>
      </x:c>
      <x:c r="Z461">
        <x:v>51</x:v>
      </x:c>
      <x:c r="AA461">
        <x:v>59</x:v>
      </x:c>
    </x:row>
    <x:row r="462">
      <x:c r="A462" t="s">
        <x:v>723</x:v>
      </x:c>
      <x:c r="B462" t="s">
        <x:v>576</x:v>
      </x:c>
      <x:c r="C462" t="s">
        <x:v>339</x:v>
      </x:c>
      <x:c r="D462">
        <x:v>8480028</x:v>
      </x:c>
      <x:c r="E462" t="s">
        <x:v>224</x:v>
      </x:c>
      <x:c r="F462">
        <x:v>82</x:v>
      </x:c>
      <x:c r="G462">
        <x:v>81</x:v>
      </x:c>
      <x:c r="J462" t="s">
        <x:v>2102</x:v>
      </x:c>
      <x:c r="K462">
        <x:v>64</x:v>
      </x:c>
      <x:c r="L462">
        <x:v>33</x:v>
      </x:c>
      <x:c r="M462">
        <x:v>86</x:v>
      </x:c>
      <x:c r="N462">
        <x:v>58</x:v>
      </x:c>
      <x:c r="O462">
        <x:v>79</x:v>
      </x:c>
      <x:c r="P462">
        <x:v>86</x:v>
      </x:c>
      <x:c r="Q462">
        <x:v>98</x:v>
      </x:c>
      <x:c r="R462">
        <x:v>56</x:v>
      </x:c>
      <x:c r="S462">
        <x:v>90</x:v>
      </x:c>
      <x:c r="T462">
        <x:v>54</x:v>
      </x:c>
      <x:c r="U462">
        <x:v>59</x:v>
      </x:c>
      <x:c r="V462">
        <x:v>64</x:v>
      </x:c>
      <x:c r="W462">
        <x:v>86</x:v>
      </x:c>
      <x:c r="X462">
        <x:v>70</x:v>
      </x:c>
      <x:c r="Y462">
        <x:v>73</x:v>
      </x:c>
      <x:c r="Z462">
        <x:v>51</x:v>
      </x:c>
      <x:c r="AA462">
        <x:v>58</x:v>
      </x:c>
    </x:row>
    <x:row r="463">
      <x:c r="A463" t="s">
        <x:v>725</x:v>
      </x:c>
      <x:c r="B463" t="s">
        <x:v>364</x:v>
      </x:c>
      <x:c r="C463" t="s">
        <x:v>339</x:v>
      </x:c>
      <x:c r="D463">
        <x:v>8480855</x:v>
      </x:c>
      <x:c r="E463" t="s">
        <x:v>224</x:v>
      </x:c>
      <x:c r="F463">
        <x:v>75</x:v>
      </x:c>
      <x:c r="G463">
        <x:v>82</x:v>
      </x:c>
      <x:c r="J463" t="s">
        <x:v>2096</x:v>
      </x:c>
      <x:c r="K463">
        <x:v>83</x:v>
      </x:c>
      <x:c r="L463">
        <x:v>88</x:v>
      </x:c>
      <x:c r="M463">
        <x:v>76</x:v>
      </x:c>
      <x:c r="N463">
        <x:v>52</x:v>
      </x:c>
      <x:c r="O463">
        <x:v>87</x:v>
      </x:c>
      <x:c r="P463">
        <x:v>84</x:v>
      </x:c>
      <x:c r="Q463">
        <x:v>93</x:v>
      </x:c>
      <x:c r="R463">
        <x:v>53</x:v>
      </x:c>
      <x:c r="S463">
        <x:v>86</x:v>
      </x:c>
      <x:c r="T463">
        <x:v>54</x:v>
      </x:c>
      <x:c r="U463">
        <x:v>54</x:v>
      </x:c>
      <x:c r="V463">
        <x:v>64</x:v>
      </x:c>
      <x:c r="W463">
        <x:v>52</x:v>
      </x:c>
      <x:c r="X463">
        <x:v>70</x:v>
      </x:c>
      <x:c r="Y463">
        <x:v>66</x:v>
      </x:c>
      <x:c r="Z463">
        <x:v>51</x:v>
      </x:c>
      <x:c r="AA463">
        <x:v>58</x:v>
      </x:c>
    </x:row>
    <x:row r="464">
      <x:c r="A464" t="s">
        <x:v>739</x:v>
      </x:c>
      <x:c r="B464" t="s">
        <x:v>383</x:v>
      </x:c>
      <x:c r="C464" t="s">
        <x:v>333</x:v>
      </x:c>
      <x:c r="D464">
        <x:v>8477416</x:v>
      </x:c>
      <x:c r="E464" t="s">
        <x:v>224</x:v>
      </x:c>
      <x:c r="F464">
        <x:v>80</x:v>
      </x:c>
      <x:c r="G464">
        <x:v>79</x:v>
      </x:c>
      <x:c r="J464" t="s">
        <x:v>2333</x:v>
      </x:c>
      <x:c r="K464">
        <x:v>67</x:v>
      </x:c>
      <x:c r="L464">
        <x:v>40</x:v>
      </x:c>
      <x:c r="M464">
        <x:v>93</x:v>
      </x:c>
      <x:c r="N464">
        <x:v>49</x:v>
      </x:c>
      <x:c r="O464">
        <x:v>75</x:v>
      </x:c>
      <x:c r="P464">
        <x:v>84</x:v>
      </x:c>
      <x:c r="Q464">
        <x:v>97</x:v>
      </x:c>
      <x:c r="R464">
        <x:v>54</x:v>
      </x:c>
      <x:c r="S464">
        <x:v>68</x:v>
      </x:c>
      <x:c r="T464">
        <x:v>57</x:v>
      </x:c>
      <x:c r="U464">
        <x:v>57</x:v>
      </x:c>
      <x:c r="V464">
        <x:v>64</x:v>
      </x:c>
      <x:c r="W464">
        <x:v>67</x:v>
      </x:c>
      <x:c r="X464">
        <x:v>82</x:v>
      </x:c>
      <x:c r="Y464">
        <x:v>73</x:v>
      </x:c>
      <x:c r="Z464">
        <x:v>51</x:v>
      </x:c>
      <x:c r="AA464">
        <x:v>58</x:v>
      </x:c>
    </x:row>
    <x:row r="465">
      <x:c r="A465" t="s">
        <x:v>744</x:v>
      </x:c>
      <x:c r="B465" t="s">
        <x:v>352</x:v>
      </x:c>
      <x:c r="C465" t="s">
        <x:v>339</x:v>
      </x:c>
      <x:c r="D465">
        <x:v>8477426</x:v>
      </x:c>
      <x:c r="E465" t="s">
        <x:v>224</x:v>
      </x:c>
      <x:c r="F465">
        <x:v>51</x:v>
      </x:c>
      <x:c r="G465">
        <x:v>76</x:v>
      </x:c>
      <x:c r="J465" t="s">
        <x:v>2334</x:v>
      </x:c>
      <x:c r="K465">
        <x:v>69</x:v>
      </x:c>
      <x:c r="L465">
        <x:v>73</x:v>
      </x:c>
      <x:c r="M465">
        <x:v>87</x:v>
      </x:c>
      <x:c r="N465">
        <x:v>56</x:v>
      </x:c>
      <x:c r="O465">
        <x:v>91</x:v>
      </x:c>
      <x:c r="P465">
        <x:v>84</x:v>
      </x:c>
      <x:c r="Q465">
        <x:v>80</x:v>
      </x:c>
      <x:c r="R465">
        <x:v>52</x:v>
      </x:c>
      <x:c r="S465">
        <x:v>88</x:v>
      </x:c>
      <x:c r="T465">
        <x:v>51</x:v>
      </x:c>
      <x:c r="U465">
        <x:v>54</x:v>
      </x:c>
      <x:c r="V465">
        <x:v>64</x:v>
      </x:c>
      <x:c r="W465">
        <x:v>52</x:v>
      </x:c>
      <x:c r="X465">
        <x:v>79</x:v>
      </x:c>
      <x:c r="Y465">
        <x:v>79</x:v>
      </x:c>
      <x:c r="Z465">
        <x:v>51</x:v>
      </x:c>
      <x:c r="AA465">
        <x:v>58</x:v>
      </x:c>
    </x:row>
    <x:row r="466">
      <x:c r="A466" t="s">
        <x:v>752</x:v>
      </x:c>
      <x:c r="B466" t="s">
        <x:v>439</x:v>
      </x:c>
      <x:c r="C466" t="s">
        <x:v>333</x:v>
      </x:c>
      <x:c r="D466">
        <x:v>8482476</x:v>
      </x:c>
      <x:c r="E466" t="s">
        <x:v>224</x:v>
      </x:c>
      <x:c r="F466">
        <x:v>82</x:v>
      </x:c>
      <x:c r="G466">
        <x:v>62</x:v>
      </x:c>
      <x:c r="J466" t="s">
        <x:v>2335</x:v>
      </x:c>
      <x:c r="K466">
        <x:v>78</x:v>
      </x:c>
      <x:c r="L466">
        <x:v>40</x:v>
      </x:c>
      <x:c r="M466">
        <x:v>88</x:v>
      </x:c>
      <x:c r="N466">
        <x:v>64</x:v>
      </x:c>
      <x:c r="O466">
        <x:v>82</x:v>
      </x:c>
      <x:c r="P466">
        <x:v>86</x:v>
      </x:c>
      <x:c r="Q466">
        <x:v>96</x:v>
      </x:c>
      <x:c r="R466">
        <x:v>53</x:v>
      </x:c>
      <x:c r="S466">
        <x:v>67</x:v>
      </x:c>
      <x:c r="T466">
        <x:v>50</x:v>
      </x:c>
      <x:c r="U466">
        <x:v>58</x:v>
      </x:c>
      <x:c r="V466">
        <x:v>64</x:v>
      </x:c>
      <x:c r="W466">
        <x:v>78</x:v>
      </x:c>
      <x:c r="X466">
        <x:v>69</x:v>
      </x:c>
      <x:c r="Y466">
        <x:v>68</x:v>
      </x:c>
      <x:c r="Z466">
        <x:v>51</x:v>
      </x:c>
      <x:c r="AA466">
        <x:v>58</x:v>
      </x:c>
    </x:row>
    <x:row r="467">
      <x:c r="A467" t="s">
        <x:v>757</x:v>
      </x:c>
      <x:c r="B467" t="s">
        <x:v>420</x:v>
      </x:c>
      <x:c r="C467" t="s">
        <x:v>331</x:v>
      </x:c>
      <x:c r="D467">
        <x:v>8484798</x:v>
      </x:c>
      <x:c r="E467" t="s">
        <x:v>224</x:v>
      </x:c>
      <x:c r="F467">
        <x:v>76</x:v>
      </x:c>
      <x:c r="J467" t="s">
        <x:v>2336</x:v>
      </x:c>
      <x:c r="K467">
        <x:v>67</x:v>
      </x:c>
      <x:c r="L467">
        <x:v>45</x:v>
      </x:c>
      <x:c r="M467">
        <x:v>90</x:v>
      </x:c>
      <x:c r="N467">
        <x:v>44</x:v>
      </x:c>
      <x:c r="O467">
        <x:v>76</x:v>
      </x:c>
      <x:c r="P467">
        <x:v>90</x:v>
      </x:c>
      <x:c r="Q467">
        <x:v>92</x:v>
      </x:c>
      <x:c r="R467">
        <x:v>41</x:v>
      </x:c>
      <x:c r="S467">
        <x:v>30</x:v>
      </x:c>
      <x:c r="T467">
        <x:v>54</x:v>
      </x:c>
      <x:c r="U467">
        <x:v>48</x:v>
      </x:c>
      <x:c r="V467">
        <x:v>64</x:v>
      </x:c>
      <x:c r="W467">
        <x:v>51</x:v>
      </x:c>
      <x:c r="X467">
        <x:v>68</x:v>
      </x:c>
      <x:c r="Y467">
        <x:v>66</x:v>
      </x:c>
      <x:c r="Z467">
        <x:v>54</x:v>
      </x:c>
      <x:c r="AA467">
        <x:v>58</x:v>
      </x:c>
    </x:row>
    <x:row r="468">
      <x:c r="A468" t="s">
        <x:v>765</x:v>
      </x:c>
      <x:c r="B468" t="s">
        <x:v>372</x:v>
      </x:c>
      <x:c r="C468" t="s">
        <x:v>323</x:v>
      </x:c>
      <x:c r="D468">
        <x:v>8482145</x:v>
      </x:c>
      <x:c r="E468" t="s">
        <x:v>224</x:v>
      </x:c>
      <x:c r="F468">
        <x:v>82</x:v>
      </x:c>
      <x:c r="G468">
        <x:v>73</x:v>
      </x:c>
      <x:c r="J468" t="s">
        <x:v>2034</x:v>
      </x:c>
      <x:c r="K468">
        <x:v>65</x:v>
      </x:c>
      <x:c r="L468">
        <x:v>32</x:v>
      </x:c>
      <x:c r="M468">
        <x:v>93</x:v>
      </x:c>
      <x:c r="N468">
        <x:v>54</x:v>
      </x:c>
      <x:c r="O468">
        <x:v>77</x:v>
      </x:c>
      <x:c r="P468">
        <x:v>86</x:v>
      </x:c>
      <x:c r="Q468">
        <x:v>97</x:v>
      </x:c>
      <x:c r="R468">
        <x:v>56</x:v>
      </x:c>
      <x:c r="S468">
        <x:v>79</x:v>
      </x:c>
      <x:c r="T468">
        <x:v>54</x:v>
      </x:c>
      <x:c r="U468">
        <x:v>58</x:v>
      </x:c>
      <x:c r="V468">
        <x:v>64</x:v>
      </x:c>
      <x:c r="W468">
        <x:v>52</x:v>
      </x:c>
      <x:c r="X468">
        <x:v>69</x:v>
      </x:c>
      <x:c r="Y468">
        <x:v>71</x:v>
      </x:c>
      <x:c r="Z468">
        <x:v>51</x:v>
      </x:c>
      <x:c r="AA468">
        <x:v>58</x:v>
      </x:c>
    </x:row>
    <x:row r="469">
      <x:c r="A469" t="s">
        <x:v>822</x:v>
      </x:c>
      <x:c r="B469" t="s">
        <x:v>436</x:v>
      </x:c>
      <x:c r="C469" t="s">
        <x:v>329</x:v>
      </x:c>
      <x:c r="D469">
        <x:v>8478233</x:v>
      </x:c>
      <x:c r="E469" t="s">
        <x:v>224</x:v>
      </x:c>
      <x:c r="F469">
        <x:v>62</x:v>
      </x:c>
      <x:c r="G469">
        <x:v>81</x:v>
      </x:c>
      <x:c r="J469" t="s">
        <x:v>2337</x:v>
      </x:c>
      <x:c r="K469">
        <x:v>68</x:v>
      </x:c>
      <x:c r="L469">
        <x:v>33</x:v>
      </x:c>
      <x:c r="M469">
        <x:v>88</x:v>
      </x:c>
      <x:c r="N469">
        <x:v>55</x:v>
      </x:c>
      <x:c r="O469">
        <x:v>76</x:v>
      </x:c>
      <x:c r="P469">
        <x:v>83</x:v>
      </x:c>
      <x:c r="Q469">
        <x:v>85</x:v>
      </x:c>
      <x:c r="R469">
        <x:v>52</x:v>
      </x:c>
      <x:c r="S469">
        <x:v>67</x:v>
      </x:c>
      <x:c r="T469">
        <x:v>51</x:v>
      </x:c>
      <x:c r="U469">
        <x:v>54</x:v>
      </x:c>
      <x:c r="V469">
        <x:v>64</x:v>
      </x:c>
      <x:c r="W469">
        <x:v>54</x:v>
      </x:c>
      <x:c r="X469">
        <x:v>79</x:v>
      </x:c>
      <x:c r="Y469">
        <x:v>76</x:v>
      </x:c>
      <x:c r="Z469">
        <x:v>51</x:v>
      </x:c>
      <x:c r="AA469">
        <x:v>57</x:v>
      </x:c>
    </x:row>
    <x:row r="470">
      <x:c r="A470" t="s">
        <x:v>832</x:v>
      </x:c>
      <x:c r="B470" t="s">
        <x:v>368</x:v>
      </x:c>
      <x:c r="C470" t="s">
        <x:v>329</x:v>
      </x:c>
      <x:c r="D470">
        <x:v>8477456</x:v>
      </x:c>
      <x:c r="E470" t="s">
        <x:v>224</x:v>
      </x:c>
      <x:c r="F470">
        <x:v>82</x:v>
      </x:c>
      <x:c r="G470">
        <x:v>76</x:v>
      </x:c>
      <x:c r="J470" t="s">
        <x:v>2014</x:v>
      </x:c>
      <x:c r="K470">
        <x:v>59</x:v>
      </x:c>
      <x:c r="L470">
        <x:v>49</x:v>
      </x:c>
      <x:c r="M470">
        <x:v>93</x:v>
      </x:c>
      <x:c r="N470">
        <x:v>57</x:v>
      </x:c>
      <x:c r="O470">
        <x:v>78</x:v>
      </x:c>
      <x:c r="P470">
        <x:v>86</x:v>
      </x:c>
      <x:c r="Q470">
        <x:v>98</x:v>
      </x:c>
      <x:c r="R470">
        <x:v>54</x:v>
      </x:c>
      <x:c r="S470">
        <x:v>88</x:v>
      </x:c>
      <x:c r="T470">
        <x:v>53</x:v>
      </x:c>
      <x:c r="U470">
        <x:v>53</x:v>
      </x:c>
      <x:c r="V470">
        <x:v>64</x:v>
      </x:c>
      <x:c r="W470">
        <x:v>53</x:v>
      </x:c>
      <x:c r="X470">
        <x:v>82</x:v>
      </x:c>
      <x:c r="Y470">
        <x:v>75</x:v>
      </x:c>
      <x:c r="Z470">
        <x:v>51</x:v>
      </x:c>
      <x:c r="AA470">
        <x:v>57</x:v>
      </x:c>
    </x:row>
    <x:row r="471">
      <x:c r="A471" t="s">
        <x:v>843</x:v>
      </x:c>
      <x:c r="B471" t="s">
        <x:v>420</x:v>
      </x:c>
      <x:c r="C471" t="s">
        <x:v>333</x:v>
      </x:c>
      <x:c r="D471">
        <x:v>8482055</x:v>
      </x:c>
      <x:c r="E471" t="s">
        <x:v>224</x:v>
      </x:c>
      <x:c r="F471">
        <x:v>82</x:v>
      </x:c>
      <x:c r="G471">
        <x:v>84</x:v>
      </x:c>
      <x:c r="J471" t="s">
        <x:v>2338</x:v>
      </x:c>
      <x:c r="K471">
        <x:v>66</x:v>
      </x:c>
      <x:c r="L471">
        <x:v>58</x:v>
      </x:c>
      <x:c r="M471">
        <x:v>82</x:v>
      </x:c>
      <x:c r="N471">
        <x:v>61</x:v>
      </x:c>
      <x:c r="O471">
        <x:v>84</x:v>
      </x:c>
      <x:c r="P471">
        <x:v>85</x:v>
      </x:c>
      <x:c r="Q471">
        <x:v>99</x:v>
      </x:c>
      <x:c r="R471">
        <x:v>53</x:v>
      </x:c>
      <x:c r="S471">
        <x:v>73</x:v>
      </x:c>
      <x:c r="T471">
        <x:v>51</x:v>
      </x:c>
      <x:c r="U471">
        <x:v>57</x:v>
      </x:c>
      <x:c r="V471">
        <x:v>64</x:v>
      </x:c>
      <x:c r="W471">
        <x:v>52</x:v>
      </x:c>
      <x:c r="X471">
        <x:v>70</x:v>
      </x:c>
      <x:c r="Y471">
        <x:v>70</x:v>
      </x:c>
      <x:c r="Z471">
        <x:v>51</x:v>
      </x:c>
      <x:c r="AA471">
        <x:v>57</x:v>
      </x:c>
    </x:row>
    <x:row r="472">
      <x:c r="A472" t="s">
        <x:v>875</x:v>
      </x:c>
      <x:c r="B472" t="s">
        <x:v>354</x:v>
      </x:c>
      <x:c r="C472" t="s">
        <x:v>333</x:v>
      </x:c>
      <x:c r="D472">
        <x:v>8478109</x:v>
      </x:c>
      <x:c r="E472" t="s">
        <x:v>224</x:v>
      </x:c>
      <x:c r="F472">
        <x:v>78</x:v>
      </x:c>
      <x:c r="G472">
        <x:v>56</x:v>
      </x:c>
      <x:c r="J472" t="s">
        <x:v>2339</x:v>
      </x:c>
      <x:c r="K472">
        <x:v>59</x:v>
      </x:c>
      <x:c r="L472">
        <x:v>32</x:v>
      </x:c>
      <x:c r="M472">
        <x:v>90</x:v>
      </x:c>
      <x:c r="N472">
        <x:v>53</x:v>
      </x:c>
      <x:c r="O472">
        <x:v>76</x:v>
      </x:c>
      <x:c r="P472">
        <x:v>84</x:v>
      </x:c>
      <x:c r="Q472">
        <x:v>92</x:v>
      </x:c>
      <x:c r="R472">
        <x:v>55</x:v>
      </x:c>
      <x:c r="S472">
        <x:v>66</x:v>
      </x:c>
      <x:c r="T472">
        <x:v>55</x:v>
      </x:c>
      <x:c r="U472">
        <x:v>57</x:v>
      </x:c>
      <x:c r="V472">
        <x:v>64</x:v>
      </x:c>
      <x:c r="W472">
        <x:v>69</x:v>
      </x:c>
      <x:c r="X472">
        <x:v>75</x:v>
      </x:c>
      <x:c r="Y472">
        <x:v>75</x:v>
      </x:c>
      <x:c r="Z472">
        <x:v>51</x:v>
      </x:c>
      <x:c r="AA472">
        <x:v>57</x:v>
      </x:c>
    </x:row>
    <x:row r="473">
      <x:c r="A473" t="s">
        <x:v>900</x:v>
      </x:c>
      <x:c r="B473" t="s">
        <x:v>361</x:v>
      </x:c>
      <x:c r="C473" t="s">
        <x:v>329</x:v>
      </x:c>
      <x:c r="D473">
        <x:v>8483468</x:v>
      </x:c>
      <x:c r="E473" t="s">
        <x:v>224</x:v>
      </x:c>
      <x:c r="F473">
        <x:v>12</x:v>
      </x:c>
      <x:c r="G473">
        <x:v>62</x:v>
      </x:c>
      <x:c r="J473" t="s">
        <x:v>2340</x:v>
      </x:c>
      <x:c r="K473">
        <x:v>63</x:v>
      </x:c>
      <x:c r="L473">
        <x:v>34</x:v>
      </x:c>
      <x:c r="M473">
        <x:v>93</x:v>
      </x:c>
      <x:c r="N473">
        <x:v>55</x:v>
      </x:c>
      <x:c r="O473">
        <x:v>79</x:v>
      </x:c>
      <x:c r="P473">
        <x:v>84</x:v>
      </x:c>
      <x:c r="Q473">
        <x:v>43</x:v>
      </x:c>
      <x:c r="R473">
        <x:v>53</x:v>
      </x:c>
      <x:c r="S473">
        <x:v>84</x:v>
      </x:c>
      <x:c r="T473">
        <x:v>51</x:v>
      </x:c>
      <x:c r="U473">
        <x:v>55</x:v>
      </x:c>
      <x:c r="V473">
        <x:v>64</x:v>
      </x:c>
      <x:c r="W473">
        <x:v>52</x:v>
      </x:c>
      <x:c r="X473">
        <x:v>67</x:v>
      </x:c>
      <x:c r="Y473">
        <x:v>66</x:v>
      </x:c>
      <x:c r="Z473">
        <x:v>51</x:v>
      </x:c>
      <x:c r="AA473">
        <x:v>56</x:v>
      </x:c>
    </x:row>
    <x:row r="474">
      <x:c r="A474" t="s">
        <x:v>954</x:v>
      </x:c>
      <x:c r="B474" t="s">
        <x:v>584</x:v>
      </x:c>
      <x:c r="C474" t="s">
        <x:v>333</x:v>
      </x:c>
      <x:c r="D474">
        <x:v>8476438</x:v>
      </x:c>
      <x:c r="E474" t="s">
        <x:v>224</x:v>
      </x:c>
      <x:c r="F474">
        <x:v>49</x:v>
      </x:c>
      <x:c r="G474">
        <x:v>72</x:v>
      </x:c>
      <x:c r="J474" t="s">
        <x:v>2341</x:v>
      </x:c>
      <x:c r="K474">
        <x:v>58</x:v>
      </x:c>
      <x:c r="L474">
        <x:v>39</x:v>
      </x:c>
      <x:c r="M474">
        <x:v>85</x:v>
      </x:c>
      <x:c r="N474">
        <x:v>57</x:v>
      </x:c>
      <x:c r="O474">
        <x:v>83</x:v>
      </x:c>
      <x:c r="P474">
        <x:v>84</x:v>
      </x:c>
      <x:c r="Q474">
        <x:v>78</x:v>
      </x:c>
      <x:c r="R474">
        <x:v>51</x:v>
      </x:c>
      <x:c r="S474">
        <x:v>68</x:v>
      </x:c>
      <x:c r="T474">
        <x:v>51</x:v>
      </x:c>
      <x:c r="U474">
        <x:v>51</x:v>
      </x:c>
      <x:c r="V474">
        <x:v>64</x:v>
      </x:c>
      <x:c r="W474">
        <x:v>54</x:v>
      </x:c>
      <x:c r="X474">
        <x:v>89</x:v>
      </x:c>
      <x:c r="Y474">
        <x:v>77</x:v>
      </x:c>
      <x:c r="Z474">
        <x:v>51</x:v>
      </x:c>
      <x:c r="AA474">
        <x:v>56</x:v>
      </x:c>
    </x:row>
    <x:row r="475">
      <x:c r="A475" t="s">
        <x:v>991</x:v>
      </x:c>
      <x:c r="B475" t="s">
        <x:v>584</x:v>
      </x:c>
      <x:c r="C475" t="s">
        <x:v>323</x:v>
      </x:c>
      <x:c r="D475">
        <x:v>8479414</x:v>
      </x:c>
      <x:c r="E475" t="s">
        <x:v>224</x:v>
      </x:c>
      <x:c r="F475">
        <x:v>36</x:v>
      </x:c>
      <x:c r="G475">
        <x:v>59</x:v>
      </x:c>
      <x:c r="J475" t="s">
        <x:v>2342</x:v>
      </x:c>
      <x:c r="K475">
        <x:v>84</x:v>
      </x:c>
      <x:c r="L475">
        <x:v>75</x:v>
      </x:c>
      <x:c r="M475">
        <x:v>74</x:v>
      </x:c>
      <x:c r="N475">
        <x:v>48</x:v>
      </x:c>
      <x:c r="O475">
        <x:v>86</x:v>
      </x:c>
      <x:c r="P475">
        <x:v>79</x:v>
      </x:c>
      <x:c r="Q475">
        <x:v>72</x:v>
      </x:c>
      <x:c r="R475">
        <x:v>47</x:v>
      </x:c>
      <x:c r="S475">
        <x:v>63</x:v>
      </x:c>
      <x:c r="T475">
        <x:v>49</x:v>
      </x:c>
      <x:c r="U475">
        <x:v>56</x:v>
      </x:c>
      <x:c r="V475">
        <x:v>64</x:v>
      </x:c>
      <x:c r="W475">
        <x:v>52</x:v>
      </x:c>
      <x:c r="X475">
        <x:v>73</x:v>
      </x:c>
      <x:c r="Y475">
        <x:v>69</x:v>
      </x:c>
      <x:c r="Z475">
        <x:v>51</x:v>
      </x:c>
      <x:c r="AA475">
        <x:v>55</x:v>
      </x:c>
    </x:row>
    <x:row r="476">
      <x:c r="A476" t="s">
        <x:v>1213</x:v>
      </x:c>
      <x:c r="B476" t="s">
        <x:v>383</x:v>
      </x:c>
      <x:c r="C476" t="s">
        <x:v>333</x:v>
      </x:c>
      <x:c r="D476">
        <x:v>8482877</x:v>
      </x:c>
      <x:c r="E476" t="s">
        <x:v>224</x:v>
      </x:c>
      <x:c r="F476">
        <x:v>28</x:v>
      </x:c>
      <x:c r="J476" t="s">
        <x:v>2343</x:v>
      </x:c>
      <x:c r="K476">
        <x:v>80</x:v>
      </x:c>
      <x:c r="L476">
        <x:v>69</x:v>
      </x:c>
      <x:c r="M476">
        <x:v>91</x:v>
      </x:c>
      <x:c r="N476">
        <x:v>70</x:v>
      </x:c>
      <x:c r="O476">
        <x:v>89</x:v>
      </x:c>
      <x:c r="P476">
        <x:v>80</x:v>
      </x:c>
      <x:c r="Q476">
        <x:v>91</x:v>
      </x:c>
      <x:c r="R476">
        <x:v>49</x:v>
      </x:c>
      <x:c r="S476">
        <x:v>63</x:v>
      </x:c>
      <x:c r="T476">
        <x:v>49</x:v>
      </x:c>
      <x:c r="U476">
        <x:v>54</x:v>
      </x:c>
      <x:c r="V476">
        <x:v>64</x:v>
      </x:c>
      <x:c r="W476">
        <x:v>54</x:v>
      </x:c>
      <x:c r="X476">
        <x:v>65</x:v>
      </x:c>
      <x:c r="Y476">
        <x:v>66</x:v>
      </x:c>
      <x:c r="Z476">
        <x:v>51</x:v>
      </x:c>
      <x:c r="AA476">
        <x:v>53</x:v>
      </x:c>
    </x:row>
    <x:row r="477">
      <x:c r="A477" t="s">
        <x:v>1242</x:v>
      </x:c>
      <x:c r="B477" t="s">
        <x:v>379</x:v>
      </x:c>
      <x:c r="C477" t="s">
        <x:v>319</x:v>
      </x:c>
      <x:c r="D477">
        <x:v>8481532</x:v>
      </x:c>
      <x:c r="E477" t="s">
        <x:v>224</x:v>
      </x:c>
      <x:c r="F477">
        <x:v>62</x:v>
      </x:c>
      <x:c r="G477">
        <x:v>68</x:v>
      </x:c>
      <x:c r="J477" t="s">
        <x:v>2169</x:v>
      </x:c>
      <x:c r="K477">
        <x:v>66</x:v>
      </x:c>
      <x:c r="L477">
        <x:v>47</x:v>
      </x:c>
      <x:c r="M477">
        <x:v>85</x:v>
      </x:c>
      <x:c r="N477">
        <x:v>64</x:v>
      </x:c>
      <x:c r="O477">
        <x:v>79</x:v>
      </x:c>
      <x:c r="P477">
        <x:v>82</x:v>
      </x:c>
      <x:c r="Q477">
        <x:v>82</x:v>
      </x:c>
      <x:c r="R477">
        <x:v>52</x:v>
      </x:c>
      <x:c r="S477">
        <x:v>84</x:v>
      </x:c>
      <x:c r="T477">
        <x:v>54</x:v>
      </x:c>
      <x:c r="U477">
        <x:v>52</x:v>
      </x:c>
      <x:c r="V477">
        <x:v>64</x:v>
      </x:c>
      <x:c r="W477">
        <x:v>52</x:v>
      </x:c>
      <x:c r="X477">
        <x:v>69</x:v>
      </x:c>
      <x:c r="Y477">
        <x:v>67</x:v>
      </x:c>
      <x:c r="Z477">
        <x:v>51</x:v>
      </x:c>
      <x:c r="AA477">
        <x:v>53</x:v>
      </x:c>
    </x:row>
    <x:row r="478">
      <x:c r="A478" t="s">
        <x:v>1306</x:v>
      </x:c>
      <x:c r="B478" t="s">
        <x:v>584</x:v>
      </x:c>
      <x:c r="C478" t="s">
        <x:v>326</x:v>
      </x:c>
      <x:c r="D478">
        <x:v>8477392</x:v>
      </x:c>
      <x:c r="E478" t="s">
        <x:v>224</x:v>
      </x:c>
      <x:c r="G478">
        <x:v>43</x:v>
      </x:c>
      <x:c r="J478" t="s">
        <x:v>2273</x:v>
      </x:c>
      <x:c r="K478">
        <x:v>65</x:v>
      </x:c>
      <x:c r="L478">
        <x:v>33</x:v>
      </x:c>
      <x:c r="M478">
        <x:v>91</x:v>
      </x:c>
      <x:c r="N478">
        <x:v>53</x:v>
      </x:c>
      <x:c r="O478">
        <x:v>85</x:v>
      </x:c>
      <x:c r="P478">
        <x:v>84</x:v>
      </x:c>
      <x:c r="Q478">
        <x:v>87</x:v>
      </x:c>
      <x:c r="R478">
        <x:v>40</x:v>
      </x:c>
      <x:c r="S478">
        <x:v>64</x:v>
      </x:c>
      <x:c r="T478">
        <x:v>48</x:v>
      </x:c>
      <x:c r="U478">
        <x:v>50</x:v>
      </x:c>
      <x:c r="V478">
        <x:v>64</x:v>
      </x:c>
      <x:c r="W478">
        <x:v>61</x:v>
      </x:c>
      <x:c r="X478">
        <x:v>69</x:v>
      </x:c>
      <x:c r="Y478">
        <x:v>73</x:v>
      </x:c>
      <x:c r="Z478">
        <x:v>51</x:v>
      </x:c>
      <x:c r="AA478">
        <x:v>52</x:v>
      </x:c>
    </x:row>
    <x:row r="479">
      <x:c r="A479" t="s">
        <x:v>318</x:v>
      </x:c>
      <x:c r="B479" t="s">
        <x:v>320</x:v>
      </x:c>
      <x:c r="C479" t="s">
        <x:v>319</x:v>
      </x:c>
      <x:c r="D479">
        <x:v>8478402</x:v>
      </x:c>
      <x:c r="E479" t="s">
        <x:v>224</x:v>
      </x:c>
      <x:c r="F479">
        <x:v>82</x:v>
      </x:c>
      <x:c r="G479">
        <x:v>67</x:v>
      </x:c>
      <x:c r="J479" t="s">
        <x:v>2344</x:v>
      </x:c>
      <x:c r="K479">
        <x:v>59</x:v>
      </x:c>
      <x:c r="L479">
        <x:v>38</x:v>
      </x:c>
      <x:c r="M479">
        <x:v>93</x:v>
      </x:c>
      <x:c r="N479">
        <x:v>75</x:v>
      </x:c>
      <x:c r="O479">
        <x:v>79</x:v>
      </x:c>
      <x:c r="P479">
        <x:v>94</x:v>
      </x:c>
      <x:c r="Q479">
        <x:v>97</x:v>
      </x:c>
      <x:c r="R479">
        <x:v>78</x:v>
      </x:c>
      <x:c r="S479">
        <x:v>88</x:v>
      </x:c>
      <x:c r="T479">
        <x:v>81</x:v>
      </x:c>
      <x:c r="U479">
        <x:v>71</x:v>
      </x:c>
      <x:c r="V479">
        <x:v>63</x:v>
      </x:c>
      <x:c r="W479">
        <x:v>88</x:v>
      </x:c>
      <x:c r="X479">
        <x:v>87</x:v>
      </x:c>
      <x:c r="Y479">
        <x:v>93</x:v>
      </x:c>
      <x:c r="Z479">
        <x:v>51</x:v>
      </x:c>
      <x:c r="AA479">
        <x:v>71</x:v>
      </x:c>
    </x:row>
    <x:row r="480">
      <x:c r="A480" t="s">
        <x:v>322</x:v>
      </x:c>
      <x:c r="B480" t="s">
        <x:v>324</x:v>
      </x:c>
      <x:c r="C480" t="s">
        <x:v>323</x:v>
      </x:c>
      <x:c r="D480">
        <x:v>8477492</x:v>
      </x:c>
      <x:c r="E480" t="s">
        <x:v>224</x:v>
      </x:c>
      <x:c r="F480">
        <x:v>80</x:v>
      </x:c>
      <x:c r="G480">
        <x:v>79</x:v>
      </x:c>
      <x:c r="J480" t="s">
        <x:v>2333</x:v>
      </x:c>
      <x:c r="K480">
        <x:v>61</x:v>
      </x:c>
      <x:c r="L480">
        <x:v>59</x:v>
      </x:c>
      <x:c r="M480">
        <x:v>92</x:v>
      </x:c>
      <x:c r="N480">
        <x:v>70</x:v>
      </x:c>
      <x:c r="O480">
        <x:v>80</x:v>
      </x:c>
      <x:c r="P480">
        <x:v>94</x:v>
      </x:c>
      <x:c r="Q480">
        <x:v>97</x:v>
      </x:c>
      <x:c r="R480">
        <x:v>77</x:v>
      </x:c>
      <x:c r="S480">
        <x:v>90</x:v>
      </x:c>
      <x:c r="T480">
        <x:v>82</x:v>
      </x:c>
      <x:c r="U480">
        <x:v>74</x:v>
      </x:c>
      <x:c r="V480">
        <x:v>63</x:v>
      </x:c>
      <x:c r="W480">
        <x:v>84</x:v>
      </x:c>
      <x:c r="X480">
        <x:v>88</x:v>
      </x:c>
      <x:c r="Y480">
        <x:v>90</x:v>
      </x:c>
      <x:c r="Z480">
        <x:v>51</x:v>
      </x:c>
      <x:c r="AA480">
        <x:v>71</x:v>
      </x:c>
    </x:row>
    <x:row r="481">
      <x:c r="A481" t="s">
        <x:v>328</x:v>
      </x:c>
      <x:c r="B481" t="s">
        <x:v>320</x:v>
      </x:c>
      <x:c r="C481" t="s">
        <x:v>329</x:v>
      </x:c>
      <x:c r="D481">
        <x:v>8477934</x:v>
      </x:c>
      <x:c r="E481" t="s">
        <x:v>224</x:v>
      </x:c>
      <x:c r="F481">
        <x:v>65</x:v>
      </x:c>
      <x:c r="G481">
        <x:v>71</x:v>
      </x:c>
      <x:c r="J481" t="s">
        <x:v>2286</x:v>
      </x:c>
      <x:c r="K481">
        <x:v>59</x:v>
      </x:c>
      <x:c r="L481">
        <x:v>43</x:v>
      </x:c>
      <x:c r="M481">
        <x:v>87</x:v>
      </x:c>
      <x:c r="N481">
        <x:v>59</x:v>
      </x:c>
      <x:c r="O481">
        <x:v>84</x:v>
      </x:c>
      <x:c r="P481">
        <x:v>93</x:v>
      </x:c>
      <x:c r="Q481">
        <x:v>85</x:v>
      </x:c>
      <x:c r="R481">
        <x:v>79</x:v>
      </x:c>
      <x:c r="S481">
        <x:v>92</x:v>
      </x:c>
      <x:c r="T481">
        <x:v>80</x:v>
      </x:c>
      <x:c r="U481">
        <x:v>70</x:v>
      </x:c>
      <x:c r="V481">
        <x:v>63</x:v>
      </x:c>
      <x:c r="W481">
        <x:v>85</x:v>
      </x:c>
      <x:c r="X481">
        <x:v>87</x:v>
      </x:c>
      <x:c r="Y481">
        <x:v>89</x:v>
      </x:c>
      <x:c r="Z481">
        <x:v>51</x:v>
      </x:c>
      <x:c r="AA481">
        <x:v>70</x:v>
      </x:c>
    </x:row>
    <x:row r="482">
      <x:c r="A482" t="s">
        <x:v>357</x:v>
      </x:c>
      <x:c r="B482" t="s">
        <x:v>345</x:v>
      </x:c>
      <x:c r="C482" t="s">
        <x:v>358</x:v>
      </x:c>
      <x:c r="D482">
        <x:v>8478864</x:v>
      </x:c>
      <x:c r="E482" t="s">
        <x:v>224</x:v>
      </x:c>
      <x:c r="F482">
        <x:v>78</x:v>
      </x:c>
      <x:c r="G482">
        <x:v>41</x:v>
      </x:c>
      <x:c r="J482" t="s">
        <x:v>2345</x:v>
      </x:c>
      <x:c r="K482">
        <x:v>60</x:v>
      </x:c>
      <x:c r="L482">
        <x:v>36</x:v>
      </x:c>
      <x:c r="M482">
        <x:v>90</x:v>
      </x:c>
      <x:c r="N482">
        <x:v>51</x:v>
      </x:c>
      <x:c r="O482">
        <x:v>81</x:v>
      </x:c>
      <x:c r="P482">
        <x:v>94</x:v>
      </x:c>
      <x:c r="Q482">
        <x:v>91</x:v>
      </x:c>
      <x:c r="R482">
        <x:v>75</x:v>
      </x:c>
      <x:c r="S482">
        <x:v>62</x:v>
      </x:c>
      <x:c r="T482">
        <x:v>62</x:v>
      </x:c>
      <x:c r="U482">
        <x:v>72</x:v>
      </x:c>
      <x:c r="V482">
        <x:v>63</x:v>
      </x:c>
      <x:c r="W482">
        <x:v>84</x:v>
      </x:c>
      <x:c r="X482">
        <x:v>77</x:v>
      </x:c>
      <x:c r="Y482">
        <x:v>79</x:v>
      </x:c>
      <x:c r="Z482">
        <x:v>51</x:v>
      </x:c>
      <x:c r="AA482">
        <x:v>67</x:v>
      </x:c>
    </x:row>
    <x:row r="483">
      <x:c r="A483" t="s">
        <x:v>374</x:v>
      </x:c>
      <x:c r="B483" t="s">
        <x:v>348</x:v>
      </x:c>
      <x:c r="C483" t="s">
        <x:v>358</x:v>
      </x:c>
      <x:c r="D483">
        <x:v>8478398</x:v>
      </x:c>
      <x:c r="E483" t="s">
        <x:v>224</x:v>
      </x:c>
      <x:c r="F483">
        <x:v>82</x:v>
      </x:c>
      <x:c r="G483">
        <x:v>82</x:v>
      </x:c>
      <x:c r="J483" t="s">
        <x:v>1992</x:v>
      </x:c>
      <x:c r="K483">
        <x:v>59</x:v>
      </x:c>
      <x:c r="L483">
        <x:v>41</x:v>
      </x:c>
      <x:c r="M483">
        <x:v>93</x:v>
      </x:c>
      <x:c r="N483">
        <x:v>54</x:v>
      </x:c>
      <x:c r="O483">
        <x:v>76</x:v>
      </x:c>
      <x:c r="P483">
        <x:v>93</x:v>
      </x:c>
      <x:c r="Q483">
        <x:v>99</x:v>
      </x:c>
      <x:c r="R483">
        <x:v>70</x:v>
      </x:c>
      <x:c r="S483">
        <x:v>62</x:v>
      </x:c>
      <x:c r="T483">
        <x:v>75</x:v>
      </x:c>
      <x:c r="U483">
        <x:v>70</x:v>
      </x:c>
      <x:c r="V483">
        <x:v>63</x:v>
      </x:c>
      <x:c r="W483">
        <x:v>84</x:v>
      </x:c>
      <x:c r="X483">
        <x:v>82</x:v>
      </x:c>
      <x:c r="Y483">
        <x:v>74</x:v>
      </x:c>
      <x:c r="Z483">
        <x:v>51</x:v>
      </x:c>
      <x:c r="AA483">
        <x:v>66</x:v>
      </x:c>
    </x:row>
    <x:row r="484">
      <x:c r="A484" t="s">
        <x:v>394</x:v>
      </x:c>
      <x:c r="B484" t="s">
        <x:v>356</x:v>
      </x:c>
      <x:c r="C484" t="s">
        <x:v>333</x:v>
      </x:c>
      <x:c r="D484">
        <x:v>8481540</x:v>
      </x:c>
      <x:c r="E484" t="s">
        <x:v>224</x:v>
      </x:c>
      <x:c r="F484">
        <x:v>81</x:v>
      </x:c>
      <x:c r="G484">
        <x:v>82</x:v>
      </x:c>
      <x:c r="J484" t="s">
        <x:v>2011</x:v>
      </x:c>
      <x:c r="K484">
        <x:v>62</x:v>
      </x:c>
      <x:c r="L484">
        <x:v>32</x:v>
      </x:c>
      <x:c r="M484">
        <x:v>95</x:v>
      </x:c>
      <x:c r="N484">
        <x:v>51</x:v>
      </x:c>
      <x:c r="O484">
        <x:v>75</x:v>
      </x:c>
      <x:c r="P484">
        <x:v>89</x:v>
      </x:c>
      <x:c r="Q484">
        <x:v>98</x:v>
      </x:c>
      <x:c r="R484">
        <x:v>70</x:v>
      </x:c>
      <x:c r="S484">
        <x:v>67</x:v>
      </x:c>
      <x:c r="T484">
        <x:v>60</x:v>
      </x:c>
      <x:c r="U484">
        <x:v>74</x:v>
      </x:c>
      <x:c r="V484">
        <x:v>63</x:v>
      </x:c>
      <x:c r="W484">
        <x:v>93</x:v>
      </x:c>
      <x:c r="X484">
        <x:v>76</x:v>
      </x:c>
      <x:c r="Y484">
        <x:v>77</x:v>
      </x:c>
      <x:c r="Z484">
        <x:v>51</x:v>
      </x:c>
      <x:c r="AA484">
        <x:v>65</x:v>
      </x:c>
    </x:row>
    <x:row r="485">
      <x:c r="A485" t="s">
        <x:v>408</x:v>
      </x:c>
      <x:c r="B485" t="s">
        <x:v>343</x:v>
      </x:c>
      <x:c r="C485" t="s">
        <x:v>319</x:v>
      </x:c>
      <x:c r="D485">
        <x:v>8482740</x:v>
      </x:c>
      <x:c r="E485" t="s">
        <x:v>224</x:v>
      </x:c>
      <x:c r="F485">
        <x:v>82</x:v>
      </x:c>
      <x:c r="G485">
        <x:v>82</x:v>
      </x:c>
      <x:c r="J485" t="s">
        <x:v>1992</x:v>
      </x:c>
      <x:c r="K485">
        <x:v>61</x:v>
      </x:c>
      <x:c r="L485">
        <x:v>32</x:v>
      </x:c>
      <x:c r="M485">
        <x:v>87</x:v>
      </x:c>
      <x:c r="N485">
        <x:v>52</x:v>
      </x:c>
      <x:c r="O485">
        <x:v>77</x:v>
      </x:c>
      <x:c r="P485">
        <x:v>91</x:v>
      </x:c>
      <x:c r="Q485">
        <x:v>99</x:v>
      </x:c>
      <x:c r="R485">
        <x:v>69</x:v>
      </x:c>
      <x:c r="S485">
        <x:v>87</x:v>
      </x:c>
      <x:c r="T485">
        <x:v>61</x:v>
      </x:c>
      <x:c r="U485">
        <x:v>72</x:v>
      </x:c>
      <x:c r="V485">
        <x:v>63</x:v>
      </x:c>
      <x:c r="W485">
        <x:v>79</x:v>
      </x:c>
      <x:c r="X485">
        <x:v>76</x:v>
      </x:c>
      <x:c r="Y485">
        <x:v>77</x:v>
      </x:c>
      <x:c r="Z485">
        <x:v>51</x:v>
      </x:c>
      <x:c r="AA485">
        <x:v>65</x:v>
      </x:c>
    </x:row>
    <x:row r="486">
      <x:c r="A486" t="s">
        <x:v>409</x:v>
      </x:c>
      <x:c r="B486" t="s">
        <x:v>364</x:v>
      </x:c>
      <x:c r="C486" t="s">
        <x:v>333</x:v>
      </x:c>
      <x:c r="D486">
        <x:v>8479343</x:v>
      </x:c>
      <x:c r="E486" t="s">
        <x:v>224</x:v>
      </x:c>
      <x:c r="F486">
        <x:v>82</x:v>
      </x:c>
      <x:c r="G486">
        <x:v>81</x:v>
      </x:c>
      <x:c r="J486" t="s">
        <x:v>2102</x:v>
      </x:c>
      <x:c r="K486">
        <x:v>56</x:v>
      </x:c>
      <x:c r="L486">
        <x:v>33</x:v>
      </x:c>
      <x:c r="M486">
        <x:v>89</x:v>
      </x:c>
      <x:c r="N486">
        <x:v>54</x:v>
      </x:c>
      <x:c r="O486">
        <x:v>75</x:v>
      </x:c>
      <x:c r="P486">
        <x:v>91</x:v>
      </x:c>
      <x:c r="Q486">
        <x:v>99</x:v>
      </x:c>
      <x:c r="R486">
        <x:v>70</x:v>
      </x:c>
      <x:c r="S486">
        <x:v>69</x:v>
      </x:c>
      <x:c r="T486">
        <x:v>81</x:v>
      </x:c>
      <x:c r="U486">
        <x:v>61</x:v>
      </x:c>
      <x:c r="V486">
        <x:v>63</x:v>
      </x:c>
      <x:c r="W486">
        <x:v>67</x:v>
      </x:c>
      <x:c r="X486">
        <x:v>80</x:v>
      </x:c>
      <x:c r="Y486">
        <x:v>84</x:v>
      </x:c>
      <x:c r="Z486">
        <x:v>51</x:v>
      </x:c>
      <x:c r="AA486">
        <x:v>65</x:v>
      </x:c>
    </x:row>
    <x:row r="487">
      <x:c r="A487" t="s">
        <x:v>425</x:v>
      </x:c>
      <x:c r="B487" t="s">
        <x:v>345</x:v>
      </x:c>
      <x:c r="C487" t="s">
        <x:v>333</x:v>
      </x:c>
      <x:c r="D487">
        <x:v>8475810</x:v>
      </x:c>
      <x:c r="E487" t="s">
        <x:v>224</x:v>
      </x:c>
      <x:c r="F487">
        <x:v>72</x:v>
      </x:c>
      <x:c r="G487">
        <x:v>71</x:v>
      </x:c>
      <x:c r="J487" t="s">
        <x:v>2346</x:v>
      </x:c>
      <x:c r="K487">
        <x:v>60</x:v>
      </x:c>
      <x:c r="L487">
        <x:v>39</x:v>
      </x:c>
      <x:c r="M487">
        <x:v>88</x:v>
      </x:c>
      <x:c r="N487">
        <x:v>56</x:v>
      </x:c>
      <x:c r="O487">
        <x:v>81</x:v>
      </x:c>
      <x:c r="P487">
        <x:v>91</x:v>
      </x:c>
      <x:c r="Q487">
        <x:v>89</x:v>
      </x:c>
      <x:c r="R487">
        <x:v>66</x:v>
      </x:c>
      <x:c r="S487">
        <x:v>64</x:v>
      </x:c>
      <x:c r="T487">
        <x:v>60</x:v>
      </x:c>
      <x:c r="U487">
        <x:v>63</x:v>
      </x:c>
      <x:c r="V487">
        <x:v>63</x:v>
      </x:c>
      <x:c r="W487">
        <x:v>74</x:v>
      </x:c>
      <x:c r="X487">
        <x:v>83</x:v>
      </x:c>
      <x:c r="Y487">
        <x:v>78</x:v>
      </x:c>
      <x:c r="Z487">
        <x:v>51</x:v>
      </x:c>
      <x:c r="AA487">
        <x:v>64</x:v>
      </x:c>
    </x:row>
    <x:row r="488">
      <x:c r="A488" t="s">
        <x:v>426</x:v>
      </x:c>
      <x:c r="B488" t="s">
        <x:v>427</x:v>
      </x:c>
      <x:c r="C488" t="s">
        <x:v>333</x:v>
      </x:c>
      <x:c r="D488">
        <x:v>8478439</x:v>
      </x:c>
      <x:c r="E488" t="s">
        <x:v>224</x:v>
      </x:c>
      <x:c r="F488">
        <x:v>77</x:v>
      </x:c>
      <x:c r="G488">
        <x:v>82</x:v>
      </x:c>
      <x:c r="J488" t="s">
        <x:v>2347</x:v>
      </x:c>
      <x:c r="K488">
        <x:v>66</x:v>
      </x:c>
      <x:c r="L488">
        <x:v>53</x:v>
      </x:c>
      <x:c r="M488">
        <x:v>81</x:v>
      </x:c>
      <x:c r="N488">
        <x:v>53</x:v>
      </x:c>
      <x:c r="O488">
        <x:v>78</x:v>
      </x:c>
      <x:c r="P488">
        <x:v>91</x:v>
      </x:c>
      <x:c r="Q488">
        <x:v>95</x:v>
      </x:c>
      <x:c r="R488">
        <x:v>65</x:v>
      </x:c>
      <x:c r="S488">
        <x:v>71</x:v>
      </x:c>
      <x:c r="T488">
        <x:v>69</x:v>
      </x:c>
      <x:c r="U488">
        <x:v>60</x:v>
      </x:c>
      <x:c r="V488">
        <x:v>63</x:v>
      </x:c>
      <x:c r="W488">
        <x:v>77</x:v>
      </x:c>
      <x:c r="X488">
        <x:v>81</x:v>
      </x:c>
      <x:c r="Y488">
        <x:v>83</x:v>
      </x:c>
      <x:c r="Z488">
        <x:v>51</x:v>
      </x:c>
      <x:c r="AA488">
        <x:v>64</x:v>
      </x:c>
    </x:row>
    <x:row r="489">
      <x:c r="A489" t="s">
        <x:v>447</x:v>
      </x:c>
      <x:c r="B489" t="s">
        <x:v>320</x:v>
      </x:c>
      <x:c r="C489" t="s">
        <x:v>333</x:v>
      </x:c>
      <x:c r="D489">
        <x:v>8480893</x:v>
      </x:c>
      <x:c r="E489" t="s">
        <x:v>224</x:v>
      </x:c>
      <x:c r="F489">
        <x:v>76</x:v>
      </x:c>
      <x:c r="G489">
        <x:v>79</x:v>
      </x:c>
      <x:c r="J489" t="s">
        <x:v>2348</x:v>
      </x:c>
      <x:c r="K489">
        <x:v>62</x:v>
      </x:c>
      <x:c r="L489">
        <x:v>39</x:v>
      </x:c>
      <x:c r="M489">
        <x:v>87</x:v>
      </x:c>
      <x:c r="N489">
        <x:v>69</x:v>
      </x:c>
      <x:c r="O489">
        <x:v>81</x:v>
      </x:c>
      <x:c r="P489">
        <x:v>90</x:v>
      </x:c>
      <x:c r="Q489">
        <x:v>93</x:v>
      </x:c>
      <x:c r="R489">
        <x:v>65</x:v>
      </x:c>
      <x:c r="S489">
        <x:v>69</x:v>
      </x:c>
      <x:c r="T489">
        <x:v>62</x:v>
      </x:c>
      <x:c r="U489">
        <x:v>63</x:v>
      </x:c>
      <x:c r="V489">
        <x:v>63</x:v>
      </x:c>
      <x:c r="W489">
        <x:v>89</x:v>
      </x:c>
      <x:c r="X489">
        <x:v>69</x:v>
      </x:c>
      <x:c r="Y489">
        <x:v>75</x:v>
      </x:c>
      <x:c r="Z489">
        <x:v>51</x:v>
      </x:c>
      <x:c r="AA489">
        <x:v>63</x:v>
      </x:c>
    </x:row>
    <x:row r="490">
      <x:c r="A490" t="s">
        <x:v>477</x:v>
      </x:c>
      <x:c r="B490" t="s">
        <x:v>354</x:v>
      </x:c>
      <x:c r="C490" t="s">
        <x:v>329</x:v>
      </x:c>
      <x:c r="D490">
        <x:v>8477964</x:v>
      </x:c>
      <x:c r="E490" t="s">
        <x:v>224</x:v>
      </x:c>
      <x:c r="F490">
        <x:v>82</x:v>
      </x:c>
      <x:c r="G490">
        <x:v>70</x:v>
      </x:c>
      <x:c r="J490" t="s">
        <x:v>2349</x:v>
      </x:c>
      <x:c r="K490">
        <x:v>69</x:v>
      </x:c>
      <x:c r="L490">
        <x:v>39</x:v>
      </x:c>
      <x:c r="M490">
        <x:v>96</x:v>
      </x:c>
      <x:c r="N490">
        <x:v>51</x:v>
      </x:c>
      <x:c r="O490">
        <x:v>81</x:v>
      </x:c>
      <x:c r="P490">
        <x:v>86</x:v>
      </x:c>
      <x:c r="Q490">
        <x:v>97</x:v>
      </x:c>
      <x:c r="R490">
        <x:v>60</x:v>
      </x:c>
      <x:c r="S490">
        <x:v>67</x:v>
      </x:c>
      <x:c r="T490">
        <x:v>73</x:v>
      </x:c>
      <x:c r="U490">
        <x:v>61</x:v>
      </x:c>
      <x:c r="V490">
        <x:v>63</x:v>
      </x:c>
      <x:c r="W490">
        <x:v>52</x:v>
      </x:c>
      <x:c r="X490">
        <x:v>83</x:v>
      </x:c>
      <x:c r="Y490">
        <x:v>74</x:v>
      </x:c>
      <x:c r="Z490">
        <x:v>51</x:v>
      </x:c>
      <x:c r="AA490">
        <x:v>62</x:v>
      </x:c>
    </x:row>
    <x:row r="491">
      <x:c r="A491" t="s">
        <x:v>490</x:v>
      </x:c>
      <x:c r="B491" t="s">
        <x:v>334</x:v>
      </x:c>
      <x:c r="C491" t="s">
        <x:v>339</x:v>
      </x:c>
      <x:c r="D491">
        <x:v>8478401</x:v>
      </x:c>
      <x:c r="E491" t="s">
        <x:v>224</x:v>
      </x:c>
      <x:c r="F491">
        <x:v>78</x:v>
      </x:c>
      <x:c r="G491">
        <x:v>82</x:v>
      </x:c>
      <x:c r="J491" t="s">
        <x:v>2019</x:v>
      </x:c>
      <x:c r="K491">
        <x:v>64</x:v>
      </x:c>
      <x:c r="L491">
        <x:v>43</x:v>
      </x:c>
      <x:c r="M491">
        <x:v>84</x:v>
      </x:c>
      <x:c r="N491">
        <x:v>51</x:v>
      </x:c>
      <x:c r="O491">
        <x:v>85</x:v>
      </x:c>
      <x:c r="P491">
        <x:v>88</x:v>
      </x:c>
      <x:c r="Q491">
        <x:v>96</x:v>
      </x:c>
      <x:c r="R491">
        <x:v>61</x:v>
      </x:c>
      <x:c r="S491">
        <x:v>89</x:v>
      </x:c>
      <x:c r="T491">
        <x:v>63</x:v>
      </x:c>
      <x:c r="U491">
        <x:v>64</x:v>
      </x:c>
      <x:c r="V491">
        <x:v>63</x:v>
      </x:c>
      <x:c r="W491">
        <x:v>60</x:v>
      </x:c>
      <x:c r="X491">
        <x:v>81</x:v>
      </x:c>
      <x:c r="Y491">
        <x:v>75</x:v>
      </x:c>
      <x:c r="Z491">
        <x:v>51</x:v>
      </x:c>
      <x:c r="AA491">
        <x:v>62</x:v>
      </x:c>
    </x:row>
    <x:row r="492">
      <x:c r="A492" t="s">
        <x:v>494</x:v>
      </x:c>
      <x:c r="B492" t="s">
        <x:v>337</x:v>
      </x:c>
      <x:c r="C492" t="s">
        <x:v>333</x:v>
      </x:c>
      <x:c r="D492">
        <x:v>8478873</x:v>
      </x:c>
      <x:c r="E492" t="s">
        <x:v>224</x:v>
      </x:c>
      <x:c r="F492">
        <x:v>61</x:v>
      </x:c>
      <x:c r="G492">
        <x:v>77</x:v>
      </x:c>
      <x:c r="J492" t="s">
        <x:v>2350</x:v>
      </x:c>
      <x:c r="K492">
        <x:v>56</x:v>
      </x:c>
      <x:c r="L492">
        <x:v>32</x:v>
      </x:c>
      <x:c r="M492">
        <x:v>94</x:v>
      </x:c>
      <x:c r="N492">
        <x:v>54</x:v>
      </x:c>
      <x:c r="O492">
        <x:v>79</x:v>
      </x:c>
      <x:c r="P492">
        <x:v>89</x:v>
      </x:c>
      <x:c r="Q492">
        <x:v>83</x:v>
      </x:c>
      <x:c r="R492">
        <x:v>64</x:v>
      </x:c>
      <x:c r="S492">
        <x:v>68</x:v>
      </x:c>
      <x:c r="T492">
        <x:v>70</x:v>
      </x:c>
      <x:c r="U492">
        <x:v>58</x:v>
      </x:c>
      <x:c r="V492">
        <x:v>63</x:v>
      </x:c>
      <x:c r="W492">
        <x:v>88</x:v>
      </x:c>
      <x:c r="X492">
        <x:v>77</x:v>
      </x:c>
      <x:c r="Y492">
        <x:v>79</x:v>
      </x:c>
      <x:c r="Z492">
        <x:v>51</x:v>
      </x:c>
      <x:c r="AA492">
        <x:v>62</x:v>
      </x:c>
    </x:row>
    <x:row r="493">
      <x:c r="A493" t="s">
        <x:v>511</x:v>
      </x:c>
      <x:c r="B493" t="s">
        <x:v>350</x:v>
      </x:c>
      <x:c r="C493" t="s">
        <x:v>333</x:v>
      </x:c>
      <x:c r="D493">
        <x:v>8476483</x:v>
      </x:c>
      <x:c r="E493" t="s">
        <x:v>224</x:v>
      </x:c>
      <x:c r="F493">
        <x:v>60</x:v>
      </x:c>
      <x:c r="G493">
        <x:v>81</x:v>
      </x:c>
      <x:c r="J493" t="s">
        <x:v>2351</x:v>
      </x:c>
      <x:c r="K493">
        <x:v>66</x:v>
      </x:c>
      <x:c r="L493">
        <x:v>37</x:v>
      </x:c>
      <x:c r="M493">
        <x:v>94</x:v>
      </x:c>
      <x:c r="N493">
        <x:v>55</x:v>
      </x:c>
      <x:c r="O493">
        <x:v>79</x:v>
      </x:c>
      <x:c r="P493">
        <x:v>90</x:v>
      </x:c>
      <x:c r="Q493">
        <x:v>83</x:v>
      </x:c>
      <x:c r="R493">
        <x:v>63</x:v>
      </x:c>
      <x:c r="S493">
        <x:v>74</x:v>
      </x:c>
      <x:c r="T493">
        <x:v>57</x:v>
      </x:c>
      <x:c r="U493">
        <x:v>63</x:v>
      </x:c>
      <x:c r="V493">
        <x:v>63</x:v>
      </x:c>
      <x:c r="W493">
        <x:v>83</x:v>
      </x:c>
      <x:c r="X493">
        <x:v>85</x:v>
      </x:c>
      <x:c r="Y493">
        <x:v>75</x:v>
      </x:c>
      <x:c r="Z493">
        <x:v>51</x:v>
      </x:c>
      <x:c r="AA493">
        <x:v>62</x:v>
      </x:c>
    </x:row>
    <x:row r="494">
      <x:c r="A494" t="s">
        <x:v>513</x:v>
      </x:c>
      <x:c r="B494" t="s">
        <x:v>320</x:v>
      </x:c>
      <x:c r="C494" t="s">
        <x:v>339</x:v>
      </x:c>
      <x:c r="D494">
        <x:v>8476454</x:v>
      </x:c>
      <x:c r="E494" t="s">
        <x:v>224</x:v>
      </x:c>
      <x:c r="F494">
        <x:v>72</x:v>
      </x:c>
      <x:c r="G494">
        <x:v>78</x:v>
      </x:c>
      <x:c r="J494" t="s">
        <x:v>2006</x:v>
      </x:c>
      <x:c r="K494">
        <x:v>58</x:v>
      </x:c>
      <x:c r="L494">
        <x:v>51</x:v>
      </x:c>
      <x:c r="M494">
        <x:v>86</x:v>
      </x:c>
      <x:c r="N494">
        <x:v>53</x:v>
      </x:c>
      <x:c r="O494">
        <x:v>78</x:v>
      </x:c>
      <x:c r="P494">
        <x:v>91</x:v>
      </x:c>
      <x:c r="Q494">
        <x:v>90</x:v>
      </x:c>
      <x:c r="R494">
        <x:v>63</x:v>
      </x:c>
      <x:c r="S494">
        <x:v>82</x:v>
      </x:c>
      <x:c r="T494">
        <x:v>59</x:v>
      </x:c>
      <x:c r="U494">
        <x:v>57</x:v>
      </x:c>
      <x:c r="V494">
        <x:v>63</x:v>
      </x:c>
      <x:c r="W494">
        <x:v>84</x:v>
      </x:c>
      <x:c r="X494">
        <x:v>89</x:v>
      </x:c>
      <x:c r="Y494">
        <x:v>80</x:v>
      </x:c>
      <x:c r="Z494">
        <x:v>51</x:v>
      </x:c>
      <x:c r="AA494">
        <x:v>62</x:v>
      </x:c>
    </x:row>
    <x:row r="495">
      <x:c r="A495" t="s">
        <x:v>516</x:v>
      </x:c>
      <x:c r="B495" t="s">
        <x:v>368</x:v>
      </x:c>
      <x:c r="C495" t="s">
        <x:v>333</x:v>
      </x:c>
      <x:c r="D495">
        <x:v>8478042</x:v>
      </x:c>
      <x:c r="E495" t="s">
        <x:v>224</x:v>
      </x:c>
      <x:c r="F495">
        <x:v>69</x:v>
      </x:c>
      <x:c r="G495">
        <x:v>67</x:v>
      </x:c>
      <x:c r="J495" t="s">
        <x:v>2352</x:v>
      </x:c>
      <x:c r="K495">
        <x:v>60</x:v>
      </x:c>
      <x:c r="L495">
        <x:v>32</x:v>
      </x:c>
      <x:c r="M495">
        <x:v>87</x:v>
      </x:c>
      <x:c r="N495">
        <x:v>56</x:v>
      </x:c>
      <x:c r="O495">
        <x:v>76</x:v>
      </x:c>
      <x:c r="P495">
        <x:v>85</x:v>
      </x:c>
      <x:c r="Q495">
        <x:v>85</x:v>
      </x:c>
      <x:c r="R495">
        <x:v>59</x:v>
      </x:c>
      <x:c r="S495">
        <x:v>69</x:v>
      </x:c>
      <x:c r="T495">
        <x:v>62</x:v>
      </x:c>
      <x:c r="U495">
        <x:v>69</x:v>
      </x:c>
      <x:c r="V495">
        <x:v>63</x:v>
      </x:c>
      <x:c r="W495">
        <x:v>73</x:v>
      </x:c>
      <x:c r="X495">
        <x:v>83</x:v>
      </x:c>
      <x:c r="Y495">
        <x:v>77</x:v>
      </x:c>
      <x:c r="Z495">
        <x:v>51</x:v>
      </x:c>
      <x:c r="AA495">
        <x:v>61</x:v>
      </x:c>
    </x:row>
    <x:row r="496">
      <x:c r="A496" t="s">
        <x:v>520</x:v>
      </x:c>
      <x:c r="B496" t="s">
        <x:v>343</x:v>
      </x:c>
      <x:c r="C496" t="s">
        <x:v>339</x:v>
      </x:c>
      <x:c r="D496">
        <x:v>8473994</x:v>
      </x:c>
      <x:c r="E496" t="s">
        <x:v>224</x:v>
      </x:c>
      <x:c r="F496">
        <x:v>60</x:v>
      </x:c>
      <x:c r="G496">
        <x:v>80</x:v>
      </x:c>
      <x:c r="J496" t="s">
        <x:v>2353</x:v>
      </x:c>
      <x:c r="K496">
        <x:v>69</x:v>
      </x:c>
      <x:c r="L496">
        <x:v>81</x:v>
      </x:c>
      <x:c r="M496">
        <x:v>73</x:v>
      </x:c>
      <x:c r="N496">
        <x:v>45</x:v>
      </x:c>
      <x:c r="O496">
        <x:v>84</x:v>
      </x:c>
      <x:c r="P496">
        <x:v>84</x:v>
      </x:c>
      <x:c r="Q496">
        <x:v>83</x:v>
      </x:c>
      <x:c r="R496">
        <x:v>57</x:v>
      </x:c>
      <x:c r="S496">
        <x:v>76</x:v>
      </x:c>
      <x:c r="T496">
        <x:v>62</x:v>
      </x:c>
      <x:c r="U496">
        <x:v>59</x:v>
      </x:c>
      <x:c r="V496">
        <x:v>63</x:v>
      </x:c>
      <x:c r="W496">
        <x:v>65</x:v>
      </x:c>
      <x:c r="X496">
        <x:v>92</x:v>
      </x:c>
      <x:c r="Y496">
        <x:v>93</x:v>
      </x:c>
      <x:c r="Z496">
        <x:v>51</x:v>
      </x:c>
      <x:c r="AA496">
        <x:v>61</x:v>
      </x:c>
    </x:row>
    <x:row r="497">
      <x:c r="A497" t="s">
        <x:v>522</x:v>
      </x:c>
      <x:c r="B497" t="s">
        <x:v>340</x:v>
      </x:c>
      <x:c r="C497" t="s">
        <x:v>358</x:v>
      </x:c>
      <x:c r="D497">
        <x:v>8478975</x:v>
      </x:c>
      <x:c r="E497" t="s">
        <x:v>224</x:v>
      </x:c>
      <x:c r="F497">
        <x:v>68</x:v>
      </x:c>
      <x:c r="G497">
        <x:v>62</x:v>
      </x:c>
      <x:c r="J497" t="s">
        <x:v>2354</x:v>
      </x:c>
      <x:c r="K497">
        <x:v>66</x:v>
      </x:c>
      <x:c r="L497">
        <x:v>47</x:v>
      </x:c>
      <x:c r="M497">
        <x:v>78</x:v>
      </x:c>
      <x:c r="N497">
        <x:v>44</x:v>
      </x:c>
      <x:c r="O497">
        <x:v>85</x:v>
      </x:c>
      <x:c r="P497">
        <x:v>87</x:v>
      </x:c>
      <x:c r="Q497">
        <x:v>86</x:v>
      </x:c>
      <x:c r="R497">
        <x:v>58</x:v>
      </x:c>
      <x:c r="S497">
        <x:v>69</x:v>
      </x:c>
      <x:c r="T497">
        <x:v>60</x:v>
      </x:c>
      <x:c r="U497">
        <x:v>59</x:v>
      </x:c>
      <x:c r="V497">
        <x:v>63</x:v>
      </x:c>
      <x:c r="W497">
        <x:v>55</x:v>
      </x:c>
      <x:c r="X497">
        <x:v>77</x:v>
      </x:c>
      <x:c r="Y497">
        <x:v>72</x:v>
      </x:c>
      <x:c r="Z497">
        <x:v>47</x:v>
      </x:c>
      <x:c r="AA497">
        <x:v>61</x:v>
      </x:c>
    </x:row>
    <x:row r="498">
      <x:c r="A498" t="s">
        <x:v>587</x:v>
      </x:c>
      <x:c r="B498" t="s">
        <x:v>396</x:v>
      </x:c>
      <x:c r="C498" t="s">
        <x:v>333</x:v>
      </x:c>
      <x:c r="D498">
        <x:v>8477402</x:v>
      </x:c>
      <x:c r="E498" t="s">
        <x:v>224</x:v>
      </x:c>
      <x:c r="F498">
        <x:v>81</x:v>
      </x:c>
      <x:c r="G498">
        <x:v>76</x:v>
      </x:c>
      <x:c r="J498" t="s">
        <x:v>2147</x:v>
      </x:c>
      <x:c r="K498">
        <x:v>59</x:v>
      </x:c>
      <x:c r="L498">
        <x:v>42</x:v>
      </x:c>
      <x:c r="M498">
        <x:v>86</x:v>
      </x:c>
      <x:c r="N498">
        <x:v>49</x:v>
      </x:c>
      <x:c r="O498">
        <x:v>79</x:v>
      </x:c>
      <x:c r="P498">
        <x:v>89</x:v>
      </x:c>
      <x:c r="Q498">
        <x:v>97</x:v>
      </x:c>
      <x:c r="R498">
        <x:v>59</x:v>
      </x:c>
      <x:c r="S498">
        <x:v>77</x:v>
      </x:c>
      <x:c r="T498">
        <x:v>57</x:v>
      </x:c>
      <x:c r="U498">
        <x:v>57</x:v>
      </x:c>
      <x:c r="V498">
        <x:v>63</x:v>
      </x:c>
      <x:c r="W498">
        <x:v>62</x:v>
      </x:c>
      <x:c r="X498">
        <x:v>80</x:v>
      </x:c>
      <x:c r="Y498">
        <x:v>79</x:v>
      </x:c>
      <x:c r="Z498">
        <x:v>51</x:v>
      </x:c>
      <x:c r="AA498">
        <x:v>60</x:v>
      </x:c>
    </x:row>
    <x:row r="499">
      <x:c r="A499" t="s">
        <x:v>589</x:v>
      </x:c>
      <x:c r="B499" t="s">
        <x:v>427</x:v>
      </x:c>
      <x:c r="C499" t="s">
        <x:v>326</x:v>
      </x:c>
      <x:c r="D499">
        <x:v>8484387</x:v>
      </x:c>
      <x:c r="E499" t="s">
        <x:v>224</x:v>
      </x:c>
      <x:c r="F499">
        <x:v>81</x:v>
      </x:c>
      <x:c r="G499">
        <x:v>80</x:v>
      </x:c>
      <x:c r="J499" t="s">
        <x:v>2174</x:v>
      </x:c>
      <x:c r="K499">
        <x:v>60</x:v>
      </x:c>
      <x:c r="L499">
        <x:v>44</x:v>
      </x:c>
      <x:c r="M499">
        <x:v>75</x:v>
      </x:c>
      <x:c r="N499">
        <x:v>48</x:v>
      </x:c>
      <x:c r="O499">
        <x:v>73</x:v>
      </x:c>
      <x:c r="P499">
        <x:v>85</x:v>
      </x:c>
      <x:c r="Q499">
        <x:v>97</x:v>
      </x:c>
      <x:c r="R499">
        <x:v>60</x:v>
      </x:c>
      <x:c r="S499">
        <x:v>63</x:v>
      </x:c>
      <x:c r="T499">
        <x:v>63</x:v>
      </x:c>
      <x:c r="U499">
        <x:v>60</x:v>
      </x:c>
      <x:c r="V499">
        <x:v>63</x:v>
      </x:c>
      <x:c r="W499">
        <x:v>88</x:v>
      </x:c>
      <x:c r="X499">
        <x:v>69</x:v>
      </x:c>
      <x:c r="Y499">
        <x:v>71</x:v>
      </x:c>
      <x:c r="Z499">
        <x:v>51</x:v>
      </x:c>
      <x:c r="AA499">
        <x:v>60</x:v>
      </x:c>
    </x:row>
    <x:row r="500">
      <x:c r="A500" t="s">
        <x:v>596</x:v>
      </x:c>
      <x:c r="B500" t="s">
        <x:v>439</x:v>
      </x:c>
      <x:c r="C500" t="s">
        <x:v>323</x:v>
      </x:c>
      <x:c r="D500">
        <x:v>8475151</x:v>
      </x:c>
      <x:c r="E500" t="s">
        <x:v>224</x:v>
      </x:c>
      <x:c r="F500">
        <x:v>25</x:v>
      </x:c>
      <x:c r="G500">
        <x:v>82</x:v>
      </x:c>
      <x:c r="J500" t="s">
        <x:v>2355</x:v>
      </x:c>
      <x:c r="K500">
        <x:v>62</x:v>
      </x:c>
      <x:c r="L500">
        <x:v>35</x:v>
      </x:c>
      <x:c r="M500">
        <x:v>88</x:v>
      </x:c>
      <x:c r="N500">
        <x:v>53</x:v>
      </x:c>
      <x:c r="O500">
        <x:v>78</x:v>
      </x:c>
      <x:c r="P500">
        <x:v>89</x:v>
      </x:c>
      <x:c r="Q500">
        <x:v>59</x:v>
      </x:c>
      <x:c r="R500">
        <x:v>57</x:v>
      </x:c>
      <x:c r="S500">
        <x:v>69</x:v>
      </x:c>
      <x:c r="T500">
        <x:v>55</x:v>
      </x:c>
      <x:c r="U500">
        <x:v>55</x:v>
      </x:c>
      <x:c r="V500">
        <x:v>63</x:v>
      </x:c>
      <x:c r="W500">
        <x:v>78</x:v>
      </x:c>
      <x:c r="X500">
        <x:v>87</x:v>
      </x:c>
      <x:c r="Y500">
        <x:v>81</x:v>
      </x:c>
      <x:c r="Z500">
        <x:v>47</x:v>
      </x:c>
      <x:c r="AA500">
        <x:v>60</x:v>
      </x:c>
    </x:row>
    <x:row r="501">
      <x:c r="A501" t="s">
        <x:v>598</x:v>
      </x:c>
      <x:c r="B501" t="s">
        <x:v>340</x:v>
      </x:c>
      <x:c r="C501" t="s">
        <x:v>333</x:v>
      </x:c>
      <x:c r="D501">
        <x:v>8480748</x:v>
      </x:c>
      <x:c r="E501" t="s">
        <x:v>224</x:v>
      </x:c>
      <x:c r="F501">
        <x:v>72</x:v>
      </x:c>
      <x:c r="G501">
        <x:v>78</x:v>
      </x:c>
      <x:c r="J501" t="s">
        <x:v>2006</x:v>
      </x:c>
      <x:c r="K501">
        <x:v>86</x:v>
      </x:c>
      <x:c r="L501">
        <x:v>45</x:v>
      </x:c>
      <x:c r="M501">
        <x:v>87</x:v>
      </x:c>
      <x:c r="N501">
        <x:v>56</x:v>
      </x:c>
      <x:c r="O501">
        <x:v>79</x:v>
      </x:c>
      <x:c r="P501">
        <x:v>87</x:v>
      </x:c>
      <x:c r="Q501">
        <x:v>90</x:v>
      </x:c>
      <x:c r="R501">
        <x:v>56</x:v>
      </x:c>
      <x:c r="S501">
        <x:v>69</x:v>
      </x:c>
      <x:c r="T501">
        <x:v>52</x:v>
      </x:c>
      <x:c r="U501">
        <x:v>61</x:v>
      </x:c>
      <x:c r="V501">
        <x:v>63</x:v>
      </x:c>
      <x:c r="W501">
        <x:v>58</x:v>
      </x:c>
      <x:c r="X501">
        <x:v>72</x:v>
      </x:c>
      <x:c r="Y501">
        <x:v>72</x:v>
      </x:c>
      <x:c r="Z501">
        <x:v>51</x:v>
      </x:c>
      <x:c r="AA501">
        <x:v>60</x:v>
      </x:c>
    </x:row>
    <x:row r="502">
      <x:c r="A502" t="s">
        <x:v>604</x:v>
      </x:c>
      <x:c r="B502" t="s">
        <x:v>343</x:v>
      </x:c>
      <x:c r="C502" t="s">
        <x:v>323</x:v>
      </x:c>
      <x:c r="D502">
        <x:v>8475794</x:v>
      </x:c>
      <x:c r="E502" t="s">
        <x:v>224</x:v>
      </x:c>
      <x:c r="F502">
        <x:v>27</x:v>
      </x:c>
      <x:c r="G502">
        <x:v>20</x:v>
      </x:c>
      <x:c r="J502" t="s">
        <x:v>2356</x:v>
      </x:c>
      <x:c r="K502">
        <x:v>62</x:v>
      </x:c>
      <x:c r="L502">
        <x:v>38</x:v>
      </x:c>
      <x:c r="M502">
        <x:v>93</x:v>
      </x:c>
      <x:c r="N502">
        <x:v>51</x:v>
      </x:c>
      <x:c r="O502">
        <x:v>82</x:v>
      </x:c>
      <x:c r="P502">
        <x:v>85</x:v>
      </x:c>
      <x:c r="Q502">
        <x:v>52</x:v>
      </x:c>
      <x:c r="R502">
        <x:v>59</x:v>
      </x:c>
      <x:c r="S502">
        <x:v>87</x:v>
      </x:c>
      <x:c r="T502">
        <x:v>55</x:v>
      </x:c>
      <x:c r="U502">
        <x:v>56</x:v>
      </x:c>
      <x:c r="V502">
        <x:v>63</x:v>
      </x:c>
      <x:c r="W502">
        <x:v>78</x:v>
      </x:c>
      <x:c r="X502">
        <x:v>90</x:v>
      </x:c>
      <x:c r="Y502">
        <x:v>82</x:v>
      </x:c>
      <x:c r="Z502">
        <x:v>51</x:v>
      </x:c>
      <x:c r="AA502">
        <x:v>60</x:v>
      </x:c>
    </x:row>
    <x:row r="503">
      <x:c r="A503" t="s">
        <x:v>635</x:v>
      </x:c>
      <x:c r="B503" t="s">
        <x:v>370</x:v>
      </x:c>
      <x:c r="C503" t="s">
        <x:v>339</x:v>
      </x:c>
      <x:c r="D503">
        <x:v>8482667</x:v>
      </x:c>
      <x:c r="E503" t="s">
        <x:v>224</x:v>
      </x:c>
      <x:c r="F503">
        <x:v>78</x:v>
      </x:c>
      <x:c r="G503">
        <x:v>77</x:v>
      </x:c>
      <x:c r="J503" t="s">
        <x:v>2049</x:v>
      </x:c>
      <x:c r="K503">
        <x:v>64</x:v>
      </x:c>
      <x:c r="L503">
        <x:v>36</x:v>
      </x:c>
      <x:c r="M503">
        <x:v>92</x:v>
      </x:c>
      <x:c r="N503">
        <x:v>54</x:v>
      </x:c>
      <x:c r="O503">
        <x:v>77</x:v>
      </x:c>
      <x:c r="P503">
        <x:v>90</x:v>
      </x:c>
      <x:c r="Q503">
        <x:v>95</x:v>
      </x:c>
      <x:c r="R503">
        <x:v>58</x:v>
      </x:c>
      <x:c r="S503">
        <x:v>68</x:v>
      </x:c>
      <x:c r="T503">
        <x:v>62</x:v>
      </x:c>
      <x:c r="U503">
        <x:v>55</x:v>
      </x:c>
      <x:c r="V503">
        <x:v>63</x:v>
      </x:c>
      <x:c r="W503">
        <x:v>80</x:v>
      </x:c>
      <x:c r="X503">
        <x:v>69</x:v>
      </x:c>
      <x:c r="Y503">
        <x:v>77</x:v>
      </x:c>
      <x:c r="Z503">
        <x:v>51</x:v>
      </x:c>
      <x:c r="AA503">
        <x:v>60</x:v>
      </x:c>
    </x:row>
    <x:row r="504">
      <x:c r="A504" t="s">
        <x:v>648</x:v>
      </x:c>
      <x:c r="B504" t="s">
        <x:v>436</x:v>
      </x:c>
      <x:c r="C504" t="s">
        <x:v>323</x:v>
      </x:c>
      <x:c r="D504">
        <x:v>8483493</x:v>
      </x:c>
      <x:c r="E504" t="s">
        <x:v>224</x:v>
      </x:c>
      <x:c r="F504">
        <x:v>65</x:v>
      </x:c>
      <x:c r="G504">
        <x:v>53</x:v>
      </x:c>
      <x:c r="J504" t="s">
        <x:v>2357</x:v>
      </x:c>
      <x:c r="K504">
        <x:v>61</x:v>
      </x:c>
      <x:c r="L504">
        <x:v>33</x:v>
      </x:c>
      <x:c r="M504">
        <x:v>93</x:v>
      </x:c>
      <x:c r="N504">
        <x:v>64</x:v>
      </x:c>
      <x:c r="O504">
        <x:v>78</x:v>
      </x:c>
      <x:c r="P504">
        <x:v>88</x:v>
      </x:c>
      <x:c r="Q504">
        <x:v>86</x:v>
      </x:c>
      <x:c r="R504">
        <x:v>57</x:v>
      </x:c>
      <x:c r="S504">
        <x:v>86</x:v>
      </x:c>
      <x:c r="T504">
        <x:v>57</x:v>
      </x:c>
      <x:c r="U504">
        <x:v>56</x:v>
      </x:c>
      <x:c r="V504">
        <x:v>63</x:v>
      </x:c>
      <x:c r="W504">
        <x:v>80</x:v>
      </x:c>
      <x:c r="X504">
        <x:v>67</x:v>
      </x:c>
      <x:c r="Y504">
        <x:v>70</x:v>
      </x:c>
      <x:c r="Z504">
        <x:v>54</x:v>
      </x:c>
      <x:c r="AA504">
        <x:v>59</x:v>
      </x:c>
    </x:row>
    <x:row r="505">
      <x:c r="A505" t="s">
        <x:v>649</x:v>
      </x:c>
      <x:c r="B505" t="s">
        <x:v>368</x:v>
      </x:c>
      <x:c r="C505" t="s">
        <x:v>333</x:v>
      </x:c>
      <x:c r="D505">
        <x:v>8474102</x:v>
      </x:c>
      <x:c r="E505" t="s">
        <x:v>224</x:v>
      </x:c>
      <x:c r="F505">
        <x:v>65</x:v>
      </x:c>
      <x:c r="G505">
        <x:v>43</x:v>
      </x:c>
      <x:c r="J505" t="s">
        <x:v>2358</x:v>
      </x:c>
      <x:c r="K505">
        <x:v>69</x:v>
      </x:c>
      <x:c r="L505">
        <x:v>36</x:v>
      </x:c>
      <x:c r="M505">
        <x:v>83</x:v>
      </x:c>
      <x:c r="N505">
        <x:v>49</x:v>
      </x:c>
      <x:c r="O505">
        <x:v>81</x:v>
      </x:c>
      <x:c r="P505">
        <x:v>84</x:v>
      </x:c>
      <x:c r="Q505">
        <x:v>82</x:v>
      </x:c>
      <x:c r="R505">
        <x:v>55</x:v>
      </x:c>
      <x:c r="S505">
        <x:v>66</x:v>
      </x:c>
      <x:c r="T505">
        <x:v>53</x:v>
      </x:c>
      <x:c r="U505">
        <x:v>57</x:v>
      </x:c>
      <x:c r="V505">
        <x:v>63</x:v>
      </x:c>
      <x:c r="W505">
        <x:v>67</x:v>
      </x:c>
      <x:c r="X505">
        <x:v>92</x:v>
      </x:c>
      <x:c r="Y505">
        <x:v>79</x:v>
      </x:c>
      <x:c r="Z505">
        <x:v>51</x:v>
      </x:c>
      <x:c r="AA505">
        <x:v>59</x:v>
      </x:c>
    </x:row>
    <x:row r="506">
      <x:c r="A506" t="s">
        <x:v>655</x:v>
      </x:c>
      <x:c r="B506" t="s">
        <x:v>350</x:v>
      </x:c>
      <x:c r="C506" t="s">
        <x:v>333</x:v>
      </x:c>
      <x:c r="D506">
        <x:v>8482475</x:v>
      </x:c>
      <x:c r="E506" t="s">
        <x:v>224</x:v>
      </x:c>
      <x:c r="F506">
        <x:v>72</x:v>
      </x:c>
      <x:c r="G506">
        <x:v>30</x:v>
      </x:c>
      <x:c r="J506" t="s">
        <x:v>2054</x:v>
      </x:c>
      <x:c r="K506">
        <x:v>65</x:v>
      </x:c>
      <x:c r="L506">
        <x:v>35</x:v>
      </x:c>
      <x:c r="M506">
        <x:v>95</x:v>
      </x:c>
      <x:c r="N506">
        <x:v>70</x:v>
      </x:c>
      <x:c r="O506">
        <x:v>81</x:v>
      </x:c>
      <x:c r="P506">
        <x:v>84</x:v>
      </x:c>
      <x:c r="Q506">
        <x:v>84</x:v>
      </x:c>
      <x:c r="R506">
        <x:v>58</x:v>
      </x:c>
      <x:c r="S506">
        <x:v>66</x:v>
      </x:c>
      <x:c r="T506">
        <x:v>56</x:v>
      </x:c>
      <x:c r="U506">
        <x:v>61</x:v>
      </x:c>
      <x:c r="V506">
        <x:v>63</x:v>
      </x:c>
      <x:c r="W506">
        <x:v>80</x:v>
      </x:c>
      <x:c r="X506">
        <x:v>70</x:v>
      </x:c>
      <x:c r="Y506">
        <x:v>67</x:v>
      </x:c>
      <x:c r="Z506">
        <x:v>51</x:v>
      </x:c>
      <x:c r="AA506">
        <x:v>59</x:v>
      </x:c>
    </x:row>
    <x:row r="507">
      <x:c r="A507" t="s">
        <x:v>671</x:v>
      </x:c>
      <x:c r="B507" t="s">
        <x:v>324</x:v>
      </x:c>
      <x:c r="C507" t="s">
        <x:v>339</x:v>
      </x:c>
      <x:c r="D507">
        <x:v>8475768</x:v>
      </x:c>
      <x:c r="E507" t="s">
        <x:v>224</x:v>
      </x:c>
      <x:c r="F507">
        <x:v>50</x:v>
      </x:c>
      <x:c r="G507">
        <x:v>81</x:v>
      </x:c>
      <x:c r="J507" t="s">
        <x:v>2256</x:v>
      </x:c>
      <x:c r="K507">
        <x:v>62</x:v>
      </x:c>
      <x:c r="L507">
        <x:v>35</x:v>
      </x:c>
      <x:c r="M507">
        <x:v>87</x:v>
      </x:c>
      <x:c r="N507">
        <x:v>48</x:v>
      </x:c>
      <x:c r="O507">
        <x:v>77</x:v>
      </x:c>
      <x:c r="P507">
        <x:v>86</x:v>
      </x:c>
      <x:c r="Q507">
        <x:v>79</x:v>
      </x:c>
      <x:c r="R507">
        <x:v>56</x:v>
      </x:c>
      <x:c r="S507">
        <x:v>76</x:v>
      </x:c>
      <x:c r="T507">
        <x:v>54</x:v>
      </x:c>
      <x:c r="U507">
        <x:v>57</x:v>
      </x:c>
      <x:c r="V507">
        <x:v>63</x:v>
      </x:c>
      <x:c r="W507">
        <x:v>53</x:v>
      </x:c>
      <x:c r="X507">
        <x:v>87</x:v>
      </x:c>
      <x:c r="Y507">
        <x:v>75</x:v>
      </x:c>
      <x:c r="Z507">
        <x:v>51</x:v>
      </x:c>
      <x:c r="AA507">
        <x:v>59</x:v>
      </x:c>
    </x:row>
    <x:row r="508">
      <x:c r="A508" t="s">
        <x:v>675</x:v>
      </x:c>
      <x:c r="B508" t="s">
        <x:v>337</x:v>
      </x:c>
      <x:c r="C508" t="s">
        <x:v>358</x:v>
      </x:c>
      <x:c r="D508">
        <x:v>8481716</x:v>
      </x:c>
      <x:c r="E508" t="s">
        <x:v>224</x:v>
      </x:c>
      <x:c r="F508">
        <x:v>63</x:v>
      </x:c>
      <x:c r="G508">
        <x:v>73</x:v>
      </x:c>
      <x:c r="J508" t="s">
        <x:v>2359</x:v>
      </x:c>
      <x:c r="K508">
        <x:v>70</x:v>
      </x:c>
      <x:c r="L508">
        <x:v>77</x:v>
      </x:c>
      <x:c r="M508">
        <x:v>74</x:v>
      </x:c>
      <x:c r="N508">
        <x:v>52</x:v>
      </x:c>
      <x:c r="O508">
        <x:v>91</x:v>
      </x:c>
      <x:c r="P508">
        <x:v>84</x:v>
      </x:c>
      <x:c r="Q508">
        <x:v>84</x:v>
      </x:c>
      <x:c r="R508">
        <x:v>56</x:v>
      </x:c>
      <x:c r="S508">
        <x:v>67</x:v>
      </x:c>
      <x:c r="T508">
        <x:v>55</x:v>
      </x:c>
      <x:c r="U508">
        <x:v>61</x:v>
      </x:c>
      <x:c r="V508">
        <x:v>63</x:v>
      </x:c>
      <x:c r="W508">
        <x:v>52</x:v>
      </x:c>
      <x:c r="X508">
        <x:v>69</x:v>
      </x:c>
      <x:c r="Y508">
        <x:v>75</x:v>
      </x:c>
      <x:c r="Z508">
        <x:v>51</x:v>
      </x:c>
      <x:c r="AA508">
        <x:v>59</x:v>
      </x:c>
    </x:row>
    <x:row r="509">
      <x:c r="A509" t="s">
        <x:v>706</x:v>
      </x:c>
      <x:c r="B509" t="s">
        <x:v>350</x:v>
      </x:c>
      <x:c r="C509" t="s">
        <x:v>333</x:v>
      </x:c>
      <x:c r="D509">
        <x:v>8479638</x:v>
      </x:c>
      <x:c r="E509" t="s">
        <x:v>224</x:v>
      </x:c>
      <x:c r="F509">
        <x:v>64</x:v>
      </x:c>
      <x:c r="G509">
        <x:v>76</x:v>
      </x:c>
      <x:c r="J509" t="s">
        <x:v>2360</x:v>
      </x:c>
      <x:c r="K509">
        <x:v>70</x:v>
      </x:c>
      <x:c r="L509">
        <x:v>43</x:v>
      </x:c>
      <x:c r="M509">
        <x:v>91</x:v>
      </x:c>
      <x:c r="N509">
        <x:v>48</x:v>
      </x:c>
      <x:c r="O509">
        <x:v>90</x:v>
      </x:c>
      <x:c r="P509">
        <x:v>83</x:v>
      </x:c>
      <x:c r="Q509">
        <x:v>85</x:v>
      </x:c>
      <x:c r="R509">
        <x:v>56</x:v>
      </x:c>
      <x:c r="S509">
        <x:v>62</x:v>
      </x:c>
      <x:c r="T509">
        <x:v>56</x:v>
      </x:c>
      <x:c r="U509">
        <x:v>61</x:v>
      </x:c>
      <x:c r="V509">
        <x:v>63</x:v>
      </x:c>
      <x:c r="W509">
        <x:v>52</x:v>
      </x:c>
      <x:c r="X509">
        <x:v>70</x:v>
      </x:c>
      <x:c r="Y509">
        <x:v>70</x:v>
      </x:c>
      <x:c r="Z509">
        <x:v>51</x:v>
      </x:c>
      <x:c r="AA509">
        <x:v>59</x:v>
      </x:c>
    </x:row>
    <x:row r="510">
      <x:c r="A510" t="s">
        <x:v>729</x:v>
      </x:c>
      <x:c r="B510" t="s">
        <x:v>350</x:v>
      </x:c>
      <x:c r="C510" t="s">
        <x:v>323</x:v>
      </x:c>
      <x:c r="D510">
        <x:v>8478438</x:v>
      </x:c>
      <x:c r="E510" t="s">
        <x:v>224</x:v>
      </x:c>
      <x:c r="F510">
        <x:v>82</x:v>
      </x:c>
      <x:c r="G510">
        <x:v>54</x:v>
      </x:c>
      <x:c r="J510" t="s">
        <x:v>2361</x:v>
      </x:c>
      <x:c r="K510">
        <x:v>57</x:v>
      </x:c>
      <x:c r="L510">
        <x:v>36</x:v>
      </x:c>
      <x:c r="M510">
        <x:v>86</x:v>
      </x:c>
      <x:c r="N510">
        <x:v>54</x:v>
      </x:c>
      <x:c r="O510">
        <x:v>78</x:v>
      </x:c>
      <x:c r="P510">
        <x:v>84</x:v>
      </x:c>
      <x:c r="Q510">
        <x:v>95</x:v>
      </x:c>
      <x:c r="R510">
        <x:v>55</x:v>
      </x:c>
      <x:c r="S510">
        <x:v>80</x:v>
      </x:c>
      <x:c r="T510">
        <x:v>58</x:v>
      </x:c>
      <x:c r="U510">
        <x:v>58</x:v>
      </x:c>
      <x:c r="V510">
        <x:v>63</x:v>
      </x:c>
      <x:c r="W510">
        <x:v>61</x:v>
      </x:c>
      <x:c r="X510">
        <x:v>70</x:v>
      </x:c>
      <x:c r="Y510">
        <x:v>73</x:v>
      </x:c>
      <x:c r="Z510">
        <x:v>51</x:v>
      </x:c>
      <x:c r="AA510">
        <x:v>58</x:v>
      </x:c>
    </x:row>
    <x:row r="511">
      <x:c r="A511" t="s">
        <x:v>759</x:v>
      </x:c>
      <x:c r="B511" t="s">
        <x:v>576</x:v>
      </x:c>
      <x:c r="C511" t="s">
        <x:v>329</x:v>
      </x:c>
      <x:c r="D511">
        <x:v>8481068</x:v>
      </x:c>
      <x:c r="E511" t="s">
        <x:v>224</x:v>
      </x:c>
      <x:c r="F511">
        <x:v>78</x:v>
      </x:c>
      <x:c r="G511">
        <x:v>73</x:v>
      </x:c>
      <x:c r="J511" t="s">
        <x:v>2362</x:v>
      </x:c>
      <x:c r="K511">
        <x:v>58</x:v>
      </x:c>
      <x:c r="L511">
        <x:v>37</x:v>
      </x:c>
      <x:c r="M511">
        <x:v>93</x:v>
      </x:c>
      <x:c r="N511">
        <x:v>48</x:v>
      </x:c>
      <x:c r="O511">
        <x:v>79</x:v>
      </x:c>
      <x:c r="P511">
        <x:v>86</x:v>
      </x:c>
      <x:c r="Q511">
        <x:v>94</x:v>
      </x:c>
      <x:c r="R511">
        <x:v>56</x:v>
      </x:c>
      <x:c r="S511">
        <x:v>74</x:v>
      </x:c>
      <x:c r="T511">
        <x:v>51</x:v>
      </x:c>
      <x:c r="U511">
        <x:v>57</x:v>
      </x:c>
      <x:c r="V511">
        <x:v>63</x:v>
      </x:c>
      <x:c r="W511">
        <x:v>81</x:v>
      </x:c>
      <x:c r="X511">
        <x:v>74</x:v>
      </x:c>
      <x:c r="Y511">
        <x:v>77</x:v>
      </x:c>
      <x:c r="Z511">
        <x:v>51</x:v>
      </x:c>
      <x:c r="AA511">
        <x:v>58</x:v>
      </x:c>
    </x:row>
    <x:row r="512">
      <x:c r="A512" t="s">
        <x:v>764</x:v>
      </x:c>
      <x:c r="B512" t="s">
        <x:v>436</x:v>
      </x:c>
      <x:c r="C512" t="s">
        <x:v>333</x:v>
      </x:c>
      <x:c r="D512">
        <x:v>8475799</x:v>
      </x:c>
      <x:c r="E512" t="s">
        <x:v>224</x:v>
      </x:c>
      <x:c r="F512">
        <x:v>61</x:v>
      </x:c>
      <x:c r="G512">
        <x:v>82</x:v>
      </x:c>
      <x:c r="J512" t="s">
        <x:v>2212</x:v>
      </x:c>
      <x:c r="K512">
        <x:v>68</x:v>
      </x:c>
      <x:c r="L512">
        <x:v>40</x:v>
      </x:c>
      <x:c r="M512">
        <x:v>87</x:v>
      </x:c>
      <x:c r="N512">
        <x:v>48</x:v>
      </x:c>
      <x:c r="O512">
        <x:v>87</x:v>
      </x:c>
      <x:c r="P512">
        <x:v>84</x:v>
      </x:c>
      <x:c r="Q512">
        <x:v>84</x:v>
      </x:c>
      <x:c r="R512">
        <x:v>55</x:v>
      </x:c>
      <x:c r="S512">
        <x:v>68</x:v>
      </x:c>
      <x:c r="T512">
        <x:v>52</x:v>
      </x:c>
      <x:c r="U512">
        <x:v>55</x:v>
      </x:c>
      <x:c r="V512">
        <x:v>63</x:v>
      </x:c>
      <x:c r="W512">
        <x:v>56</x:v>
      </x:c>
      <x:c r="X512">
        <x:v>90</x:v>
      </x:c>
      <x:c r="Y512">
        <x:v>79</x:v>
      </x:c>
      <x:c r="Z512">
        <x:v>51</x:v>
      </x:c>
      <x:c r="AA512">
        <x:v>58</x:v>
      </x:c>
    </x:row>
    <x:row r="513">
      <x:c r="A513" t="s">
        <x:v>771</x:v>
      </x:c>
      <x:c r="B513" t="s">
        <x:v>337</x:v>
      </x:c>
      <x:c r="C513" t="s">
        <x:v>333</x:v>
      </x:c>
      <x:c r="D513">
        <x:v>8478856</x:v>
      </x:c>
      <x:c r="E513" t="s">
        <x:v>224</x:v>
      </x:c>
      <x:c r="F513">
        <x:v>71</x:v>
      </x:c>
      <x:c r="G513">
        <x:v>81</x:v>
      </x:c>
      <x:c r="J513" t="s">
        <x:v>2363</x:v>
      </x:c>
      <x:c r="K513">
        <x:v>62</x:v>
      </x:c>
      <x:c r="L513">
        <x:v>77</x:v>
      </x:c>
      <x:c r="M513">
        <x:v>91</x:v>
      </x:c>
      <x:c r="N513">
        <x:v>55</x:v>
      </x:c>
      <x:c r="O513">
        <x:v>41</x:v>
      </x:c>
      <x:c r="P513">
        <x:v>88</x:v>
      </x:c>
      <x:c r="Q513">
        <x:v>90</x:v>
      </x:c>
      <x:c r="R513">
        <x:v>56</x:v>
      </x:c>
      <x:c r="S513">
        <x:v>69</x:v>
      </x:c>
      <x:c r="T513">
        <x:v>54</x:v>
      </x:c>
      <x:c r="U513">
        <x:v>54</x:v>
      </x:c>
      <x:c r="V513">
        <x:v>63</x:v>
      </x:c>
      <x:c r="W513">
        <x:v>75</x:v>
      </x:c>
      <x:c r="X513">
        <x:v>78</x:v>
      </x:c>
      <x:c r="Y513">
        <x:v>72</x:v>
      </x:c>
      <x:c r="Z513">
        <x:v>51</x:v>
      </x:c>
      <x:c r="AA513">
        <x:v>58</x:v>
      </x:c>
    </x:row>
    <x:row r="514">
      <x:c r="A514" t="s">
        <x:v>795</x:v>
      </x:c>
      <x:c r="B514" t="s">
        <x:v>366</x:v>
      </x:c>
      <x:c r="C514" t="s">
        <x:v>326</x:v>
      </x:c>
      <x:c r="D514">
        <x:v>8482737</x:v>
      </x:c>
      <x:c r="E514" t="s">
        <x:v>224</x:v>
      </x:c>
      <x:c r="F514">
        <x:v>78</x:v>
      </x:c>
      <x:c r="G514">
        <x:v>72</x:v>
      </x:c>
      <x:c r="J514" t="s">
        <x:v>2364</x:v>
      </x:c>
      <x:c r="K514">
        <x:v>74</x:v>
      </x:c>
      <x:c r="L514">
        <x:v>40</x:v>
      </x:c>
      <x:c r="M514">
        <x:v>90</x:v>
      </x:c>
      <x:c r="N514">
        <x:v>54</x:v>
      </x:c>
      <x:c r="O514">
        <x:v>77</x:v>
      </x:c>
      <x:c r="P514">
        <x:v>84</x:v>
      </x:c>
      <x:c r="Q514">
        <x:v>94</x:v>
      </x:c>
      <x:c r="R514">
        <x:v>55</x:v>
      </x:c>
      <x:c r="S514">
        <x:v>70</x:v>
      </x:c>
      <x:c r="T514">
        <x:v>55</x:v>
      </x:c>
      <x:c r="U514">
        <x:v>57</x:v>
      </x:c>
      <x:c r="V514">
        <x:v>63</x:v>
      </x:c>
      <x:c r="W514">
        <x:v>55</x:v>
      </x:c>
      <x:c r="X514">
        <x:v>70</x:v>
      </x:c>
      <x:c r="Y514">
        <x:v>74</x:v>
      </x:c>
      <x:c r="Z514">
        <x:v>54</x:v>
      </x:c>
      <x:c r="AA514">
        <x:v>58</x:v>
      </x:c>
    </x:row>
    <x:row r="515">
      <x:c r="A515" t="s">
        <x:v>797</x:v>
      </x:c>
      <x:c r="B515" t="s">
        <x:v>584</x:v>
      </x:c>
      <x:c r="C515" t="s">
        <x:v>333</x:v>
      </x:c>
      <x:c r="D515">
        <x:v>8475191</x:v>
      </x:c>
      <x:c r="E515" t="s">
        <x:v>224</x:v>
      </x:c>
      <x:c r="F515">
        <x:v>69</x:v>
      </x:c>
      <x:c r="G515">
        <x:v>79</x:v>
      </x:c>
      <x:c r="J515" t="s">
        <x:v>2365</x:v>
      </x:c>
      <x:c r="K515">
        <x:v>60</x:v>
      </x:c>
      <x:c r="L515">
        <x:v>33</x:v>
      </x:c>
      <x:c r="M515">
        <x:v>94</x:v>
      </x:c>
      <x:c r="N515">
        <x:v>52</x:v>
      </x:c>
      <x:c r="O515">
        <x:v>77</x:v>
      </x:c>
      <x:c r="P515">
        <x:v>84</x:v>
      </x:c>
      <x:c r="Q515">
        <x:v>89</x:v>
      </x:c>
      <x:c r="R515">
        <x:v>54</x:v>
      </x:c>
      <x:c r="S515">
        <x:v>69</x:v>
      </x:c>
      <x:c r="T515">
        <x:v>52</x:v>
      </x:c>
      <x:c r="U515">
        <x:v>58</x:v>
      </x:c>
      <x:c r="V515">
        <x:v>63</x:v>
      </x:c>
      <x:c r="W515">
        <x:v>64</x:v>
      </x:c>
      <x:c r="X515">
        <x:v>89</x:v>
      </x:c>
      <x:c r="Y515">
        <x:v>78</x:v>
      </x:c>
      <x:c r="Z515">
        <x:v>51</x:v>
      </x:c>
      <x:c r="AA515">
        <x:v>58</x:v>
      </x:c>
    </x:row>
    <x:row r="516">
      <x:c r="A516" t="s">
        <x:v>802</x:v>
      </x:c>
      <x:c r="B516" t="s">
        <x:v>340</x:v>
      </x:c>
      <x:c r="C516" t="s">
        <x:v>329</x:v>
      </x:c>
      <x:c r="D516">
        <x:v>8477494</x:v>
      </x:c>
      <x:c r="E516" t="s">
        <x:v>224</x:v>
      </x:c>
      <x:c r="F516">
        <x:v>64</x:v>
      </x:c>
      <x:c r="G516">
        <x:v>43</x:v>
      </x:c>
      <x:c r="J516" t="s">
        <x:v>2366</x:v>
      </x:c>
      <x:c r="K516">
        <x:v>58</x:v>
      </x:c>
      <x:c r="L516">
        <x:v>45</x:v>
      </x:c>
      <x:c r="M516">
        <x:v>94</x:v>
      </x:c>
      <x:c r="N516">
        <x:v>54</x:v>
      </x:c>
      <x:c r="O516">
        <x:v>77</x:v>
      </x:c>
      <x:c r="P516">
        <x:v>87</x:v>
      </x:c>
      <x:c r="Q516">
        <x:v>82</x:v>
      </x:c>
      <x:c r="R516">
        <x:v>55</x:v>
      </x:c>
      <x:c r="S516">
        <x:v>79</x:v>
      </x:c>
      <x:c r="T516">
        <x:v>56</x:v>
      </x:c>
      <x:c r="U516">
        <x:v>51</x:v>
      </x:c>
      <x:c r="V516">
        <x:v>63</x:v>
      </x:c>
      <x:c r="W516">
        <x:v>69</x:v>
      </x:c>
      <x:c r="X516">
        <x:v>80</x:v>
      </x:c>
      <x:c r="Y516">
        <x:v>76</x:v>
      </x:c>
      <x:c r="Z516">
        <x:v>51</x:v>
      </x:c>
      <x:c r="AA516">
        <x:v>58</x:v>
      </x:c>
    </x:row>
    <x:row r="517">
      <x:c r="A517" t="s">
        <x:v>811</x:v>
      </x:c>
      <x:c r="B517" t="s">
        <x:v>386</x:v>
      </x:c>
      <x:c r="C517" t="s">
        <x:v>358</x:v>
      </x:c>
      <x:c r="D517">
        <x:v>8477478</x:v>
      </x:c>
      <x:c r="E517" t="s">
        <x:v>224</x:v>
      </x:c>
      <x:c r="F517">
        <x:v>70</x:v>
      </x:c>
      <x:c r="G517">
        <x:v>43</x:v>
      </x:c>
      <x:c r="J517" t="s">
        <x:v>2367</x:v>
      </x:c>
      <x:c r="K517">
        <x:v>82</x:v>
      </x:c>
      <x:c r="L517">
        <x:v>42</x:v>
      </x:c>
      <x:c r="M517">
        <x:v>89</x:v>
      </x:c>
      <x:c r="N517">
        <x:v>62</x:v>
      </x:c>
      <x:c r="O517">
        <x:v>85</x:v>
      </x:c>
      <x:c r="P517">
        <x:v>82</x:v>
      </x:c>
      <x:c r="Q517">
        <x:v>85</x:v>
      </x:c>
      <x:c r="R517">
        <x:v>49</x:v>
      </x:c>
      <x:c r="S517">
        <x:v>68</x:v>
      </x:c>
      <x:c r="T517">
        <x:v>53</x:v>
      </x:c>
      <x:c r="U517">
        <x:v>53</x:v>
      </x:c>
      <x:c r="V517">
        <x:v>63</x:v>
      </x:c>
      <x:c r="W517">
        <x:v>52</x:v>
      </x:c>
      <x:c r="X517">
        <x:v>81</x:v>
      </x:c>
      <x:c r="Y517">
        <x:v>72</x:v>
      </x:c>
      <x:c r="Z517">
        <x:v>51</x:v>
      </x:c>
      <x:c r="AA517">
        <x:v>57</x:v>
      </x:c>
    </x:row>
    <x:row r="518">
      <x:c r="A518" t="s">
        <x:v>842</x:v>
      </x:c>
      <x:c r="B518" t="s">
        <x:v>402</x:v>
      </x:c>
      <x:c r="C518" t="s">
        <x:v>319</x:v>
      </x:c>
      <x:c r="D518">
        <x:v>8473604</x:v>
      </x:c>
      <x:c r="E518" t="s">
        <x:v>224</x:v>
      </x:c>
      <x:c r="F518">
        <x:v>82</x:v>
      </x:c>
      <x:c r="J518" t="s">
        <x:v>2078</x:v>
      </x:c>
      <x:c r="K518">
        <x:v>58</x:v>
      </x:c>
      <x:c r="L518">
        <x:v>42</x:v>
      </x:c>
      <x:c r="M518">
        <x:v>79</x:v>
      </x:c>
      <x:c r="N518">
        <x:v>47</x:v>
      </x:c>
      <x:c r="O518">
        <x:v>81</x:v>
      </x:c>
      <x:c r="P518">
        <x:v>83</x:v>
      </x:c>
      <x:c r="Q518">
        <x:v>96</x:v>
      </x:c>
      <x:c r="R518">
        <x:v>54</x:v>
      </x:c>
      <x:c r="S518">
        <x:v>92</x:v>
      </x:c>
      <x:c r="T518">
        <x:v>54</x:v>
      </x:c>
      <x:c r="U518">
        <x:v>53</x:v>
      </x:c>
      <x:c r="V518">
        <x:v>63</x:v>
      </x:c>
      <x:c r="W518">
        <x:v>77</x:v>
      </x:c>
      <x:c r="X518">
        <x:v>92</x:v>
      </x:c>
      <x:c r="Y518">
        <x:v>96</x:v>
      </x:c>
      <x:c r="Z518">
        <x:v>51</x:v>
      </x:c>
      <x:c r="AA518">
        <x:v>57</x:v>
      </x:c>
    </x:row>
    <x:row r="519">
      <x:c r="A519" t="s">
        <x:v>847</x:v>
      </x:c>
      <x:c r="B519" t="s">
        <x:v>356</x:v>
      </x:c>
      <x:c r="C519" t="s">
        <x:v>319</x:v>
      </x:c>
      <x:c r="D519">
        <x:v>8482775</x:v>
      </x:c>
      <x:c r="E519" t="s">
        <x:v>224</x:v>
      </x:c>
      <x:c r="F519">
        <x:v>82</x:v>
      </x:c>
      <x:c r="G519">
        <x:v>18</x:v>
      </x:c>
      <x:c r="J519" t="s">
        <x:v>2368</x:v>
      </x:c>
      <x:c r="K519">
        <x:v>59</x:v>
      </x:c>
      <x:c r="L519">
        <x:v>39</x:v>
      </x:c>
      <x:c r="M519">
        <x:v>88</x:v>
      </x:c>
      <x:c r="N519">
        <x:v>56</x:v>
      </x:c>
      <x:c r="O519">
        <x:v>79</x:v>
      </x:c>
      <x:c r="P519">
        <x:v>83</x:v>
      </x:c>
      <x:c r="Q519">
        <x:v>87</x:v>
      </x:c>
      <x:c r="R519">
        <x:v>55</x:v>
      </x:c>
      <x:c r="S519">
        <x:v>81</x:v>
      </x:c>
      <x:c r="T519">
        <x:v>52</x:v>
      </x:c>
      <x:c r="U519">
        <x:v>57</x:v>
      </x:c>
      <x:c r="V519">
        <x:v>63</x:v>
      </x:c>
      <x:c r="W519">
        <x:v>75</x:v>
      </x:c>
      <x:c r="X519">
        <x:v>69</x:v>
      </x:c>
      <x:c r="Y519">
        <x:v>65</x:v>
      </x:c>
      <x:c r="Z519">
        <x:v>54</x:v>
      </x:c>
      <x:c r="AA519">
        <x:v>57</x:v>
      </x:c>
    </x:row>
    <x:row r="520">
      <x:c r="A520" t="s">
        <x:v>864</x:v>
      </x:c>
      <x:c r="B520" t="s">
        <x:v>356</x:v>
      </x:c>
      <x:c r="C520" t="s">
        <x:v>323</x:v>
      </x:c>
      <x:c r="D520">
        <x:v>8481523</x:v>
      </x:c>
      <x:c r="E520" t="s">
        <x:v>224</x:v>
      </x:c>
      <x:c r="F520">
        <x:v>37</x:v>
      </x:c>
      <x:c r="G520">
        <x:v>57</x:v>
      </x:c>
      <x:c r="J520" t="s">
        <x:v>2369</x:v>
      </x:c>
      <x:c r="K520">
        <x:v>70</x:v>
      </x:c>
      <x:c r="L520">
        <x:v>69</x:v>
      </x:c>
      <x:c r="M520">
        <x:v>85</x:v>
      </x:c>
      <x:c r="N520">
        <x:v>56</x:v>
      </x:c>
      <x:c r="O520">
        <x:v>88</x:v>
      </x:c>
      <x:c r="P520">
        <x:v>83</x:v>
      </x:c>
      <x:c r="Q520">
        <x:v>68</x:v>
      </x:c>
      <x:c r="R520">
        <x:v>54</x:v>
      </x:c>
      <x:c r="S520">
        <x:v>78</x:v>
      </x:c>
      <x:c r="T520">
        <x:v>51</x:v>
      </x:c>
      <x:c r="U520">
        <x:v>55</x:v>
      </x:c>
      <x:c r="V520">
        <x:v>63</x:v>
      </x:c>
      <x:c r="W520">
        <x:v>71</x:v>
      </x:c>
      <x:c r="X520">
        <x:v>74</x:v>
      </x:c>
      <x:c r="Y520">
        <x:v>74</x:v>
      </x:c>
      <x:c r="Z520">
        <x:v>51</x:v>
      </x:c>
      <x:c r="AA520">
        <x:v>57</x:v>
      </x:c>
    </x:row>
    <x:row r="521">
      <x:c r="A521" t="s">
        <x:v>894</x:v>
      </x:c>
      <x:c r="B521" t="s">
        <x:v>439</x:v>
      </x:c>
      <x:c r="C521" t="s">
        <x:v>333</x:v>
      </x:c>
      <x:c r="D521">
        <x:v>8477407</x:v>
      </x:c>
      <x:c r="E521" t="s">
        <x:v>224</x:v>
      </x:c>
      <x:c r="F521">
        <x:v>62</x:v>
      </x:c>
      <x:c r="G521">
        <x:v>44</x:v>
      </x:c>
      <x:c r="J521" t="s">
        <x:v>2370</x:v>
      </x:c>
      <x:c r="K521">
        <x:v>58</x:v>
      </x:c>
      <x:c r="L521">
        <x:v>34</x:v>
      </x:c>
      <x:c r="M521">
        <x:v>89</x:v>
      </x:c>
      <x:c r="N521">
        <x:v>56</x:v>
      </x:c>
      <x:c r="O521">
        <x:v>80</x:v>
      </x:c>
      <x:c r="P521">
        <x:v>84</x:v>
      </x:c>
      <x:c r="Q521">
        <x:v>80</x:v>
      </x:c>
      <x:c r="R521">
        <x:v>53</x:v>
      </x:c>
      <x:c r="S521">
        <x:v>68</x:v>
      </x:c>
      <x:c r="T521">
        <x:v>53</x:v>
      </x:c>
      <x:c r="U521">
        <x:v>56</x:v>
      </x:c>
      <x:c r="V521">
        <x:v>63</x:v>
      </x:c>
      <x:c r="W521">
        <x:v>66</x:v>
      </x:c>
      <x:c r="X521">
        <x:v>80</x:v>
      </x:c>
      <x:c r="Y521">
        <x:v>71</x:v>
      </x:c>
      <x:c r="Z521">
        <x:v>51</x:v>
      </x:c>
      <x:c r="AA521">
        <x:v>57</x:v>
      </x:c>
    </x:row>
    <x:row r="522">
      <x:c r="A522" t="s">
        <x:v>916</x:v>
      </x:c>
      <x:c r="B522" t="s">
        <x:v>584</x:v>
      </x:c>
      <x:c r="C522" t="s">
        <x:v>333</x:v>
      </x:c>
      <x:c r="D522">
        <x:v>8474679</x:v>
      </x:c>
      <x:c r="E522" t="s">
        <x:v>224</x:v>
      </x:c>
      <x:c r="F522">
        <x:v>51</x:v>
      </x:c>
      <x:c r="G522">
        <x:v>79</x:v>
      </x:c>
      <x:c r="J522" t="s">
        <x:v>2371</x:v>
      </x:c>
      <x:c r="K522">
        <x:v>62</x:v>
      </x:c>
      <x:c r="L522">
        <x:v>32</x:v>
      </x:c>
      <x:c r="M522">
        <x:v>88</x:v>
      </x:c>
      <x:c r="N522">
        <x:v>54</x:v>
      </x:c>
      <x:c r="O522">
        <x:v>76</x:v>
      </x:c>
      <x:c r="P522">
        <x:v>84</x:v>
      </x:c>
      <x:c r="Q522">
        <x:v>80</x:v>
      </x:c>
      <x:c r="R522">
        <x:v>52</x:v>
      </x:c>
      <x:c r="S522">
        <x:v>69</x:v>
      </x:c>
      <x:c r="T522">
        <x:v>52</x:v>
      </x:c>
      <x:c r="U522">
        <x:v>49</x:v>
      </x:c>
      <x:c r="V522">
        <x:v>63</x:v>
      </x:c>
      <x:c r="W522">
        <x:v>76</x:v>
      </x:c>
      <x:c r="X522">
        <x:v>87</x:v>
      </x:c>
      <x:c r="Y522">
        <x:v>77</x:v>
      </x:c>
      <x:c r="Z522">
        <x:v>51</x:v>
      </x:c>
      <x:c r="AA522">
        <x:v>56</x:v>
      </x:c>
    </x:row>
    <x:row r="523">
      <x:c r="A523" t="s">
        <x:v>919</x:v>
      </x:c>
      <x:c r="B523" t="s">
        <x:v>420</x:v>
      </x:c>
      <x:c r="C523" t="s">
        <x:v>339</x:v>
      </x:c>
      <x:c r="D523">
        <x:v>8482691</x:v>
      </x:c>
      <x:c r="E523" t="s">
        <x:v>224</x:v>
      </x:c>
      <x:c r="F523">
        <x:v>66</x:v>
      </x:c>
      <x:c r="G523">
        <x:v>33</x:v>
      </x:c>
      <x:c r="J523" t="s">
        <x:v>2372</x:v>
      </x:c>
      <x:c r="K523">
        <x:v>80</x:v>
      </x:c>
      <x:c r="L523">
        <x:v>39</x:v>
      </x:c>
      <x:c r="M523">
        <x:v>80</x:v>
      </x:c>
      <x:c r="N523">
        <x:v>47</x:v>
      </x:c>
      <x:c r="O523">
        <x:v>82</x:v>
      </x:c>
      <x:c r="P523">
        <x:v>83</x:v>
      </x:c>
      <x:c r="Q523">
        <x:v>87</x:v>
      </x:c>
      <x:c r="R523">
        <x:v>52</x:v>
      </x:c>
      <x:c r="S523">
        <x:v>90</x:v>
      </x:c>
      <x:c r="T523">
        <x:v>52</x:v>
      </x:c>
      <x:c r="U523">
        <x:v>52</x:v>
      </x:c>
      <x:c r="V523">
        <x:v>63</x:v>
      </x:c>
      <x:c r="W523">
        <x:v>52</x:v>
      </x:c>
      <x:c r="X523">
        <x:v>67</x:v>
      </x:c>
      <x:c r="Y523">
        <x:v>67</x:v>
      </x:c>
      <x:c r="Z523">
        <x:v>51</x:v>
      </x:c>
      <x:c r="AA523">
        <x:v>56</x:v>
      </x:c>
    </x:row>
    <x:row r="524">
      <x:c r="A524" t="s">
        <x:v>933</x:v>
      </x:c>
      <x:c r="B524" t="s">
        <x:v>584</x:v>
      </x:c>
      <x:c r="C524" t="s">
        <x:v>329</x:v>
      </x:c>
      <x:c r="D524">
        <x:v>8475763</x:v>
      </x:c>
      <x:c r="E524" t="s">
        <x:v>224</x:v>
      </x:c>
      <x:c r="F524">
        <x:v>28</x:v>
      </x:c>
      <x:c r="G524">
        <x:v>64</x:v>
      </x:c>
      <x:c r="J524" t="s">
        <x:v>2373</x:v>
      </x:c>
      <x:c r="K524">
        <x:v>68</x:v>
      </x:c>
      <x:c r="L524">
        <x:v>42</x:v>
      </x:c>
      <x:c r="M524">
        <x:v>81</x:v>
      </x:c>
      <x:c r="N524">
        <x:v>47</x:v>
      </x:c>
      <x:c r="O524">
        <x:v>86</x:v>
      </x:c>
      <x:c r="P524">
        <x:v>82</x:v>
      </x:c>
      <x:c r="Q524">
        <x:v>61</x:v>
      </x:c>
      <x:c r="R524">
        <x:v>52</x:v>
      </x:c>
      <x:c r="S524">
        <x:v>80</x:v>
      </x:c>
      <x:c r="T524">
        <x:v>51</x:v>
      </x:c>
      <x:c r="U524">
        <x:v>53</x:v>
      </x:c>
      <x:c r="V524">
        <x:v>63</x:v>
      </x:c>
      <x:c r="W524">
        <x:v>71</x:v>
      </x:c>
      <x:c r="X524">
        <x:v>84</x:v>
      </x:c>
      <x:c r="Y524">
        <x:v>81</x:v>
      </x:c>
      <x:c r="Z524">
        <x:v>51</x:v>
      </x:c>
      <x:c r="AA524">
        <x:v>56</x:v>
      </x:c>
    </x:row>
    <x:row r="525">
      <x:c r="A525" t="s">
        <x:v>947</x:v>
      </x:c>
      <x:c r="B525" t="s">
        <x:v>340</x:v>
      </x:c>
      <x:c r="C525" t="s">
        <x:v>329</x:v>
      </x:c>
      <x:c r="D525">
        <x:v>8480848</x:v>
      </x:c>
      <x:c r="E525" t="s">
        <x:v>224</x:v>
      </x:c>
      <x:c r="F525">
        <x:v>46</x:v>
      </x:c>
      <x:c r="G525">
        <x:v>68</x:v>
      </x:c>
      <x:c r="J525" t="s">
        <x:v>2374</x:v>
      </x:c>
      <x:c r="K525">
        <x:v>79</x:v>
      </x:c>
      <x:c r="L525">
        <x:v>44</x:v>
      </x:c>
      <x:c r="M525">
        <x:v>88</x:v>
      </x:c>
      <x:c r="N525">
        <x:v>59</x:v>
      </x:c>
      <x:c r="O525">
        <x:v>77</x:v>
      </x:c>
      <x:c r="P525">
        <x:v>84</x:v>
      </x:c>
      <x:c r="Q525">
        <x:v>75</x:v>
      </x:c>
      <x:c r="R525">
        <x:v>49</x:v>
      </x:c>
      <x:c r="S525">
        <x:v>87</x:v>
      </x:c>
      <x:c r="T525">
        <x:v>52</x:v>
      </x:c>
      <x:c r="U525">
        <x:v>49</x:v>
      </x:c>
      <x:c r="V525">
        <x:v>63</x:v>
      </x:c>
      <x:c r="W525">
        <x:v>53</x:v>
      </x:c>
      <x:c r="X525">
        <x:v>71</x:v>
      </x:c>
      <x:c r="Y525">
        <x:v>68</x:v>
      </x:c>
      <x:c r="Z525">
        <x:v>51</x:v>
      </x:c>
      <x:c r="AA525">
        <x:v>56</x:v>
      </x:c>
    </x:row>
    <x:row r="526">
      <x:c r="A526" t="s">
        <x:v>948</x:v>
      </x:c>
      <x:c r="B526" t="s">
        <x:v>436</x:v>
      </x:c>
      <x:c r="C526" t="s">
        <x:v>323</x:v>
      </x:c>
      <x:c r="D526">
        <x:v>8483450</x:v>
      </x:c>
      <x:c r="E526" t="s">
        <x:v>224</x:v>
      </x:c>
      <x:c r="F526">
        <x:v>80</x:v>
      </x:c>
      <x:c r="G526">
        <x:v>2</x:v>
      </x:c>
      <x:c r="J526" t="s">
        <x:v>2375</x:v>
      </x:c>
      <x:c r="K526">
        <x:v>60</x:v>
      </x:c>
      <x:c r="L526">
        <x:v>34</x:v>
      </x:c>
      <x:c r="M526">
        <x:v>94</x:v>
      </x:c>
      <x:c r="N526">
        <x:v>54</x:v>
      </x:c>
      <x:c r="O526">
        <x:v>79</x:v>
      </x:c>
      <x:c r="P526">
        <x:v>86</x:v>
      </x:c>
      <x:c r="Q526">
        <x:v>95</x:v>
      </x:c>
      <x:c r="R526">
        <x:v>51</x:v>
      </x:c>
      <x:c r="S526">
        <x:v>83</x:v>
      </x:c>
      <x:c r="T526">
        <x:v>51</x:v>
      </x:c>
      <x:c r="U526">
        <x:v>51</x:v>
      </x:c>
      <x:c r="V526">
        <x:v>63</x:v>
      </x:c>
      <x:c r="W526">
        <x:v>51</x:v>
      </x:c>
      <x:c r="X526">
        <x:v>67</x:v>
      </x:c>
      <x:c r="Y526">
        <x:v>69</x:v>
      </x:c>
      <x:c r="Z526">
        <x:v>54</x:v>
      </x:c>
      <x:c r="AA526">
        <x:v>56</x:v>
      </x:c>
    </x:row>
    <x:row r="527">
      <x:c r="A527" t="s">
        <x:v>952</x:v>
      </x:c>
      <x:c r="B527" t="s">
        <x:v>350</x:v>
      </x:c>
      <x:c r="C527" t="s">
        <x:v>329</x:v>
      </x:c>
      <x:c r="D527">
        <x:v>8479365</x:v>
      </x:c>
      <x:c r="E527" t="s">
        <x:v>224</x:v>
      </x:c>
      <x:c r="F527">
        <x:v>74</x:v>
      </x:c>
      <x:c r="G527">
        <x:v>58</x:v>
      </x:c>
      <x:c r="J527" t="s">
        <x:v>2376</x:v>
      </x:c>
      <x:c r="K527">
        <x:v>81</x:v>
      </x:c>
      <x:c r="L527">
        <x:v>84</x:v>
      </x:c>
      <x:c r="M527">
        <x:v>85</x:v>
      </x:c>
      <x:c r="N527">
        <x:v>56</x:v>
      </x:c>
      <x:c r="O527">
        <x:v>88</x:v>
      </x:c>
      <x:c r="P527">
        <x:v>82</x:v>
      </x:c>
      <x:c r="Q527">
        <x:v>89</x:v>
      </x:c>
      <x:c r="R527">
        <x:v>48</x:v>
      </x:c>
      <x:c r="S527">
        <x:v>82</x:v>
      </x:c>
      <x:c r="T527">
        <x:v>49</x:v>
      </x:c>
      <x:c r="U527">
        <x:v>51</x:v>
      </x:c>
      <x:c r="V527">
        <x:v>63</x:v>
      </x:c>
      <x:c r="W527">
        <x:v>53</x:v>
      </x:c>
      <x:c r="X527">
        <x:v>77</x:v>
      </x:c>
      <x:c r="Y527">
        <x:v>72</x:v>
      </x:c>
      <x:c r="Z527">
        <x:v>51</x:v>
      </x:c>
      <x:c r="AA527">
        <x:v>56</x:v>
      </x:c>
    </x:row>
    <x:row r="528">
      <x:c r="A528" t="s">
        <x:v>964</x:v>
      </x:c>
      <x:c r="B528" t="s">
        <x:v>356</x:v>
      </x:c>
      <x:c r="C528" t="s">
        <x:v>339</x:v>
      </x:c>
      <x:c r="D528">
        <x:v>8480074</x:v>
      </x:c>
      <x:c r="E528" t="s">
        <x:v>224</x:v>
      </x:c>
      <x:c r="F528">
        <x:v>51</x:v>
      </x:c>
      <x:c r="G528">
        <x:v>31</x:v>
      </x:c>
      <x:c r="J528" t="s">
        <x:v>2377</x:v>
      </x:c>
      <x:c r="K528">
        <x:v>68</x:v>
      </x:c>
      <x:c r="L528">
        <x:v>34</x:v>
      </x:c>
      <x:c r="M528">
        <x:v>84</x:v>
      </x:c>
      <x:c r="N528">
        <x:v>48</x:v>
      </x:c>
      <x:c r="O528">
        <x:v>79</x:v>
      </x:c>
      <x:c r="P528">
        <x:v>84</x:v>
      </x:c>
      <x:c r="Q528">
        <x:v>74</x:v>
      </x:c>
      <x:c r="R528">
        <x:v>52</x:v>
      </x:c>
      <x:c r="S528">
        <x:v>64</x:v>
      </x:c>
      <x:c r="T528">
        <x:v>53</x:v>
      </x:c>
      <x:c r="U528">
        <x:v>54</x:v>
      </x:c>
      <x:c r="V528">
        <x:v>63</x:v>
      </x:c>
      <x:c r="W528">
        <x:v>78</x:v>
      </x:c>
      <x:c r="X528">
        <x:v>74</x:v>
      </x:c>
      <x:c r="Y528">
        <x:v>70</x:v>
      </x:c>
      <x:c r="Z528">
        <x:v>51</x:v>
      </x:c>
      <x:c r="AA528">
        <x:v>56</x:v>
      </x:c>
    </x:row>
    <x:row r="529">
      <x:c r="A529" t="s">
        <x:v>978</x:v>
      </x:c>
      <x:c r="B529" t="s">
        <x:v>368</x:v>
      </x:c>
      <x:c r="C529" t="s">
        <x:v>333</x:v>
      </x:c>
      <x:c r="D529">
        <x:v>8479339</x:v>
      </x:c>
      <x:c r="E529" t="s">
        <x:v>224</x:v>
      </x:c>
      <x:c r="F529">
        <x:v>5</x:v>
      </x:c>
      <x:c r="G529">
        <x:v>52</x:v>
      </x:c>
      <x:c r="J529" t="s">
        <x:v>2378</x:v>
      </x:c>
      <x:c r="K529">
        <x:v>61</x:v>
      </x:c>
      <x:c r="L529">
        <x:v>30</x:v>
      </x:c>
      <x:c r="M529">
        <x:v>83</x:v>
      </x:c>
      <x:c r="N529">
        <x:v>47</x:v>
      </x:c>
      <x:c r="O529">
        <x:v>83</x:v>
      </x:c>
      <x:c r="P529">
        <x:v>82</x:v>
      </x:c>
      <x:c r="Q529">
        <x:v>34</x:v>
      </x:c>
      <x:c r="R529">
        <x:v>51</x:v>
      </x:c>
      <x:c r="S529">
        <x:v>66</x:v>
      </x:c>
      <x:c r="T529">
        <x:v>52</x:v>
      </x:c>
      <x:c r="U529">
        <x:v>49</x:v>
      </x:c>
      <x:c r="V529">
        <x:v>63</x:v>
      </x:c>
      <x:c r="W529">
        <x:v>74</x:v>
      </x:c>
      <x:c r="X529">
        <x:v>78</x:v>
      </x:c>
      <x:c r="Y529">
        <x:v>74</x:v>
      </x:c>
      <x:c r="Z529">
        <x:v>51</x:v>
      </x:c>
      <x:c r="AA529">
        <x:v>55</x:v>
      </x:c>
    </x:row>
    <x:row r="530">
      <x:c r="A530" t="s">
        <x:v>994</x:v>
      </x:c>
      <x:c r="B530" t="s">
        <x:v>427</x:v>
      </x:c>
      <x:c r="C530" t="s">
        <x:v>339</x:v>
      </x:c>
      <x:c r="D530">
        <x:v>8484142</x:v>
      </x:c>
      <x:c r="E530" t="s">
        <x:v>224</x:v>
      </x:c>
      <x:c r="F530">
        <x:v>43</x:v>
      </x:c>
      <x:c r="J530" t="s">
        <x:v>2379</x:v>
      </x:c>
      <x:c r="K530">
        <x:v>67</x:v>
      </x:c>
      <x:c r="L530">
        <x:v>31</x:v>
      </x:c>
      <x:c r="M530">
        <x:v>89</x:v>
      </x:c>
      <x:c r="N530">
        <x:v>57</x:v>
      </x:c>
      <x:c r="O530">
        <x:v>73</x:v>
      </x:c>
      <x:c r="P530">
        <x:v>83</x:v>
      </x:c>
      <x:c r="Q530">
        <x:v>84</x:v>
      </x:c>
      <x:c r="R530">
        <x:v>51</x:v>
      </x:c>
      <x:c r="S530">
        <x:v>68</x:v>
      </x:c>
      <x:c r="T530">
        <x:v>55</x:v>
      </x:c>
      <x:c r="U530">
        <x:v>51</x:v>
      </x:c>
      <x:c r="V530">
        <x:v>63</x:v>
      </x:c>
      <x:c r="W530">
        <x:v>51</x:v>
      </x:c>
      <x:c r="X530">
        <x:v>67</x:v>
      </x:c>
      <x:c r="Y530">
        <x:v>67</x:v>
      </x:c>
      <x:c r="Z530">
        <x:v>54</x:v>
      </x:c>
      <x:c r="AA530">
        <x:v>55</x:v>
      </x:c>
    </x:row>
    <x:row r="531">
      <x:c r="A531" t="s">
        <x:v>1000</x:v>
      </x:c>
      <x:c r="B531" t="s">
        <x:v>354</x:v>
      </x:c>
      <x:c r="C531" t="s">
        <x:v>319</x:v>
      </x:c>
      <x:c r="D531">
        <x:v>8479550</x:v>
      </x:c>
      <x:c r="E531" t="s">
        <x:v>224</x:v>
      </x:c>
      <x:c r="F531">
        <x:v>10</x:v>
      </x:c>
      <x:c r="G531">
        <x:v>8</x:v>
      </x:c>
      <x:c r="J531" t="s">
        <x:v>2380</x:v>
      </x:c>
      <x:c r="K531">
        <x:v>60</x:v>
      </x:c>
      <x:c r="L531">
        <x:v>39</x:v>
      </x:c>
      <x:c r="M531">
        <x:v>78</x:v>
      </x:c>
      <x:c r="N531">
        <x:v>54</x:v>
      </x:c>
      <x:c r="O531">
        <x:v>85</x:v>
      </x:c>
      <x:c r="P531">
        <x:v>80</x:v>
      </x:c>
      <x:c r="Q531">
        <x:v>88</x:v>
      </x:c>
      <x:c r="R531">
        <x:v>51</x:v>
      </x:c>
      <x:c r="S531">
        <x:v>84</x:v>
      </x:c>
      <x:c r="T531">
        <x:v>56</x:v>
      </x:c>
      <x:c r="U531">
        <x:v>50</x:v>
      </x:c>
      <x:c r="V531">
        <x:v>63</x:v>
      </x:c>
      <x:c r="W531">
        <x:v>57</x:v>
      </x:c>
      <x:c r="X531">
        <x:v>66</x:v>
      </x:c>
      <x:c r="Y531">
        <x:v>70</x:v>
      </x:c>
      <x:c r="Z531">
        <x:v>51</x:v>
      </x:c>
      <x:c r="AA531">
        <x:v>55</x:v>
      </x:c>
    </x:row>
    <x:row r="532">
      <x:c r="A532" t="s">
        <x:v>1024</x:v>
      </x:c>
      <x:c r="B532" t="s">
        <x:v>393</x:v>
      </x:c>
      <x:c r="C532" t="s">
        <x:v>358</x:v>
      </x:c>
      <x:c r="D532">
        <x:v>8482408</x:v>
      </x:c>
      <x:c r="E532" t="s">
        <x:v>224</x:v>
      </x:c>
      <x:c r="F532">
        <x:v>58</x:v>
      </x:c>
      <x:c r="G532">
        <x:v>12</x:v>
      </x:c>
      <x:c r="J532" t="s">
        <x:v>2381</x:v>
      </x:c>
      <x:c r="K532">
        <x:v>86</x:v>
      </x:c>
      <x:c r="L532">
        <x:v>81</x:v>
      </x:c>
      <x:c r="M532">
        <x:v>82</x:v>
      </x:c>
      <x:c r="N532">
        <x:v>68</x:v>
      </x:c>
      <x:c r="O532">
        <x:v>86</x:v>
      </x:c>
      <x:c r="P532">
        <x:v>80</x:v>
      </x:c>
      <x:c r="Q532">
        <x:v>81</x:v>
      </x:c>
      <x:c r="R532">
        <x:v>47</x:v>
      </x:c>
      <x:c r="S532">
        <x:v>66</x:v>
      </x:c>
      <x:c r="T532">
        <x:v>51</x:v>
      </x:c>
      <x:c r="U532">
        <x:v>51</x:v>
      </x:c>
      <x:c r="V532">
        <x:v>63</x:v>
      </x:c>
      <x:c r="W532">
        <x:v>52</x:v>
      </x:c>
      <x:c r="X532">
        <x:v>68</x:v>
      </x:c>
      <x:c r="Y532">
        <x:v>72</x:v>
      </x:c>
      <x:c r="Z532">
        <x:v>54</x:v>
      </x:c>
      <x:c r="AA532">
        <x:v>55</x:v>
      </x:c>
    </x:row>
    <x:row r="533">
      <x:c r="A533" t="s">
        <x:v>1051</x:v>
      </x:c>
      <x:c r="B533" t="s">
        <x:v>340</x:v>
      </x:c>
      <x:c r="C533" t="s">
        <x:v>331</x:v>
      </x:c>
      <x:c r="D533">
        <x:v>8479523</x:v>
      </x:c>
      <x:c r="E533" t="s">
        <x:v>224</x:v>
      </x:c>
      <x:c r="G533">
        <x:v>13</x:v>
      </x:c>
      <x:c r="J533" t="s">
        <x:v>2382</x:v>
      </x:c>
      <x:c r="K533">
        <x:v>67</x:v>
      </x:c>
      <x:c r="L533">
        <x:v>61</x:v>
      </x:c>
      <x:c r="M533">
        <x:v>73</x:v>
      </x:c>
      <x:c r="N533">
        <x:v>44</x:v>
      </x:c>
      <x:c r="O533">
        <x:v>77</x:v>
      </x:c>
      <x:c r="P533">
        <x:v>84</x:v>
      </x:c>
      <x:c r="Q533">
        <x:v>86</x:v>
      </x:c>
      <x:c r="R533">
        <x:v>36</x:v>
      </x:c>
      <x:c r="S533">
        <x:v>30</x:v>
      </x:c>
      <x:c r="T533">
        <x:v>51</x:v>
      </x:c>
      <x:c r="U533">
        <x:v>46</x:v>
      </x:c>
      <x:c r="V533">
        <x:v>63</x:v>
      </x:c>
      <x:c r="W533">
        <x:v>51</x:v>
      </x:c>
      <x:c r="X533">
        <x:v>68</x:v>
      </x:c>
      <x:c r="Y533">
        <x:v>71</x:v>
      </x:c>
      <x:c r="Z533">
        <x:v>51</x:v>
      </x:c>
      <x:c r="AA533">
        <x:v>55</x:v>
      </x:c>
    </x:row>
    <x:row r="534">
      <x:c r="A534" t="s">
        <x:v>1062</x:v>
      </x:c>
      <x:c r="B534" t="s">
        <x:v>379</x:v>
      </x:c>
      <x:c r="C534" t="s">
        <x:v>326</x:v>
      </x:c>
      <x:c r="D534">
        <x:v>8483406</x:v>
      </x:c>
      <x:c r="E534" t="s">
        <x:v>224</x:v>
      </x:c>
      <x:c r="F534">
        <x:v>36</x:v>
      </x:c>
      <x:c r="G534">
        <x:v>1</x:v>
      </x:c>
      <x:c r="J534" t="s">
        <x:v>2383</x:v>
      </x:c>
      <x:c r="K534">
        <x:v>71</x:v>
      </x:c>
      <x:c r="L534">
        <x:v>69</x:v>
      </x:c>
      <x:c r="M534">
        <x:v>92</x:v>
      </x:c>
      <x:c r="N534">
        <x:v>55</x:v>
      </x:c>
      <x:c r="O534">
        <x:v>86</x:v>
      </x:c>
      <x:c r="P534">
        <x:v>81</x:v>
      </x:c>
      <x:c r="Q534">
        <x:v>88</x:v>
      </x:c>
      <x:c r="R534">
        <x:v>47</x:v>
      </x:c>
      <x:c r="S534">
        <x:v>67</x:v>
      </x:c>
      <x:c r="T534">
        <x:v>50</x:v>
      </x:c>
      <x:c r="U534">
        <x:v>57</x:v>
      </x:c>
      <x:c r="V534">
        <x:v>63</x:v>
      </x:c>
      <x:c r="W534">
        <x:v>55</x:v>
      </x:c>
      <x:c r="X534">
        <x:v>66</x:v>
      </x:c>
      <x:c r="Y534">
        <x:v>70</x:v>
      </x:c>
      <x:c r="Z534">
        <x:v>51</x:v>
      </x:c>
      <x:c r="AA534">
        <x:v>54</x:v>
      </x:c>
    </x:row>
    <x:row r="535">
      <x:c r="A535" t="s">
        <x:v>1126</x:v>
      </x:c>
      <x:c r="B535" t="s">
        <x:v>584</x:v>
      </x:c>
      <x:c r="C535" t="s">
        <x:v>326</x:v>
      </x:c>
      <x:c r="D535">
        <x:v>8475780</x:v>
      </x:c>
      <x:c r="E535" t="s">
        <x:v>224</x:v>
      </x:c>
      <x:c r="G535">
        <x:v>28</x:v>
      </x:c>
      <x:c r="J535" t="s">
        <x:v>2384</x:v>
      </x:c>
      <x:c r="K535">
        <x:v>85</x:v>
      </x:c>
      <x:c r="L535">
        <x:v>87</x:v>
      </x:c>
      <x:c r="M535">
        <x:v>90</x:v>
      </x:c>
      <x:c r="N535">
        <x:v>58</x:v>
      </x:c>
      <x:c r="O535">
        <x:v>78</x:v>
      </x:c>
      <x:c r="P535">
        <x:v>85</x:v>
      </x:c>
      <x:c r="Q535">
        <x:v>90</x:v>
      </x:c>
      <x:c r="R535">
        <x:v>46</x:v>
      </x:c>
      <x:c r="S535">
        <x:v>75</x:v>
      </x:c>
      <x:c r="T535">
        <x:v>44</x:v>
      </x:c>
      <x:c r="U535">
        <x:v>50</x:v>
      </x:c>
      <x:c r="V535">
        <x:v>63</x:v>
      </x:c>
      <x:c r="W535">
        <x:v>68</x:v>
      </x:c>
      <x:c r="X535">
        <x:v>77</x:v>
      </x:c>
      <x:c r="Y535">
        <x:v>75</x:v>
      </x:c>
      <x:c r="Z535">
        <x:v>51</x:v>
      </x:c>
      <x:c r="AA535">
        <x:v>54</x:v>
      </x:c>
    </x:row>
    <x:row r="536">
      <x:c r="A536" t="s">
        <x:v>1204</x:v>
      </x:c>
      <x:c r="B536" t="s">
        <x:v>584</x:v>
      </x:c>
      <x:c r="C536" t="s">
        <x:v>319</x:v>
      </x:c>
      <x:c r="D536">
        <x:v>8477996</x:v>
      </x:c>
      <x:c r="E536" t="s">
        <x:v>224</x:v>
      </x:c>
      <x:c r="F536">
        <x:v>24</x:v>
      </x:c>
      <x:c r="J536" t="s">
        <x:v>2385</x:v>
      </x:c>
      <x:c r="K536">
        <x:v>76</x:v>
      </x:c>
      <x:c r="L536">
        <x:v>37</x:v>
      </x:c>
      <x:c r="M536">
        <x:v>82</x:v>
      </x:c>
      <x:c r="N536">
        <x:v>63</x:v>
      </x:c>
      <x:c r="O536">
        <x:v>78</x:v>
      </x:c>
      <x:c r="P536">
        <x:v>79</x:v>
      </x:c>
      <x:c r="Q536">
        <x:v>45</x:v>
      </x:c>
      <x:c r="R536">
        <x:v>48</x:v>
      </x:c>
      <x:c r="S536">
        <x:v>82</x:v>
      </x:c>
      <x:c r="T536">
        <x:v>49</x:v>
      </x:c>
      <x:c r="U536">
        <x:v>46</x:v>
      </x:c>
      <x:c r="V536">
        <x:v>63</x:v>
      </x:c>
      <x:c r="W536">
        <x:v>51</x:v>
      </x:c>
      <x:c r="X536">
        <x:v>69</x:v>
      </x:c>
      <x:c r="Y536">
        <x:v>77</x:v>
      </x:c>
      <x:c r="Z536">
        <x:v>51</x:v>
      </x:c>
      <x:c r="AA536">
        <x:v>53</x:v>
      </x:c>
    </x:row>
    <x:row r="537">
      <x:c r="A537" t="s">
        <x:v>1383</x:v>
      </x:c>
      <x:c r="B537" t="s">
        <x:v>350</x:v>
      </x:c>
      <x:c r="C537" t="s">
        <x:v>326</x:v>
      </x:c>
      <x:c r="D537">
        <x:v>8482758</x:v>
      </x:c>
      <x:c r="E537" t="s">
        <x:v>224</x:v>
      </x:c>
      <x:c r="F537">
        <x:v>39</x:v>
      </x:c>
      <x:c r="G537">
        <x:v>8</x:v>
      </x:c>
      <x:c r="J537" t="s">
        <x:v>2386</x:v>
      </x:c>
      <x:c r="K537">
        <x:v>57</x:v>
      </x:c>
      <x:c r="L537">
        <x:v>32</x:v>
      </x:c>
      <x:c r="M537">
        <x:v>84</x:v>
      </x:c>
      <x:c r="N537">
        <x:v>51</x:v>
      </x:c>
      <x:c r="O537">
        <x:v>76</x:v>
      </x:c>
      <x:c r="P537">
        <x:v>82</x:v>
      </x:c>
      <x:c r="Q537">
        <x:v>89</x:v>
      </x:c>
      <x:c r="R537">
        <x:v>49</x:v>
      </x:c>
      <x:c r="S537">
        <x:v>69</x:v>
      </x:c>
      <x:c r="T537">
        <x:v>51</x:v>
      </x:c>
      <x:c r="U537">
        <x:v>49</x:v>
      </x:c>
      <x:c r="V537">
        <x:v>63</x:v>
      </x:c>
      <x:c r="W537">
        <x:v>59</x:v>
      </x:c>
      <x:c r="X537">
        <x:v>66</x:v>
      </x:c>
      <x:c r="Y537">
        <x:v>65</x:v>
      </x:c>
      <x:c r="Z537">
        <x:v>51</x:v>
      </x:c>
      <x:c r="AA537">
        <x:v>51</x:v>
      </x:c>
    </x:row>
    <x:row r="538">
      <x:c r="A538" t="s">
        <x:v>1576</x:v>
      </x:c>
      <x:c r="B538" t="s">
        <x:v>584</x:v>
      </x:c>
      <x:c r="C538" t="s">
        <x:v>319</x:v>
      </x:c>
      <x:c r="D538">
        <x:v>8478477</x:v>
      </x:c>
      <x:c r="E538" t="s">
        <x:v>224</x:v>
      </x:c>
      <x:c r="G538">
        <x:v>28</x:v>
      </x:c>
      <x:c r="J538" t="s">
        <x:v>2384</x:v>
      </x:c>
      <x:c r="K538">
        <x:v>69</x:v>
      </x:c>
      <x:c r="L538">
        <x:v>35</x:v>
      </x:c>
      <x:c r="M538">
        <x:v>82</x:v>
      </x:c>
      <x:c r="N538">
        <x:v>61</x:v>
      </x:c>
      <x:c r="O538">
        <x:v>81</x:v>
      </x:c>
      <x:c r="P538">
        <x:v>87</x:v>
      </x:c>
      <x:c r="Q538">
        <x:v>92</x:v>
      </x:c>
      <x:c r="R538">
        <x:v>44</x:v>
      </x:c>
      <x:c r="S538">
        <x:v>77</x:v>
      </x:c>
      <x:c r="T538">
        <x:v>49</x:v>
      </x:c>
      <x:c r="U538">
        <x:v>49</x:v>
      </x:c>
      <x:c r="V538">
        <x:v>63</x:v>
      </x:c>
      <x:c r="W538">
        <x:v>64</x:v>
      </x:c>
      <x:c r="X538">
        <x:v>69</x:v>
      </x:c>
      <x:c r="Y538">
        <x:v>69</x:v>
      </x:c>
      <x:c r="Z538">
        <x:v>51</x:v>
      </x:c>
      <x:c r="AA538">
        <x:v>49</x:v>
      </x:c>
    </x:row>
    <x:row r="539">
      <x:c r="A539" t="s">
        <x:v>332</x:v>
      </x:c>
      <x:c r="B539" t="s">
        <x:v>334</x:v>
      </x:c>
      <x:c r="C539" t="s">
        <x:v>333</x:v>
      </x:c>
      <x:c r="D539">
        <x:v>8477956</x:v>
      </x:c>
      <x:c r="E539" t="s">
        <x:v>224</x:v>
      </x:c>
      <x:c r="F539">
        <x:v>77</x:v>
      </x:c>
      <x:c r="G539">
        <x:v>82</x:v>
      </x:c>
      <x:c r="J539" t="s">
        <x:v>2347</x:v>
      </x:c>
      <x:c r="K539">
        <x:v>64</x:v>
      </x:c>
      <x:c r="L539">
        <x:v>38</x:v>
      </x:c>
      <x:c r="M539">
        <x:v>88</x:v>
      </x:c>
      <x:c r="N539">
        <x:v>49</x:v>
      </x:c>
      <x:c r="O539">
        <x:v>80</x:v>
      </x:c>
      <x:c r="P539">
        <x:v>92</x:v>
      </x:c>
      <x:c r="Q539">
        <x:v>95</x:v>
      </x:c>
      <x:c r="R539">
        <x:v>75</x:v>
      </x:c>
      <x:c r="S539">
        <x:v>64</x:v>
      </x:c>
      <x:c r="T539">
        <x:v>81</x:v>
      </x:c>
      <x:c r="U539">
        <x:v>63</x:v>
      </x:c>
      <x:c r="V539">
        <x:v>62</x:v>
      </x:c>
      <x:c r="W539">
        <x:v>76</x:v>
      </x:c>
      <x:c r="X539">
        <x:v>87</x:v>
      </x:c>
      <x:c r="Y539">
        <x:v>86</x:v>
      </x:c>
      <x:c r="Z539">
        <x:v>51</x:v>
      </x:c>
      <x:c r="AA539">
        <x:v>68</x:v>
      </x:c>
    </x:row>
    <x:row r="540">
      <x:c r="A540" t="s">
        <x:v>338</x:v>
      </x:c>
      <x:c r="B540" t="s">
        <x:v>340</x:v>
      </x:c>
      <x:c r="C540" t="s">
        <x:v>339</x:v>
      </x:c>
      <x:c r="D540">
        <x:v>8484801</x:v>
      </x:c>
      <x:c r="E540" t="s">
        <x:v>224</x:v>
      </x:c>
      <x:c r="F540">
        <x:v>82</x:v>
      </x:c>
      <x:c r="G540">
        <x:v>70</x:v>
      </x:c>
      <x:c r="J540" t="s">
        <x:v>2349</x:v>
      </x:c>
      <x:c r="K540">
        <x:v>60</x:v>
      </x:c>
      <x:c r="L540">
        <x:v>36</x:v>
      </x:c>
      <x:c r="M540">
        <x:v>90</x:v>
      </x:c>
      <x:c r="N540">
        <x:v>55</x:v>
      </x:c>
      <x:c r="O540">
        <x:v>78</x:v>
      </x:c>
      <x:c r="P540">
        <x:v>92</x:v>
      </x:c>
      <x:c r="Q540">
        <x:v>96</x:v>
      </x:c>
      <x:c r="R540">
        <x:v>76</x:v>
      </x:c>
      <x:c r="S540">
        <x:v>88</x:v>
      </x:c>
      <x:c r="T540">
        <x:v>79</x:v>
      </x:c>
      <x:c r="U540">
        <x:v>71</x:v>
      </x:c>
      <x:c r="V540">
        <x:v>62</x:v>
      </x:c>
      <x:c r="W540">
        <x:v>87</x:v>
      </x:c>
      <x:c r="X540">
        <x:v>68</x:v>
      </x:c>
      <x:c r="Y540">
        <x:v>80</x:v>
      </x:c>
      <x:c r="Z540">
        <x:v>51</x:v>
      </x:c>
      <x:c r="AA540">
        <x:v>68</x:v>
      </x:c>
    </x:row>
    <x:row r="541">
      <x:c r="A541" t="s">
        <x:v>347</x:v>
      </x:c>
      <x:c r="B541" t="s">
        <x:v>348</x:v>
      </x:c>
      <x:c r="C541" t="s">
        <x:v>319</x:v>
      </x:c>
      <x:c r="D541">
        <x:v>8476460</x:v>
      </x:c>
      <x:c r="E541" t="s">
        <x:v>224</x:v>
      </x:c>
      <x:c r="F541">
        <x:v>82</x:v>
      </x:c>
      <x:c r="G541">
        <x:v>82</x:v>
      </x:c>
      <x:c r="J541" t="s">
        <x:v>1992</x:v>
      </x:c>
      <x:c r="K541">
        <x:v>59</x:v>
      </x:c>
      <x:c r="L541">
        <x:v>65</x:v>
      </x:c>
      <x:c r="M541">
        <x:v>93</x:v>
      </x:c>
      <x:c r="N541">
        <x:v>53</x:v>
      </x:c>
      <x:c r="O541">
        <x:v>83</x:v>
      </x:c>
      <x:c r="P541">
        <x:v>93</x:v>
      </x:c>
      <x:c r="Q541">
        <x:v>99</x:v>
      </x:c>
      <x:c r="R541">
        <x:v>75</x:v>
      </x:c>
      <x:c r="S541">
        <x:v>88</x:v>
      </x:c>
      <x:c r="T541">
        <x:v>79</x:v>
      </x:c>
      <x:c r="U541">
        <x:v>66</x:v>
      </x:c>
      <x:c r="V541">
        <x:v>62</x:v>
      </x:c>
      <x:c r="W541">
        <x:v>76</x:v>
      </x:c>
      <x:c r="X541">
        <x:v>87</x:v>
      </x:c>
      <x:c r="Y541">
        <x:v>86</x:v>
      </x:c>
      <x:c r="Z541">
        <x:v>51</x:v>
      </x:c>
      <x:c r="AA541">
        <x:v>67</x:v>
      </x:c>
    </x:row>
    <x:row r="542">
      <x:c r="A542" t="s">
        <x:v>378</x:v>
      </x:c>
      <x:c r="B542" t="s">
        <x:v>379</x:v>
      </x:c>
      <x:c r="C542" t="s">
        <x:v>358</x:v>
      </x:c>
      <x:c r="D542">
        <x:v>8478550</x:v>
      </x:c>
      <x:c r="E542" t="s">
        <x:v>224</x:v>
      </x:c>
      <x:c r="F542">
        <x:v>78</x:v>
      </x:c>
      <x:c r="G542">
        <x:v>80</x:v>
      </x:c>
      <x:c r="J542" t="s">
        <x:v>2080</x:v>
      </x:c>
      <x:c r="K542">
        <x:v>56</x:v>
      </x:c>
      <x:c r="L542">
        <x:v>34</x:v>
      </x:c>
      <x:c r="M542">
        <x:v>93</x:v>
      </x:c>
      <x:c r="N542">
        <x:v>47</x:v>
      </x:c>
      <x:c r="O542">
        <x:v>75</x:v>
      </x:c>
      <x:c r="P542">
        <x:v>92</x:v>
      </x:c>
      <x:c r="Q542">
        <x:v>95</x:v>
      </x:c>
      <x:c r="R542">
        <x:v>71</x:v>
      </x:c>
      <x:c r="S542">
        <x:v>69</x:v>
      </x:c>
      <x:c r="T542">
        <x:v>77</x:v>
      </x:c>
      <x:c r="U542">
        <x:v>61</x:v>
      </x:c>
      <x:c r="V542">
        <x:v>62</x:v>
      </x:c>
      <x:c r="W542">
        <x:v>91</x:v>
      </x:c>
      <x:c r="X542">
        <x:v>86</x:v>
      </x:c>
      <x:c r="Y542">
        <x:v>79</x:v>
      </x:c>
      <x:c r="Z542">
        <x:v>51</x:v>
      </x:c>
      <x:c r="AA542">
        <x:v>66</x:v>
      </x:c>
    </x:row>
    <x:row r="543">
      <x:c r="A543" t="s">
        <x:v>380</x:v>
      </x:c>
      <x:c r="B543" t="s">
        <x:v>361</x:v>
      </x:c>
      <x:c r="C543" t="s">
        <x:v>329</x:v>
      </x:c>
      <x:c r="D543">
        <x:v>8479420</x:v>
      </x:c>
      <x:c r="E543" t="s">
        <x:v>224</x:v>
      </x:c>
      <x:c r="F543">
        <x:v>81</x:v>
      </x:c>
      <x:c r="G543">
        <x:v>76</x:v>
      </x:c>
      <x:c r="J543" t="s">
        <x:v>2147</x:v>
      </x:c>
      <x:c r="K543">
        <x:v>64</x:v>
      </x:c>
      <x:c r="L543">
        <x:v>69</x:v>
      </x:c>
      <x:c r="M543">
        <x:v>92</x:v>
      </x:c>
      <x:c r="N543">
        <x:v>57</x:v>
      </x:c>
      <x:c r="O543">
        <x:v>87</x:v>
      </x:c>
      <x:c r="P543">
        <x:v>91</x:v>
      </x:c>
      <x:c r="Q543">
        <x:v>97</x:v>
      </x:c>
      <x:c r="R543">
        <x:v>70</x:v>
      </x:c>
      <x:c r="S543">
        <x:v>85</x:v>
      </x:c>
      <x:c r="T543">
        <x:v>59</x:v>
      </x:c>
      <x:c r="U543">
        <x:v>73</x:v>
      </x:c>
      <x:c r="V543">
        <x:v>62</x:v>
      </x:c>
      <x:c r="W543">
        <x:v>86</x:v>
      </x:c>
      <x:c r="X543">
        <x:v>77</x:v>
      </x:c>
      <x:c r="Y543">
        <x:v>85</x:v>
      </x:c>
      <x:c r="Z543">
        <x:v>51</x:v>
      </x:c>
      <x:c r="AA543">
        <x:v>66</x:v>
      </x:c>
    </x:row>
    <x:row r="544">
      <x:c r="A544" t="s">
        <x:v>429</x:v>
      </x:c>
      <x:c r="B544" t="s">
        <x:v>372</x:v>
      </x:c>
      <x:c r="C544" t="s">
        <x:v>329</x:v>
      </x:c>
      <x:c r="D544">
        <x:v>8474564</x:v>
      </x:c>
      <x:c r="E544" t="s">
        <x:v>224</x:v>
      </x:c>
      <x:c r="F544">
        <x:v>82</x:v>
      </x:c>
      <x:c r="G544">
        <x:v>82</x:v>
      </x:c>
      <x:c r="J544" t="s">
        <x:v>1992</x:v>
      </x:c>
      <x:c r="K544">
        <x:v>65</x:v>
      </x:c>
      <x:c r="L544">
        <x:v>35</x:v>
      </x:c>
      <x:c r="M544">
        <x:v>79</x:v>
      </x:c>
      <x:c r="N544">
        <x:v>55</x:v>
      </x:c>
      <x:c r="O544">
        <x:v>79</x:v>
      </x:c>
      <x:c r="P544">
        <x:v>88</x:v>
      </x:c>
      <x:c r="Q544">
        <x:v>99</x:v>
      </x:c>
      <x:c r="R544">
        <x:v>65</x:v>
      </x:c>
      <x:c r="S544">
        <x:v>86</x:v>
      </x:c>
      <x:c r="T544">
        <x:v>54</x:v>
      </x:c>
      <x:c r="U544">
        <x:v>73</x:v>
      </x:c>
      <x:c r="V544">
        <x:v>62</x:v>
      </x:c>
      <x:c r="W544">
        <x:v>80</x:v>
      </x:c>
      <x:c r="X544">
        <x:v>92</x:v>
      </x:c>
      <x:c r="Y544">
        <x:v>91</x:v>
      </x:c>
      <x:c r="Z544">
        <x:v>51</x:v>
      </x:c>
      <x:c r="AA544">
        <x:v>64</x:v>
      </x:c>
    </x:row>
    <x:row r="545">
      <x:c r="A545" t="s">
        <x:v>449</x:v>
      </x:c>
      <x:c r="B545" t="s">
        <x:v>356</x:v>
      </x:c>
      <x:c r="C545" t="s">
        <x:v>333</x:v>
      </x:c>
      <x:c r="D545">
        <x:v>8483515</x:v>
      </x:c>
      <x:c r="E545" t="s">
        <x:v>224</x:v>
      </x:c>
      <x:c r="F545">
        <x:v>82</x:v>
      </x:c>
      <x:c r="G545">
        <x:v>79</x:v>
      </x:c>
      <x:c r="J545" t="s">
        <x:v>2387</x:v>
      </x:c>
      <x:c r="K545">
        <x:v>68</x:v>
      </x:c>
      <x:c r="L545">
        <x:v>47</x:v>
      </x:c>
      <x:c r="M545">
        <x:v>81</x:v>
      </x:c>
      <x:c r="N545">
        <x:v>55</x:v>
      </x:c>
      <x:c r="O545">
        <x:v>88</x:v>
      </x:c>
      <x:c r="P545">
        <x:v>90</x:v>
      </x:c>
      <x:c r="Q545">
        <x:v>98</x:v>
      </x:c>
      <x:c r="R545">
        <x:v>66</x:v>
      </x:c>
      <x:c r="S545">
        <x:v>69</x:v>
      </x:c>
      <x:c r="T545">
        <x:v>70</x:v>
      </x:c>
      <x:c r="U545">
        <x:v>63</x:v>
      </x:c>
      <x:c r="V545">
        <x:v>62</x:v>
      </x:c>
      <x:c r="W545">
        <x:v>59</x:v>
      </x:c>
      <x:c r="X545">
        <x:v>73</x:v>
      </x:c>
      <x:c r="Y545">
        <x:v>78</x:v>
      </x:c>
      <x:c r="Z545">
        <x:v>51</x:v>
      </x:c>
      <x:c r="AA545">
        <x:v>63</x:v>
      </x:c>
    </x:row>
    <x:row r="546">
      <x:c r="A546" t="s">
        <x:v>454</x:v>
      </x:c>
      <x:c r="B546" t="s">
        <x:v>334</x:v>
      </x:c>
      <x:c r="C546" t="s">
        <x:v>323</x:v>
      </x:c>
      <x:c r="D546">
        <x:v>8479987</x:v>
      </x:c>
      <x:c r="E546" t="s">
        <x:v>224</x:v>
      </x:c>
      <x:c r="F546">
        <x:v>81</x:v>
      </x:c>
      <x:c r="G546">
        <x:v>77</x:v>
      </x:c>
      <x:c r="J546" t="s">
        <x:v>2081</x:v>
      </x:c>
      <x:c r="K546">
        <x:v>67</x:v>
      </x:c>
      <x:c r="L546">
        <x:v>41</x:v>
      </x:c>
      <x:c r="M546">
        <x:v>92</x:v>
      </x:c>
      <x:c r="N546">
        <x:v>49</x:v>
      </x:c>
      <x:c r="O546">
        <x:v>85</x:v>
      </x:c>
      <x:c r="P546">
        <x:v>88</x:v>
      </x:c>
      <x:c r="Q546">
        <x:v>97</x:v>
      </x:c>
      <x:c r="R546">
        <x:v>64</x:v>
      </x:c>
      <x:c r="S546">
        <x:v>79</x:v>
      </x:c>
      <x:c r="T546">
        <x:v>56</x:v>
      </x:c>
      <x:c r="U546">
        <x:v>70</x:v>
      </x:c>
      <x:c r="V546">
        <x:v>62</x:v>
      </x:c>
      <x:c r="W546">
        <x:v>60</x:v>
      </x:c>
      <x:c r="X546">
        <x:v>77</x:v>
      </x:c>
      <x:c r="Y546">
        <x:v>77</x:v>
      </x:c>
      <x:c r="Z546">
        <x:v>51</x:v>
      </x:c>
      <x:c r="AA546">
        <x:v>63</x:v>
      </x:c>
    </x:row>
    <x:row r="547">
      <x:c r="A547" t="s">
        <x:v>467</x:v>
      </x:c>
      <x:c r="B547" t="s">
        <x:v>352</x:v>
      </x:c>
      <x:c r="C547" t="s">
        <x:v>333</x:v>
      </x:c>
      <x:c r="D547">
        <x:v>8482720</x:v>
      </x:c>
      <x:c r="E547" t="s">
        <x:v>224</x:v>
      </x:c>
      <x:c r="F547">
        <x:v>79</x:v>
      </x:c>
      <x:c r="G547">
        <x:v>78</x:v>
      </x:c>
      <x:c r="J547" t="s">
        <x:v>2388</x:v>
      </x:c>
      <x:c r="K547">
        <x:v>70</x:v>
      </x:c>
      <x:c r="L547">
        <x:v>64</x:v>
      </x:c>
      <x:c r="M547">
        <x:v>89</x:v>
      </x:c>
      <x:c r="N547">
        <x:v>53</x:v>
      </x:c>
      <x:c r="O547">
        <x:v>90</x:v>
      </x:c>
      <x:c r="P547">
        <x:v>90</x:v>
      </x:c>
      <x:c r="Q547">
        <x:v>96</x:v>
      </x:c>
      <x:c r="R547">
        <x:v>63</x:v>
      </x:c>
      <x:c r="S547">
        <x:v>63</x:v>
      </x:c>
      <x:c r="T547">
        <x:v>66</x:v>
      </x:c>
      <x:c r="U547">
        <x:v>60</x:v>
      </x:c>
      <x:c r="V547">
        <x:v>62</x:v>
      </x:c>
      <x:c r="W547">
        <x:v>52</x:v>
      </x:c>
      <x:c r="X547">
        <x:v>71</x:v>
      </x:c>
      <x:c r="Y547">
        <x:v>79</x:v>
      </x:c>
      <x:c r="Z547">
        <x:v>51</x:v>
      </x:c>
      <x:c r="AA547">
        <x:v>63</x:v>
      </x:c>
    </x:row>
    <x:row r="548">
      <x:c r="A548" t="s">
        <x:v>468</x:v>
      </x:c>
      <x:c r="B548" t="s">
        <x:v>436</x:v>
      </x:c>
      <x:c r="C548" t="s">
        <x:v>333</x:v>
      </x:c>
      <x:c r="D548">
        <x:v>8474141</x:v>
      </x:c>
      <x:c r="E548" t="s">
        <x:v>224</x:v>
      </x:c>
      <x:c r="F548">
        <x:v>67</x:v>
      </x:c>
      <x:c r="G548">
        <x:v>72</x:v>
      </x:c>
      <x:c r="J548" t="s">
        <x:v>2389</x:v>
      </x:c>
      <x:c r="K548">
        <x:v>58</x:v>
      </x:c>
      <x:c r="L548">
        <x:v>34</x:v>
      </x:c>
      <x:c r="M548">
        <x:v>86</x:v>
      </x:c>
      <x:c r="N548">
        <x:v>52</x:v>
      </x:c>
      <x:c r="O548">
        <x:v>75</x:v>
      </x:c>
      <x:c r="P548">
        <x:v>88</x:v>
      </x:c>
      <x:c r="Q548">
        <x:v>86</x:v>
      </x:c>
      <x:c r="R548">
        <x:v>66</x:v>
      </x:c>
      <x:c r="S548">
        <x:v>67</x:v>
      </x:c>
      <x:c r="T548">
        <x:v>71</x:v>
      </x:c>
      <x:c r="U548">
        <x:v>57</x:v>
      </x:c>
      <x:c r="V548">
        <x:v>62</x:v>
      </x:c>
      <x:c r="W548">
        <x:v>91</x:v>
      </x:c>
      <x:c r="X548">
        <x:v>93</x:v>
      </x:c>
      <x:c r="Y548">
        <x:v>85</x:v>
      </x:c>
      <x:c r="Z548">
        <x:v>51</x:v>
      </x:c>
      <x:c r="AA548">
        <x:v>63</x:v>
      </x:c>
    </x:row>
    <x:row r="549">
      <x:c r="A549" t="s">
        <x:v>474</x:v>
      </x:c>
      <x:c r="B549" t="s">
        <x:v>364</x:v>
      </x:c>
      <x:c r="C549" t="s">
        <x:v>339</x:v>
      </x:c>
      <x:c r="D549">
        <x:v>8483431</x:v>
      </x:c>
      <x:c r="E549" t="s">
        <x:v>224</x:v>
      </x:c>
      <x:c r="F549">
        <x:v>54</x:v>
      </x:c>
      <x:c r="G549">
        <x:v>75</x:v>
      </x:c>
      <x:c r="J549" t="s">
        <x:v>2390</x:v>
      </x:c>
      <x:c r="K549">
        <x:v>65</x:v>
      </x:c>
      <x:c r="L549">
        <x:v>34</x:v>
      </x:c>
      <x:c r="M549">
        <x:v>85</x:v>
      </x:c>
      <x:c r="N549">
        <x:v>69</x:v>
      </x:c>
      <x:c r="O549">
        <x:v>78</x:v>
      </x:c>
      <x:c r="P549">
        <x:v>88</x:v>
      </x:c>
      <x:c r="Q549">
        <x:v>80</x:v>
      </x:c>
      <x:c r="R549">
        <x:v>64</x:v>
      </x:c>
      <x:c r="S549">
        <x:v>85</x:v>
      </x:c>
      <x:c r="T549">
        <x:v>57</x:v>
      </x:c>
      <x:c r="U549">
        <x:v>67</x:v>
      </x:c>
      <x:c r="V549">
        <x:v>62</x:v>
      </x:c>
      <x:c r="W549">
        <x:v>55</x:v>
      </x:c>
      <x:c r="X549">
        <x:v>69</x:v>
      </x:c>
      <x:c r="Y549">
        <x:v>77</x:v>
      </x:c>
      <x:c r="Z549">
        <x:v>51</x:v>
      </x:c>
      <x:c r="AA549">
        <x:v>62</x:v>
      </x:c>
    </x:row>
    <x:row r="550">
      <x:c r="A550" t="s">
        <x:v>491</x:v>
      </x:c>
      <x:c r="B550" t="s">
        <x:v>379</x:v>
      </x:c>
      <x:c r="C550" t="s">
        <x:v>333</x:v>
      </x:c>
      <x:c r="D550">
        <x:v>8475692</x:v>
      </x:c>
      <x:c r="E550" t="s">
        <x:v>224</x:v>
      </x:c>
      <x:c r="F550">
        <x:v>59</x:v>
      </x:c>
      <x:c r="G550">
        <x:v>69</x:v>
      </x:c>
      <x:c r="J550" t="s">
        <x:v>2391</x:v>
      </x:c>
      <x:c r="K550">
        <x:v>58</x:v>
      </x:c>
      <x:c r="L550">
        <x:v>34</x:v>
      </x:c>
      <x:c r="M550">
        <x:v>92</x:v>
      </x:c>
      <x:c r="N550">
        <x:v>45</x:v>
      </x:c>
      <x:c r="O550">
        <x:v>76</x:v>
      </x:c>
      <x:c r="P550">
        <x:v>90</x:v>
      </x:c>
      <x:c r="Q550">
        <x:v>81</x:v>
      </x:c>
      <x:c r="R550">
        <x:v>64</x:v>
      </x:c>
      <x:c r="S550">
        <x:v>72</x:v>
      </x:c>
      <x:c r="T550">
        <x:v>73</x:v>
      </x:c>
      <x:c r="U550">
        <x:v>56</x:v>
      </x:c>
      <x:c r="V550">
        <x:v>62</x:v>
      </x:c>
      <x:c r="W550">
        <x:v>88</x:v>
      </x:c>
      <x:c r="X550">
        <x:v>88</x:v>
      </x:c>
      <x:c r="Y550">
        <x:v>83</x:v>
      </x:c>
      <x:c r="Z550">
        <x:v>51</x:v>
      </x:c>
      <x:c r="AA550">
        <x:v>62</x:v>
      </x:c>
    </x:row>
    <x:row r="551">
      <x:c r="A551" t="s">
        <x:v>497</x:v>
      </x:c>
      <x:c r="B551" t="s">
        <x:v>400</x:v>
      </x:c>
      <x:c r="C551" t="s">
        <x:v>339</x:v>
      </x:c>
      <x:c r="D551">
        <x:v>8477935</x:v>
      </x:c>
      <x:c r="E551" t="s">
        <x:v>224</x:v>
      </x:c>
      <x:c r="F551">
        <x:v>76</x:v>
      </x:c>
      <x:c r="G551">
        <x:v>76</x:v>
      </x:c>
      <x:c r="J551" t="s">
        <x:v>2276</x:v>
      </x:c>
      <x:c r="K551">
        <x:v>68</x:v>
      </x:c>
      <x:c r="L551">
        <x:v>51</x:v>
      </x:c>
      <x:c r="M551">
        <x:v>76</x:v>
      </x:c>
      <x:c r="N551">
        <x:v>53</x:v>
      </x:c>
      <x:c r="O551">
        <x:v>79</x:v>
      </x:c>
      <x:c r="P551">
        <x:v>90</x:v>
      </x:c>
      <x:c r="Q551">
        <x:v>93</x:v>
      </x:c>
      <x:c r="R551">
        <x:v>61</x:v>
      </x:c>
      <x:c r="S551">
        <x:v>88</x:v>
      </x:c>
      <x:c r="T551">
        <x:v>59</x:v>
      </x:c>
      <x:c r="U551">
        <x:v>62</x:v>
      </x:c>
      <x:c r="V551">
        <x:v>62</x:v>
      </x:c>
      <x:c r="W551">
        <x:v>58</x:v>
      </x:c>
      <x:c r="X551">
        <x:v>87</x:v>
      </x:c>
      <x:c r="Y551">
        <x:v>84</x:v>
      </x:c>
      <x:c r="Z551">
        <x:v>51</x:v>
      </x:c>
      <x:c r="AA551">
        <x:v>62</x:v>
      </x:c>
    </x:row>
    <x:row r="552">
      <x:c r="A552" t="s">
        <x:v>507</x:v>
      </x:c>
      <x:c r="B552" t="s">
        <x:v>427</x:v>
      </x:c>
      <x:c r="C552" t="s">
        <x:v>339</x:v>
      </x:c>
      <x:c r="D552">
        <x:v>8481533</x:v>
      </x:c>
      <x:c r="E552" t="s">
        <x:v>224</x:v>
      </x:c>
      <x:c r="F552">
        <x:v>81</x:v>
      </x:c>
      <x:c r="G552">
        <x:v>57</x:v>
      </x:c>
      <x:c r="J552" t="s">
        <x:v>2392</x:v>
      </x:c>
      <x:c r="K552">
        <x:v>62</x:v>
      </x:c>
      <x:c r="L552">
        <x:v>34</x:v>
      </x:c>
      <x:c r="M552">
        <x:v>80</x:v>
      </x:c>
      <x:c r="N552">
        <x:v>52</x:v>
      </x:c>
      <x:c r="O552">
        <x:v>77</x:v>
      </x:c>
      <x:c r="P552">
        <x:v>89</x:v>
      </x:c>
      <x:c r="Q552">
        <x:v>94</x:v>
      </x:c>
      <x:c r="R552">
        <x:v>66</x:v>
      </x:c>
      <x:c r="S552">
        <x:v>75</x:v>
      </x:c>
      <x:c r="T552">
        <x:v>62</x:v>
      </x:c>
      <x:c r="U552">
        <x:v>58</x:v>
      </x:c>
      <x:c r="V552">
        <x:v>62</x:v>
      </x:c>
      <x:c r="W552">
        <x:v>93</x:v>
      </x:c>
      <x:c r="X552">
        <x:v>73</x:v>
      </x:c>
      <x:c r="Y552">
        <x:v>77</x:v>
      </x:c>
      <x:c r="Z552">
        <x:v>51</x:v>
      </x:c>
      <x:c r="AA552">
        <x:v>62</x:v>
      </x:c>
    </x:row>
    <x:row r="553">
      <x:c r="A553" t="s">
        <x:v>529</x:v>
      </x:c>
      <x:c r="B553" t="s">
        <x:v>402</x:v>
      </x:c>
      <x:c r="C553" t="s">
        <x:v>323</x:v>
      </x:c>
      <x:c r="D553">
        <x:v>8478440</x:v>
      </x:c>
      <x:c r="E553" t="s">
        <x:v>224</x:v>
      </x:c>
      <x:c r="F553">
        <x:v>80</x:v>
      </x:c>
      <x:c r="G553">
        <x:v>82</x:v>
      </x:c>
      <x:c r="J553" t="s">
        <x:v>2129</x:v>
      </x:c>
      <x:c r="K553">
        <x:v>57</x:v>
      </x:c>
      <x:c r="L553">
        <x:v>41</x:v>
      </x:c>
      <x:c r="M553">
        <x:v>80</x:v>
      </x:c>
      <x:c r="N553">
        <x:v>48</x:v>
      </x:c>
      <x:c r="O553">
        <x:v>80</x:v>
      </x:c>
      <x:c r="P553">
        <x:v>89</x:v>
      </x:c>
      <x:c r="Q553">
        <x:v>97</x:v>
      </x:c>
      <x:c r="R553">
        <x:v>63</x:v>
      </x:c>
      <x:c r="S553">
        <x:v>91</x:v>
      </x:c>
      <x:c r="T553">
        <x:v>62</x:v>
      </x:c>
      <x:c r="U553">
        <x:v>58</x:v>
      </x:c>
      <x:c r="V553">
        <x:v>62</x:v>
      </x:c>
      <x:c r="W553">
        <x:v>84</x:v>
      </x:c>
      <x:c r="X553">
        <x:v>79</x:v>
      </x:c>
      <x:c r="Y553">
        <x:v>74</x:v>
      </x:c>
      <x:c r="Z553">
        <x:v>51</x:v>
      </x:c>
      <x:c r="AA553">
        <x:v>61</x:v>
      </x:c>
    </x:row>
    <x:row r="554">
      <x:c r="A554" t="s">
        <x:v>545</x:v>
      </x:c>
      <x:c r="B554" t="s">
        <x:v>337</x:v>
      </x:c>
      <x:c r="C554" t="s">
        <x:v>339</x:v>
      </x:c>
      <x:c r="D554">
        <x:v>8484166</x:v>
      </x:c>
      <x:c r="E554" t="s">
        <x:v>224</x:v>
      </x:c>
      <x:c r="F554">
        <x:v>82</x:v>
      </x:c>
      <x:c r="G554">
        <x:v>82</x:v>
      </x:c>
      <x:c r="J554" t="s">
        <x:v>1992</x:v>
      </x:c>
      <x:c r="K554">
        <x:v>68</x:v>
      </x:c>
      <x:c r="L554">
        <x:v>55</x:v>
      </x:c>
      <x:c r="M554">
        <x:v>91</x:v>
      </x:c>
      <x:c r="N554">
        <x:v>63</x:v>
      </x:c>
      <x:c r="O554">
        <x:v>82</x:v>
      </x:c>
      <x:c r="P554">
        <x:v>89</x:v>
      </x:c>
      <x:c r="Q554">
        <x:v>98</x:v>
      </x:c>
      <x:c r="R554">
        <x:v>58</x:v>
      </x:c>
      <x:c r="S554">
        <x:v>88</x:v>
      </x:c>
      <x:c r="T554">
        <x:v>58</x:v>
      </x:c>
      <x:c r="U554">
        <x:v>60</x:v>
      </x:c>
      <x:c r="V554">
        <x:v>62</x:v>
      </x:c>
      <x:c r="W554">
        <x:v>82</x:v>
      </x:c>
      <x:c r="X554">
        <x:v>69</x:v>
      </x:c>
      <x:c r="Y554">
        <x:v>76</x:v>
      </x:c>
      <x:c r="Z554">
        <x:v>51</x:v>
      </x:c>
      <x:c r="AA554">
        <x:v>61</x:v>
      </x:c>
    </x:row>
    <x:row r="555">
      <x:c r="A555" t="s">
        <x:v>564</x:v>
      </x:c>
      <x:c r="B555" t="s">
        <x:v>356</x:v>
      </x:c>
      <x:c r="C555" t="s">
        <x:v>333</x:v>
      </x:c>
      <x:c r="D555">
        <x:v>8477511</x:v>
      </x:c>
      <x:c r="E555" t="s">
        <x:v>224</x:v>
      </x:c>
      <x:c r="F555">
        <x:v>81</x:v>
      </x:c>
      <x:c r="G555">
        <x:v>13</x:v>
      </x:c>
      <x:c r="J555" t="s">
        <x:v>2393</x:v>
      </x:c>
      <x:c r="K555">
        <x:v>64</x:v>
      </x:c>
      <x:c r="L555">
        <x:v>76</x:v>
      </x:c>
      <x:c r="M555">
        <x:v>80</x:v>
      </x:c>
      <x:c r="N555">
        <x:v>55</x:v>
      </x:c>
      <x:c r="O555">
        <x:v>93</x:v>
      </x:c>
      <x:c r="P555">
        <x:v>84</x:v>
      </x:c>
      <x:c r="Q555">
        <x:v>87</x:v>
      </x:c>
      <x:c r="R555">
        <x:v>60</x:v>
      </x:c>
      <x:c r="S555">
        <x:v>68</x:v>
      </x:c>
      <x:c r="T555">
        <x:v>60</x:v>
      </x:c>
      <x:c r="U555">
        <x:v>65</x:v>
      </x:c>
      <x:c r="V555">
        <x:v>62</x:v>
      </x:c>
      <x:c r="W555">
        <x:v>64</x:v>
      </x:c>
      <x:c r="X555">
        <x:v>78</x:v>
      </x:c>
      <x:c r="Y555">
        <x:v>77</x:v>
      </x:c>
      <x:c r="Z555">
        <x:v>51</x:v>
      </x:c>
      <x:c r="AA555">
        <x:v>61</x:v>
      </x:c>
    </x:row>
    <x:row r="556">
      <x:c r="A556" t="s">
        <x:v>588</x:v>
      </x:c>
      <x:c r="B556" t="s">
        <x:v>396</x:v>
      </x:c>
      <x:c r="C556" t="s">
        <x:v>326</x:v>
      </x:c>
      <x:c r="D556">
        <x:v>8483516</x:v>
      </x:c>
      <x:c r="E556" t="s">
        <x:v>224</x:v>
      </x:c>
      <x:c r="F556">
        <x:v>70</x:v>
      </x:c>
      <x:c r="G556">
        <x:v>7</x:v>
      </x:c>
      <x:c r="J556" t="s">
        <x:v>2394</x:v>
      </x:c>
      <x:c r="K556">
        <x:v>64</x:v>
      </x:c>
      <x:c r="L556">
        <x:v>36</x:v>
      </x:c>
      <x:c r="M556">
        <x:v>93</x:v>
      </x:c>
      <x:c r="N556">
        <x:v>55</x:v>
      </x:c>
      <x:c r="O556">
        <x:v>79</x:v>
      </x:c>
      <x:c r="P556">
        <x:v>86</x:v>
      </x:c>
      <x:c r="Q556">
        <x:v>85</x:v>
      </x:c>
      <x:c r="R556">
        <x:v>59</x:v>
      </x:c>
      <x:c r="S556">
        <x:v>67</x:v>
      </x:c>
      <x:c r="T556">
        <x:v>61</x:v>
      </x:c>
      <x:c r="U556">
        <x:v>58</x:v>
      </x:c>
      <x:c r="V556">
        <x:v>62</x:v>
      </x:c>
      <x:c r="W556">
        <x:v>75</x:v>
      </x:c>
      <x:c r="X556">
        <x:v>68</x:v>
      </x:c>
      <x:c r="Y556">
        <x:v>67</x:v>
      </x:c>
      <x:c r="Z556">
        <x:v>54</x:v>
      </x:c>
      <x:c r="AA556">
        <x:v>60</x:v>
      </x:c>
    </x:row>
    <x:row r="557">
      <x:c r="A557" t="s">
        <x:v>591</x:v>
      </x:c>
      <x:c r="B557" t="s">
        <x:v>481</x:v>
      </x:c>
      <x:c r="C557" t="s">
        <x:v>319</x:v>
      </x:c>
      <x:c r="D557">
        <x:v>8482259</x:v>
      </x:c>
      <x:c r="E557" t="s">
        <x:v>224</x:v>
      </x:c>
      <x:c r="F557">
        <x:v>78</x:v>
      </x:c>
      <x:c r="G557">
        <x:v>74</x:v>
      </x:c>
      <x:c r="J557" t="s">
        <x:v>2085</x:v>
      </x:c>
      <x:c r="K557">
        <x:v>71</x:v>
      </x:c>
      <x:c r="L557">
        <x:v>60</x:v>
      </x:c>
      <x:c r="M557">
        <x:v>83</x:v>
      </x:c>
      <x:c r="N557">
        <x:v>69</x:v>
      </x:c>
      <x:c r="O557">
        <x:v>86</x:v>
      </x:c>
      <x:c r="P557">
        <x:v>86</x:v>
      </x:c>
      <x:c r="Q557">
        <x:v>94</x:v>
      </x:c>
      <x:c r="R557">
        <x:v>55</x:v>
      </x:c>
      <x:c r="S557">
        <x:v>68</x:v>
      </x:c>
      <x:c r="T557">
        <x:v>52</x:v>
      </x:c>
      <x:c r="U557">
        <x:v>67</x:v>
      </x:c>
      <x:c r="V557">
        <x:v>62</x:v>
      </x:c>
      <x:c r="W557">
        <x:v>56</x:v>
      </x:c>
      <x:c r="X557">
        <x:v>70</x:v>
      </x:c>
      <x:c r="Y557">
        <x:v>72</x:v>
      </x:c>
      <x:c r="Z557">
        <x:v>51</x:v>
      </x:c>
      <x:c r="AA557">
        <x:v>60</x:v>
      </x:c>
    </x:row>
    <x:row r="558">
      <x:c r="A558" t="s">
        <x:v>595</x:v>
      </x:c>
      <x:c r="B558" t="s">
        <x:v>379</x:v>
      </x:c>
      <x:c r="C558" t="s">
        <x:v>326</x:v>
      </x:c>
      <x:c r="D558">
        <x:v>8470621</x:v>
      </x:c>
      <x:c r="E558" t="s">
        <x:v>224</x:v>
      </x:c>
      <x:c r="F558">
        <x:v>72</x:v>
      </x:c>
      <x:c r="G558">
        <x:v>81</x:v>
      </x:c>
      <x:c r="J558" t="s">
        <x:v>2184</x:v>
      </x:c>
      <x:c r="K558">
        <x:v>61</x:v>
      </x:c>
      <x:c r="L558">
        <x:v>86</x:v>
      </x:c>
      <x:c r="M558">
        <x:v>81</x:v>
      </x:c>
      <x:c r="N558">
        <x:v>39</x:v>
      </x:c>
      <x:c r="O558">
        <x:v>84</x:v>
      </x:c>
      <x:c r="P558">
        <x:v>84</x:v>
      </x:c>
      <x:c r="Q558">
        <x:v>90</x:v>
      </x:c>
      <x:c r="R558">
        <x:v>56</x:v>
      </x:c>
      <x:c r="S558">
        <x:v>65</x:v>
      </x:c>
      <x:c r="T558">
        <x:v>55</x:v>
      </x:c>
      <x:c r="U558">
        <x:v>60</x:v>
      </x:c>
      <x:c r="V558">
        <x:v>62</x:v>
      </x:c>
      <x:c r="W558">
        <x:v>74</x:v>
      </x:c>
      <x:c r="X558">
        <x:v>95</x:v>
      </x:c>
      <x:c r="Y558">
        <x:v>87</x:v>
      </x:c>
      <x:c r="Z558">
        <x:v>51</x:v>
      </x:c>
      <x:c r="AA558">
        <x:v>60</x:v>
      </x:c>
    </x:row>
    <x:row r="559">
      <x:c r="A559" t="s">
        <x:v>602</x:v>
      </x:c>
      <x:c r="B559" t="s">
        <x:v>324</x:v>
      </x:c>
      <x:c r="C559" t="s">
        <x:v>333</x:v>
      </x:c>
      <x:c r="D559">
        <x:v>8476455</x:v>
      </x:c>
      <x:c r="E559" t="s">
        <x:v>224</x:v>
      </x:c>
      <x:c r="F559">
        <x:v>60</x:v>
      </x:c>
      <x:c r="J559" t="s">
        <x:v>2395</x:v>
      </x:c>
      <x:c r="K559">
        <x:v>68</x:v>
      </x:c>
      <x:c r="L559">
        <x:v>60</x:v>
      </x:c>
      <x:c r="M559">
        <x:v>76</x:v>
      </x:c>
      <x:c r="N559">
        <x:v>53</x:v>
      </x:c>
      <x:c r="O559">
        <x:v>86</x:v>
      </x:c>
      <x:c r="P559">
        <x:v>82</x:v>
      </x:c>
      <x:c r="Q559">
        <x:v>78</x:v>
      </x:c>
      <x:c r="R559">
        <x:v>57</x:v>
      </x:c>
      <x:c r="S559">
        <x:v>76</x:v>
      </x:c>
      <x:c r="T559">
        <x:v>56</x:v>
      </x:c>
      <x:c r="U559">
        <x:v>57</x:v>
      </x:c>
      <x:c r="V559">
        <x:v>62</x:v>
      </x:c>
      <x:c r="W559">
        <x:v>65</x:v>
      </x:c>
      <x:c r="X559">
        <x:v>86</x:v>
      </x:c>
      <x:c r="Y559">
        <x:v>90</x:v>
      </x:c>
      <x:c r="Z559">
        <x:v>54</x:v>
      </x:c>
      <x:c r="AA559">
        <x:v>60</x:v>
      </x:c>
    </x:row>
    <x:row r="560">
      <x:c r="A560" t="s">
        <x:v>679</x:v>
      </x:c>
      <x:c r="B560" t="s">
        <x:v>481</x:v>
      </x:c>
      <x:c r="C560" t="s">
        <x:v>333</x:v>
      </x:c>
      <x:c r="D560">
        <x:v>8481554</x:v>
      </x:c>
      <x:c r="E560" t="s">
        <x:v>224</x:v>
      </x:c>
      <x:c r="F560">
        <x:v>65</x:v>
      </x:c>
      <x:c r="G560">
        <x:v>79</x:v>
      </x:c>
      <x:c r="J560" t="s">
        <x:v>2396</x:v>
      </x:c>
      <x:c r="K560">
        <x:v>62</x:v>
      </x:c>
      <x:c r="L560">
        <x:v>41</x:v>
      </x:c>
      <x:c r="M560">
        <x:v>87</x:v>
      </x:c>
      <x:c r="N560">
        <x:v>45</x:v>
      </x:c>
      <x:c r="O560">
        <x:v>86</x:v>
      </x:c>
      <x:c r="P560">
        <x:v>84</x:v>
      </x:c>
      <x:c r="Q560">
        <x:v>86</x:v>
      </x:c>
      <x:c r="R560">
        <x:v>57</x:v>
      </x:c>
      <x:c r="S560">
        <x:v>71</x:v>
      </x:c>
      <x:c r="T560">
        <x:v>65</x:v>
      </x:c>
      <x:c r="U560">
        <x:v>56</x:v>
      </x:c>
      <x:c r="V560">
        <x:v>62</x:v>
      </x:c>
      <x:c r="W560">
        <x:v>79</x:v>
      </x:c>
      <x:c r="X560">
        <x:v>78</x:v>
      </x:c>
      <x:c r="Y560">
        <x:v>75</x:v>
      </x:c>
      <x:c r="Z560">
        <x:v>51</x:v>
      </x:c>
      <x:c r="AA560">
        <x:v>59</x:v>
      </x:c>
    </x:row>
    <x:row r="561">
      <x:c r="A561" t="s">
        <x:v>704</x:v>
      </x:c>
      <x:c r="B561" t="s">
        <x:v>334</x:v>
      </x:c>
      <x:c r="C561" t="s">
        <x:v>333</x:v>
      </x:c>
      <x:c r="D561">
        <x:v>8482175</x:v>
      </x:c>
      <x:c r="E561" t="s">
        <x:v>224</x:v>
      </x:c>
      <x:c r="F561">
        <x:v>82</x:v>
      </x:c>
      <x:c r="G561">
        <x:v>77</x:v>
      </x:c>
      <x:c r="J561" t="s">
        <x:v>2208</x:v>
      </x:c>
      <x:c r="K561">
        <x:v>58</x:v>
      </x:c>
      <x:c r="L561">
        <x:v>32</x:v>
      </x:c>
      <x:c r="M561">
        <x:v>85</x:v>
      </x:c>
      <x:c r="N561">
        <x:v>60</x:v>
      </x:c>
      <x:c r="O561">
        <x:v>77</x:v>
      </x:c>
      <x:c r="P561">
        <x:v>86</x:v>
      </x:c>
      <x:c r="Q561">
        <x:v>98</x:v>
      </x:c>
      <x:c r="R561">
        <x:v>58</x:v>
      </x:c>
      <x:c r="S561">
        <x:v>67</x:v>
      </x:c>
      <x:c r="T561">
        <x:v>58</x:v>
      </x:c>
      <x:c r="U561">
        <x:v>61</x:v>
      </x:c>
      <x:c r="V561">
        <x:v>62</x:v>
      </x:c>
      <x:c r="W561">
        <x:v>68</x:v>
      </x:c>
      <x:c r="X561">
        <x:v>70</x:v>
      </x:c>
      <x:c r="Y561">
        <x:v>75</x:v>
      </x:c>
      <x:c r="Z561">
        <x:v>51</x:v>
      </x:c>
      <x:c r="AA561">
        <x:v>59</x:v>
      </x:c>
    </x:row>
    <x:row r="562">
      <x:c r="A562" t="s">
        <x:v>751</x:v>
      </x:c>
      <x:c r="B562" t="s">
        <x:v>370</x:v>
      </x:c>
      <x:c r="C562" t="s">
        <x:v>333</x:v>
      </x:c>
      <x:c r="D562">
        <x:v>8480188</x:v>
      </x:c>
      <x:c r="E562" t="s">
        <x:v>224</x:v>
      </x:c>
      <x:c r="F562">
        <x:v>82</x:v>
      </x:c>
      <x:c r="G562">
        <x:v>84</x:v>
      </x:c>
      <x:c r="J562" t="s">
        <x:v>2338</x:v>
      </x:c>
      <x:c r="K562">
        <x:v>73</x:v>
      </x:c>
      <x:c r="L562">
        <x:v>38</x:v>
      </x:c>
      <x:c r="M562">
        <x:v>95</x:v>
      </x:c>
      <x:c r="N562">
        <x:v>57</x:v>
      </x:c>
      <x:c r="O562">
        <x:v>83</x:v>
      </x:c>
      <x:c r="P562">
        <x:v>84</x:v>
      </x:c>
      <x:c r="Q562">
        <x:v>99</x:v>
      </x:c>
      <x:c r="R562">
        <x:v>54</x:v>
      </x:c>
      <x:c r="S562">
        <x:v>68</x:v>
      </x:c>
      <x:c r="T562">
        <x:v>54</x:v>
      </x:c>
      <x:c r="U562">
        <x:v>59</x:v>
      </x:c>
      <x:c r="V562">
        <x:v>62</x:v>
      </x:c>
      <x:c r="W562">
        <x:v>65</x:v>
      </x:c>
      <x:c r="X562">
        <x:v>73</x:v>
      </x:c>
      <x:c r="Y562">
        <x:v>73</x:v>
      </x:c>
      <x:c r="Z562">
        <x:v>51</x:v>
      </x:c>
      <x:c r="AA562">
        <x:v>58</x:v>
      </x:c>
    </x:row>
    <x:row r="563">
      <x:c r="A563" t="s">
        <x:v>792</x:v>
      </x:c>
      <x:c r="B563" t="s">
        <x:v>386</x:v>
      </x:c>
      <x:c r="C563" t="s">
        <x:v>323</x:v>
      </x:c>
      <x:c r="D563">
        <x:v>8482702</x:v>
      </x:c>
      <x:c r="E563" t="s">
        <x:v>224</x:v>
      </x:c>
      <x:c r="F563">
        <x:v>81</x:v>
      </x:c>
      <x:c r="G563">
        <x:v>78</x:v>
      </x:c>
      <x:c r="J563" t="s">
        <x:v>2397</x:v>
      </x:c>
      <x:c r="K563">
        <x:v>62</x:v>
      </x:c>
      <x:c r="L563">
        <x:v>43</x:v>
      </x:c>
      <x:c r="M563">
        <x:v>94</x:v>
      </x:c>
      <x:c r="N563">
        <x:v>51</x:v>
      </x:c>
      <x:c r="O563">
        <x:v>41</x:v>
      </x:c>
      <x:c r="P563">
        <x:v>86</x:v>
      </x:c>
      <x:c r="Q563">
        <x:v>97</x:v>
      </x:c>
      <x:c r="R563">
        <x:v>56</x:v>
      </x:c>
      <x:c r="S563">
        <x:v>83</x:v>
      </x:c>
      <x:c r="T563">
        <x:v>56</x:v>
      </x:c>
      <x:c r="U563">
        <x:v>59</x:v>
      </x:c>
      <x:c r="V563">
        <x:v>62</x:v>
      </x:c>
      <x:c r="W563">
        <x:v>56</x:v>
      </x:c>
      <x:c r="X563">
        <x:v>72</x:v>
      </x:c>
      <x:c r="Y563">
        <x:v>74</x:v>
      </x:c>
      <x:c r="Z563">
        <x:v>51</x:v>
      </x:c>
      <x:c r="AA563">
        <x:v>58</x:v>
      </x:c>
    </x:row>
    <x:row r="564">
      <x:c r="A564" t="s">
        <x:v>818</x:v>
      </x:c>
      <x:c r="B564" t="s">
        <x:v>337</x:v>
      </x:c>
      <x:c r="C564" t="s">
        <x:v>329</x:v>
      </x:c>
      <x:c r="D564">
        <x:v>8483512</x:v>
      </x:c>
      <x:c r="E564" t="s">
        <x:v>224</x:v>
      </x:c>
      <x:c r="F564">
        <x:v>82</x:v>
      </x:c>
      <x:c r="G564">
        <x:v>4</x:v>
      </x:c>
      <x:c r="J564" t="s">
        <x:v>2398</x:v>
      </x:c>
      <x:c r="K564">
        <x:v>59</x:v>
      </x:c>
      <x:c r="L564">
        <x:v>31</x:v>
      </x:c>
      <x:c r="M564">
        <x:v>91</x:v>
      </x:c>
      <x:c r="N564">
        <x:v>59</x:v>
      </x:c>
      <x:c r="O564">
        <x:v>75</x:v>
      </x:c>
      <x:c r="P564">
        <x:v>84</x:v>
      </x:c>
      <x:c r="Q564">
        <x:v>97</x:v>
      </x:c>
      <x:c r="R564">
        <x:v>55</x:v>
      </x:c>
      <x:c r="S564">
        <x:v>72</x:v>
      </x:c>
      <x:c r="T564">
        <x:v>54</x:v>
      </x:c>
      <x:c r="U564">
        <x:v>56</x:v>
      </x:c>
      <x:c r="V564">
        <x:v>62</x:v>
      </x:c>
      <x:c r="W564">
        <x:v>60</x:v>
      </x:c>
      <x:c r="X564">
        <x:v>69</x:v>
      </x:c>
      <x:c r="Y564">
        <x:v>68</x:v>
      </x:c>
      <x:c r="Z564">
        <x:v>54</x:v>
      </x:c>
      <x:c r="AA564">
        <x:v>57</x:v>
      </x:c>
    </x:row>
    <x:row r="565">
      <x:c r="A565" t="s">
        <x:v>874</x:v>
      </x:c>
      <x:c r="B565" t="s">
        <x:v>576</x:v>
      </x:c>
      <x:c r="C565" t="s">
        <x:v>329</x:v>
      </x:c>
      <x:c r="D565">
        <x:v>8482074</x:v>
      </x:c>
      <x:c r="E565" t="s">
        <x:v>224</x:v>
      </x:c>
      <x:c r="F565">
        <x:v>74</x:v>
      </x:c>
      <x:c r="G565">
        <x:v>54</x:v>
      </x:c>
      <x:c r="J565" t="s">
        <x:v>2399</x:v>
      </x:c>
      <x:c r="K565">
        <x:v>62</x:v>
      </x:c>
      <x:c r="L565">
        <x:v>34</x:v>
      </x:c>
      <x:c r="M565">
        <x:v>89</x:v>
      </x:c>
      <x:c r="N565">
        <x:v>48</x:v>
      </x:c>
      <x:c r="O565">
        <x:v>75</x:v>
      </x:c>
      <x:c r="P565">
        <x:v>84</x:v>
      </x:c>
      <x:c r="Q565">
        <x:v>89</x:v>
      </x:c>
      <x:c r="R565">
        <x:v>54</x:v>
      </x:c>
      <x:c r="S565">
        <x:v>78</x:v>
      </x:c>
      <x:c r="T565">
        <x:v>52</x:v>
      </x:c>
      <x:c r="U565">
        <x:v>56</x:v>
      </x:c>
      <x:c r="V565">
        <x:v>62</x:v>
      </x:c>
      <x:c r="W565">
        <x:v>62</x:v>
      </x:c>
      <x:c r="X565">
        <x:v>69</x:v>
      </x:c>
      <x:c r="Y565">
        <x:v>76</x:v>
      </x:c>
      <x:c r="Z565">
        <x:v>51</x:v>
      </x:c>
      <x:c r="AA565">
        <x:v>57</x:v>
      </x:c>
    </x:row>
    <x:row r="566">
      <x:c r="A566" t="s">
        <x:v>886</x:v>
      </x:c>
      <x:c r="B566" t="s">
        <x:v>352</x:v>
      </x:c>
      <x:c r="C566" t="s">
        <x:v>319</x:v>
      </x:c>
      <x:c r="D566">
        <x:v>8476927</x:v>
      </x:c>
      <x:c r="E566" t="s">
        <x:v>224</x:v>
      </x:c>
      <x:c r="F566">
        <x:v>35</x:v>
      </x:c>
      <x:c r="G566">
        <x:v>82</x:v>
      </x:c>
      <x:c r="J566" t="s">
        <x:v>2400</x:v>
      </x:c>
      <x:c r="K566">
        <x:v>69</x:v>
      </x:c>
      <x:c r="L566">
        <x:v>79</x:v>
      </x:c>
      <x:c r="M566">
        <x:v>79</x:v>
      </x:c>
      <x:c r="N566">
        <x:v>53</x:v>
      </x:c>
      <x:c r="O566">
        <x:v>77</x:v>
      </x:c>
      <x:c r="P566">
        <x:v>85</x:v>
      </x:c>
      <x:c r="Q566">
        <x:v>71</x:v>
      </x:c>
      <x:c r="R566">
        <x:v>51</x:v>
      </x:c>
      <x:c r="S566">
        <x:v>87</x:v>
      </x:c>
      <x:c r="T566">
        <x:v>52</x:v>
      </x:c>
      <x:c r="U566">
        <x:v>55</x:v>
      </x:c>
      <x:c r="V566">
        <x:v>62</x:v>
      </x:c>
      <x:c r="W566">
        <x:v>62</x:v>
      </x:c>
      <x:c r="X566">
        <x:v>78</x:v>
      </x:c>
      <x:c r="Y566">
        <x:v>75</x:v>
      </x:c>
      <x:c r="Z566">
        <x:v>51</x:v>
      </x:c>
      <x:c r="AA566">
        <x:v>57</x:v>
      </x:c>
    </x:row>
    <x:row r="567">
      <x:c r="A567" t="s">
        <x:v>891</x:v>
      </x:c>
      <x:c r="B567" t="s">
        <x:v>393</x:v>
      </x:c>
      <x:c r="C567" t="s">
        <x:v>333</x:v>
      </x:c>
      <x:c r="D567">
        <x:v>8478366</x:v>
      </x:c>
      <x:c r="E567" t="s">
        <x:v>224</x:v>
      </x:c>
      <x:c r="F567">
        <x:v>50</x:v>
      </x:c>
      <x:c r="G567">
        <x:v>81</x:v>
      </x:c>
      <x:c r="J567" t="s">
        <x:v>2256</x:v>
      </x:c>
      <x:c r="K567">
        <x:v>73</x:v>
      </x:c>
      <x:c r="L567">
        <x:v>73</x:v>
      </x:c>
      <x:c r="M567">
        <x:v>79</x:v>
      </x:c>
      <x:c r="N567">
        <x:v>57</x:v>
      </x:c>
      <x:c r="O567">
        <x:v>81</x:v>
      </x:c>
      <x:c r="P567">
        <x:v>84</x:v>
      </x:c>
      <x:c r="Q567">
        <x:v>80</x:v>
      </x:c>
      <x:c r="R567">
        <x:v>51</x:v>
      </x:c>
      <x:c r="S567">
        <x:v>68</x:v>
      </x:c>
      <x:c r="T567">
        <x:v>50</x:v>
      </x:c>
      <x:c r="U567">
        <x:v>54</x:v>
      </x:c>
      <x:c r="V567">
        <x:v>62</x:v>
      </x:c>
      <x:c r="W567">
        <x:v>56</x:v>
      </x:c>
      <x:c r="X567">
        <x:v>81</x:v>
      </x:c>
      <x:c r="Y567">
        <x:v>77</x:v>
      </x:c>
      <x:c r="Z567">
        <x:v>51</x:v>
      </x:c>
      <x:c r="AA567">
        <x:v>57</x:v>
      </x:c>
    </x:row>
    <x:row r="568">
      <x:c r="A568" t="s">
        <x:v>897</x:v>
      </x:c>
      <x:c r="B568" t="s">
        <x:v>337</x:v>
      </x:c>
      <x:c r="C568" t="s">
        <x:v>358</x:v>
      </x:c>
      <x:c r="D568">
        <x:v>8477425</x:v>
      </x:c>
      <x:c r="E568" t="s">
        <x:v>224</x:v>
      </x:c>
      <x:c r="F568">
        <x:v>54</x:v>
      </x:c>
      <x:c r="G568">
        <x:v>37</x:v>
      </x:c>
      <x:c r="J568" t="s">
        <x:v>2401</x:v>
      </x:c>
      <x:c r="K568">
        <x:v>69</x:v>
      </x:c>
      <x:c r="L568">
        <x:v>47</x:v>
      </x:c>
      <x:c r="M568">
        <x:v>80</x:v>
      </x:c>
      <x:c r="N568">
        <x:v>76</x:v>
      </x:c>
      <x:c r="O568">
        <x:v>84</x:v>
      </x:c>
      <x:c r="P568">
        <x:v>82</x:v>
      </x:c>
      <x:c r="Q568">
        <x:v>76</x:v>
      </x:c>
      <x:c r="R568">
        <x:v>51</x:v>
      </x:c>
      <x:c r="S568">
        <x:v>66</x:v>
      </x:c>
      <x:c r="T568">
        <x:v>50</x:v>
      </x:c>
      <x:c r="U568">
        <x:v>54</x:v>
      </x:c>
      <x:c r="V568">
        <x:v>62</x:v>
      </x:c>
      <x:c r="W568">
        <x:v>52</x:v>
      </x:c>
      <x:c r="X568">
        <x:v>78</x:v>
      </x:c>
      <x:c r="Y568">
        <x:v>78</x:v>
      </x:c>
      <x:c r="Z568">
        <x:v>51</x:v>
      </x:c>
      <x:c r="AA568">
        <x:v>56</x:v>
      </x:c>
    </x:row>
    <x:row r="569">
      <x:c r="A569" t="s">
        <x:v>905</x:v>
      </x:c>
      <x:c r="B569" t="s">
        <x:v>396</x:v>
      </x:c>
      <x:c r="C569" t="s">
        <x:v>333</x:v>
      </x:c>
      <x:c r="D569">
        <x:v>8481013</x:v>
      </x:c>
      <x:c r="E569" t="s">
        <x:v>224</x:v>
      </x:c>
      <x:c r="F569">
        <x:v>51</x:v>
      </x:c>
      <x:c r="G569">
        <x:v>75</x:v>
      </x:c>
      <x:c r="J569" t="s">
        <x:v>2402</x:v>
      </x:c>
      <x:c r="K569">
        <x:v>65</x:v>
      </x:c>
      <x:c r="L569">
        <x:v>32</x:v>
      </x:c>
      <x:c r="M569">
        <x:v>94</x:v>
      </x:c>
      <x:c r="N569">
        <x:v>55</x:v>
      </x:c>
      <x:c r="O569">
        <x:v>79</x:v>
      </x:c>
      <x:c r="P569">
        <x:v>84</x:v>
      </x:c>
      <x:c r="Q569">
        <x:v>79</x:v>
      </x:c>
      <x:c r="R569">
        <x:v>53</x:v>
      </x:c>
      <x:c r="S569">
        <x:v>69</x:v>
      </x:c>
      <x:c r="T569">
        <x:v>55</x:v>
      </x:c>
      <x:c r="U569">
        <x:v>53</x:v>
      </x:c>
      <x:c r="V569">
        <x:v>62</x:v>
      </x:c>
      <x:c r="W569">
        <x:v>52</x:v>
      </x:c>
      <x:c r="X569">
        <x:v>69</x:v>
      </x:c>
      <x:c r="Y569">
        <x:v>68</x:v>
      </x:c>
      <x:c r="Z569">
        <x:v>51</x:v>
      </x:c>
      <x:c r="AA569">
        <x:v>56</x:v>
      </x:c>
    </x:row>
    <x:row r="570">
      <x:c r="A570" t="s">
        <x:v>906</x:v>
      </x:c>
      <x:c r="B570" t="s">
        <x:v>337</x:v>
      </x:c>
      <x:c r="C570" t="s">
        <x:v>329</x:v>
      </x:c>
      <x:c r="D570">
        <x:v>8482660</x:v>
      </x:c>
      <x:c r="E570" t="s">
        <x:v>224</x:v>
      </x:c>
      <x:c r="F570">
        <x:v>76</x:v>
      </x:c>
      <x:c r="G570">
        <x:v>68</x:v>
      </x:c>
      <x:c r="J570" t="s">
        <x:v>2403</x:v>
      </x:c>
      <x:c r="K570">
        <x:v>58</x:v>
      </x:c>
      <x:c r="L570">
        <x:v>32</x:v>
      </x:c>
      <x:c r="M570">
        <x:v>84</x:v>
      </x:c>
      <x:c r="N570">
        <x:v>54</x:v>
      </x:c>
      <x:c r="O570">
        <x:v>73</x:v>
      </x:c>
      <x:c r="P570">
        <x:v>85</x:v>
      </x:c>
      <x:c r="Q570">
        <x:v>91</x:v>
      </x:c>
      <x:c r="R570">
        <x:v>55</x:v>
      </x:c>
      <x:c r="S570">
        <x:v>62</x:v>
      </x:c>
      <x:c r="T570">
        <x:v>56</x:v>
      </x:c>
      <x:c r="U570">
        <x:v>53</x:v>
      </x:c>
      <x:c r="V570">
        <x:v>62</x:v>
      </x:c>
      <x:c r="W570">
        <x:v>92</x:v>
      </x:c>
      <x:c r="X570">
        <x:v>69</x:v>
      </x:c>
      <x:c r="Y570">
        <x:v>74</x:v>
      </x:c>
      <x:c r="Z570">
        <x:v>51</x:v>
      </x:c>
      <x:c r="AA570">
        <x:v>56</x:v>
      </x:c>
    </x:row>
    <x:row r="571">
      <x:c r="A571" t="s">
        <x:v>918</x:v>
      </x:c>
      <x:c r="B571" t="s">
        <x:v>420</x:v>
      </x:c>
      <x:c r="C571" t="s">
        <x:v>358</x:v>
      </x:c>
      <x:c r="D571">
        <x:v>8483499</x:v>
      </x:c>
      <x:c r="E571" t="s">
        <x:v>224</x:v>
      </x:c>
      <x:c r="F571">
        <x:v>69</x:v>
      </x:c>
      <x:c r="G571">
        <x:v>24</x:v>
      </x:c>
      <x:c r="J571" t="s">
        <x:v>2404</x:v>
      </x:c>
      <x:c r="K571">
        <x:v>67</x:v>
      </x:c>
      <x:c r="L571">
        <x:v>37</x:v>
      </x:c>
      <x:c r="M571">
        <x:v>96</x:v>
      </x:c>
      <x:c r="N571">
        <x:v>60</x:v>
      </x:c>
      <x:c r="O571">
        <x:v>77</x:v>
      </x:c>
      <x:c r="P571">
        <x:v>83</x:v>
      </x:c>
      <x:c r="Q571">
        <x:v>92</x:v>
      </x:c>
      <x:c r="R571">
        <x:v>52</x:v>
      </x:c>
      <x:c r="S571">
        <x:v>68</x:v>
      </x:c>
      <x:c r="T571">
        <x:v>51</x:v>
      </x:c>
      <x:c r="U571">
        <x:v>52</x:v>
      </x:c>
      <x:c r="V571">
        <x:v>62</x:v>
      </x:c>
      <x:c r="W571">
        <x:v>75</x:v>
      </x:c>
      <x:c r="X571">
        <x:v>67</x:v>
      </x:c>
      <x:c r="Y571">
        <x:v>65</x:v>
      </x:c>
      <x:c r="Z571">
        <x:v>51</x:v>
      </x:c>
      <x:c r="AA571">
        <x:v>56</x:v>
      </x:c>
    </x:row>
    <x:row r="572">
      <x:c r="A572" t="s">
        <x:v>976</x:v>
      </x:c>
      <x:c r="B572" t="s">
        <x:v>366</x:v>
      </x:c>
      <x:c r="C572" t="s">
        <x:v>326</x:v>
      </x:c>
      <x:c r="D572">
        <x:v>8476474</x:v>
      </x:c>
      <x:c r="E572" t="s">
        <x:v>224</x:v>
      </x:c>
      <x:c r="F572">
        <x:v>38</x:v>
      </x:c>
      <x:c r="G572">
        <x:v>78</x:v>
      </x:c>
      <x:c r="J572" t="s">
        <x:v>2405</x:v>
      </x:c>
      <x:c r="K572">
        <x:v>68</x:v>
      </x:c>
      <x:c r="L572">
        <x:v>81</x:v>
      </x:c>
      <x:c r="M572">
        <x:v>75</x:v>
      </x:c>
      <x:c r="N572">
        <x:v>46</x:v>
      </x:c>
      <x:c r="O572">
        <x:v>82</x:v>
      </x:c>
      <x:c r="P572">
        <x:v>82</x:v>
      </x:c>
      <x:c r="Q572">
        <x:v>73</x:v>
      </x:c>
      <x:c r="R572">
        <x:v>48</x:v>
      </x:c>
      <x:c r="S572">
        <x:v>72</x:v>
      </x:c>
      <x:c r="T572">
        <x:v>50</x:v>
      </x:c>
      <x:c r="U572">
        <x:v>53</x:v>
      </x:c>
      <x:c r="V572">
        <x:v>62</x:v>
      </x:c>
      <x:c r="W572">
        <x:v>53</x:v>
      </x:c>
      <x:c r="X572">
        <x:v>78</x:v>
      </x:c>
      <x:c r="Y572">
        <x:v>75</x:v>
      </x:c>
      <x:c r="Z572">
        <x:v>51</x:v>
      </x:c>
      <x:c r="AA572">
        <x:v>55</x:v>
      </x:c>
    </x:row>
    <x:row r="573">
      <x:c r="A573" t="s">
        <x:v>1018</x:v>
      </x:c>
      <x:c r="B573" t="s">
        <x:v>396</x:v>
      </x:c>
      <x:c r="C573" t="s">
        <x:v>358</x:v>
      </x:c>
      <x:c r="D573">
        <x:v>8477527</x:v>
      </x:c>
      <x:c r="E573" t="s">
        <x:v>224</x:v>
      </x:c>
      <x:c r="F573">
        <x:v>62</x:v>
      </x:c>
      <x:c r="G573">
        <x:v>43</x:v>
      </x:c>
      <x:c r="J573" t="s">
        <x:v>2406</x:v>
      </x:c>
      <x:c r="K573">
        <x:v>88</x:v>
      </x:c>
      <x:c r="L573">
        <x:v>94</x:v>
      </x:c>
      <x:c r="M573">
        <x:v>72</x:v>
      </x:c>
      <x:c r="N573">
        <x:v>48</x:v>
      </x:c>
      <x:c r="O573">
        <x:v>90</x:v>
      </x:c>
      <x:c r="P573">
        <x:v>81</x:v>
      </x:c>
      <x:c r="Q573">
        <x:v>80</x:v>
      </x:c>
      <x:c r="R573">
        <x:v>48</x:v>
      </x:c>
      <x:c r="S573">
        <x:v>68</x:v>
      </x:c>
      <x:c r="T573">
        <x:v>54</x:v>
      </x:c>
      <x:c r="U573">
        <x:v>50</x:v>
      </x:c>
      <x:c r="V573">
        <x:v>62</x:v>
      </x:c>
      <x:c r="W573">
        <x:v>52</x:v>
      </x:c>
      <x:c r="X573">
        <x:v>70</x:v>
      </x:c>
      <x:c r="Y573">
        <x:v>75</x:v>
      </x:c>
      <x:c r="Z573">
        <x:v>51</x:v>
      </x:c>
      <x:c r="AA573">
        <x:v>55</x:v>
      </x:c>
    </x:row>
    <x:row r="574">
      <x:c r="A574" t="s">
        <x:v>1026</x:v>
      </x:c>
      <x:c r="B574" t="s">
        <x:v>427</x:v>
      </x:c>
      <x:c r="C574" t="s">
        <x:v>339</x:v>
      </x:c>
      <x:c r="D574">
        <x:v>8482703</x:v>
      </x:c>
      <x:c r="E574" t="s">
        <x:v>224</x:v>
      </x:c>
      <x:c r="F574">
        <x:v>61</x:v>
      </x:c>
      <x:c r="G574">
        <x:v>25</x:v>
      </x:c>
      <x:c r="J574" t="s">
        <x:v>2407</x:v>
      </x:c>
      <x:c r="K574">
        <x:v>87</x:v>
      </x:c>
      <x:c r="L574">
        <x:v>83</x:v>
      </x:c>
      <x:c r="M574">
        <x:v>83</x:v>
      </x:c>
      <x:c r="N574">
        <x:v>54</x:v>
      </x:c>
      <x:c r="O574">
        <x:v>87</x:v>
      </x:c>
      <x:c r="P574">
        <x:v>82</x:v>
      </x:c>
      <x:c r="Q574">
        <x:v>80</x:v>
      </x:c>
      <x:c r="R574">
        <x:v>47</x:v>
      </x:c>
      <x:c r="S574">
        <x:v>71</x:v>
      </x:c>
      <x:c r="T574">
        <x:v>51</x:v>
      </x:c>
      <x:c r="U574">
        <x:v>51</x:v>
      </x:c>
      <x:c r="V574">
        <x:v>62</x:v>
      </x:c>
      <x:c r="W574">
        <x:v>52</x:v>
      </x:c>
      <x:c r="X574">
        <x:v>68</x:v>
      </x:c>
      <x:c r="Y574">
        <x:v>65</x:v>
      </x:c>
      <x:c r="Z574">
        <x:v>51</x:v>
      </x:c>
      <x:c r="AA574">
        <x:v>55</x:v>
      </x:c>
    </x:row>
    <x:row r="575">
      <x:c r="A575" t="s">
        <x:v>1038</x:v>
      </x:c>
      <x:c r="B575" t="s">
        <x:v>324</x:v>
      </x:c>
      <x:c r="C575" t="s">
        <x:v>339</x:v>
      </x:c>
      <x:c r="D575">
        <x:v>8482768</x:v>
      </x:c>
      <x:c r="E575" t="s">
        <x:v>224</x:v>
      </x:c>
      <x:c r="F575">
        <x:v>70</x:v>
      </x:c>
      <x:c r="G575">
        <x:v>52</x:v>
      </x:c>
      <x:c r="J575" t="s">
        <x:v>2408</x:v>
      </x:c>
      <x:c r="K575">
        <x:v>66</x:v>
      </x:c>
      <x:c r="L575">
        <x:v>35</x:v>
      </x:c>
      <x:c r="M575">
        <x:v>89</x:v>
      </x:c>
      <x:c r="N575">
        <x:v>60</x:v>
      </x:c>
      <x:c r="O575">
        <x:v>77</x:v>
      </x:c>
      <x:c r="P575">
        <x:v>83</x:v>
      </x:c>
      <x:c r="Q575">
        <x:v>85</x:v>
      </x:c>
      <x:c r="R575">
        <x:v>51</x:v>
      </x:c>
      <x:c r="S575">
        <x:v>80</x:v>
      </x:c>
      <x:c r="T575">
        <x:v>53</x:v>
      </x:c>
      <x:c r="U575">
        <x:v>51</x:v>
      </x:c>
      <x:c r="V575">
        <x:v>62</x:v>
      </x:c>
      <x:c r="W575">
        <x:v>52</x:v>
      </x:c>
      <x:c r="X575">
        <x:v>67</x:v>
      </x:c>
      <x:c r="Y575">
        <x:v>66</x:v>
      </x:c>
      <x:c r="Z575">
        <x:v>54</x:v>
      </x:c>
      <x:c r="AA575">
        <x:v>55</x:v>
      </x:c>
    </x:row>
    <x:row r="576">
      <x:c r="A576" t="s">
        <x:v>1054</x:v>
      </x:c>
      <x:c r="B576" t="s">
        <x:v>576</x:v>
      </x:c>
      <x:c r="C576" t="s">
        <x:v>326</x:v>
      </x:c>
      <x:c r="D576">
        <x:v>8484958</x:v>
      </x:c>
      <x:c r="E576" t="s">
        <x:v>224</x:v>
      </x:c>
      <x:c r="F576">
        <x:v>49</x:v>
      </x:c>
      <x:c r="G576">
        <x:v>77</x:v>
      </x:c>
      <x:c r="J576" t="s">
        <x:v>2409</x:v>
      </x:c>
      <x:c r="K576">
        <x:v>76</x:v>
      </x:c>
      <x:c r="L576">
        <x:v>43</x:v>
      </x:c>
      <x:c r="M576">
        <x:v>87</x:v>
      </x:c>
      <x:c r="N576">
        <x:v>49</x:v>
      </x:c>
      <x:c r="O576">
        <x:v>81</x:v>
      </x:c>
      <x:c r="P576">
        <x:v>81</x:v>
      </x:c>
      <x:c r="Q576">
        <x:v>78</x:v>
      </x:c>
      <x:c r="R576">
        <x:v>49</x:v>
      </x:c>
      <x:c r="S576">
        <x:v>69</x:v>
      </x:c>
      <x:c r="T576">
        <x:v>50</x:v>
      </x:c>
      <x:c r="U576">
        <x:v>50</x:v>
      </x:c>
      <x:c r="V576">
        <x:v>62</x:v>
      </x:c>
      <x:c r="W576">
        <x:v>58</x:v>
      </x:c>
      <x:c r="X576">
        <x:v>67</x:v>
      </x:c>
      <x:c r="Y576">
        <x:v>70</x:v>
      </x:c>
      <x:c r="Z576">
        <x:v>51</x:v>
      </x:c>
      <x:c r="AA576">
        <x:v>55</x:v>
      </x:c>
    </x:row>
    <x:row r="577">
      <x:c r="A577" t="s">
        <x:v>1112</x:v>
      </x:c>
      <x:c r="B577" t="s">
        <x:v>420</x:v>
      </x:c>
      <x:c r="C577" t="s">
        <x:v>319</x:v>
      </x:c>
      <x:c r="D577">
        <x:v>8484136</x:v>
      </x:c>
      <x:c r="E577" t="s">
        <x:v>224</x:v>
      </x:c>
      <x:c r="F577">
        <x:v>66</x:v>
      </x:c>
      <x:c r="G577">
        <x:v>29</x:v>
      </x:c>
      <x:c r="J577" t="s">
        <x:v>2410</x:v>
      </x:c>
      <x:c r="K577">
        <x:v>63</x:v>
      </x:c>
      <x:c r="L577">
        <x:v>32</x:v>
      </x:c>
      <x:c r="M577">
        <x:v>81</x:v>
      </x:c>
      <x:c r="N577">
        <x:v>70</x:v>
      </x:c>
      <x:c r="O577">
        <x:v>76</x:v>
      </x:c>
      <x:c r="P577">
        <x:v>82</x:v>
      </x:c>
      <x:c r="Q577">
        <x:v>87</x:v>
      </x:c>
      <x:c r="R577">
        <x:v>52</x:v>
      </x:c>
      <x:c r="S577">
        <x:v>78</x:v>
      </x:c>
      <x:c r="T577">
        <x:v>50</x:v>
      </x:c>
      <x:c r="U577">
        <x:v>57</x:v>
      </x:c>
      <x:c r="V577">
        <x:v>62</x:v>
      </x:c>
      <x:c r="W577">
        <x:v>52</x:v>
      </x:c>
      <x:c r="X577">
        <x:v>67</x:v>
      </x:c>
      <x:c r="Y577">
        <x:v>68</x:v>
      </x:c>
      <x:c r="Z577">
        <x:v>51</x:v>
      </x:c>
      <x:c r="AA577">
        <x:v>54</x:v>
      </x:c>
    </x:row>
    <x:row r="578">
      <x:c r="A578" t="s">
        <x:v>1129</x:v>
      </x:c>
      <x:c r="B578" t="s">
        <x:v>372</x:v>
      </x:c>
      <x:c r="C578" t="s">
        <x:v>333</x:v>
      </x:c>
      <x:c r="D578">
        <x:v>8481535</x:v>
      </x:c>
      <x:c r="E578" t="s">
        <x:v>224</x:v>
      </x:c>
      <x:c r="F578">
        <x:v>38</x:v>
      </x:c>
      <x:c r="G578">
        <x:v>72</x:v>
      </x:c>
      <x:c r="J578" t="s">
        <x:v>2411</x:v>
      </x:c>
      <x:c r="K578">
        <x:v>70</x:v>
      </x:c>
      <x:c r="L578">
        <x:v>32</x:v>
      </x:c>
      <x:c r="M578">
        <x:v>90</x:v>
      </x:c>
      <x:c r="N578">
        <x:v>52</x:v>
      </x:c>
      <x:c r="O578">
        <x:v>77</x:v>
      </x:c>
      <x:c r="P578">
        <x:v>82</x:v>
      </x:c>
      <x:c r="Q578">
        <x:v>72</x:v>
      </x:c>
      <x:c r="R578">
        <x:v>51</x:v>
      </x:c>
      <x:c r="S578">
        <x:v>69</x:v>
      </x:c>
      <x:c r="T578">
        <x:v>51</x:v>
      </x:c>
      <x:c r="U578">
        <x:v>50</x:v>
      </x:c>
      <x:c r="V578">
        <x:v>62</x:v>
      </x:c>
      <x:c r="W578">
        <x:v>53</x:v>
      </x:c>
      <x:c r="X578">
        <x:v>73</x:v>
      </x:c>
      <x:c r="Y578">
        <x:v>67</x:v>
      </x:c>
      <x:c r="Z578">
        <x:v>51</x:v>
      </x:c>
      <x:c r="AA578">
        <x:v>54</x:v>
      </x:c>
    </x:row>
    <x:row r="579">
      <x:c r="A579" t="s">
        <x:v>1187</x:v>
      </x:c>
      <x:c r="B579" t="s">
        <x:v>372</x:v>
      </x:c>
      <x:c r="C579" t="s">
        <x:v>358</x:v>
      </x:c>
      <x:c r="D579">
        <x:v>8483513</x:v>
      </x:c>
      <x:c r="E579" t="s">
        <x:v>224</x:v>
      </x:c>
      <x:c r="F579">
        <x:v>47</x:v>
      </x:c>
      <x:c r="J579" t="s">
        <x:v>2412</x:v>
      </x:c>
      <x:c r="K579">
        <x:v>81</x:v>
      </x:c>
      <x:c r="L579">
        <x:v>64</x:v>
      </x:c>
      <x:c r="M579">
        <x:v>86</x:v>
      </x:c>
      <x:c r="N579">
        <x:v>57</x:v>
      </x:c>
      <x:c r="O579">
        <x:v>89</x:v>
      </x:c>
      <x:c r="P579">
        <x:v>80</x:v>
      </x:c>
      <x:c r="Q579">
        <x:v>93</x:v>
      </x:c>
      <x:c r="R579">
        <x:v>47</x:v>
      </x:c>
      <x:c r="S579">
        <x:v>62</x:v>
      </x:c>
      <x:c r="T579">
        <x:v>49</x:v>
      </x:c>
      <x:c r="U579">
        <x:v>54</x:v>
      </x:c>
      <x:c r="V579">
        <x:v>62</x:v>
      </x:c>
      <x:c r="W579">
        <x:v>55</x:v>
      </x:c>
      <x:c r="X579">
        <x:v>66</x:v>
      </x:c>
      <x:c r="Y579">
        <x:v>67</x:v>
      </x:c>
      <x:c r="Z579">
        <x:v>47</x:v>
      </x:c>
      <x:c r="AA579">
        <x:v>53</x:v>
      </x:c>
    </x:row>
    <x:row r="580">
      <x:c r="A580" t="s">
        <x:v>1199</x:v>
      </x:c>
      <x:c r="B580" t="s">
        <x:v>427</x:v>
      </x:c>
      <x:c r="C580" t="s">
        <x:v>319</x:v>
      </x:c>
      <x:c r="D580">
        <x:v>8482148</x:v>
      </x:c>
      <x:c r="E580" t="s">
        <x:v>224</x:v>
      </x:c>
      <x:c r="F580">
        <x:v>74</x:v>
      </x:c>
      <x:c r="G580">
        <x:v>27</x:v>
      </x:c>
      <x:c r="J580" t="s">
        <x:v>2413</x:v>
      </x:c>
      <x:c r="K580">
        <x:v>66</x:v>
      </x:c>
      <x:c r="L580">
        <x:v>45</x:v>
      </x:c>
      <x:c r="M580">
        <x:v>87</x:v>
      </x:c>
      <x:c r="N580">
        <x:v>67</x:v>
      </x:c>
      <x:c r="O580">
        <x:v>79</x:v>
      </x:c>
      <x:c r="P580">
        <x:v>80</x:v>
      </x:c>
      <x:c r="Q580">
        <x:v>89</x:v>
      </x:c>
      <x:c r="R580">
        <x:v>51</x:v>
      </x:c>
      <x:c r="S580">
        <x:v>77</x:v>
      </x:c>
      <x:c r="T580">
        <x:v>57</x:v>
      </x:c>
      <x:c r="U580">
        <x:v>51</x:v>
      </x:c>
      <x:c r="V580">
        <x:v>62</x:v>
      </x:c>
      <x:c r="W580">
        <x:v>52</x:v>
      </x:c>
      <x:c r="X580">
        <x:v>69</x:v>
      </x:c>
      <x:c r="Y580">
        <x:v>67</x:v>
      </x:c>
      <x:c r="Z580">
        <x:v>51</x:v>
      </x:c>
      <x:c r="AA580">
        <x:v>53</x:v>
      </x:c>
    </x:row>
    <x:row r="581">
      <x:c r="A581" t="s">
        <x:v>1339</x:v>
      </x:c>
      <x:c r="B581" t="s">
        <x:v>348</x:v>
      </x:c>
      <x:c r="C581" t="s">
        <x:v>323</x:v>
      </x:c>
      <x:c r="D581">
        <x:v>8484135</x:v>
      </x:c>
      <x:c r="E581" t="s">
        <x:v>224</x:v>
      </x:c>
      <x:c r="F581">
        <x:v>15</x:v>
      </x:c>
      <x:c r="G581">
        <x:v>3</x:v>
      </x:c>
      <x:c r="J581" t="s">
        <x:v>2414</x:v>
      </x:c>
      <x:c r="K581">
        <x:v>78</x:v>
      </x:c>
      <x:c r="L581">
        <x:v>33</x:v>
      </x:c>
      <x:c r="M581">
        <x:v>77</x:v>
      </x:c>
      <x:c r="N581">
        <x:v>71</x:v>
      </x:c>
      <x:c r="O581">
        <x:v>76</x:v>
      </x:c>
      <x:c r="P581">
        <x:v>80</x:v>
      </x:c>
      <x:c r="Q581">
        <x:v>86</x:v>
      </x:c>
      <x:c r="R581">
        <x:v>47</x:v>
      </x:c>
      <x:c r="S581">
        <x:v>79</x:v>
      </x:c>
      <x:c r="T581">
        <x:v>49</x:v>
      </x:c>
      <x:c r="U581">
        <x:v>51</x:v>
      </x:c>
      <x:c r="V581">
        <x:v>62</x:v>
      </x:c>
      <x:c r="W581">
        <x:v>55</x:v>
      </x:c>
      <x:c r="X581">
        <x:v>65</x:v>
      </x:c>
      <x:c r="Y581">
        <x:v>70</x:v>
      </x:c>
      <x:c r="Z581">
        <x:v>51</x:v>
      </x:c>
      <x:c r="AA581">
        <x:v>52</x:v>
      </x:c>
    </x:row>
    <x:row r="582">
      <x:c r="A582" t="s">
        <x:v>346</x:v>
      </x:c>
      <x:c r="B582" t="s">
        <x:v>324</x:v>
      </x:c>
      <x:c r="C582" t="s">
        <x:v>323</x:v>
      </x:c>
      <x:c r="D582">
        <x:v>8480039</x:v>
      </x:c>
      <x:c r="E582" t="s">
        <x:v>224</x:v>
      </x:c>
      <x:c r="F582">
        <x:v>78</x:v>
      </x:c>
      <x:c r="G582">
        <x:v>79</x:v>
      </x:c>
      <x:c r="J582" t="s">
        <x:v>2207</x:v>
      </x:c>
      <x:c r="K582">
        <x:v>64</x:v>
      </x:c>
      <x:c r="L582">
        <x:v>37</x:v>
      </x:c>
      <x:c r="M582">
        <x:v>94</x:v>
      </x:c>
      <x:c r="N582">
        <x:v>70</x:v>
      </x:c>
      <x:c r="O582">
        <x:v>79</x:v>
      </x:c>
      <x:c r="P582">
        <x:v>92</x:v>
      </x:c>
      <x:c r="Q582">
        <x:v>95</x:v>
      </x:c>
      <x:c r="R582">
        <x:v>74</x:v>
      </x:c>
      <x:c r="S582">
        <x:v>70</x:v>
      </x:c>
      <x:c r="T582">
        <x:v>79</x:v>
      </x:c>
      <x:c r="U582">
        <x:v>66</x:v>
      </x:c>
      <x:c r="V582">
        <x:v>61</x:v>
      </x:c>
      <x:c r="W582">
        <x:v>81</x:v>
      </x:c>
      <x:c r="X582">
        <x:v>80</x:v>
      </x:c>
      <x:c r="Y582">
        <x:v>76</x:v>
      </x:c>
      <x:c r="Z582">
        <x:v>51</x:v>
      </x:c>
      <x:c r="AA582">
        <x:v>67</x:v>
      </x:c>
    </x:row>
    <x:row r="583">
      <x:c r="A583" t="s">
        <x:v>351</x:v>
      </x:c>
      <x:c r="B583" t="s">
        <x:v>352</x:v>
      </x:c>
      <x:c r="C583" t="s">
        <x:v>333</x:v>
      </x:c>
      <x:c r="D583">
        <x:v>8477939</x:v>
      </x:c>
      <x:c r="E583" t="s">
        <x:v>224</x:v>
      </x:c>
      <x:c r="F583">
        <x:v>65</x:v>
      </x:c>
      <x:c r="G583">
        <x:v>82</x:v>
      </x:c>
      <x:c r="J583" t="s">
        <x:v>2415</x:v>
      </x:c>
      <x:c r="K583">
        <x:v>57</x:v>
      </x:c>
      <x:c r="L583">
        <x:v>38</x:v>
      </x:c>
      <x:c r="M583">
        <x:v>90</x:v>
      </x:c>
      <x:c r="N583">
        <x:v>56</x:v>
      </x:c>
      <x:c r="O583">
        <x:v>80</x:v>
      </x:c>
      <x:c r="P583">
        <x:v>91</x:v>
      </x:c>
      <x:c r="Q583">
        <x:v>87</x:v>
      </x:c>
      <x:c r="R583">
        <x:v>73</x:v>
      </x:c>
      <x:c r="S583">
        <x:v>73</x:v>
      </x:c>
      <x:c r="T583">
        <x:v>77</x:v>
      </x:c>
      <x:c r="U583">
        <x:v>69</x:v>
      </x:c>
      <x:c r="V583">
        <x:v>61</x:v>
      </x:c>
      <x:c r="W583">
        <x:v>86</x:v>
      </x:c>
      <x:c r="X583">
        <x:v>83</x:v>
      </x:c>
      <x:c r="Y583">
        <x:v>83</x:v>
      </x:c>
      <x:c r="Z583">
        <x:v>51</x:v>
      </x:c>
      <x:c r="AA583">
        <x:v>67</x:v>
      </x:c>
    </x:row>
    <x:row r="584">
      <x:c r="A584" t="s">
        <x:v>404</x:v>
      </x:c>
      <x:c r="B584" t="s">
        <x:v>400</x:v>
      </x:c>
      <x:c r="C584" t="s">
        <x:v>333</x:v>
      </x:c>
      <x:c r="D584">
        <x:v>8479314</x:v>
      </x:c>
      <x:c r="E584" t="s">
        <x:v>224</x:v>
      </x:c>
      <x:c r="F584">
        <x:v>31</x:v>
      </x:c>
      <x:c r="G584">
        <x:v>52</x:v>
      </x:c>
      <x:c r="J584" t="s">
        <x:v>2416</x:v>
      </x:c>
      <x:c r="K584">
        <x:v>65</x:v>
      </x:c>
      <x:c r="L584">
        <x:v>80</x:v>
      </x:c>
      <x:c r="M584">
        <x:v>83</x:v>
      </x:c>
      <x:c r="N584">
        <x:v>37</x:v>
      </x:c>
      <x:c r="O584">
        <x:v>81</x:v>
      </x:c>
      <x:c r="P584">
        <x:v>88</x:v>
      </x:c>
      <x:c r="Q584">
        <x:v>65</x:v>
      </x:c>
      <x:c r="R584">
        <x:v>71</x:v>
      </x:c>
      <x:c r="S584">
        <x:v>68</x:v>
      </x:c>
      <x:c r="T584">
        <x:v>61</x:v>
      </x:c>
      <x:c r="U584">
        <x:v>58</x:v>
      </x:c>
      <x:c r="V584">
        <x:v>61</x:v>
      </x:c>
      <x:c r="W584">
        <x:v>76</x:v>
      </x:c>
      <x:c r="X584">
        <x:v>83</x:v>
      </x:c>
      <x:c r="Y584">
        <x:v>86</x:v>
      </x:c>
      <x:c r="Z584">
        <x:v>51</x:v>
      </x:c>
      <x:c r="AA584">
        <x:v>65</x:v>
      </x:c>
    </x:row>
    <x:row r="585">
      <x:c r="A585" t="s">
        <x:v>407</x:v>
      </x:c>
      <x:c r="B585" t="s">
        <x:v>372</x:v>
      </x:c>
      <x:c r="C585" t="s">
        <x:v>333</x:v>
      </x:c>
      <x:c r="D585">
        <x:v>8476887</x:v>
      </x:c>
      <x:c r="E585" t="s">
        <x:v>224</x:v>
      </x:c>
      <x:c r="F585">
        <x:v>82</x:v>
      </x:c>
      <x:c r="G585">
        <x:v>82</x:v>
      </x:c>
      <x:c r="J585" t="s">
        <x:v>1992</x:v>
      </x:c>
      <x:c r="K585">
        <x:v>68</x:v>
      </x:c>
      <x:c r="L585">
        <x:v>40</x:v>
      </x:c>
      <x:c r="M585">
        <x:v>88</x:v>
      </x:c>
      <x:c r="N585">
        <x:v>48</x:v>
      </x:c>
      <x:c r="O585">
        <x:v>82</x:v>
      </x:c>
      <x:c r="P585">
        <x:v>90</x:v>
      </x:c>
      <x:c r="Q585">
        <x:v>99</x:v>
      </x:c>
      <x:c r="R585">
        <x:v>69</x:v>
      </x:c>
      <x:c r="S585">
        <x:v>67</x:v>
      </x:c>
      <x:c r="T585">
        <x:v>60</x:v>
      </x:c>
      <x:c r="U585">
        <x:v>72</x:v>
      </x:c>
      <x:c r="V585">
        <x:v>61</x:v>
      </x:c>
      <x:c r="W585">
        <x:v>87</x:v>
      </x:c>
      <x:c r="X585">
        <x:v>87</x:v>
      </x:c>
      <x:c r="Y585">
        <x:v>84</x:v>
      </x:c>
      <x:c r="Z585">
        <x:v>51</x:v>
      </x:c>
      <x:c r="AA585">
        <x:v>65</x:v>
      </x:c>
    </x:row>
    <x:row r="586">
      <x:c r="A586" t="s">
        <x:v>411</x:v>
      </x:c>
      <x:c r="B586" t="s">
        <x:v>352</x:v>
      </x:c>
      <x:c r="C586" t="s">
        <x:v>339</x:v>
      </x:c>
      <x:c r="D586">
        <x:v>8475166</x:v>
      </x:c>
      <x:c r="E586" t="s">
        <x:v>224</x:v>
      </x:c>
      <x:c r="F586">
        <x:v>82</x:v>
      </x:c>
      <x:c r="G586">
        <x:v>75</x:v>
      </x:c>
      <x:c r="J586" t="s">
        <x:v>2098</x:v>
      </x:c>
      <x:c r="K586">
        <x:v>64</x:v>
      </x:c>
      <x:c r="L586">
        <x:v>41</x:v>
      </x:c>
      <x:c r="M586">
        <x:v>86</x:v>
      </x:c>
      <x:c r="N586">
        <x:v>54</x:v>
      </x:c>
      <x:c r="O586">
        <x:v>86</x:v>
      </x:c>
      <x:c r="P586">
        <x:v>89</x:v>
      </x:c>
      <x:c r="Q586">
        <x:v>98</x:v>
      </x:c>
      <x:c r="R586">
        <x:v>67</x:v>
      </x:c>
      <x:c r="S586">
        <x:v>92</x:v>
      </x:c>
      <x:c r="T586">
        <x:v>63</x:v>
      </x:c>
      <x:c r="U586">
        <x:v>68</x:v>
      </x:c>
      <x:c r="V586">
        <x:v>61</x:v>
      </x:c>
      <x:c r="W586">
        <x:v>69</x:v>
      </x:c>
      <x:c r="X586">
        <x:v>89</x:v>
      </x:c>
      <x:c r="Y586">
        <x:v>91</x:v>
      </x:c>
      <x:c r="Z586">
        <x:v>51</x:v>
      </x:c>
      <x:c r="AA586">
        <x:v>65</x:v>
      </x:c>
    </x:row>
    <x:row r="587">
      <x:c r="A587" t="s">
        <x:v>413</x:v>
      </x:c>
      <x:c r="B587" t="s">
        <x:v>400</x:v>
      </x:c>
      <x:c r="C587" t="s">
        <x:v>333</x:v>
      </x:c>
      <x:c r="D587">
        <x:v>8473419</x:v>
      </x:c>
      <x:c r="E587" t="s">
        <x:v>224</x:v>
      </x:c>
      <x:c r="F587">
        <x:v>52</x:v>
      </x:c>
      <x:c r="G587">
        <x:v>71</x:v>
      </x:c>
      <x:c r="J587" t="s">
        <x:v>2417</x:v>
      </x:c>
      <x:c r="K587">
        <x:v>63</x:v>
      </x:c>
      <x:c r="L587">
        <x:v>39</x:v>
      </x:c>
      <x:c r="M587">
        <x:v>87</x:v>
      </x:c>
      <x:c r="N587">
        <x:v>57</x:v>
      </x:c>
      <x:c r="O587">
        <x:v>76</x:v>
      </x:c>
      <x:c r="P587">
        <x:v>88</x:v>
      </x:c>
      <x:c r="Q587">
        <x:v>79</x:v>
      </x:c>
      <x:c r="R587">
        <x:v>66</x:v>
      </x:c>
      <x:c r="S587">
        <x:v>64</x:v>
      </x:c>
      <x:c r="T587">
        <x:v>58</x:v>
      </x:c>
      <x:c r="U587">
        <x:v>70</x:v>
      </x:c>
      <x:c r="V587">
        <x:v>61</x:v>
      </x:c>
      <x:c r="W587">
        <x:v>82</x:v>
      </x:c>
      <x:c r="X587">
        <x:v>92</x:v>
      </x:c>
      <x:c r="Y587">
        <x:v>88</x:v>
      </x:c>
      <x:c r="Z587">
        <x:v>51</x:v>
      </x:c>
      <x:c r="AA587">
        <x:v>65</x:v>
      </x:c>
    </x:row>
    <x:row r="588">
      <x:c r="A588" t="s">
        <x:v>433</x:v>
      </x:c>
      <x:c r="B588" t="s">
        <x:v>370</x:v>
      </x:c>
      <x:c r="C588" t="s">
        <x:v>326</x:v>
      </x:c>
      <x:c r="D588">
        <x:v>8480208</x:v>
      </x:c>
      <x:c r="E588" t="s">
        <x:v>224</x:v>
      </x:c>
      <x:c r="F588">
        <x:v>79</x:v>
      </x:c>
      <x:c r="G588">
        <x:v>82</x:v>
      </x:c>
      <x:c r="J588" t="s">
        <x:v>2187</x:v>
      </x:c>
      <x:c r="K588">
        <x:v>68</x:v>
      </x:c>
      <x:c r="L588">
        <x:v>57</x:v>
      </x:c>
      <x:c r="M588">
        <x:v>89</x:v>
      </x:c>
      <x:c r="N588">
        <x:v>55</x:v>
      </x:c>
      <x:c r="O588">
        <x:v>84</x:v>
      </x:c>
      <x:c r="P588">
        <x:v>88</x:v>
      </x:c>
      <x:c r="Q588">
        <x:v>97</x:v>
      </x:c>
      <x:c r="R588">
        <x:v>66</x:v>
      </x:c>
      <x:c r="S588">
        <x:v>70</x:v>
      </x:c>
      <x:c r="T588">
        <x:v>62</x:v>
      </x:c>
      <x:c r="U588">
        <x:v>69</x:v>
      </x:c>
      <x:c r="V588">
        <x:v>61</x:v>
      </x:c>
      <x:c r="W588">
        <x:v>86</x:v>
      </x:c>
      <x:c r="X588">
        <x:v>76</x:v>
      </x:c>
      <x:c r="Y588">
        <x:v>77</x:v>
      </x:c>
      <x:c r="Z588">
        <x:v>51</x:v>
      </x:c>
      <x:c r="AA588">
        <x:v>64</x:v>
      </x:c>
    </x:row>
    <x:row r="589">
      <x:c r="A589" t="s">
        <x:v>437</x:v>
      </x:c>
      <x:c r="B589" t="s">
        <x:v>364</x:v>
      </x:c>
      <x:c r="C589" t="s">
        <x:v>333</x:v>
      </x:c>
      <x:c r="D589">
        <x:v>8482699</x:v>
      </x:c>
      <x:c r="E589" t="s">
        <x:v>224</x:v>
      </x:c>
      <x:c r="F589">
        <x:v>79</x:v>
      </x:c>
      <x:c r="G589">
        <x:v>70</x:v>
      </x:c>
      <x:c r="J589" t="s">
        <x:v>2418</x:v>
      </x:c>
      <x:c r="K589">
        <x:v>64</x:v>
      </x:c>
      <x:c r="L589">
        <x:v>34</x:v>
      </x:c>
      <x:c r="M589">
        <x:v>84</x:v>
      </x:c>
      <x:c r="N589">
        <x:v>63</x:v>
      </x:c>
      <x:c r="O589">
        <x:v>78</x:v>
      </x:c>
      <x:c r="P589">
        <x:v>88</x:v>
      </x:c>
      <x:c r="Q589">
        <x:v>94</x:v>
      </x:c>
      <x:c r="R589">
        <x:v>67</x:v>
      </x:c>
      <x:c r="S589">
        <x:v>70</x:v>
      </x:c>
      <x:c r="T589">
        <x:v>59</x:v>
      </x:c>
      <x:c r="U589">
        <x:v>73</x:v>
      </x:c>
      <x:c r="V589">
        <x:v>61</x:v>
      </x:c>
      <x:c r="W589">
        <x:v>55</x:v>
      </x:c>
      <x:c r="X589">
        <x:v>69</x:v>
      </x:c>
      <x:c r="Y589">
        <x:v>78</x:v>
      </x:c>
      <x:c r="Z589">
        <x:v>51</x:v>
      </x:c>
      <x:c r="AA589">
        <x:v>64</x:v>
      </x:c>
    </x:row>
    <x:row r="590">
      <x:c r="A590" t="s">
        <x:v>441</x:v>
      </x:c>
      <x:c r="B590" t="s">
        <x:v>327</x:v>
      </x:c>
      <x:c r="C590" t="s">
        <x:v>319</x:v>
      </x:c>
      <x:c r="D590">
        <x:v>8478010</x:v>
      </x:c>
      <x:c r="E590" t="s">
        <x:v>224</x:v>
      </x:c>
      <x:c r="F590">
        <x:v>63</x:v>
      </x:c>
      <x:c r="G590">
        <x:v>77</x:v>
      </x:c>
      <x:c r="J590" t="s">
        <x:v>2419</x:v>
      </x:c>
      <x:c r="K590">
        <x:v>57</x:v>
      </x:c>
      <x:c r="L590">
        <x:v>40</x:v>
      </x:c>
      <x:c r="M590">
        <x:v>92</x:v>
      </x:c>
      <x:c r="N590">
        <x:v>74</x:v>
      </x:c>
      <x:c r="O590">
        <x:v>75</x:v>
      </x:c>
      <x:c r="P590">
        <x:v>89</x:v>
      </x:c>
      <x:c r="Q590">
        <x:v>85</x:v>
      </x:c>
      <x:c r="R590">
        <x:v>67</x:v>
      </x:c>
      <x:c r="S590">
        <x:v>86</x:v>
      </x:c>
      <x:c r="T590">
        <x:v>64</x:v>
      </x:c>
      <x:c r="U590">
        <x:v>60</x:v>
      </x:c>
      <x:c r="V590">
        <x:v>61</x:v>
      </x:c>
      <x:c r="W590">
        <x:v>95</x:v>
      </x:c>
      <x:c r="X590">
        <x:v>85</x:v>
      </x:c>
      <x:c r="Y590">
        <x:v>82</x:v>
      </x:c>
      <x:c r="Z590">
        <x:v>51</x:v>
      </x:c>
      <x:c r="AA590">
        <x:v>63</x:v>
      </x:c>
    </x:row>
    <x:row r="591">
      <x:c r="A591" t="s">
        <x:v>483</x:v>
      </x:c>
      <x:c r="B591" t="s">
        <x:v>348</x:v>
      </x:c>
      <x:c r="C591" t="s">
        <x:v>323</x:v>
      </x:c>
      <x:c r="D591">
        <x:v>8480014</x:v>
      </x:c>
      <x:c r="E591" t="s">
        <x:v>224</x:v>
      </x:c>
      <x:c r="F591">
        <x:v>82</x:v>
      </x:c>
      <x:c r="G591">
        <x:v>71</x:v>
      </x:c>
      <x:c r="J591" t="s">
        <x:v>2420</x:v>
      </x:c>
      <x:c r="K591">
        <x:v>58</x:v>
      </x:c>
      <x:c r="L591">
        <x:v>41</x:v>
      </x:c>
      <x:c r="M591">
        <x:v>96</x:v>
      </x:c>
      <x:c r="N591">
        <x:v>43</x:v>
      </x:c>
      <x:c r="O591">
        <x:v>86</x:v>
      </x:c>
      <x:c r="P591">
        <x:v>90</x:v>
      </x:c>
      <x:c r="Q591">
        <x:v>96</x:v>
      </x:c>
      <x:c r="R591">
        <x:v>64</x:v>
      </x:c>
      <x:c r="S591">
        <x:v>73</x:v>
      </x:c>
      <x:c r="T591">
        <x:v>62</x:v>
      </x:c>
      <x:c r="U591">
        <x:v>65</x:v>
      </x:c>
      <x:c r="V591">
        <x:v>61</x:v>
      </x:c>
      <x:c r="W591">
        <x:v>83</x:v>
      </x:c>
      <x:c r="X591">
        <x:v>74</x:v>
      </x:c>
      <x:c r="Y591">
        <x:v>77</x:v>
      </x:c>
      <x:c r="Z591">
        <x:v>51</x:v>
      </x:c>
      <x:c r="AA591">
        <x:v>62</x:v>
      </x:c>
    </x:row>
    <x:row r="592">
      <x:c r="A592" t="s">
        <x:v>487</x:v>
      </x:c>
      <x:c r="B592" t="s">
        <x:v>343</x:v>
      </x:c>
      <x:c r="C592" t="s">
        <x:v>323</x:v>
      </x:c>
      <x:c r="D592">
        <x:v>8475168</x:v>
      </x:c>
      <x:c r="E592" t="s">
        <x:v>224</x:v>
      </x:c>
      <x:c r="F592">
        <x:v>57</x:v>
      </x:c>
      <x:c r="G592">
        <x:v>82</x:v>
      </x:c>
      <x:c r="J592" t="s">
        <x:v>2421</x:v>
      </x:c>
      <x:c r="K592">
        <x:v>60</x:v>
      </x:c>
      <x:c r="L592">
        <x:v>35</x:v>
      </x:c>
      <x:c r="M592">
        <x:v>93</x:v>
      </x:c>
      <x:c r="N592">
        <x:v>49</x:v>
      </x:c>
      <x:c r="O592">
        <x:v>85</x:v>
      </x:c>
      <x:c r="P592">
        <x:v>87</x:v>
      </x:c>
      <x:c r="Q592">
        <x:v>83</x:v>
      </x:c>
      <x:c r="R592">
        <x:v>62</x:v>
      </x:c>
      <x:c r="S592">
        <x:v>87</x:v>
      </x:c>
      <x:c r="T592">
        <x:v>62</x:v>
      </x:c>
      <x:c r="U592">
        <x:v>59</x:v>
      </x:c>
      <x:c r="V592">
        <x:v>61</x:v>
      </x:c>
      <x:c r="W592">
        <x:v>89</x:v>
      </x:c>
      <x:c r="X592">
        <x:v>88</x:v>
      </x:c>
      <x:c r="Y592">
        <x:v>82</x:v>
      </x:c>
      <x:c r="Z592">
        <x:v>51</x:v>
      </x:c>
      <x:c r="AA592">
        <x:v>62</x:v>
      </x:c>
    </x:row>
    <x:row r="593">
      <x:c r="A593" t="s">
        <x:v>512</x:v>
      </x:c>
      <x:c r="B593" t="s">
        <x:v>393</x:v>
      </x:c>
      <x:c r="C593" t="s">
        <x:v>339</x:v>
      </x:c>
      <x:c r="D593">
        <x:v>8483445</x:v>
      </x:c>
      <x:c r="E593" t="s">
        <x:v>224</x:v>
      </x:c>
      <x:c r="F593">
        <x:v>76</x:v>
      </x:c>
      <x:c r="G593">
        <x:v>82</x:v>
      </x:c>
      <x:c r="J593" t="s">
        <x:v>2204</x:v>
      </x:c>
      <x:c r="K593">
        <x:v>64</x:v>
      </x:c>
      <x:c r="L593">
        <x:v>40</x:v>
      </x:c>
      <x:c r="M593">
        <x:v>88</x:v>
      </x:c>
      <x:c r="N593">
        <x:v>67</x:v>
      </x:c>
      <x:c r="O593">
        <x:v>82</x:v>
      </x:c>
      <x:c r="P593">
        <x:v>87</x:v>
      </x:c>
      <x:c r="Q593">
        <x:v>94</x:v>
      </x:c>
      <x:c r="R593">
        <x:v>66</x:v>
      </x:c>
      <x:c r="S593">
        <x:v>78</x:v>
      </x:c>
      <x:c r="T593">
        <x:v>58</x:v>
      </x:c>
      <x:c r="U593">
        <x:v>74</x:v>
      </x:c>
      <x:c r="V593">
        <x:v>61</x:v>
      </x:c>
      <x:c r="W593">
        <x:v>73</x:v>
      </x:c>
      <x:c r="X593">
        <x:v>69</x:v>
      </x:c>
      <x:c r="Y593">
        <x:v>71</x:v>
      </x:c>
      <x:c r="Z593">
        <x:v>51</x:v>
      </x:c>
      <x:c r="AA593">
        <x:v>62</x:v>
      </x:c>
    </x:row>
    <x:row r="594">
      <x:c r="A594" t="s">
        <x:v>549</x:v>
      </x:c>
      <x:c r="B594" t="s">
        <x:v>439</x:v>
      </x:c>
      <x:c r="C594" t="s">
        <x:v>329</x:v>
      </x:c>
      <x:c r="D594">
        <x:v>8475170</x:v>
      </x:c>
      <x:c r="E594" t="s">
        <x:v>224</x:v>
      </x:c>
      <x:c r="F594">
        <x:v>80</x:v>
      </x:c>
      <x:c r="G594">
        <x:v>82</x:v>
      </x:c>
      <x:c r="J594" t="s">
        <x:v>2129</x:v>
      </x:c>
      <x:c r="K594">
        <x:v>72</x:v>
      </x:c>
      <x:c r="L594">
        <x:v>87</x:v>
      </x:c>
      <x:c r="M594">
        <x:v>80</x:v>
      </x:c>
      <x:c r="N594">
        <x:v>53</x:v>
      </x:c>
      <x:c r="O594">
        <x:v>80</x:v>
      </x:c>
      <x:c r="P594">
        <x:v>87</x:v>
      </x:c>
      <x:c r="Q594">
        <x:v>97</x:v>
      </x:c>
      <x:c r="R594">
        <x:v>57</x:v>
      </x:c>
      <x:c r="S594">
        <x:v>89</x:v>
      </x:c>
      <x:c r="T594">
        <x:v>55</x:v>
      </x:c>
      <x:c r="U594">
        <x:v>57</x:v>
      </x:c>
      <x:c r="V594">
        <x:v>61</x:v>
      </x:c>
      <x:c r="W594">
        <x:v>71</x:v>
      </x:c>
      <x:c r="X594">
        <x:v>88</x:v>
      </x:c>
      <x:c r="Y594">
        <x:v>87</x:v>
      </x:c>
      <x:c r="Z594">
        <x:v>57</x:v>
      </x:c>
      <x:c r="AA594">
        <x:v>61</x:v>
      </x:c>
    </x:row>
    <x:row r="595">
      <x:c r="A595" t="s">
        <x:v>550</x:v>
      </x:c>
      <x:c r="B595" t="s">
        <x:v>324</x:v>
      </x:c>
      <x:c r="C595" t="s">
        <x:v>339</x:v>
      </x:c>
      <x:c r="D595">
        <x:v>8475172</x:v>
      </x:c>
      <x:c r="E595" t="s">
        <x:v>224</x:v>
      </x:c>
      <x:c r="F595">
        <x:v>77</x:v>
      </x:c>
      <x:c r="G595">
        <x:v>82</x:v>
      </x:c>
      <x:c r="J595" t="s">
        <x:v>2347</x:v>
      </x:c>
      <x:c r="K595">
        <x:v>62</x:v>
      </x:c>
      <x:c r="L595">
        <x:v>43</x:v>
      </x:c>
      <x:c r="M595">
        <x:v>94</x:v>
      </x:c>
      <x:c r="N595">
        <x:v>49</x:v>
      </x:c>
      <x:c r="O595">
        <x:v>77</x:v>
      </x:c>
      <x:c r="P595">
        <x:v>91</x:v>
      </x:c>
      <x:c r="Q595">
        <x:v>95</x:v>
      </x:c>
      <x:c r="R595">
        <x:v>60</x:v>
      </x:c>
      <x:c r="S595">
        <x:v>87</x:v>
      </x:c>
      <x:c r="T595">
        <x:v>59</x:v>
      </x:c>
      <x:c r="U595">
        <x:v>57</x:v>
      </x:c>
      <x:c r="V595">
        <x:v>61</x:v>
      </x:c>
      <x:c r="W595">
        <x:v>78</x:v>
      </x:c>
      <x:c r="X595">
        <x:v>87</x:v>
      </x:c>
      <x:c r="Y595">
        <x:v>82</x:v>
      </x:c>
      <x:c r="Z595">
        <x:v>51</x:v>
      </x:c>
      <x:c r="AA595">
        <x:v>61</x:v>
      </x:c>
    </x:row>
    <x:row r="596">
      <x:c r="A596" t="s">
        <x:v>597</x:v>
      </x:c>
      <x:c r="B596" t="s">
        <x:v>364</x:v>
      </x:c>
      <x:c r="C596" t="s">
        <x:v>358</x:v>
      </x:c>
      <x:c r="D596">
        <x:v>8475314</x:v>
      </x:c>
      <x:c r="E596" t="s">
        <x:v>224</x:v>
      </x:c>
      <x:c r="F596">
        <x:v>82</x:v>
      </x:c>
      <x:c r="G596">
        <x:v>82</x:v>
      </x:c>
      <x:c r="J596" t="s">
        <x:v>1992</x:v>
      </x:c>
      <x:c r="K596">
        <x:v>66</x:v>
      </x:c>
      <x:c r="L596">
        <x:v>81</x:v>
      </x:c>
      <x:c r="M596">
        <x:v>87</x:v>
      </x:c>
      <x:c r="N596">
        <x:v>54</x:v>
      </x:c>
      <x:c r="O596">
        <x:v>91</x:v>
      </x:c>
      <x:c r="P596">
        <x:v>86</x:v>
      </x:c>
      <x:c r="Q596">
        <x:v>99</x:v>
      </x:c>
      <x:c r="R596">
        <x:v>58</x:v>
      </x:c>
      <x:c r="S596">
        <x:v>75</x:v>
      </x:c>
      <x:c r="T596">
        <x:v>57</x:v>
      </x:c>
      <x:c r="U596">
        <x:v>60</x:v>
      </x:c>
      <x:c r="V596">
        <x:v>61</x:v>
      </x:c>
      <x:c r="W596">
        <x:v>53</x:v>
      </x:c>
      <x:c r="X596">
        <x:v>86</x:v>
      </x:c>
      <x:c r="Y596">
        <x:v>88</x:v>
      </x:c>
      <x:c r="Z596">
        <x:v>51</x:v>
      </x:c>
      <x:c r="AA596">
        <x:v>60</x:v>
      </x:c>
    </x:row>
    <x:row r="597">
      <x:c r="A597" t="s">
        <x:v>607</x:v>
      </x:c>
      <x:c r="B597" t="s">
        <x:v>340</x:v>
      </x:c>
      <x:c r="C597" t="s">
        <x:v>333</x:v>
      </x:c>
      <x:c r="D597">
        <x:v>8475726</x:v>
      </x:c>
      <x:c r="E597" t="s">
        <x:v>224</x:v>
      </x:c>
      <x:c r="F597">
        <x:v>79</x:v>
      </x:c>
      <x:c r="G597">
        <x:v>78</x:v>
      </x:c>
      <x:c r="J597" t="s">
        <x:v>2388</x:v>
      </x:c>
      <x:c r="K597">
        <x:v>62</x:v>
      </x:c>
      <x:c r="L597">
        <x:v>35</x:v>
      </x:c>
      <x:c r="M597">
        <x:v>92</x:v>
      </x:c>
      <x:c r="N597">
        <x:v>46</x:v>
      </x:c>
      <x:c r="O597">
        <x:v>82</x:v>
      </x:c>
      <x:c r="P597">
        <x:v>85</x:v>
      </x:c>
      <x:c r="Q597">
        <x:v>96</x:v>
      </x:c>
      <x:c r="R597">
        <x:v>59</x:v>
      </x:c>
      <x:c r="S597">
        <x:v>66</x:v>
      </x:c>
      <x:c r="T597">
        <x:v>62</x:v>
      </x:c>
      <x:c r="U597">
        <x:v>61</x:v>
      </x:c>
      <x:c r="V597">
        <x:v>61</x:v>
      </x:c>
      <x:c r="W597">
        <x:v>65</x:v>
      </x:c>
      <x:c r="X597">
        <x:v>88</x:v>
      </x:c>
      <x:c r="Y597">
        <x:v>80</x:v>
      </x:c>
      <x:c r="Z597">
        <x:v>51</x:v>
      </x:c>
      <x:c r="AA597">
        <x:v>60</x:v>
      </x:c>
    </x:row>
    <x:row r="598">
      <x:c r="A598" t="s">
        <x:v>619</x:v>
      </x:c>
      <x:c r="B598" t="s">
        <x:v>420</x:v>
      </x:c>
      <x:c r="C598" t="s">
        <x:v>326</x:v>
      </x:c>
      <x:c r="D598">
        <x:v>8478444</x:v>
      </x:c>
      <x:c r="E598" t="s">
        <x:v>224</x:v>
      </x:c>
      <x:c r="F598">
        <x:v>75</x:v>
      </x:c>
      <x:c r="G598">
        <x:v>75</x:v>
      </x:c>
      <x:c r="J598" t="s">
        <x:v>2206</x:v>
      </x:c>
      <x:c r="K598">
        <x:v>62</x:v>
      </x:c>
      <x:c r="L598">
        <x:v>36</x:v>
      </x:c>
      <x:c r="M598">
        <x:v>91</x:v>
      </x:c>
      <x:c r="N598">
        <x:v>45</x:v>
      </x:c>
      <x:c r="O598">
        <x:v>83</x:v>
      </x:c>
      <x:c r="P598">
        <x:v>91</x:v>
      </x:c>
      <x:c r="Q598">
        <x:v>92</x:v>
      </x:c>
      <x:c r="R598">
        <x:v>61</x:v>
      </x:c>
      <x:c r="S598">
        <x:v>72</x:v>
      </x:c>
      <x:c r="T598">
        <x:v>54</x:v>
      </x:c>
      <x:c r="U598">
        <x:v>59</x:v>
      </x:c>
      <x:c r="V598">
        <x:v>61</x:v>
      </x:c>
      <x:c r="W598">
        <x:v>75</x:v>
      </x:c>
      <x:c r="X598">
        <x:v>80</x:v>
      </x:c>
      <x:c r="Y598">
        <x:v>74</x:v>
      </x:c>
      <x:c r="Z598">
        <x:v>51</x:v>
      </x:c>
      <x:c r="AA598">
        <x:v>60</x:v>
      </x:c>
    </x:row>
    <x:row r="599">
      <x:c r="A599" t="s">
        <x:v>627</x:v>
      </x:c>
      <x:c r="B599" t="s">
        <x:v>420</x:v>
      </x:c>
      <x:c r="C599" t="s">
        <x:v>319</x:v>
      </x:c>
      <x:c r="D599">
        <x:v>8482079</x:v>
      </x:c>
      <x:c r="E599" t="s">
        <x:v>224</x:v>
      </x:c>
      <x:c r="F599">
        <x:v>50</x:v>
      </x:c>
      <x:c r="G599">
        <x:v>82</x:v>
      </x:c>
      <x:c r="J599" t="s">
        <x:v>2422</x:v>
      </x:c>
      <x:c r="K599">
        <x:v>64</x:v>
      </x:c>
      <x:c r="L599">
        <x:v>32</x:v>
      </x:c>
      <x:c r="M599">
        <x:v>94</x:v>
      </x:c>
      <x:c r="N599">
        <x:v>48</x:v>
      </x:c>
      <x:c r="O599">
        <x:v>76</x:v>
      </x:c>
      <x:c r="P599">
        <x:v>88</x:v>
      </x:c>
      <x:c r="Q599">
        <x:v>80</x:v>
      </x:c>
      <x:c r="R599">
        <x:v>58</x:v>
      </x:c>
      <x:c r="S599">
        <x:v>87</x:v>
      </x:c>
      <x:c r="T599">
        <x:v>57</x:v>
      </x:c>
      <x:c r="U599">
        <x:v>56</x:v>
      </x:c>
      <x:c r="V599">
        <x:v>61</x:v>
      </x:c>
      <x:c r="W599">
        <x:v>69</x:v>
      </x:c>
      <x:c r="X599">
        <x:v>70</x:v>
      </x:c>
      <x:c r="Y599">
        <x:v>77</x:v>
      </x:c>
      <x:c r="Z599">
        <x:v>51</x:v>
      </x:c>
      <x:c r="AA599">
        <x:v>60</x:v>
      </x:c>
    </x:row>
    <x:row r="600">
      <x:c r="A600" t="s">
        <x:v>633</x:v>
      </x:c>
      <x:c r="B600" t="s">
        <x:v>400</x:v>
      </x:c>
      <x:c r="C600" t="s">
        <x:v>326</x:v>
      </x:c>
      <x:c r="D600">
        <x:v>8475765</x:v>
      </x:c>
      <x:c r="E600" t="s">
        <x:v>224</x:v>
      </x:c>
      <x:c r="F600">
        <x:v>75</x:v>
      </x:c>
      <x:c r="G600">
        <x:v>80</x:v>
      </x:c>
      <x:c r="J600" t="s">
        <x:v>2015</x:v>
      </x:c>
      <x:c r="K600">
        <x:v>64</x:v>
      </x:c>
      <x:c r="L600">
        <x:v>40</x:v>
      </x:c>
      <x:c r="M600">
        <x:v>95</x:v>
      </x:c>
      <x:c r="N600">
        <x:v>48</x:v>
      </x:c>
      <x:c r="O600">
        <x:v>87</x:v>
      </x:c>
      <x:c r="P600">
        <x:v>85</x:v>
      </x:c>
      <x:c r="Q600">
        <x:v>93</x:v>
      </x:c>
      <x:c r="R600">
        <x:v>58</x:v>
      </x:c>
      <x:c r="S600">
        <x:v>68</x:v>
      </x:c>
      <x:c r="T600">
        <x:v>56</x:v>
      </x:c>
      <x:c r="U600">
        <x:v>62</x:v>
      </x:c>
      <x:c r="V600">
        <x:v>61</x:v>
      </x:c>
      <x:c r="W600">
        <x:v>75</x:v>
      </x:c>
      <x:c r="X600">
        <x:v>87</x:v>
      </x:c>
      <x:c r="Y600">
        <x:v>79</x:v>
      </x:c>
      <x:c r="Z600">
        <x:v>51</x:v>
      </x:c>
      <x:c r="AA600">
        <x:v>60</x:v>
      </x:c>
    </x:row>
    <x:row r="601">
      <x:c r="A601" t="s">
        <x:v>682</x:v>
      </x:c>
      <x:c r="B601" t="s">
        <x:v>372</x:v>
      </x:c>
      <x:c r="C601" t="s">
        <x:v>326</x:v>
      </x:c>
      <x:c r="D601">
        <x:v>8482146</x:v>
      </x:c>
      <x:c r="E601" t="s">
        <x:v>224</x:v>
      </x:c>
      <x:c r="F601">
        <x:v>81</x:v>
      </x:c>
      <x:c r="G601">
        <x:v>68</x:v>
      </x:c>
      <x:c r="J601" t="s">
        <x:v>2007</x:v>
      </x:c>
      <x:c r="K601">
        <x:v>59</x:v>
      </x:c>
      <x:c r="L601">
        <x:v>34</x:v>
      </x:c>
      <x:c r="M601">
        <x:v>94</x:v>
      </x:c>
      <x:c r="N601">
        <x:v>51</x:v>
      </x:c>
      <x:c r="O601">
        <x:v>76</x:v>
      </x:c>
      <x:c r="P601">
        <x:v>86</x:v>
      </x:c>
      <x:c r="Q601">
        <x:v>96</x:v>
      </x:c>
      <x:c r="R601">
        <x:v>58</x:v>
      </x:c>
      <x:c r="S601">
        <x:v>62</x:v>
      </x:c>
      <x:c r="T601">
        <x:v>74</x:v>
      </x:c>
      <x:c r="U601">
        <x:v>54</x:v>
      </x:c>
      <x:c r="V601">
        <x:v>61</x:v>
      </x:c>
      <x:c r="W601">
        <x:v>71</x:v>
      </x:c>
      <x:c r="X601">
        <x:v>70</x:v>
      </x:c>
      <x:c r="Y601">
        <x:v>77</x:v>
      </x:c>
      <x:c r="Z601">
        <x:v>51</x:v>
      </x:c>
      <x:c r="AA601">
        <x:v>59</x:v>
      </x:c>
    </x:row>
    <x:row r="602">
      <x:c r="A602" t="s">
        <x:v>684</x:v>
      </x:c>
      <x:c r="B602" t="s">
        <x:v>334</x:v>
      </x:c>
      <x:c r="C602" t="s">
        <x:v>339</x:v>
      </x:c>
      <x:c r="D602">
        <x:v>8479999</x:v>
      </x:c>
      <x:c r="E602" t="s">
        <x:v>224</x:v>
      </x:c>
      <x:c r="F602">
        <x:v>71</x:v>
      </x:c>
      <x:c r="G602">
        <x:v>81</x:v>
      </x:c>
      <x:c r="J602" t="s">
        <x:v>2363</x:v>
      </x:c>
      <x:c r="K602">
        <x:v>59</x:v>
      </x:c>
      <x:c r="L602">
        <x:v>36</x:v>
      </x:c>
      <x:c r="M602">
        <x:v>93</x:v>
      </x:c>
      <x:c r="N602">
        <x:v>53</x:v>
      </x:c>
      <x:c r="O602">
        <x:v>82</x:v>
      </x:c>
      <x:c r="P602">
        <x:v>86</x:v>
      </x:c>
      <x:c r="Q602">
        <x:v>90</x:v>
      </x:c>
      <x:c r="R602">
        <x:v>57</x:v>
      </x:c>
      <x:c r="S602">
        <x:v>82</x:v>
      </x:c>
      <x:c r="T602">
        <x:v>59</x:v>
      </x:c>
      <x:c r="U602">
        <x:v>56</x:v>
      </x:c>
      <x:c r="V602">
        <x:v>61</x:v>
      </x:c>
      <x:c r="W602">
        <x:v>81</x:v>
      </x:c>
      <x:c r="X602">
        <x:v>77</x:v>
      </x:c>
      <x:c r="Y602">
        <x:v>74</x:v>
      </x:c>
      <x:c r="Z602">
        <x:v>51</x:v>
      </x:c>
      <x:c r="AA602">
        <x:v>59</x:v>
      </x:c>
    </x:row>
    <x:row r="603">
      <x:c r="A603" t="s">
        <x:v>758</x:v>
      </x:c>
      <x:c r="B603" t="s">
        <x:v>356</x:v>
      </x:c>
      <x:c r="C603" t="s">
        <x:v>329</x:v>
      </x:c>
      <x:c r="D603">
        <x:v>8481618</x:v>
      </x:c>
      <x:c r="E603" t="s">
        <x:v>224</x:v>
      </x:c>
      <x:c r="F603">
        <x:v>42</x:v>
      </x:c>
      <x:c r="G603">
        <x:v>82</x:v>
      </x:c>
      <x:c r="J603" t="s">
        <x:v>2423</x:v>
      </x:c>
      <x:c r="K603">
        <x:v>67</x:v>
      </x:c>
      <x:c r="L603">
        <x:v>33</x:v>
      </x:c>
      <x:c r="M603">
        <x:v>91</x:v>
      </x:c>
      <x:c r="N603">
        <x:v>61</x:v>
      </x:c>
      <x:c r="O603">
        <x:v>80</x:v>
      </x:c>
      <x:c r="P603">
        <x:v>84</x:v>
      </x:c>
      <x:c r="Q603">
        <x:v>76</x:v>
      </x:c>
      <x:c r="R603">
        <x:v>55</x:v>
      </x:c>
      <x:c r="S603">
        <x:v>82</x:v>
      </x:c>
      <x:c r="T603">
        <x:v>54</x:v>
      </x:c>
      <x:c r="U603">
        <x:v>58</x:v>
      </x:c>
      <x:c r="V603">
        <x:v>61</x:v>
      </x:c>
      <x:c r="W603">
        <x:v>54</x:v>
      </x:c>
      <x:c r="X603">
        <x:v>76</x:v>
      </x:c>
      <x:c r="Y603">
        <x:v>69</x:v>
      </x:c>
      <x:c r="Z603">
        <x:v>51</x:v>
      </x:c>
      <x:c r="AA603">
        <x:v>58</x:v>
      </x:c>
    </x:row>
    <x:row r="604">
      <x:c r="A604" t="s">
        <x:v>794</x:v>
      </x:c>
      <x:c r="B604" t="s">
        <x:v>436</x:v>
      </x:c>
      <x:c r="C604" t="s">
        <x:v>329</x:v>
      </x:c>
      <x:c r="D604">
        <x:v>8477987</x:v>
      </x:c>
      <x:c r="E604" t="s">
        <x:v>224</x:v>
      </x:c>
      <x:c r="F604">
        <x:v>81</x:v>
      </x:c>
      <x:c r="G604">
        <x:v>80</x:v>
      </x:c>
      <x:c r="J604" t="s">
        <x:v>2174</x:v>
      </x:c>
      <x:c r="K604">
        <x:v>66</x:v>
      </x:c>
      <x:c r="L604">
        <x:v>35</x:v>
      </x:c>
      <x:c r="M604">
        <x:v>87</x:v>
      </x:c>
      <x:c r="N604">
        <x:v>53</x:v>
      </x:c>
      <x:c r="O604">
        <x:v>78</x:v>
      </x:c>
      <x:c r="P604">
        <x:v>85</x:v>
      </x:c>
      <x:c r="Q604">
        <x:v>98</x:v>
      </x:c>
      <x:c r="R604">
        <x:v>53</x:v>
      </x:c>
      <x:c r="S604">
        <x:v>81</x:v>
      </x:c>
      <x:c r="T604">
        <x:v>53</x:v>
      </x:c>
      <x:c r="U604">
        <x:v>58</x:v>
      </x:c>
      <x:c r="V604">
        <x:v>61</x:v>
      </x:c>
      <x:c r="W604">
        <x:v>83</x:v>
      </x:c>
      <x:c r="X604">
        <x:v>78</x:v>
      </x:c>
      <x:c r="Y604">
        <x:v>72</x:v>
      </x:c>
      <x:c r="Z604">
        <x:v>51</x:v>
      </x:c>
      <x:c r="AA604">
        <x:v>58</x:v>
      </x:c>
    </x:row>
    <x:row r="605">
      <x:c r="A605" t="s">
        <x:v>829</x:v>
      </x:c>
      <x:c r="B605" t="s">
        <x:v>364</x:v>
      </x:c>
      <x:c r="C605" t="s">
        <x:v>333</x:v>
      </x:c>
      <x:c r="D605">
        <x:v>8479619</x:v>
      </x:c>
      <x:c r="E605" t="s">
        <x:v>224</x:v>
      </x:c>
      <x:c r="F605">
        <x:v>79</x:v>
      </x:c>
      <x:c r="G605">
        <x:v>53</x:v>
      </x:c>
      <x:c r="J605" t="s">
        <x:v>2424</x:v>
      </x:c>
      <x:c r="K605">
        <x:v>72</x:v>
      </x:c>
      <x:c r="L605">
        <x:v>39</x:v>
      </x:c>
      <x:c r="M605">
        <x:v>93</x:v>
      </x:c>
      <x:c r="N605">
        <x:v>69</x:v>
      </x:c>
      <x:c r="O605">
        <x:v>76</x:v>
      </x:c>
      <x:c r="P605">
        <x:v>83</x:v>
      </x:c>
      <x:c r="Q605">
        <x:v>93</x:v>
      </x:c>
      <x:c r="R605">
        <x:v>54</x:v>
      </x:c>
      <x:c r="S605">
        <x:v>69</x:v>
      </x:c>
      <x:c r="T605">
        <x:v>54</x:v>
      </x:c>
      <x:c r="U605">
        <x:v>58</x:v>
      </x:c>
      <x:c r="V605">
        <x:v>61</x:v>
      </x:c>
      <x:c r="W605">
        <x:v>52</x:v>
      </x:c>
      <x:c r="X605">
        <x:v>70</x:v>
      </x:c>
      <x:c r="Y605">
        <x:v>71</x:v>
      </x:c>
      <x:c r="Z605">
        <x:v>41</x:v>
      </x:c>
      <x:c r="AA605">
        <x:v>57</x:v>
      </x:c>
    </x:row>
    <x:row r="606">
      <x:c r="A606" t="s">
        <x:v>860</x:v>
      </x:c>
      <x:c r="B606" t="s">
        <x:v>366</x:v>
      </x:c>
      <x:c r="C606" t="s">
        <x:v>326</x:v>
      </x:c>
      <x:c r="D606">
        <x:v>8481721</x:v>
      </x:c>
      <x:c r="E606" t="s">
        <x:v>224</x:v>
      </x:c>
      <x:c r="F606">
        <x:v>66</x:v>
      </x:c>
      <x:c r="J606" t="s">
        <x:v>2425</x:v>
      </x:c>
      <x:c r="K606">
        <x:v>65</x:v>
      </x:c>
      <x:c r="L606">
        <x:v>32</x:v>
      </x:c>
      <x:c r="M606">
        <x:v>81</x:v>
      </x:c>
      <x:c r="N606">
        <x:v>56</x:v>
      </x:c>
      <x:c r="O606">
        <x:v>79</x:v>
      </x:c>
      <x:c r="P606">
        <x:v>84</x:v>
      </x:c>
      <x:c r="Q606">
        <x:v>82</x:v>
      </x:c>
      <x:c r="R606">
        <x:v>55</x:v>
      </x:c>
      <x:c r="S606">
        <x:v>66</x:v>
      </x:c>
      <x:c r="T606">
        <x:v>55</x:v>
      </x:c>
      <x:c r="U606">
        <x:v>56</x:v>
      </x:c>
      <x:c r="V606">
        <x:v>61</x:v>
      </x:c>
      <x:c r="W606">
        <x:v>64</x:v>
      </x:c>
      <x:c r="X606">
        <x:v>66</x:v>
      </x:c>
      <x:c r="Y606">
        <x:v>70</x:v>
      </x:c>
      <x:c r="Z606">
        <x:v>54</x:v>
      </x:c>
      <x:c r="AA606">
        <x:v>57</x:v>
      </x:c>
    </x:row>
    <x:row r="607">
      <x:c r="A607" t="s">
        <x:v>881</x:v>
      </x:c>
      <x:c r="B607" t="s">
        <x:v>350</x:v>
      </x:c>
      <x:c r="C607" t="s">
        <x:v>358</x:v>
      </x:c>
      <x:c r="D607">
        <x:v>8483808</x:v>
      </x:c>
      <x:c r="E607" t="s">
        <x:v>224</x:v>
      </x:c>
      <x:c r="F607">
        <x:v>52</x:v>
      </x:c>
      <x:c r="G607">
        <x:v>66</x:v>
      </x:c>
      <x:c r="J607" t="s">
        <x:v>2426</x:v>
      </x:c>
      <x:c r="K607">
        <x:v>59</x:v>
      </x:c>
      <x:c r="L607">
        <x:v>33</x:v>
      </x:c>
      <x:c r="M607">
        <x:v>94</x:v>
      </x:c>
      <x:c r="N607">
        <x:v>43</x:v>
      </x:c>
      <x:c r="O607">
        <x:v>80</x:v>
      </x:c>
      <x:c r="P607">
        <x:v>85</x:v>
      </x:c>
      <x:c r="Q607">
        <x:v>78</x:v>
      </x:c>
      <x:c r="R607">
        <x:v>55</x:v>
      </x:c>
      <x:c r="S607">
        <x:v>62</x:v>
      </x:c>
      <x:c r="T607">
        <x:v>53</x:v>
      </x:c>
      <x:c r="U607">
        <x:v>57</x:v>
      </x:c>
      <x:c r="V607">
        <x:v>61</x:v>
      </x:c>
      <x:c r="W607">
        <x:v>73</x:v>
      </x:c>
      <x:c r="X607">
        <x:v>70</x:v>
      </x:c>
      <x:c r="Y607">
        <x:v>72</x:v>
      </x:c>
      <x:c r="Z607">
        <x:v>51</x:v>
      </x:c>
      <x:c r="AA607">
        <x:v>57</x:v>
      </x:c>
    </x:row>
    <x:row r="608">
      <x:c r="A608" t="s">
        <x:v>887</x:v>
      </x:c>
      <x:c r="B608" t="s">
        <x:v>350</x:v>
      </x:c>
      <x:c r="C608" t="s">
        <x:v>333</x:v>
      </x:c>
      <x:c r="D608">
        <x:v>8481582</x:v>
      </x:c>
      <x:c r="E608" t="s">
        <x:v>224</x:v>
      </x:c>
      <x:c r="F608">
        <x:v>78</x:v>
      </x:c>
      <x:c r="G608">
        <x:v>69</x:v>
      </x:c>
      <x:c r="J608" t="s">
        <x:v>2427</x:v>
      </x:c>
      <x:c r="K608">
        <x:v>67</x:v>
      </x:c>
      <x:c r="L608">
        <x:v>32</x:v>
      </x:c>
      <x:c r="M608">
        <x:v>93</x:v>
      </x:c>
      <x:c r="N608">
        <x:v>62</x:v>
      </x:c>
      <x:c r="O608">
        <x:v>76</x:v>
      </x:c>
      <x:c r="P608">
        <x:v>83</x:v>
      </x:c>
      <x:c r="Q608">
        <x:v>93</x:v>
      </x:c>
      <x:c r="R608">
        <x:v>53</x:v>
      </x:c>
      <x:c r="S608">
        <x:v>68</x:v>
      </x:c>
      <x:c r="T608">
        <x:v>53</x:v>
      </x:c>
      <x:c r="U608">
        <x:v>59</x:v>
      </x:c>
      <x:c r="V608">
        <x:v>61</x:v>
      </x:c>
      <x:c r="W608">
        <x:v>56</x:v>
      </x:c>
      <x:c r="X608">
        <x:v>70</x:v>
      </x:c>
      <x:c r="Y608">
        <x:v>70</x:v>
      </x:c>
      <x:c r="Z608">
        <x:v>51</x:v>
      </x:c>
      <x:c r="AA608">
        <x:v>57</x:v>
      </x:c>
    </x:row>
    <x:row r="609">
      <x:c r="A609" t="s">
        <x:v>888</x:v>
      </x:c>
      <x:c r="B609" t="s">
        <x:v>383</x:v>
      </x:c>
      <x:c r="C609" t="s">
        <x:v>326</x:v>
      </x:c>
      <x:c r="D609">
        <x:v>8484210</x:v>
      </x:c>
      <x:c r="E609" t="s">
        <x:v>224</x:v>
      </x:c>
      <x:c r="F609">
        <x:v>49</x:v>
      </x:c>
      <x:c r="G609">
        <x:v>5</x:v>
      </x:c>
      <x:c r="J609" t="s">
        <x:v>2428</x:v>
      </x:c>
      <x:c r="K609">
        <x:v>60</x:v>
      </x:c>
      <x:c r="L609">
        <x:v>31</x:v>
      </x:c>
      <x:c r="M609">
        <x:v>90</x:v>
      </x:c>
      <x:c r="N609">
        <x:v>48</x:v>
      </x:c>
      <x:c r="O609">
        <x:v>76</x:v>
      </x:c>
      <x:c r="P609">
        <x:v>85</x:v>
      </x:c>
      <x:c r="Q609">
        <x:v>84</x:v>
      </x:c>
      <x:c r="R609">
        <x:v>56</x:v>
      </x:c>
      <x:c r="S609">
        <x:v>69</x:v>
      </x:c>
      <x:c r="T609">
        <x:v>52</x:v>
      </x:c>
      <x:c r="U609">
        <x:v>54</x:v>
      </x:c>
      <x:c r="V609">
        <x:v>61</x:v>
      </x:c>
      <x:c r="W609">
        <x:v>51</x:v>
      </x:c>
      <x:c r="X609">
        <x:v>66</x:v>
      </x:c>
      <x:c r="Y609">
        <x:v>67</x:v>
      </x:c>
      <x:c r="Z609">
        <x:v>54</x:v>
      </x:c>
      <x:c r="AA609">
        <x:v>57</x:v>
      </x:c>
    </x:row>
    <x:row r="610">
      <x:c r="A610" t="s">
        <x:v>928</x:v>
      </x:c>
      <x:c r="B610" t="s">
        <x:v>352</x:v>
      </x:c>
      <x:c r="C610" t="s">
        <x:v>329</x:v>
      </x:c>
      <x:c r="D610">
        <x:v>8484158</x:v>
      </x:c>
      <x:c r="E610" t="s">
        <x:v>224</x:v>
      </x:c>
      <x:c r="F610">
        <x:v>66</x:v>
      </x:c>
      <x:c r="J610" t="s">
        <x:v>2425</x:v>
      </x:c>
      <x:c r="K610">
        <x:v>66</x:v>
      </x:c>
      <x:c r="L610">
        <x:v>45</x:v>
      </x:c>
      <x:c r="M610">
        <x:v>86</x:v>
      </x:c>
      <x:c r="N610">
        <x:v>52</x:v>
      </x:c>
      <x:c r="O610">
        <x:v>78</x:v>
      </x:c>
      <x:c r="P610">
        <x:v>84</x:v>
      </x:c>
      <x:c r="Q610">
        <x:v>85</x:v>
      </x:c>
      <x:c r="R610">
        <x:v>53</x:v>
      </x:c>
      <x:c r="S610">
        <x:v>66</x:v>
      </x:c>
      <x:c r="T610">
        <x:v>54</x:v>
      </x:c>
      <x:c r="U610">
        <x:v>54</x:v>
      </x:c>
      <x:c r="V610">
        <x:v>61</x:v>
      </x:c>
      <x:c r="W610">
        <x:v>60</x:v>
      </x:c>
      <x:c r="X610">
        <x:v>66</x:v>
      </x:c>
      <x:c r="Y610">
        <x:v>66</x:v>
      </x:c>
      <x:c r="Z610">
        <x:v>54</x:v>
      </x:c>
      <x:c r="AA610">
        <x:v>56</x:v>
      </x:c>
    </x:row>
    <x:row r="611">
      <x:c r="A611" t="s">
        <x:v>966</x:v>
      </x:c>
      <x:c r="B611" t="s">
        <x:v>584</x:v>
      </x:c>
      <x:c r="C611" t="s">
        <x:v>326</x:v>
      </x:c>
      <x:c r="D611">
        <x:v>8471817</x:v>
      </x:c>
      <x:c r="E611" t="s">
        <x:v>224</x:v>
      </x:c>
      <x:c r="F611">
        <x:v>50</x:v>
      </x:c>
      <x:c r="G611">
        <x:v>35</x:v>
      </x:c>
      <x:c r="J611" t="s">
        <x:v>2429</x:v>
      </x:c>
      <x:c r="K611">
        <x:v>91</x:v>
      </x:c>
      <x:c r="L611">
        <x:v>88</x:v>
      </x:c>
      <x:c r="M611">
        <x:v>78</x:v>
      </x:c>
      <x:c r="N611">
        <x:v>48</x:v>
      </x:c>
      <x:c r="O611">
        <x:v>88</x:v>
      </x:c>
      <x:c r="P611">
        <x:v>79</x:v>
      </x:c>
      <x:c r="Q611">
        <x:v>74</x:v>
      </x:c>
      <x:c r="R611">
        <x:v>47</x:v>
      </x:c>
      <x:c r="S611">
        <x:v>62</x:v>
      </x:c>
      <x:c r="T611">
        <x:v>48</x:v>
      </x:c>
      <x:c r="U611">
        <x:v>50</x:v>
      </x:c>
      <x:c r="V611">
        <x:v>61</x:v>
      </x:c>
      <x:c r="W611">
        <x:v>52</x:v>
      </x:c>
      <x:c r="X611">
        <x:v>88</x:v>
      </x:c>
      <x:c r="Y611">
        <x:v>77</x:v>
      </x:c>
      <x:c r="Z611">
        <x:v>51</x:v>
      </x:c>
      <x:c r="AA611">
        <x:v>56</x:v>
      </x:c>
    </x:row>
    <x:row r="612">
      <x:c r="A612" t="s">
        <x:v>1011</x:v>
      </x:c>
      <x:c r="B612" t="s">
        <x:v>420</x:v>
      </x:c>
      <x:c r="C612" t="s">
        <x:v>323</x:v>
      </x:c>
      <x:c r="D612">
        <x:v>8480078</x:v>
      </x:c>
      <x:c r="E612" t="s">
        <x:v>224</x:v>
      </x:c>
      <x:c r="F612">
        <x:v>12</x:v>
      </x:c>
      <x:c r="G612">
        <x:v>56</x:v>
      </x:c>
      <x:c r="J612" t="s">
        <x:v>2430</x:v>
      </x:c>
      <x:c r="K612">
        <x:v>59</x:v>
      </x:c>
      <x:c r="L612">
        <x:v>38</x:v>
      </x:c>
      <x:c r="M612">
        <x:v>78</x:v>
      </x:c>
      <x:c r="N612">
        <x:v>63</x:v>
      </x:c>
      <x:c r="O612">
        <x:v>84</x:v>
      </x:c>
      <x:c r="P612">
        <x:v>83</x:v>
      </x:c>
      <x:c r="Q612">
        <x:v>40</x:v>
      </x:c>
      <x:c r="R612">
        <x:v>48</x:v>
      </x:c>
      <x:c r="S612">
        <x:v>86</x:v>
      </x:c>
      <x:c r="T612">
        <x:v>48</x:v>
      </x:c>
      <x:c r="U612">
        <x:v>55</x:v>
      </x:c>
      <x:c r="V612">
        <x:v>61</x:v>
      </x:c>
      <x:c r="W612">
        <x:v>56</x:v>
      </x:c>
      <x:c r="X612">
        <x:v>77</x:v>
      </x:c>
      <x:c r="Y612">
        <x:v>72</x:v>
      </x:c>
      <x:c r="Z612">
        <x:v>51</x:v>
      </x:c>
      <x:c r="AA612">
        <x:v>55</x:v>
      </x:c>
    </x:row>
    <x:row r="613">
      <x:c r="A613" t="s">
        <x:v>1016</x:v>
      </x:c>
      <x:c r="B613" t="s">
        <x:v>584</x:v>
      </x:c>
      <x:c r="C613" t="s">
        <x:v>333</x:v>
      </x:c>
      <x:c r="D613">
        <x:v>8474149</x:v>
      </x:c>
      <x:c r="E613" t="s">
        <x:v>224</x:v>
      </x:c>
      <x:c r="F613">
        <x:v>24</x:v>
      </x:c>
      <x:c r="G613">
        <x:v>80</x:v>
      </x:c>
      <x:c r="J613" t="s">
        <x:v>2431</x:v>
      </x:c>
      <x:c r="K613">
        <x:v>60</x:v>
      </x:c>
      <x:c r="L613">
        <x:v>33</x:v>
      </x:c>
      <x:c r="M613">
        <x:v>96</x:v>
      </x:c>
      <x:c r="N613">
        <x:v>67</x:v>
      </x:c>
      <x:c r="O613">
        <x:v>77</x:v>
      </x:c>
      <x:c r="P613">
        <x:v>81</x:v>
      </x:c>
      <x:c r="Q613">
        <x:v>56</x:v>
      </x:c>
      <x:c r="R613">
        <x:v>51</x:v>
      </x:c>
      <x:c r="S613">
        <x:v>62</x:v>
      </x:c>
      <x:c r="T613">
        <x:v>48</x:v>
      </x:c>
      <x:c r="U613">
        <x:v>50</x:v>
      </x:c>
      <x:c r="V613">
        <x:v>61</x:v>
      </x:c>
      <x:c r="W613">
        <x:v>55</x:v>
      </x:c>
      <x:c r="X613">
        <x:v>80</x:v>
      </x:c>
      <x:c r="Y613">
        <x:v>74</x:v>
      </x:c>
      <x:c r="Z613">
        <x:v>51</x:v>
      </x:c>
      <x:c r="AA613">
        <x:v>55</x:v>
      </x:c>
    </x:row>
    <x:row r="614">
      <x:c r="A614" t="s">
        <x:v>1170</x:v>
      </x:c>
      <x:c r="B614" t="s">
        <x:v>481</x:v>
      </x:c>
      <x:c r="C614" t="s">
        <x:v>339</x:v>
      </x:c>
      <x:c r="D614">
        <x:v>8484800</x:v>
      </x:c>
      <x:c r="E614" t="s">
        <x:v>224</x:v>
      </x:c>
      <x:c r="F614">
        <x:v>66</x:v>
      </x:c>
      <x:c r="J614" t="s">
        <x:v>2425</x:v>
      </x:c>
      <x:c r="K614">
        <x:v>57</x:v>
      </x:c>
      <x:c r="L614">
        <x:v>45</x:v>
      </x:c>
      <x:c r="M614">
        <x:v>87</x:v>
      </x:c>
      <x:c r="N614">
        <x:v>64</x:v>
      </x:c>
      <x:c r="O614">
        <x:v>75</x:v>
      </x:c>
      <x:c r="P614">
        <x:v>82</x:v>
      </x:c>
      <x:c r="Q614">
        <x:v>82</x:v>
      </x:c>
      <x:c r="R614">
        <x:v>52</x:v>
      </x:c>
      <x:c r="S614">
        <x:v>78</x:v>
      </x:c>
      <x:c r="T614">
        <x:v>51</x:v>
      </x:c>
      <x:c r="U614">
        <x:v>52</x:v>
      </x:c>
      <x:c r="V614">
        <x:v>61</x:v>
      </x:c>
      <x:c r="W614">
        <x:v>75</x:v>
      </x:c>
      <x:c r="X614">
        <x:v>66</x:v>
      </x:c>
      <x:c r="Y614">
        <x:v>66</x:v>
      </x:c>
      <x:c r="Z614">
        <x:v>51</x:v>
      </x:c>
      <x:c r="AA614">
        <x:v>53</x:v>
      </x:c>
    </x:row>
    <x:row r="615">
      <x:c r="A615" t="s">
        <x:v>1197</x:v>
      </x:c>
      <x:c r="B615" t="s">
        <x:v>327</x:v>
      </x:c>
      <x:c r="C615" t="s">
        <x:v>358</x:v>
      </x:c>
      <x:c r="D615">
        <x:v>8479705</x:v>
      </x:c>
      <x:c r="E615" t="s">
        <x:v>224</x:v>
      </x:c>
      <x:c r="F615">
        <x:v>45</x:v>
      </x:c>
      <x:c r="G615">
        <x:v>5</x:v>
      </x:c>
      <x:c r="J615" t="s">
        <x:v>2432</x:v>
      </x:c>
      <x:c r="K615">
        <x:v>82</x:v>
      </x:c>
      <x:c r="L615">
        <x:v>93</x:v>
      </x:c>
      <x:c r="M615">
        <x:v>74</x:v>
      </x:c>
      <x:c r="N615">
        <x:v>57</x:v>
      </x:c>
      <x:c r="O615">
        <x:v>85</x:v>
      </x:c>
      <x:c r="P615">
        <x:v>85</x:v>
      </x:c>
      <x:c r="Q615">
        <x:v>78</x:v>
      </x:c>
      <x:c r="R615">
        <x:v>48</x:v>
      </x:c>
      <x:c r="S615">
        <x:v>63</x:v>
      </x:c>
      <x:c r="T615">
        <x:v>51</x:v>
      </x:c>
      <x:c r="U615">
        <x:v>51</x:v>
      </x:c>
      <x:c r="V615">
        <x:v>61</x:v>
      </x:c>
      <x:c r="W615">
        <x:v>55</x:v>
      </x:c>
      <x:c r="X615">
        <x:v>69</x:v>
      </x:c>
      <x:c r="Y615">
        <x:v>70</x:v>
      </x:c>
      <x:c r="Z615">
        <x:v>51</x:v>
      </x:c>
      <x:c r="AA615">
        <x:v>53</x:v>
      </x:c>
    </x:row>
    <x:row r="616">
      <x:c r="A616" t="s">
        <x:v>1334</x:v>
      </x:c>
      <x:c r="B616" t="s">
        <x:v>584</x:v>
      </x:c>
      <x:c r="C616" t="s">
        <x:v>319</x:v>
      </x:c>
      <x:c r="D616">
        <x:v>8478409</x:v>
      </x:c>
      <x:c r="E616" t="s">
        <x:v>224</x:v>
      </x:c>
      <x:c r="F616">
        <x:v>1</x:v>
      </x:c>
      <x:c r="G616">
        <x:v>15</x:v>
      </x:c>
      <x:c r="J616" t="s">
        <x:v>2433</x:v>
      </x:c>
      <x:c r="K616">
        <x:v>57</x:v>
      </x:c>
      <x:c r="L616">
        <x:v>37</x:v>
      </x:c>
      <x:c r="M616">
        <x:v>92</x:v>
      </x:c>
      <x:c r="N616">
        <x:v>58</x:v>
      </x:c>
      <x:c r="O616">
        <x:v>77</x:v>
      </x:c>
      <x:c r="P616">
        <x:v>86</x:v>
      </x:c>
      <x:c r="Q616">
        <x:v>90</x:v>
      </x:c>
      <x:c r="R616">
        <x:v>46</x:v>
      </x:c>
      <x:c r="S616">
        <x:v>68</x:v>
      </x:c>
      <x:c r="T616">
        <x:v>48</x:v>
      </x:c>
      <x:c r="U616">
        <x:v>49</x:v>
      </x:c>
      <x:c r="V616">
        <x:v>61</x:v>
      </x:c>
      <x:c r="W616">
        <x:v>69</x:v>
      </x:c>
      <x:c r="X616">
        <x:v>66</x:v>
      </x:c>
      <x:c r="Y616">
        <x:v>72</x:v>
      </x:c>
      <x:c r="Z616">
        <x:v>40</x:v>
      </x:c>
      <x:c r="AA616">
        <x:v>52</x:v>
      </x:c>
    </x:row>
    <x:row r="617">
      <x:c r="A617" t="s">
        <x:v>349</x:v>
      </x:c>
      <x:c r="B617" t="s">
        <x:v>350</x:v>
      </x:c>
      <x:c r="C617" t="s">
        <x:v>319</x:v>
      </x:c>
      <x:c r="D617">
        <x:v>8471675</x:v>
      </x:c>
      <x:c r="E617" t="s">
        <x:v>224</x:v>
      </x:c>
      <x:c r="F617">
        <x:v>68</x:v>
      </x:c>
      <x:c r="G617">
        <x:v>80</x:v>
      </x:c>
      <x:c r="J617" t="s">
        <x:v>2263</x:v>
      </x:c>
      <x:c r="K617">
        <x:v>63</x:v>
      </x:c>
      <x:c r="L617">
        <x:v>39</x:v>
      </x:c>
      <x:c r="M617">
        <x:v>84</x:v>
      </x:c>
      <x:c r="N617">
        <x:v>58</x:v>
      </x:c>
      <x:c r="O617">
        <x:v>80</x:v>
      </x:c>
      <x:c r="P617">
        <x:v>91</x:v>
      </x:c>
      <x:c r="Q617">
        <x:v>89</x:v>
      </x:c>
      <x:c r="R617">
        <x:v>72</x:v>
      </x:c>
      <x:c r="S617">
        <x:v>93</x:v>
      </x:c>
      <x:c r="T617">
        <x:v>78</x:v>
      </x:c>
      <x:c r="U617">
        <x:v>65</x:v>
      </x:c>
      <x:c r="V617">
        <x:v>60</x:v>
      </x:c>
      <x:c r="W617">
        <x:v>87</x:v>
      </x:c>
      <x:c r="X617">
        <x:v>94</x:v>
      </x:c>
      <x:c r="Y617">
        <x:v>99</x:v>
      </x:c>
      <x:c r="Z617">
        <x:v>51</x:v>
      </x:c>
      <x:c r="AA617">
        <x:v>67</x:v>
      </x:c>
    </x:row>
    <x:row r="618">
      <x:c r="A618" t="s">
        <x:v>405</x:v>
      </x:c>
      <x:c r="B618" t="s">
        <x:v>350</x:v>
      </x:c>
      <x:c r="C618" t="s">
        <x:v>319</x:v>
      </x:c>
      <x:c r="D618">
        <x:v>8471215</x:v>
      </x:c>
      <x:c r="E618" t="s">
        <x:v>224</x:v>
      </x:c>
      <x:c r="F618">
        <x:v>56</x:v>
      </x:c>
      <x:c r="G618">
        <x:v>68</x:v>
      </x:c>
      <x:c r="J618" t="s">
        <x:v>2434</x:v>
      </x:c>
      <x:c r="K618">
        <x:v>60</x:v>
      </x:c>
      <x:c r="L618">
        <x:v>61</x:v>
      </x:c>
      <x:c r="M618">
        <x:v>79</x:v>
      </x:c>
      <x:c r="N618">
        <x:v>49</x:v>
      </x:c>
      <x:c r="O618">
        <x:v>85</x:v>
      </x:c>
      <x:c r="P618">
        <x:v>88</x:v>
      </x:c>
      <x:c r="Q618">
        <x:v>80</x:v>
      </x:c>
      <x:c r="R618">
        <x:v>69</x:v>
      </x:c>
      <x:c r="S618">
        <x:v>81</x:v>
      </x:c>
      <x:c r="T618">
        <x:v>76</x:v>
      </x:c>
      <x:c r="U618">
        <x:v>59</x:v>
      </x:c>
      <x:c r="V618">
        <x:v>60</x:v>
      </x:c>
      <x:c r="W618">
        <x:v>79</x:v>
      </x:c>
      <x:c r="X618">
        <x:v>93</x:v>
      </x:c>
      <x:c r="Y618">
        <x:v>84</x:v>
      </x:c>
      <x:c r="Z618">
        <x:v>51</x:v>
      </x:c>
      <x:c r="AA618">
        <x:v>65</x:v>
      </x:c>
    </x:row>
    <x:row r="619">
      <x:c r="A619" t="s">
        <x:v>566</x:v>
      </x:c>
      <x:c r="B619" t="s">
        <x:v>400</x:v>
      </x:c>
      <x:c r="C619" t="s">
        <x:v>333</x:v>
      </x:c>
      <x:c r="D619">
        <x:v>8477409</x:v>
      </x:c>
      <x:c r="E619" t="s">
        <x:v>224</x:v>
      </x:c>
      <x:c r="F619">
        <x:v>77</x:v>
      </x:c>
      <x:c r="G619">
        <x:v>81</x:v>
      </x:c>
      <x:c r="J619" t="s">
        <x:v>2435</x:v>
      </x:c>
      <x:c r="K619">
        <x:v>64</x:v>
      </x:c>
      <x:c r="L619">
        <x:v>35</x:v>
      </x:c>
      <x:c r="M619">
        <x:v>85</x:v>
      </x:c>
      <x:c r="N619">
        <x:v>59</x:v>
      </x:c>
      <x:c r="O619">
        <x:v>76</x:v>
      </x:c>
      <x:c r="P619">
        <x:v>88</x:v>
      </x:c>
      <x:c r="Q619">
        <x:v>95</x:v>
      </x:c>
      <x:c r="R619">
        <x:v>61</x:v>
      </x:c>
      <x:c r="S619">
        <x:v>71</x:v>
      </x:c>
      <x:c r="T619">
        <x:v>60</x:v>
      </x:c>
      <x:c r="U619">
        <x:v>61</x:v>
      </x:c>
      <x:c r="V619">
        <x:v>60</x:v>
      </x:c>
      <x:c r="W619">
        <x:v>52</x:v>
      </x:c>
      <x:c r="X619">
        <x:v>80</x:v>
      </x:c>
      <x:c r="Y619">
        <x:v>77</x:v>
      </x:c>
      <x:c r="Z619">
        <x:v>51</x:v>
      </x:c>
      <x:c r="AA619">
        <x:v>61</x:v>
      </x:c>
    </x:row>
    <x:row r="620">
      <x:c r="A620" t="s">
        <x:v>670</x:v>
      </x:c>
      <x:c r="B620" t="s">
        <x:v>361</x:v>
      </x:c>
      <x:c r="C620" t="s">
        <x:v>333</x:v>
      </x:c>
      <x:c r="D620">
        <x:v>8482097</x:v>
      </x:c>
      <x:c r="E620" t="s">
        <x:v>224</x:v>
      </x:c>
      <x:c r="F620">
        <x:v>82</x:v>
      </x:c>
      <x:c r="G620">
        <x:v>74</x:v>
      </x:c>
      <x:c r="J620" t="s">
        <x:v>2436</x:v>
      </x:c>
      <x:c r="K620">
        <x:v>62</x:v>
      </x:c>
      <x:c r="L620">
        <x:v>36</x:v>
      </x:c>
      <x:c r="M620">
        <x:v>89</x:v>
      </x:c>
      <x:c r="N620">
        <x:v>59</x:v>
      </x:c>
      <x:c r="O620">
        <x:v>77</x:v>
      </x:c>
      <x:c r="P620">
        <x:v>86</x:v>
      </x:c>
      <x:c r="Q620">
        <x:v>96</x:v>
      </x:c>
      <x:c r="R620">
        <x:v>57</x:v>
      </x:c>
      <x:c r="S620">
        <x:v>64</x:v>
      </x:c>
      <x:c r="T620">
        <x:v>61</x:v>
      </x:c>
      <x:c r="U620">
        <x:v>58</x:v>
      </x:c>
      <x:c r="V620">
        <x:v>60</x:v>
      </x:c>
      <x:c r="W620">
        <x:v>93</x:v>
      </x:c>
      <x:c r="X620">
        <x:v>70</x:v>
      </x:c>
      <x:c r="Y620">
        <x:v>76</x:v>
      </x:c>
      <x:c r="Z620">
        <x:v>51</x:v>
      </x:c>
      <x:c r="AA620">
        <x:v>59</x:v>
      </x:c>
    </x:row>
    <x:row r="621">
      <x:c r="A621" t="s">
        <x:v>727</x:v>
      </x:c>
      <x:c r="B621" t="s">
        <x:v>366</x:v>
      </x:c>
      <x:c r="C621" t="s">
        <x:v>333</x:v>
      </x:c>
      <x:c r="D621">
        <x:v>8474037</x:v>
      </x:c>
      <x:c r="E621" t="s">
        <x:v>224</x:v>
      </x:c>
      <x:c r="F621">
        <x:v>72</x:v>
      </x:c>
      <x:c r="G621">
        <x:v>71</x:v>
      </x:c>
      <x:c r="J621" t="s">
        <x:v>2346</x:v>
      </x:c>
      <x:c r="K621">
        <x:v>59</x:v>
      </x:c>
      <x:c r="L621">
        <x:v>44</x:v>
      </x:c>
      <x:c r="M621">
        <x:v>89</x:v>
      </x:c>
      <x:c r="N621">
        <x:v>47</x:v>
      </x:c>
      <x:c r="O621">
        <x:v>84</x:v>
      </x:c>
      <x:c r="P621">
        <x:v>83</x:v>
      </x:c>
      <x:c r="Q621">
        <x:v>89</x:v>
      </x:c>
      <x:c r="R621">
        <x:v>55</x:v>
      </x:c>
      <x:c r="S621">
        <x:v>68</x:v>
      </x:c>
      <x:c r="T621">
        <x:v>57</x:v>
      </x:c>
      <x:c r="U621">
        <x:v>60</x:v>
      </x:c>
      <x:c r="V621">
        <x:v>60</x:v>
      </x:c>
      <x:c r="W621">
        <x:v>74</x:v>
      </x:c>
      <x:c r="X621">
        <x:v>89</x:v>
      </x:c>
      <x:c r="Y621">
        <x:v>78</x:v>
      </x:c>
      <x:c r="Z621">
        <x:v>51</x:v>
      </x:c>
      <x:c r="AA621">
        <x:v>58</x:v>
      </x:c>
    </x:row>
    <x:row r="622">
      <x:c r="A622" t="s">
        <x:v>736</x:v>
      </x:c>
      <x:c r="B622" t="s">
        <x:v>439</x:v>
      </x:c>
      <x:c r="C622" t="s">
        <x:v>333</x:v>
      </x:c>
      <x:c r="D622">
        <x:v>8481711</x:v>
      </x:c>
      <x:c r="E622" t="s">
        <x:v>224</x:v>
      </x:c>
      <x:c r="F622">
        <x:v>71</x:v>
      </x:c>
      <x:c r="G622">
        <x:v>55</x:v>
      </x:c>
      <x:c r="J622" t="s">
        <x:v>2437</x:v>
      </x:c>
      <x:c r="K622">
        <x:v>59</x:v>
      </x:c>
      <x:c r="L622">
        <x:v>32</x:v>
      </x:c>
      <x:c r="M622">
        <x:v>87</x:v>
      </x:c>
      <x:c r="N622">
        <x:v>53</x:v>
      </x:c>
      <x:c r="O622">
        <x:v>77</x:v>
      </x:c>
      <x:c r="P622">
        <x:v>85</x:v>
      </x:c>
      <x:c r="Q622">
        <x:v>87</x:v>
      </x:c>
      <x:c r="R622">
        <x:v>56</x:v>
      </x:c>
      <x:c r="S622">
        <x:v>67</x:v>
      </x:c>
      <x:c r="T622">
        <x:v>59</x:v>
      </x:c>
      <x:c r="U622">
        <x:v>56</x:v>
      </x:c>
      <x:c r="V622">
        <x:v>60</x:v>
      </x:c>
      <x:c r="W622">
        <x:v>55</x:v>
      </x:c>
      <x:c r="X622">
        <x:v>69</x:v>
      </x:c>
      <x:c r="Y622">
        <x:v>69</x:v>
      </x:c>
      <x:c r="Z622">
        <x:v>51</x:v>
      </x:c>
      <x:c r="AA622">
        <x:v>58</x:v>
      </x:c>
    </x:row>
    <x:row r="623">
      <x:c r="A623" t="s">
        <x:v>869</x:v>
      </x:c>
      <x:c r="B623" t="s">
        <x:v>436</x:v>
      </x:c>
      <x:c r="C623" t="s">
        <x:v>339</x:v>
      </x:c>
      <x:c r="D623">
        <x:v>8485391</x:v>
      </x:c>
      <x:c r="E623" t="s">
        <x:v>224</x:v>
      </x:c>
      <x:c r="F623">
        <x:v>12</x:v>
      </x:c>
      <x:c r="J623" t="s">
        <x:v>2438</x:v>
      </x:c>
      <x:c r="K623">
        <x:v>62</x:v>
      </x:c>
      <x:c r="L623">
        <x:v>35</x:v>
      </x:c>
      <x:c r="M623">
        <x:v>83</x:v>
      </x:c>
      <x:c r="N623">
        <x:v>51</x:v>
      </x:c>
      <x:c r="O623">
        <x:v>80</x:v>
      </x:c>
      <x:c r="P623">
        <x:v>85</x:v>
      </x:c>
      <x:c r="Q623">
        <x:v>31</x:v>
      </x:c>
      <x:c r="R623">
        <x:v>55</x:v>
      </x:c>
      <x:c r="S623">
        <x:v>77</x:v>
      </x:c>
      <x:c r="T623">
        <x:v>55</x:v>
      </x:c>
      <x:c r="U623">
        <x:v>54</x:v>
      </x:c>
      <x:c r="V623">
        <x:v>60</x:v>
      </x:c>
      <x:c r="W623">
        <x:v>51</x:v>
      </x:c>
      <x:c r="X623">
        <x:v>65</x:v>
      </x:c>
      <x:c r="Y623">
        <x:v>69</x:v>
      </x:c>
      <x:c r="Z623">
        <x:v>54</x:v>
      </x:c>
      <x:c r="AA623">
        <x:v>57</x:v>
      </x:c>
    </x:row>
    <x:row r="624">
      <x:c r="A624" t="s">
        <x:v>325</x:v>
      </x:c>
      <x:c r="B624" t="s">
        <x:v>327</x:v>
      </x:c>
      <x:c r="C624" t="s">
        <x:v>326</x:v>
      </x:c>
      <x:c r="D624">
        <x:v>8476453</x:v>
      </x:c>
      <x:c r="E624" t="s">
        <x:v>224</x:v>
      </x:c>
      <x:c r="F624">
        <x:v>76</x:v>
      </x:c>
      <x:c r="G624">
        <x:v>78</x:v>
      </x:c>
      <x:c r="J624" t="s">
        <x:v>2439</x:v>
      </x:c>
      <x:c r="K624">
        <x:v>59</x:v>
      </x:c>
      <x:c r="L624">
        <x:v>36</x:v>
      </x:c>
      <x:c r="M624">
        <x:v>90</x:v>
      </x:c>
      <x:c r="N624">
        <x:v>54</x:v>
      </x:c>
      <x:c r="O624">
        <x:v>74</x:v>
      </x:c>
      <x:c r="P624">
        <x:v>92</x:v>
      </x:c>
      <x:c r="Q624">
        <x:v>93</x:v>
      </x:c>
      <x:c r="R624">
        <x:v>81</x:v>
      </x:c>
      <x:c r="S624">
        <x:v>62</x:v>
      </x:c>
      <x:c r="T624">
        <x:v>82</x:v>
      </x:c>
      <x:c r="U624">
        <x:v>73</x:v>
      </x:c>
      <x:c r="V624">
        <x:v>59</x:v>
      </x:c>
      <x:c r="W624">
        <x:v>85</x:v>
      </x:c>
      <x:c r="X624">
        <x:v>87</x:v>
      </x:c>
      <x:c r="Y624">
        <x:v>83</x:v>
      </x:c>
      <x:c r="Z624">
        <x:v>51</x:v>
      </x:c>
      <x:c r="AA624">
        <x:v>71</x:v>
      </x:c>
    </x:row>
    <x:row r="625">
      <x:c r="A625" t="s">
        <x:v>460</x:v>
      </x:c>
      <x:c r="B625" t="s">
        <x:v>320</x:v>
      </x:c>
      <x:c r="C625" t="s">
        <x:v>333</x:v>
      </x:c>
      <x:c r="D625">
        <x:v>8475786</x:v>
      </x:c>
      <x:c r="E625" t="s">
        <x:v>224</x:v>
      </x:c>
      <x:c r="F625">
        <x:v>58</x:v>
      </x:c>
      <x:c r="G625">
        <x:v>73</x:v>
      </x:c>
      <x:c r="J625" t="s">
        <x:v>2440</x:v>
      </x:c>
      <x:c r="K625">
        <x:v>64</x:v>
      </x:c>
      <x:c r="L625">
        <x:v>43</x:v>
      </x:c>
      <x:c r="M625">
        <x:v>84</x:v>
      </x:c>
      <x:c r="N625">
        <x:v>58</x:v>
      </x:c>
      <x:c r="O625">
        <x:v>83</x:v>
      </x:c>
      <x:c r="P625">
        <x:v>91</x:v>
      </x:c>
      <x:c r="Q625">
        <x:v>81</x:v>
      </x:c>
      <x:c r="R625">
        <x:v>63</x:v>
      </x:c>
      <x:c r="S625">
        <x:v>62</x:v>
      </x:c>
      <x:c r="T625">
        <x:v>53</x:v>
      </x:c>
      <x:c r="U625">
        <x:v>64</x:v>
      </x:c>
      <x:c r="V625">
        <x:v>59</x:v>
      </x:c>
      <x:c r="W625">
        <x:v>52</x:v>
      </x:c>
      <x:c r="X625">
        <x:v>84</x:v>
      </x:c>
      <x:c r="Y625">
        <x:v>81</x:v>
      </x:c>
      <x:c r="Z625">
        <x:v>51</x:v>
      </x:c>
      <x:c r="AA625">
        <x:v>63</x:v>
      </x:c>
    </x:row>
    <x:row r="626">
      <x:c r="A626" t="s">
        <x:v>521</x:v>
      </x:c>
      <x:c r="B626" t="s">
        <x:v>348</x:v>
      </x:c>
      <x:c r="C626" t="s">
        <x:v>333</x:v>
      </x:c>
      <x:c r="D626">
        <x:v>8477479</x:v>
      </x:c>
      <x:c r="E626" t="s">
        <x:v>224</x:v>
      </x:c>
      <x:c r="F626">
        <x:v>78</x:v>
      </x:c>
      <x:c r="G626">
        <x:v>82</x:v>
      </x:c>
      <x:c r="J626" t="s">
        <x:v>2019</x:v>
      </x:c>
      <x:c r="K626">
        <x:v>62</x:v>
      </x:c>
      <x:c r="L626">
        <x:v>44</x:v>
      </x:c>
      <x:c r="M626">
        <x:v>91</x:v>
      </x:c>
      <x:c r="N626">
        <x:v>40</x:v>
      </x:c>
      <x:c r="O626">
        <x:v>80</x:v>
      </x:c>
      <x:c r="P626">
        <x:v>88</x:v>
      </x:c>
      <x:c r="Q626">
        <x:v>96</x:v>
      </x:c>
      <x:c r="R626">
        <x:v>60</x:v>
      </x:c>
      <x:c r="S626">
        <x:v>72</x:v>
      </x:c>
      <x:c r="T626">
        <x:v>55</x:v>
      </x:c>
      <x:c r="U626">
        <x:v>67</x:v>
      </x:c>
      <x:c r="V626">
        <x:v>59</x:v>
      </x:c>
      <x:c r="W626">
        <x:v>54</x:v>
      </x:c>
      <x:c r="X626">
        <x:v>78</x:v>
      </x:c>
      <x:c r="Y626">
        <x:v>76</x:v>
      </x:c>
      <x:c r="Z626">
        <x:v>51</x:v>
      </x:c>
      <x:c r="AA626">
        <x:v>61</x:v>
      </x:c>
    </x:row>
    <x:row r="627">
      <x:c r="A627" t="s">
        <x:v>567</x:v>
      </x:c>
      <x:c r="B627" t="s">
        <x:v>340</x:v>
      </x:c>
      <x:c r="C627" t="s">
        <x:v>323</x:v>
      </x:c>
      <x:c r="D627">
        <x:v>8484227</x:v>
      </x:c>
      <x:c r="E627" t="s">
        <x:v>224</x:v>
      </x:c>
      <x:c r="F627">
        <x:v>69</x:v>
      </x:c>
      <x:c r="G627">
        <x:v>74</x:v>
      </x:c>
      <x:c r="J627" t="s">
        <x:v>2441</x:v>
      </x:c>
      <x:c r="K627">
        <x:v>58</x:v>
      </x:c>
      <x:c r="L627">
        <x:v>32</x:v>
      </x:c>
      <x:c r="M627">
        <x:v>89</x:v>
      </x:c>
      <x:c r="N627">
        <x:v>51</x:v>
      </x:c>
      <x:c r="O627">
        <x:v>76</x:v>
      </x:c>
      <x:c r="P627">
        <x:v>88</x:v>
      </x:c>
      <x:c r="Q627">
        <x:v>87</x:v>
      </x:c>
      <x:c r="R627">
        <x:v>64</x:v>
      </x:c>
      <x:c r="S627">
        <x:v>70</x:v>
      </x:c>
      <x:c r="T627">
        <x:v>62</x:v>
      </x:c>
      <x:c r="U627">
        <x:v>60</x:v>
      </x:c>
      <x:c r="V627">
        <x:v>59</x:v>
      </x:c>
      <x:c r="W627">
        <x:v>81</x:v>
      </x:c>
      <x:c r="X627">
        <x:v>68</x:v>
      </x:c>
      <x:c r="Y627">
        <x:v>71</x:v>
      </x:c>
      <x:c r="Z627">
        <x:v>51</x:v>
      </x:c>
      <x:c r="AA627">
        <x:v>61</x:v>
      </x:c>
    </x:row>
    <x:row r="628">
      <x:c r="A628" t="s">
        <x:v>577</x:v>
      </x:c>
      <x:c r="B628" t="s">
        <x:v>386</x:v>
      </x:c>
      <x:c r="C628" t="s">
        <x:v>358</x:v>
      </x:c>
      <x:c r="D628">
        <x:v>8475791</x:v>
      </x:c>
      <x:c r="E628" t="s">
        <x:v>224</x:v>
      </x:c>
      <x:c r="F628">
        <x:v>80</x:v>
      </x:c>
      <x:c r="G628">
        <x:v>77</x:v>
      </x:c>
      <x:c r="J628" t="s">
        <x:v>2003</x:v>
      </x:c>
      <x:c r="K628">
        <x:v>63</x:v>
      </x:c>
      <x:c r="L628">
        <x:v>39</x:v>
      </x:c>
      <x:c r="M628">
        <x:v>89</x:v>
      </x:c>
      <x:c r="N628">
        <x:v>60</x:v>
      </x:c>
      <x:c r="O628">
        <x:v>84</x:v>
      </x:c>
      <x:c r="P628">
        <x:v>85</x:v>
      </x:c>
      <x:c r="Q628">
        <x:v>94</x:v>
      </x:c>
      <x:c r="R628">
        <x:v>58</x:v>
      </x:c>
      <x:c r="S628">
        <x:v>70</x:v>
      </x:c>
      <x:c r="T628">
        <x:v>62</x:v>
      </x:c>
      <x:c r="U628">
        <x:v>58</x:v>
      </x:c>
      <x:c r="V628">
        <x:v>59</x:v>
      </x:c>
      <x:c r="W628">
        <x:v>64</x:v>
      </x:c>
      <x:c r="X628">
        <x:v>87</x:v>
      </x:c>
      <x:c r="Y628">
        <x:v>83</x:v>
      </x:c>
      <x:c r="Z628">
        <x:v>51</x:v>
      </x:c>
      <x:c r="AA628">
        <x:v>60</x:v>
      </x:c>
    </x:row>
    <x:row r="629">
      <x:c r="A629" t="s">
        <x:v>617</x:v>
      </x:c>
      <x:c r="B629" t="s">
        <x:v>356</x:v>
      </x:c>
      <x:c r="C629" t="s">
        <x:v>326</x:v>
      </x:c>
      <x:c r="D629">
        <x:v>8484984</x:v>
      </x:c>
      <x:c r="E629" t="s">
        <x:v>224</x:v>
      </x:c>
      <x:c r="F629">
        <x:v>82</x:v>
      </x:c>
      <x:c r="G629">
        <x:v>2</x:v>
      </x:c>
      <x:c r="J629" t="s">
        <x:v>2442</x:v>
      </x:c>
      <x:c r="K629">
        <x:v>61</x:v>
      </x:c>
      <x:c r="L629">
        <x:v>35</x:v>
      </x:c>
      <x:c r="M629">
        <x:v>86</x:v>
      </x:c>
      <x:c r="N629">
        <x:v>57</x:v>
      </x:c>
      <x:c r="O629">
        <x:v>78</x:v>
      </x:c>
      <x:c r="P629">
        <x:v>85</x:v>
      </x:c>
      <x:c r="Q629">
        <x:v>96</x:v>
      </x:c>
      <x:c r="R629">
        <x:v>61</x:v>
      </x:c>
      <x:c r="S629">
        <x:v>61</x:v>
      </x:c>
      <x:c r="T629">
        <x:v>77</x:v>
      </x:c>
      <x:c r="U629">
        <x:v>60</x:v>
      </x:c>
      <x:c r="V629">
        <x:v>59</x:v>
      </x:c>
      <x:c r="W629">
        <x:v>77</x:v>
      </x:c>
      <x:c r="X629">
        <x:v>69</x:v>
      </x:c>
      <x:c r="Y629">
        <x:v>71</x:v>
      </x:c>
      <x:c r="Z629">
        <x:v>54</x:v>
      </x:c>
      <x:c r="AA629">
        <x:v>60</x:v>
      </x:c>
    </x:row>
    <x:row r="630">
      <x:c r="A630" t="s">
        <x:v>652</x:v>
      </x:c>
      <x:c r="B630" t="s">
        <x:v>396</x:v>
      </x:c>
      <x:c r="C630" t="s">
        <x:v>339</x:v>
      </x:c>
      <x:c r="D630">
        <x:v>8482745</x:v>
      </x:c>
      <x:c r="E630" t="s">
        <x:v>224</x:v>
      </x:c>
      <x:c r="F630">
        <x:v>75</x:v>
      </x:c>
      <x:c r="G630">
        <x:v>76</x:v>
      </x:c>
      <x:c r="J630" t="s">
        <x:v>2443</x:v>
      </x:c>
      <x:c r="K630">
        <x:v>67</x:v>
      </x:c>
      <x:c r="L630">
        <x:v>42</x:v>
      </x:c>
      <x:c r="M630">
        <x:v>81</x:v>
      </x:c>
      <x:c r="N630">
        <x:v>46</x:v>
      </x:c>
      <x:c r="O630">
        <x:v>87</x:v>
      </x:c>
      <x:c r="P630">
        <x:v>85</x:v>
      </x:c>
      <x:c r="Q630">
        <x:v>92</x:v>
      </x:c>
      <x:c r="R630">
        <x:v>57</x:v>
      </x:c>
      <x:c r="S630">
        <x:v>87</x:v>
      </x:c>
      <x:c r="T630">
        <x:v>59</x:v>
      </x:c>
      <x:c r="U630">
        <x:v>58</x:v>
      </x:c>
      <x:c r="V630">
        <x:v>59</x:v>
      </x:c>
      <x:c r="W630">
        <x:v>89</x:v>
      </x:c>
      <x:c r="X630">
        <x:v>70</x:v>
      </x:c>
      <x:c r="Y630">
        <x:v>78</x:v>
      </x:c>
      <x:c r="Z630">
        <x:v>51</x:v>
      </x:c>
      <x:c r="AA630">
        <x:v>59</x:v>
      </x:c>
    </x:row>
    <x:row r="631">
      <x:c r="A631" t="s">
        <x:v>689</x:v>
      </x:c>
      <x:c r="B631" t="s">
        <x:v>402</x:v>
      </x:c>
      <x:c r="C631" t="s">
        <x:v>326</x:v>
      </x:c>
      <x:c r="D631">
        <x:v>8484186</x:v>
      </x:c>
      <x:c r="E631" t="s">
        <x:v>224</x:v>
      </x:c>
      <x:c r="F631">
        <x:v>75</x:v>
      </x:c>
      <x:c r="G631">
        <x:v>9</x:v>
      </x:c>
      <x:c r="J631" t="s">
        <x:v>2444</x:v>
      </x:c>
      <x:c r="K631">
        <x:v>71</x:v>
      </x:c>
      <x:c r="L631">
        <x:v>59</x:v>
      </x:c>
      <x:c r="M631">
        <x:v>89</x:v>
      </x:c>
      <x:c r="N631">
        <x:v>60</x:v>
      </x:c>
      <x:c r="O631">
        <x:v>82</x:v>
      </x:c>
      <x:c r="P631">
        <x:v>83</x:v>
      </x:c>
      <x:c r="Q631">
        <x:v>89</x:v>
      </x:c>
      <x:c r="R631">
        <x:v>57</x:v>
      </x:c>
      <x:c r="S631">
        <x:v>69</x:v>
      </x:c>
      <x:c r="T631">
        <x:v>54</x:v>
      </x:c>
      <x:c r="U631">
        <x:v>58</x:v>
      </x:c>
      <x:c r="V631">
        <x:v>59</x:v>
      </x:c>
      <x:c r="W631">
        <x:v>77</x:v>
      </x:c>
      <x:c r="X631">
        <x:v>69</x:v>
      </x:c>
      <x:c r="Y631">
        <x:v>69</x:v>
      </x:c>
      <x:c r="Z631">
        <x:v>54</x:v>
      </x:c>
      <x:c r="AA631">
        <x:v>59</x:v>
      </x:c>
    </x:row>
    <x:row r="632">
      <x:c r="A632" t="s">
        <x:v>692</x:v>
      </x:c>
      <x:c r="B632" t="s">
        <x:v>352</x:v>
      </x:c>
      <x:c r="C632" t="s">
        <x:v>323</x:v>
      </x:c>
      <x:c r="D632">
        <x:v>8478458</x:v>
      </x:c>
      <x:c r="E632" t="s">
        <x:v>224</x:v>
      </x:c>
      <x:c r="F632">
        <x:v>69</x:v>
      </x:c>
      <x:c r="G632">
        <x:v>81</x:v>
      </x:c>
      <x:c r="J632" t="s">
        <x:v>2445</x:v>
      </x:c>
      <x:c r="K632">
        <x:v>62</x:v>
      </x:c>
      <x:c r="L632">
        <x:v>34</x:v>
      </x:c>
      <x:c r="M632">
        <x:v>93</x:v>
      </x:c>
      <x:c r="N632">
        <x:v>66</x:v>
      </x:c>
      <x:c r="O632">
        <x:v>80</x:v>
      </x:c>
      <x:c r="P632">
        <x:v>86</x:v>
      </x:c>
      <x:c r="Q632">
        <x:v>89</x:v>
      </x:c>
      <x:c r="R632">
        <x:v>55</x:v>
      </x:c>
      <x:c r="S632">
        <x:v>83</x:v>
      </x:c>
      <x:c r="T632">
        <x:v>53</x:v>
      </x:c>
      <x:c r="U632">
        <x:v>62</x:v>
      </x:c>
      <x:c r="V632">
        <x:v>59</x:v>
      </x:c>
      <x:c r="W632">
        <x:v>59</x:v>
      </x:c>
      <x:c r="X632">
        <x:v>80</x:v>
      </x:c>
      <x:c r="Y632">
        <x:v>74</x:v>
      </x:c>
      <x:c r="Z632">
        <x:v>51</x:v>
      </x:c>
      <x:c r="AA632">
        <x:v>59</x:v>
      </x:c>
    </x:row>
    <x:row r="633">
      <x:c r="A633" t="s">
        <x:v>748</x:v>
      </x:c>
      <x:c r="B633" t="s">
        <x:v>420</x:v>
      </x:c>
      <x:c r="C633" t="s">
        <x:v>326</x:v>
      </x:c>
      <x:c r="D633">
        <x:v>8475848</x:v>
      </x:c>
      <x:c r="E633" t="s">
        <x:v>224</x:v>
      </x:c>
      <x:c r="F633">
        <x:v>77</x:v>
      </x:c>
      <x:c r="G633">
        <x:v>82</x:v>
      </x:c>
      <x:c r="J633" t="s">
        <x:v>2347</x:v>
      </x:c>
      <x:c r="K633">
        <x:v>69</x:v>
      </x:c>
      <x:c r="L633">
        <x:v>58</x:v>
      </x:c>
      <x:c r="M633">
        <x:v>84</x:v>
      </x:c>
      <x:c r="N633">
        <x:v>58</x:v>
      </x:c>
      <x:c r="O633">
        <x:v>77</x:v>
      </x:c>
      <x:c r="P633">
        <x:v>83</x:v>
      </x:c>
      <x:c r="Q633">
        <x:v>95</x:v>
      </x:c>
      <x:c r="R633">
        <x:v>54</x:v>
      </x:c>
      <x:c r="S633">
        <x:v>69</x:v>
      </x:c>
      <x:c r="T633">
        <x:v>55</x:v>
      </x:c>
      <x:c r="U633">
        <x:v>55</x:v>
      </x:c>
      <x:c r="V633">
        <x:v>59</x:v>
      </x:c>
      <x:c r="W633">
        <x:v>56</x:v>
      </x:c>
      <x:c r="X633">
        <x:v>87</x:v>
      </x:c>
      <x:c r="Y633">
        <x:v>81</x:v>
      </x:c>
      <x:c r="Z633">
        <x:v>51</x:v>
      </x:c>
      <x:c r="AA633">
        <x:v>58</x:v>
      </x:c>
    </x:row>
    <x:row r="634">
      <x:c r="A634" t="s">
        <x:v>807</x:v>
      </x:c>
      <x:c r="B634" t="s">
        <x:v>576</x:v>
      </x:c>
      <x:c r="C634" t="s">
        <x:v>323</x:v>
      </x:c>
      <x:c r="D634">
        <x:v>8476458</x:v>
      </x:c>
      <x:c r="E634" t="s">
        <x:v>224</x:v>
      </x:c>
      <x:c r="F634">
        <x:v>52</x:v>
      </x:c>
      <x:c r="G634">
        <x:v>82</x:v>
      </x:c>
      <x:c r="J634" t="s">
        <x:v>2252</x:v>
      </x:c>
      <x:c r="K634">
        <x:v>61</x:v>
      </x:c>
      <x:c r="L634">
        <x:v>58</x:v>
      </x:c>
      <x:c r="M634">
        <x:v>78</x:v>
      </x:c>
      <x:c r="N634">
        <x:v>47</x:v>
      </x:c>
      <x:c r="O634">
        <x:v>78</x:v>
      </x:c>
      <x:c r="P634">
        <x:v>85</x:v>
      </x:c>
      <x:c r="Q634">
        <x:v>80</x:v>
      </x:c>
      <x:c r="R634">
        <x:v>54</x:v>
      </x:c>
      <x:c r="S634">
        <x:v>83</x:v>
      </x:c>
      <x:c r="T634">
        <x:v>56</x:v>
      </x:c>
      <x:c r="U634">
        <x:v>53</x:v>
      </x:c>
      <x:c r="V634">
        <x:v>59</x:v>
      </x:c>
      <x:c r="W634">
        <x:v>57</x:v>
      </x:c>
      <x:c r="X634">
        <x:v>84</x:v>
      </x:c>
      <x:c r="Y634">
        <x:v>81</x:v>
      </x:c>
      <x:c r="Z634">
        <x:v>51</x:v>
      </x:c>
      <x:c r="AA634">
        <x:v>57</x:v>
      </x:c>
    </x:row>
    <x:row r="635">
      <x:c r="A635" t="s">
        <x:v>831</x:v>
      </x:c>
      <x:c r="B635" t="s">
        <x:v>584</x:v>
      </x:c>
      <x:c r="C635" t="s">
        <x:v>358</x:v>
      </x:c>
      <x:c r="D635">
        <x:v>8475784</x:v>
      </x:c>
      <x:c r="E635" t="s">
        <x:v>224</x:v>
      </x:c>
      <x:c r="F635">
        <x:v>32</x:v>
      </x:c>
      <x:c r="G635">
        <x:v>72</x:v>
      </x:c>
      <x:c r="J635" t="s">
        <x:v>2446</x:v>
      </x:c>
      <x:c r="K635">
        <x:v>63</x:v>
      </x:c>
      <x:c r="L635">
        <x:v>32</x:v>
      </x:c>
      <x:c r="M635">
        <x:v>91</x:v>
      </x:c>
      <x:c r="N635">
        <x:v>53</x:v>
      </x:c>
      <x:c r="O635">
        <x:v>80</x:v>
      </x:c>
      <x:c r="P635">
        <x:v>82</x:v>
      </x:c>
      <x:c r="Q635">
        <x:v>68</x:v>
      </x:c>
      <x:c r="R635">
        <x:v>53</x:v>
      </x:c>
      <x:c r="S635">
        <x:v>67</x:v>
      </x:c>
      <x:c r="T635">
        <x:v>53</x:v>
      </x:c>
      <x:c r="U635">
        <x:v>56</x:v>
      </x:c>
      <x:c r="V635">
        <x:v>59</x:v>
      </x:c>
      <x:c r="W635">
        <x:v>61</x:v>
      </x:c>
      <x:c r="X635">
        <x:v>83</x:v>
      </x:c>
      <x:c r="Y635">
        <x:v>76</x:v>
      </x:c>
      <x:c r="Z635">
        <x:v>51</x:v>
      </x:c>
      <x:c r="AA635">
        <x:v>57</x:v>
      </x:c>
    </x:row>
    <x:row r="636">
      <x:c r="A636" t="s">
        <x:v>851</x:v>
      </x:c>
      <x:c r="B636" t="s">
        <x:v>372</x:v>
      </x:c>
      <x:c r="C636" t="s">
        <x:v>326</x:v>
      </x:c>
      <x:c r="D636">
        <x:v>8484241</x:v>
      </x:c>
      <x:c r="E636" t="s">
        <x:v>224</x:v>
      </x:c>
      <x:c r="F636">
        <x:v>71</x:v>
      </x:c>
      <x:c r="G636">
        <x:v>6</x:v>
      </x:c>
      <x:c r="J636" t="s">
        <x:v>2447</x:v>
      </x:c>
      <x:c r="K636">
        <x:v>65</x:v>
      </x:c>
      <x:c r="L636">
        <x:v>40</x:v>
      </x:c>
      <x:c r="M636">
        <x:v>90</x:v>
      </x:c>
      <x:c r="N636">
        <x:v>49</x:v>
      </x:c>
      <x:c r="O636">
        <x:v>81</x:v>
      </x:c>
      <x:c r="P636">
        <x:v>82</x:v>
      </x:c>
      <x:c r="Q636">
        <x:v>90</x:v>
      </x:c>
      <x:c r="R636">
        <x:v>54</x:v>
      </x:c>
      <x:c r="S636">
        <x:v>77</x:v>
      </x:c>
      <x:c r="T636">
        <x:v>52</x:v>
      </x:c>
      <x:c r="U636">
        <x:v>57</x:v>
      </x:c>
      <x:c r="V636">
        <x:v>59</x:v>
      </x:c>
      <x:c r="W636">
        <x:v>55</x:v>
      </x:c>
      <x:c r="X636">
        <x:v>67</x:v>
      </x:c>
      <x:c r="Y636">
        <x:v>66</x:v>
      </x:c>
      <x:c r="Z636">
        <x:v>54</x:v>
      </x:c>
      <x:c r="AA636">
        <x:v>57</x:v>
      </x:c>
    </x:row>
    <x:row r="637">
      <x:c r="A637" t="s">
        <x:v>876</x:v>
      </x:c>
      <x:c r="B637" t="s">
        <x:v>420</x:v>
      </x:c>
      <x:c r="C637" t="s">
        <x:v>319</x:v>
      </x:c>
      <x:c r="D637">
        <x:v>8481024</x:v>
      </x:c>
      <x:c r="E637" t="s">
        <x:v>224</x:v>
      </x:c>
      <x:c r="F637">
        <x:v>79</x:v>
      </x:c>
      <x:c r="G637">
        <x:v>23</x:v>
      </x:c>
      <x:c r="J637" t="s">
        <x:v>2448</x:v>
      </x:c>
      <x:c r="K637">
        <x:v>68</x:v>
      </x:c>
      <x:c r="L637">
        <x:v>34</x:v>
      </x:c>
      <x:c r="M637">
        <x:v>92</x:v>
      </x:c>
      <x:c r="N637">
        <x:v>49</x:v>
      </x:c>
      <x:c r="O637">
        <x:v>75</x:v>
      </x:c>
      <x:c r="P637">
        <x:v>83</x:v>
      </x:c>
      <x:c r="Q637">
        <x:v>93</x:v>
      </x:c>
      <x:c r="R637">
        <x:v>54</x:v>
      </x:c>
      <x:c r="S637">
        <x:v>67</x:v>
      </x:c>
      <x:c r="T637">
        <x:v>56</x:v>
      </x:c>
      <x:c r="U637">
        <x:v>57</x:v>
      </x:c>
      <x:c r="V637">
        <x:v>59</x:v>
      </x:c>
      <x:c r="W637">
        <x:v>68</x:v>
      </x:c>
      <x:c r="X637">
        <x:v>68</x:v>
      </x:c>
      <x:c r="Y637">
        <x:v>70</x:v>
      </x:c>
      <x:c r="Z637">
        <x:v>54</x:v>
      </x:c>
      <x:c r="AA637">
        <x:v>57</x:v>
      </x:c>
    </x:row>
    <x:row r="638">
      <x:c r="A638" t="s">
        <x:v>878</x:v>
      </x:c>
      <x:c r="B638" t="s">
        <x:v>584</x:v>
      </x:c>
      <x:c r="C638" t="s">
        <x:v>333</x:v>
      </x:c>
      <x:c r="D638">
        <x:v>8478047</x:v>
      </x:c>
      <x:c r="E638" t="s">
        <x:v>224</x:v>
      </x:c>
      <x:c r="F638">
        <x:v>74</x:v>
      </x:c>
      <x:c r="G638">
        <x:v>76</x:v>
      </x:c>
      <x:c r="J638" t="s">
        <x:v>2449</x:v>
      </x:c>
      <x:c r="K638">
        <x:v>63</x:v>
      </x:c>
      <x:c r="L638">
        <x:v>34</x:v>
      </x:c>
      <x:c r="M638">
        <x:v>92</x:v>
      </x:c>
      <x:c r="N638">
        <x:v>53</x:v>
      </x:c>
      <x:c r="O638">
        <x:v>77</x:v>
      </x:c>
      <x:c r="P638">
        <x:v>84</x:v>
      </x:c>
      <x:c r="Q638">
        <x:v>92</x:v>
      </x:c>
      <x:c r="R638">
        <x:v>54</x:v>
      </x:c>
      <x:c r="S638">
        <x:v>68</x:v>
      </x:c>
      <x:c r="T638">
        <x:v>55</x:v>
      </x:c>
      <x:c r="U638">
        <x:v>57</x:v>
      </x:c>
      <x:c r="V638">
        <x:v>59</x:v>
      </x:c>
      <x:c r="W638">
        <x:v>61</x:v>
      </x:c>
      <x:c r="X638">
        <x:v>75</x:v>
      </x:c>
      <x:c r="Y638">
        <x:v>72</x:v>
      </x:c>
      <x:c r="Z638">
        <x:v>51</x:v>
      </x:c>
      <x:c r="AA638">
        <x:v>57</x:v>
      </x:c>
    </x:row>
    <x:row r="639">
      <x:c r="A639" t="s">
        <x:v>909</x:v>
      </x:c>
      <x:c r="B639" t="s">
        <x:v>340</x:v>
      </x:c>
      <x:c r="C639" t="s">
        <x:v>319</x:v>
      </x:c>
      <x:c r="D639">
        <x:v>8485402</x:v>
      </x:c>
      <x:c r="E639" t="s">
        <x:v>224</x:v>
      </x:c>
      <x:c r="F639">
        <x:v>45</x:v>
      </x:c>
      <x:c r="J639" t="s">
        <x:v>2319</x:v>
      </x:c>
      <x:c r="K639">
        <x:v>60</x:v>
      </x:c>
      <x:c r="L639">
        <x:v>31</x:v>
      </x:c>
      <x:c r="M639">
        <x:v>87</x:v>
      </x:c>
      <x:c r="N639">
        <x:v>67</x:v>
      </x:c>
      <x:c r="O639">
        <x:v>77</x:v>
      </x:c>
      <x:c r="P639">
        <x:v>82</x:v>
      </x:c>
      <x:c r="Q639">
        <x:v>72</x:v>
      </x:c>
      <x:c r="R639">
        <x:v>54</x:v>
      </x:c>
      <x:c r="S639">
        <x:v>83</x:v>
      </x:c>
      <x:c r="T639">
        <x:v>55</x:v>
      </x:c>
      <x:c r="U639">
        <x:v>57</x:v>
      </x:c>
      <x:c r="V639">
        <x:v>59</x:v>
      </x:c>
      <x:c r="W639">
        <x:v>51</x:v>
      </x:c>
      <x:c r="X639">
        <x:v>66</x:v>
      </x:c>
      <x:c r="Y639">
        <x:v>67</x:v>
      </x:c>
      <x:c r="Z639">
        <x:v>54</x:v>
      </x:c>
      <x:c r="AA639">
        <x:v>56</x:v>
      </x:c>
    </x:row>
    <x:row r="640">
      <x:c r="A640" t="s">
        <x:v>949</x:v>
      </x:c>
      <x:c r="B640" t="s">
        <x:v>396</x:v>
      </x:c>
      <x:c r="C640" t="s">
        <x:v>323</x:v>
      </x:c>
      <x:c r="D640">
        <x:v>8484164</x:v>
      </x:c>
      <x:c r="E640" t="s">
        <x:v>224</x:v>
      </x:c>
      <x:c r="F640">
        <x:v>71</x:v>
      </x:c>
      <x:c r="G640">
        <x:v>2</x:v>
      </x:c>
      <x:c r="J640" t="s">
        <x:v>2450</x:v>
      </x:c>
      <x:c r="K640">
        <x:v>65</x:v>
      </x:c>
      <x:c r="L640">
        <x:v>38</x:v>
      </x:c>
      <x:c r="M640">
        <x:v>81</x:v>
      </x:c>
      <x:c r="N640">
        <x:v>46</x:v>
      </x:c>
      <x:c r="O640">
        <x:v>83</x:v>
      </x:c>
      <x:c r="P640">
        <x:v>84</x:v>
      </x:c>
      <x:c r="Q640">
        <x:v>93</x:v>
      </x:c>
      <x:c r="R640">
        <x:v>52</x:v>
      </x:c>
      <x:c r="S640">
        <x:v>84</x:v>
      </x:c>
      <x:c r="T640">
        <x:v>49</x:v>
      </x:c>
      <x:c r="U640">
        <x:v>52</x:v>
      </x:c>
      <x:c r="V640">
        <x:v>59</x:v>
      </x:c>
      <x:c r="W640">
        <x:v>77</x:v>
      </x:c>
      <x:c r="X640">
        <x:v>66</x:v>
      </x:c>
      <x:c r="Y640">
        <x:v>66</x:v>
      </x:c>
      <x:c r="Z640">
        <x:v>54</x:v>
      </x:c>
      <x:c r="AA640">
        <x:v>56</x:v>
      </x:c>
    </x:row>
    <x:row r="641">
      <x:c r="A641" t="s">
        <x:v>961</x:v>
      </x:c>
      <x:c r="B641" t="s">
        <x:v>576</x:v>
      </x:c>
      <x:c r="C641" t="s">
        <x:v>326</x:v>
      </x:c>
      <x:c r="D641">
        <x:v>8484860</x:v>
      </x:c>
      <x:c r="E641" t="s">
        <x:v>224</x:v>
      </x:c>
      <x:c r="F641">
        <x:v>37</x:v>
      </x:c>
      <x:c r="J641" t="s">
        <x:v>2451</x:v>
      </x:c>
      <x:c r="K641">
        <x:v>59</x:v>
      </x:c>
      <x:c r="L641">
        <x:v>31</x:v>
      </x:c>
      <x:c r="M641">
        <x:v>96</x:v>
      </x:c>
      <x:c r="N641">
        <x:v>48</x:v>
      </x:c>
      <x:c r="O641">
        <x:v>76</x:v>
      </x:c>
      <x:c r="P641">
        <x:v>83</x:v>
      </x:c>
      <x:c r="Q641">
        <x:v>88</x:v>
      </x:c>
      <x:c r="R641">
        <x:v>54</x:v>
      </x:c>
      <x:c r="S641">
        <x:v>65</x:v>
      </x:c>
      <x:c r="T641">
        <x:v>54</x:v>
      </x:c>
      <x:c r="U641">
        <x:v>52</x:v>
      </x:c>
      <x:c r="V641">
        <x:v>59</x:v>
      </x:c>
      <x:c r="W641">
        <x:v>73</x:v>
      </x:c>
      <x:c r="X641">
        <x:v>66</x:v>
      </x:c>
      <x:c r="Y641">
        <x:v>65</x:v>
      </x:c>
      <x:c r="Z641">
        <x:v>54</x:v>
      </x:c>
      <x:c r="AA641">
        <x:v>56</x:v>
      </x:c>
    </x:row>
    <x:row r="642">
      <x:c r="A642" t="s">
        <x:v>1021</x:v>
      </x:c>
      <x:c r="B642" t="s">
        <x:v>327</x:v>
      </x:c>
      <x:c r="C642" t="s">
        <x:v>326</x:v>
      </x:c>
      <x:c r="D642">
        <x:v>8477149</x:v>
      </x:c>
      <x:c r="E642" t="s">
        <x:v>224</x:v>
      </x:c>
      <x:c r="F642">
        <x:v>26</x:v>
      </x:c>
      <x:c r="G642">
        <x:v>1</x:v>
      </x:c>
      <x:c r="J642" t="s">
        <x:v>2452</x:v>
      </x:c>
      <x:c r="K642">
        <x:v>85</x:v>
      </x:c>
      <x:c r="L642">
        <x:v>91</x:v>
      </x:c>
      <x:c r="M642">
        <x:v>51</x:v>
      </x:c>
      <x:c r="N642">
        <x:v>52</x:v>
      </x:c>
      <x:c r="O642">
        <x:v>82</x:v>
      </x:c>
      <x:c r="P642">
        <x:v>80</x:v>
      </x:c>
      <x:c r="Q642">
        <x:v>79</x:v>
      </x:c>
      <x:c r="R642">
        <x:v>46</x:v>
      </x:c>
      <x:c r="S642">
        <x:v>60</x:v>
      </x:c>
      <x:c r="T642">
        <x:v>52</x:v>
      </x:c>
      <x:c r="U642">
        <x:v>48</x:v>
      </x:c>
      <x:c r="V642">
        <x:v>59</x:v>
      </x:c>
      <x:c r="W642">
        <x:v>55</x:v>
      </x:c>
      <x:c r="X642">
        <x:v>67</x:v>
      </x:c>
      <x:c r="Y642">
        <x:v>80</x:v>
      </x:c>
      <x:c r="Z642">
        <x:v>51</x:v>
      </x:c>
      <x:c r="AA642">
        <x:v>55</x:v>
      </x:c>
    </x:row>
    <x:row r="643">
      <x:c r="A643" t="s">
        <x:v>1074</x:v>
      </x:c>
      <x:c r="B643" t="s">
        <x:v>354</x:v>
      </x:c>
      <x:c r="C643" t="s">
        <x:v>326</x:v>
      </x:c>
      <x:c r="D643">
        <x:v>8483890</x:v>
      </x:c>
      <x:c r="E643" t="s">
        <x:v>224</x:v>
      </x:c>
      <x:c r="F643">
        <x:v>54</x:v>
      </x:c>
      <x:c r="J643" t="s">
        <x:v>2453</x:v>
      </x:c>
      <x:c r="K643">
        <x:v>60</x:v>
      </x:c>
      <x:c r="L643">
        <x:v>37</x:v>
      </x:c>
      <x:c r="M643">
        <x:v>86</x:v>
      </x:c>
      <x:c r="N643">
        <x:v>47</x:v>
      </x:c>
      <x:c r="O643">
        <x:v>82</x:v>
      </x:c>
      <x:c r="P643">
        <x:v>85</x:v>
      </x:c>
      <x:c r="Q643">
        <x:v>91</x:v>
      </x:c>
      <x:c r="R643">
        <x:v>53</x:v>
      </x:c>
      <x:c r="S643">
        <x:v>65</x:v>
      </x:c>
      <x:c r="T643">
        <x:v>59</x:v>
      </x:c>
      <x:c r="U643">
        <x:v>54</x:v>
      </x:c>
      <x:c r="V643">
        <x:v>59</x:v>
      </x:c>
      <x:c r="W643">
        <x:v>55</x:v>
      </x:c>
      <x:c r="X643">
        <x:v>67</x:v>
      </x:c>
      <x:c r="Y643">
        <x:v>67</x:v>
      </x:c>
      <x:c r="Z643">
        <x:v>51</x:v>
      </x:c>
      <x:c r="AA643">
        <x:v>54</x:v>
      </x:c>
    </x:row>
    <x:row r="644">
      <x:c r="A644" t="s">
        <x:v>1181</x:v>
      </x:c>
      <x:c r="B644" t="s">
        <x:v>481</x:v>
      </x:c>
      <x:c r="C644" t="s">
        <x:v>326</x:v>
      </x:c>
      <x:c r="D644">
        <x:v>8483497</x:v>
      </x:c>
      <x:c r="E644" t="s">
        <x:v>224</x:v>
      </x:c>
      <x:c r="F644">
        <x:v>28</x:v>
      </x:c>
      <x:c r="G644">
        <x:v>12</x:v>
      </x:c>
      <x:c r="J644" t="s">
        <x:v>2454</x:v>
      </x:c>
      <x:c r="K644">
        <x:v>67</x:v>
      </x:c>
      <x:c r="L644">
        <x:v>42</x:v>
      </x:c>
      <x:c r="M644">
        <x:v>93</x:v>
      </x:c>
      <x:c r="N644">
        <x:v>49</x:v>
      </x:c>
      <x:c r="O644">
        <x:v>85</x:v>
      </x:c>
      <x:c r="P644">
        <x:v>80</x:v>
      </x:c>
      <x:c r="Q644">
        <x:v>86</x:v>
      </x:c>
      <x:c r="R644">
        <x:v>51</x:v>
      </x:c>
      <x:c r="S644">
        <x:v>67</x:v>
      </x:c>
      <x:c r="T644">
        <x:v>50</x:v>
      </x:c>
      <x:c r="U644">
        <x:v>54</x:v>
      </x:c>
      <x:c r="V644">
        <x:v>59</x:v>
      </x:c>
      <x:c r="W644">
        <x:v>52</x:v>
      </x:c>
      <x:c r="X644">
        <x:v>66</x:v>
      </x:c>
      <x:c r="Y644">
        <x:v>65</x:v>
      </x:c>
      <x:c r="Z644">
        <x:v>47</x:v>
      </x:c>
      <x:c r="AA644">
        <x:v>53</x:v>
      </x:c>
    </x:row>
    <x:row r="645">
      <x:c r="A645" t="s">
        <x:v>1190</x:v>
      </x:c>
      <x:c r="B645" t="s">
        <x:v>576</x:v>
      </x:c>
      <x:c r="C645" t="s">
        <x:v>319</x:v>
      </x:c>
      <x:c r="D645">
        <x:v>8480259</x:v>
      </x:c>
      <x:c r="E645" t="s">
        <x:v>224</x:v>
      </x:c>
      <x:c r="F645">
        <x:v>28</x:v>
      </x:c>
      <x:c r="G645">
        <x:v>26</x:v>
      </x:c>
      <x:c r="J645" t="s">
        <x:v>2455</x:v>
      </x:c>
      <x:c r="K645">
        <x:v>81</x:v>
      </x:c>
      <x:c r="L645">
        <x:v>43</x:v>
      </x:c>
      <x:c r="M645">
        <x:v>97</x:v>
      </x:c>
      <x:c r="N645">
        <x:v>51</x:v>
      </x:c>
      <x:c r="O645">
        <x:v>77</x:v>
      </x:c>
      <x:c r="P645">
        <x:v>79</x:v>
      </x:c>
      <x:c r="Q645">
        <x:v>86</x:v>
      </x:c>
      <x:c r="R645">
        <x:v>47</x:v>
      </x:c>
      <x:c r="S645">
        <x:v>81</x:v>
      </x:c>
      <x:c r="T645">
        <x:v>49</x:v>
      </x:c>
      <x:c r="U645">
        <x:v>49</x:v>
      </x:c>
      <x:c r="V645">
        <x:v>59</x:v>
      </x:c>
      <x:c r="W645">
        <x:v>52</x:v>
      </x:c>
      <x:c r="X645">
        <x:v>66</x:v>
      </x:c>
      <x:c r="Y645">
        <x:v>69</x:v>
      </x:c>
      <x:c r="Z645">
        <x:v>51</x:v>
      </x:c>
      <x:c r="AA645">
        <x:v>53</x:v>
      </x:c>
    </x:row>
    <x:row r="646">
      <x:c r="A646" t="s">
        <x:v>435</x:v>
      </x:c>
      <x:c r="B646" t="s">
        <x:v>436</x:v>
      </x:c>
      <x:c r="C646" t="s">
        <x:v>339</x:v>
      </x:c>
      <x:c r="D646">
        <x:v>8484144</x:v>
      </x:c>
      <x:c r="E646" t="s">
        <x:v>224</x:v>
      </x:c>
      <x:c r="F646">
        <x:v>68</x:v>
      </x:c>
      <x:c r="G646">
        <x:v>82</x:v>
      </x:c>
      <x:c r="J646" t="s">
        <x:v>2063</x:v>
      </x:c>
      <x:c r="K646">
        <x:v>59</x:v>
      </x:c>
      <x:c r="L646">
        <x:v>34</x:v>
      </x:c>
      <x:c r="M646">
        <x:v>84</x:v>
      </x:c>
      <x:c r="N646">
        <x:v>60</x:v>
      </x:c>
      <x:c r="O646">
        <x:v>78</x:v>
      </x:c>
      <x:c r="P646">
        <x:v>92</x:v>
      </x:c>
      <x:c r="Q646">
        <x:v>89</x:v>
      </x:c>
      <x:c r="R646">
        <x:v>71</x:v>
      </x:c>
      <x:c r="S646">
        <x:v>84</x:v>
      </x:c>
      <x:c r="T646">
        <x:v>68</x:v>
      </x:c>
      <x:c r="U646">
        <x:v>63</x:v>
      </x:c>
      <x:c r="V646">
        <x:v>58</x:v>
      </x:c>
      <x:c r="W646">
        <x:v>88</x:v>
      </x:c>
      <x:c r="X646">
        <x:v>69</x:v>
      </x:c>
      <x:c r="Y646">
        <x:v>80</x:v>
      </x:c>
      <x:c r="Z646">
        <x:v>51</x:v>
      </x:c>
      <x:c r="AA646">
        <x:v>64</x:v>
      </x:c>
    </x:row>
    <x:row r="647">
      <x:c r="A647" t="s">
        <x:v>694</x:v>
      </x:c>
      <x:c r="B647" t="s">
        <x:v>576</x:v>
      </x:c>
      <x:c r="C647" t="s">
        <x:v>333</x:v>
      </x:c>
      <x:c r="D647">
        <x:v>8482679</x:v>
      </x:c>
      <x:c r="E647" t="s">
        <x:v>224</x:v>
      </x:c>
      <x:c r="F647">
        <x:v>80</x:v>
      </x:c>
      <x:c r="G647">
        <x:v>77</x:v>
      </x:c>
      <x:c r="J647" t="s">
        <x:v>2003</x:v>
      </x:c>
      <x:c r="K647">
        <x:v>59</x:v>
      </x:c>
      <x:c r="L647">
        <x:v>35</x:v>
      </x:c>
      <x:c r="M647">
        <x:v>84</x:v>
      </x:c>
      <x:c r="N647">
        <x:v>54</x:v>
      </x:c>
      <x:c r="O647">
        <x:v>76</x:v>
      </x:c>
      <x:c r="P647">
        <x:v>87</x:v>
      </x:c>
      <x:c r="Q647">
        <x:v>97</x:v>
      </x:c>
      <x:c r="R647">
        <x:v>58</x:v>
      </x:c>
      <x:c r="S647">
        <x:v>76</x:v>
      </x:c>
      <x:c r="T647">
        <x:v>56</x:v>
      </x:c>
      <x:c r="U647">
        <x:v>58</x:v>
      </x:c>
      <x:c r="V647">
        <x:v>58</x:v>
      </x:c>
      <x:c r="W647">
        <x:v>63</x:v>
      </x:c>
      <x:c r="X647">
        <x:v>69</x:v>
      </x:c>
      <x:c r="Y647">
        <x:v>74</x:v>
      </x:c>
      <x:c r="Z647">
        <x:v>51</x:v>
      </x:c>
      <x:c r="AA647">
        <x:v>59</x:v>
      </x:c>
    </x:row>
    <x:row r="648">
      <x:c r="A648" t="s">
        <x:v>734</x:v>
      </x:c>
      <x:c r="B648" t="s">
        <x:v>352</x:v>
      </x:c>
      <x:c r="C648" t="s">
        <x:v>329</x:v>
      </x:c>
      <x:c r="D648">
        <x:v>8477503</x:v>
      </x:c>
      <x:c r="E648" t="s">
        <x:v>224</x:v>
      </x:c>
      <x:c r="F648">
        <x:v>80</x:v>
      </x:c>
      <x:c r="G648">
        <x:v>74</x:v>
      </x:c>
      <x:c r="J648" t="s">
        <x:v>2075</x:v>
      </x:c>
      <x:c r="K648">
        <x:v>60</x:v>
      </x:c>
      <x:c r="L648">
        <x:v>85</x:v>
      </x:c>
      <x:c r="M648">
        <x:v>77</x:v>
      </x:c>
      <x:c r="N648">
        <x:v>58</x:v>
      </x:c>
      <x:c r="O648">
        <x:v>83</x:v>
      </x:c>
      <x:c r="P648">
        <x:v>85</x:v>
      </x:c>
      <x:c r="Q648">
        <x:v>96</x:v>
      </x:c>
      <x:c r="R648">
        <x:v>55</x:v>
      </x:c>
      <x:c r="S648">
        <x:v>84</x:v>
      </x:c>
      <x:c r="T648">
        <x:v>57</x:v>
      </x:c>
      <x:c r="U648">
        <x:v>53</x:v>
      </x:c>
      <x:c r="V648">
        <x:v>58</x:v>
      </x:c>
      <x:c r="W648">
        <x:v>61</x:v>
      </x:c>
      <x:c r="X648">
        <x:v>84</x:v>
      </x:c>
      <x:c r="Y648">
        <x:v>78</x:v>
      </x:c>
      <x:c r="Z648">
        <x:v>51</x:v>
      </x:c>
      <x:c r="AA648">
        <x:v>58</x:v>
      </x:c>
    </x:row>
    <x:row r="649">
      <x:c r="A649" t="s">
        <x:v>975</x:v>
      </x:c>
      <x:c r="B649" t="s">
        <x:v>576</x:v>
      </x:c>
      <x:c r="C649" t="s">
        <x:v>333</x:v>
      </x:c>
      <x:c r="D649">
        <x:v>8481028</x:v>
      </x:c>
      <x:c r="E649" t="s">
        <x:v>224</x:v>
      </x:c>
      <x:c r="F649">
        <x:v>22</x:v>
      </x:c>
      <x:c r="G649">
        <x:v>81</x:v>
      </x:c>
      <x:c r="J649" t="s">
        <x:v>2456</x:v>
      </x:c>
      <x:c r="K649">
        <x:v>89</x:v>
      </x:c>
      <x:c r="L649">
        <x:v>80</x:v>
      </x:c>
      <x:c r="M649">
        <x:v>86</x:v>
      </x:c>
      <x:c r="N649">
        <x:v>56</x:v>
      </x:c>
      <x:c r="O649">
        <x:v>74</x:v>
      </x:c>
      <x:c r="P649">
        <x:v>81</x:v>
      </x:c>
      <x:c r="Q649">
        <x:v>57</x:v>
      </x:c>
      <x:c r="R649">
        <x:v>49</x:v>
      </x:c>
      <x:c r="S649">
        <x:v>74</x:v>
      </x:c>
      <x:c r="T649">
        <x:v>51</x:v>
      </x:c>
      <x:c r="U649">
        <x:v>49</x:v>
      </x:c>
      <x:c r="V649">
        <x:v>58</x:v>
      </x:c>
      <x:c r="W649">
        <x:v>52</x:v>
      </x:c>
      <x:c r="X649">
        <x:v>68</x:v>
      </x:c>
      <x:c r="Y649">
        <x:v>69</x:v>
      </x:c>
      <x:c r="Z649">
        <x:v>51</x:v>
      </x:c>
      <x:c r="AA649">
        <x:v>55</x:v>
      </x:c>
    </x:row>
    <x:row r="650">
      <x:c r="A650" t="s">
        <x:v>1099</x:v>
      </x:c>
      <x:c r="B650" t="s">
        <x:v>327</x:v>
      </x:c>
      <x:c r="C650" t="s">
        <x:v>323</x:v>
      </x:c>
      <x:c r="D650">
        <x:v>8483447</x:v>
      </x:c>
      <x:c r="E650" t="s">
        <x:v>224</x:v>
      </x:c>
      <x:c r="F650">
        <x:v>14</x:v>
      </x:c>
      <x:c r="G650">
        <x:v>52</x:v>
      </x:c>
      <x:c r="J650" t="s">
        <x:v>2457</x:v>
      </x:c>
      <x:c r="K650">
        <x:v>80</x:v>
      </x:c>
      <x:c r="L650">
        <x:v>41</x:v>
      </x:c>
      <x:c r="M650">
        <x:v>73</x:v>
      </x:c>
      <x:c r="N650">
        <x:v>64</x:v>
      </x:c>
      <x:c r="O650">
        <x:v>85</x:v>
      </x:c>
      <x:c r="P650">
        <x:v>79</x:v>
      </x:c>
      <x:c r="Q650">
        <x:v>88</x:v>
      </x:c>
      <x:c r="R650">
        <x:v>52</x:v>
      </x:c>
      <x:c r="S650">
        <x:v>79</x:v>
      </x:c>
      <x:c r="T650">
        <x:v>51</x:v>
      </x:c>
      <x:c r="U650">
        <x:v>51</x:v>
      </x:c>
      <x:c r="V650">
        <x:v>58</x:v>
      </x:c>
      <x:c r="W650">
        <x:v>52</x:v>
      </x:c>
      <x:c r="X650">
        <x:v>67</x:v>
      </x:c>
      <x:c r="Y650">
        <x:v>68</x:v>
      </x:c>
      <x:c r="Z650">
        <x:v>47</x:v>
      </x:c>
      <x:c r="AA650">
        <x:v>54</x:v>
      </x:c>
    </x:row>
    <x:row r="651">
      <x:c r="A651" t="s">
        <x:v>1127</x:v>
      </x:c>
      <x:c r="B651" t="s">
        <x:v>324</x:v>
      </x:c>
      <x:c r="C651" t="s">
        <x:v>319</x:v>
      </x:c>
      <x:c r="D651">
        <x:v>8476994</x:v>
      </x:c>
      <x:c r="E651" t="s">
        <x:v>224</x:v>
      </x:c>
      <x:c r="F651">
        <x:v>65</x:v>
      </x:c>
      <x:c r="G651">
        <x:v>38</x:v>
      </x:c>
      <x:c r="J651" t="s">
        <x:v>2458</x:v>
      </x:c>
      <x:c r="K651">
        <x:v>65</x:v>
      </x:c>
      <x:c r="L651">
        <x:v>45</x:v>
      </x:c>
      <x:c r="M651">
        <x:v>87</x:v>
      </x:c>
      <x:c r="N651">
        <x:v>71</x:v>
      </x:c>
      <x:c r="O651">
        <x:v>76</x:v>
      </x:c>
      <x:c r="P651">
        <x:v>82</x:v>
      </x:c>
      <x:c r="Q651">
        <x:v>80</x:v>
      </x:c>
      <x:c r="R651">
        <x:v>49</x:v>
      </x:c>
      <x:c r="S651">
        <x:v>70</x:v>
      </x:c>
      <x:c r="T651">
        <x:v>52</x:v>
      </x:c>
      <x:c r="U651">
        <x:v>52</x:v>
      </x:c>
      <x:c r="V651">
        <x:v>58</x:v>
      </x:c>
      <x:c r="W651">
        <x:v>70</x:v>
      </x:c>
      <x:c r="X651">
        <x:v>76</x:v>
      </x:c>
      <x:c r="Y651">
        <x:v>73</x:v>
      </x:c>
      <x:c r="Z651">
        <x:v>51</x:v>
      </x:c>
      <x:c r="AA651">
        <x:v>54</x:v>
      </x:c>
    </x:row>
    <x:row r="652">
      <x:c r="A652" t="s">
        <x:v>1286</x:v>
      </x:c>
      <x:c r="B652" t="s">
        <x:v>420</x:v>
      </x:c>
      <x:c r="C652" t="s">
        <x:v>326</x:v>
      </x:c>
      <x:c r="D652">
        <x:v>8483476</x:v>
      </x:c>
      <x:c r="E652" t="s">
        <x:v>224</x:v>
      </x:c>
      <x:c r="F652">
        <x:v>13</x:v>
      </x:c>
      <x:c r="G652">
        <x:v>24</x:v>
      </x:c>
      <x:c r="J652" t="s">
        <x:v>2459</x:v>
      </x:c>
      <x:c r="K652">
        <x:v>65</x:v>
      </x:c>
      <x:c r="L652">
        <x:v>32</x:v>
      </x:c>
      <x:c r="M652">
        <x:v>97</x:v>
      </x:c>
      <x:c r="N652">
        <x:v>48</x:v>
      </x:c>
      <x:c r="O652">
        <x:v>73</x:v>
      </x:c>
      <x:c r="P652">
        <x:v>80</x:v>
      </x:c>
      <x:c r="Q652">
        <x:v>67</x:v>
      </x:c>
      <x:c r="R652">
        <x:v>49</x:v>
      </x:c>
      <x:c r="S652">
        <x:v>61</x:v>
      </x:c>
      <x:c r="T652">
        <x:v>49</x:v>
      </x:c>
      <x:c r="U652">
        <x:v>52</x:v>
      </x:c>
      <x:c r="V652">
        <x:v>58</x:v>
      </x:c>
      <x:c r="W652">
        <x:v>69</x:v>
      </x:c>
      <x:c r="X652">
        <x:v>66</x:v>
      </x:c>
      <x:c r="Y652">
        <x:v>65</x:v>
      </x:c>
      <x:c r="Z652">
        <x:v>51</x:v>
      </x:c>
      <x:c r="AA652">
        <x:v>52</x:v>
      </x:c>
    </x:row>
    <x:row r="653">
      <x:c r="A653" t="s">
        <x:v>636</x:v>
      </x:c>
      <x:c r="B653" t="s">
        <x:v>393</x:v>
      </x:c>
      <x:c r="C653" t="s">
        <x:v>326</x:v>
      </x:c>
      <x:c r="D653">
        <x:v>8484762</x:v>
      </x:c>
      <x:c r="E653" t="s">
        <x:v>224</x:v>
      </x:c>
      <x:c r="F653">
        <x:v>82</x:v>
      </x:c>
      <x:c r="J653" t="s">
        <x:v>2078</x:v>
      </x:c>
      <x:c r="K653">
        <x:v>66</x:v>
      </x:c>
      <x:c r="L653">
        <x:v>37</x:v>
      </x:c>
      <x:c r="M653">
        <x:v>83</x:v>
      </x:c>
      <x:c r="N653">
        <x:v>62</x:v>
      </x:c>
      <x:c r="O653">
        <x:v>83</x:v>
      </x:c>
      <x:c r="P653">
        <x:v>87</x:v>
      </x:c>
      <x:c r="Q653">
        <x:v>96</x:v>
      </x:c>
      <x:c r="R653">
        <x:v>61</x:v>
      </x:c>
      <x:c r="S653">
        <x:v>69</x:v>
      </x:c>
      <x:c r="T653">
        <x:v>61</x:v>
      </x:c>
      <x:c r="U653">
        <x:v>60</x:v>
      </x:c>
      <x:c r="V653">
        <x:v>57</x:v>
      </x:c>
      <x:c r="W653">
        <x:v>75</x:v>
      </x:c>
      <x:c r="X653">
        <x:v>69</x:v>
      </x:c>
      <x:c r="Y653">
        <x:v>66</x:v>
      </x:c>
      <x:c r="Z653">
        <x:v>54</x:v>
      </x:c>
      <x:c r="AA653">
        <x:v>60</x:v>
      </x:c>
    </x:row>
    <x:row r="654">
      <x:c r="A654" t="s">
        <x:v>782</x:v>
      </x:c>
      <x:c r="B654" t="s">
        <x:v>370</x:v>
      </x:c>
      <x:c r="C654" t="s">
        <x:v>333</x:v>
      </x:c>
      <x:c r="D654">
        <x:v>8477444</x:v>
      </x:c>
      <x:c r="E654" t="s">
        <x:v>224</x:v>
      </x:c>
      <x:c r="F654">
        <x:v>74</x:v>
      </x:c>
      <x:c r="G654">
        <x:v>79</x:v>
      </x:c>
      <x:c r="J654" t="s">
        <x:v>2242</x:v>
      </x:c>
      <x:c r="K654">
        <x:v>58</x:v>
      </x:c>
      <x:c r="L654">
        <x:v>39</x:v>
      </x:c>
      <x:c r="M654">
        <x:v>90</x:v>
      </x:c>
      <x:c r="N654">
        <x:v>54</x:v>
      </x:c>
      <x:c r="O654">
        <x:v>81</x:v>
      </x:c>
      <x:c r="P654">
        <x:v>86</x:v>
      </x:c>
      <x:c r="Q654">
        <x:v>92</x:v>
      </x:c>
      <x:c r="R654">
        <x:v>56</x:v>
      </x:c>
      <x:c r="S654">
        <x:v>67</x:v>
      </x:c>
      <x:c r="T654">
        <x:v>56</x:v>
      </x:c>
      <x:c r="U654">
        <x:v>53</x:v>
      </x:c>
      <x:c r="V654">
        <x:v>57</x:v>
      </x:c>
      <x:c r="W654">
        <x:v>65</x:v>
      </x:c>
      <x:c r="X654">
        <x:v>86</x:v>
      </x:c>
      <x:c r="Y654">
        <x:v>74</x:v>
      </x:c>
      <x:c r="Z654">
        <x:v>51</x:v>
      </x:c>
      <x:c r="AA654">
        <x:v>58</x:v>
      </x:c>
    </x:row>
    <x:row r="655">
      <x:c r="A655" t="s">
        <x:v>863</x:v>
      </x:c>
      <x:c r="B655" t="s">
        <x:v>340</x:v>
      </x:c>
      <x:c r="C655" t="s">
        <x:v>358</x:v>
      </x:c>
      <x:c r="D655">
        <x:v>8484994</x:v>
      </x:c>
      <x:c r="E655" t="s">
        <x:v>224</x:v>
      </x:c>
      <x:c r="F655">
        <x:v>28</x:v>
      </x:c>
      <x:c r="J655" t="s">
        <x:v>2343</x:v>
      </x:c>
      <x:c r="K655">
        <x:v>62</x:v>
      </x:c>
      <x:c r="L655">
        <x:v>36</x:v>
      </x:c>
      <x:c r="M655">
        <x:v>87</x:v>
      </x:c>
      <x:c r="N655">
        <x:v>64</x:v>
      </x:c>
      <x:c r="O655">
        <x:v>79</x:v>
      </x:c>
      <x:c r="P655">
        <x:v>83</x:v>
      </x:c>
      <x:c r="Q655">
        <x:v>84</x:v>
      </x:c>
      <x:c r="R655">
        <x:v>55</x:v>
      </x:c>
      <x:c r="S655">
        <x:v>61</x:v>
      </x:c>
      <x:c r="T655">
        <x:v>55</x:v>
      </x:c>
      <x:c r="U655">
        <x:v>57</x:v>
      </x:c>
      <x:c r="V655">
        <x:v>57</x:v>
      </x:c>
      <x:c r="W655">
        <x:v>68</x:v>
      </x:c>
      <x:c r="X655">
        <x:v>65</x:v>
      </x:c>
      <x:c r="Y655">
        <x:v>68</x:v>
      </x:c>
      <x:c r="Z655">
        <x:v>54</x:v>
      </x:c>
      <x:c r="AA655">
        <x:v>57</x:v>
      </x:c>
    </x:row>
    <x:row r="656">
      <x:c r="A656" t="s">
        <x:v>960</x:v>
      </x:c>
      <x:c r="B656" t="s">
        <x:v>436</x:v>
      </x:c>
      <x:c r="C656" t="s">
        <x:v>333</x:v>
      </x:c>
      <x:c r="D656">
        <x:v>8484185</x:v>
      </x:c>
      <x:c r="E656" t="s">
        <x:v>224</x:v>
      </x:c>
      <x:c r="F656">
        <x:v>41</x:v>
      </x:c>
      <x:c r="J656" t="s">
        <x:v>2460</x:v>
      </x:c>
      <x:c r="K656">
        <x:v>70</x:v>
      </x:c>
      <x:c r="L656">
        <x:v>31</x:v>
      </x:c>
      <x:c r="M656">
        <x:v>88</x:v>
      </x:c>
      <x:c r="N656">
        <x:v>60</x:v>
      </x:c>
      <x:c r="O656">
        <x:v>41</x:v>
      </x:c>
      <x:c r="P656">
        <x:v>82</x:v>
      </x:c>
      <x:c r="Q656">
        <x:v>90</x:v>
      </x:c>
      <x:c r="R656">
        <x:v>51</x:v>
      </x:c>
      <x:c r="S656">
        <x:v>68</x:v>
      </x:c>
      <x:c r="T656">
        <x:v>50</x:v>
      </x:c>
      <x:c r="U656">
        <x:v>58</x:v>
      </x:c>
      <x:c r="V656">
        <x:v>57</x:v>
      </x:c>
      <x:c r="W656">
        <x:v>77</x:v>
      </x:c>
      <x:c r="X656">
        <x:v>66</x:v>
      </x:c>
      <x:c r="Y656">
        <x:v>66</x:v>
      </x:c>
      <x:c r="Z656">
        <x:v>54</x:v>
      </x:c>
      <x:c r="AA656">
        <x:v>56</x:v>
      </x:c>
    </x:row>
    <x:row r="657">
      <x:c r="A657" t="s">
        <x:v>1271</x:v>
      </x:c>
      <x:c r="B657" t="s">
        <x:v>348</x:v>
      </x:c>
      <x:c r="C657" t="s">
        <x:v>323</x:v>
      </x:c>
      <x:c r="D657">
        <x:v>8483471</x:v>
      </x:c>
      <x:c r="E657" t="s">
        <x:v>224</x:v>
      </x:c>
      <x:c r="F657">
        <x:v>25</x:v>
      </x:c>
      <x:c r="G657">
        <x:v>5</x:v>
      </x:c>
      <x:c r="J657" t="s">
        <x:v>2461</x:v>
      </x:c>
      <x:c r="K657">
        <x:v>68</x:v>
      </x:c>
      <x:c r="L657">
        <x:v>33</x:v>
      </x:c>
      <x:c r="M657">
        <x:v>82</x:v>
      </x:c>
      <x:c r="N657">
        <x:v>63</x:v>
      </x:c>
      <x:c r="O657">
        <x:v>74</x:v>
      </x:c>
      <x:c r="P657">
        <x:v>82</x:v>
      </x:c>
      <x:c r="Q657">
        <x:v>81</x:v>
      </x:c>
      <x:c r="R657">
        <x:v>48</x:v>
      </x:c>
      <x:c r="S657">
        <x:v>70</x:v>
      </x:c>
      <x:c r="T657">
        <x:v>51</x:v>
      </x:c>
      <x:c r="U657">
        <x:v>51</x:v>
      </x:c>
      <x:c r="V657">
        <x:v>57</x:v>
      </x:c>
      <x:c r="W657">
        <x:v>56</x:v>
      </x:c>
      <x:c r="X657">
        <x:v>66</x:v>
      </x:c>
      <x:c r="Y657">
        <x:v>66</x:v>
      </x:c>
      <x:c r="Z657">
        <x:v>51</x:v>
      </x:c>
      <x:c r="AA657">
        <x:v>52</x:v>
      </x:c>
    </x:row>
    <x:row r="658">
      <x:c r="A658" t="s">
        <x:v>455</x:v>
      </x:c>
      <x:c r="B658" t="s">
        <x:v>386</x:v>
      </x:c>
      <x:c r="C658" t="s">
        <x:v>333</x:v>
      </x:c>
      <x:c r="D658">
        <x:v>8480830</x:v>
      </x:c>
      <x:c r="E658" t="s">
        <x:v>224</x:v>
      </x:c>
      <x:c r="F658">
        <x:v>79</x:v>
      </x:c>
      <x:c r="G658">
        <x:v>72</x:v>
      </x:c>
      <x:c r="J658" t="s">
        <x:v>2462</x:v>
      </x:c>
      <x:c r="K658">
        <x:v>70</x:v>
      </x:c>
      <x:c r="L658">
        <x:v>44</x:v>
      </x:c>
      <x:c r="M658">
        <x:v>76</x:v>
      </x:c>
      <x:c r="N658">
        <x:v>58</x:v>
      </x:c>
      <x:c r="O658">
        <x:v>80</x:v>
      </x:c>
      <x:c r="P658">
        <x:v>87</x:v>
      </x:c>
      <x:c r="Q658">
        <x:v>94</x:v>
      </x:c>
      <x:c r="R658">
        <x:v>65</x:v>
      </x:c>
      <x:c r="S658">
        <x:v>69</x:v>
      </x:c>
      <x:c r="T658">
        <x:v>62</x:v>
      </x:c>
      <x:c r="U658">
        <x:v>68</x:v>
      </x:c>
      <x:c r="V658">
        <x:v>45</x:v>
      </x:c>
      <x:c r="W658">
        <x:v>89</x:v>
      </x:c>
      <x:c r="X658">
        <x:v>80</x:v>
      </x:c>
      <x:c r="Y658">
        <x:v>74</x:v>
      </x:c>
      <x:c r="Z658">
        <x:v>46</x:v>
      </x:c>
      <x:c r="AA658">
        <x:v>63</x:v>
      </x:c>
    </x:row>
    <x:row r="659">
      <x:c r="A659" t="s">
        <x:v>583</x:v>
      </x:c>
      <x:c r="B659" t="s">
        <x:v>584</x:v>
      </x:c>
      <x:c r="C659" t="s">
        <x:v>331</x:v>
      </x:c>
      <x:c r="D659">
        <x:v>8475906</x:v>
      </x:c>
      <x:c r="E659" t="s">
        <x:v>224</x:v>
      </x:c>
      <x:c r="F659">
        <x:v>56</x:v>
      </x:c>
      <x:c r="G659">
        <x:v>11</x:v>
      </x:c>
      <x:c r="J659" t="s">
        <x:v>2463</x:v>
      </x:c>
      <x:c r="K659">
        <x:v>70</x:v>
      </x:c>
      <x:c r="L659">
        <x:v>34</x:v>
      </x:c>
      <x:c r="M659">
        <x:v>81</x:v>
      </x:c>
      <x:c r="N659">
        <x:v>37</x:v>
      </x:c>
      <x:c r="O659">
        <x:v>76</x:v>
      </x:c>
      <x:c r="P659">
        <x:v>91</x:v>
      </x:c>
      <x:c r="Q659">
        <x:v>70</x:v>
      </x:c>
      <x:c r="R659">
        <x:v>43</x:v>
      </x:c>
      <x:c r="S659">
        <x:v>30</x:v>
      </x:c>
      <x:c r="T659">
        <x:v>55</x:v>
      </x:c>
      <x:c r="U659">
        <x:v>50</x:v>
      </x:c>
      <x:c r="V659">
        <x:v>44</x:v>
      </x:c>
      <x:c r="W659">
        <x:v>54</x:v>
      </x:c>
      <x:c r="X659">
        <x:v>84</x:v>
      </x:c>
      <x:c r="Y659">
        <x:v>76</x:v>
      </x:c>
      <x:c r="Z659">
        <x:v>51</x:v>
      </x:c>
      <x:c r="AA659">
        <x:v>60</x:v>
      </x:c>
    </x:row>
    <x:row r="660">
      <x:c r="A660" t="s">
        <x:v>766</x:v>
      </x:c>
      <x:c r="B660" t="s">
        <x:v>372</x:v>
      </x:c>
      <x:c r="C660" t="s">
        <x:v>331</x:v>
      </x:c>
      <x:c r="D660">
        <x:v>8482715</x:v>
      </x:c>
      <x:c r="E660" t="s">
        <x:v>224</x:v>
      </x:c>
      <x:c r="F660">
        <x:v>18</x:v>
      </x:c>
      <x:c r="G660">
        <x:v>1</x:v>
      </x:c>
      <x:c r="J660" t="s">
        <x:v>2464</x:v>
      </x:c>
      <x:c r="K660">
        <x:v>71</x:v>
      </x:c>
      <x:c r="L660">
        <x:v>33</x:v>
      </x:c>
      <x:c r="M660">
        <x:v>81</x:v>
      </x:c>
      <x:c r="N660">
        <x:v>39</x:v>
      </x:c>
      <x:c r="O660">
        <x:v>74</x:v>
      </x:c>
      <x:c r="P660">
        <x:v>83</x:v>
      </x:c>
      <x:c r="Q660">
        <x:v>91</x:v>
      </x:c>
      <x:c r="R660">
        <x:v>42</x:v>
      </x:c>
      <x:c r="S660">
        <x:v>30</x:v>
      </x:c>
      <x:c r="T660">
        <x:v>55</x:v>
      </x:c>
      <x:c r="U660">
        <x:v>47</x:v>
      </x:c>
      <x:c r="V660">
        <x:v>44</x:v>
      </x:c>
      <x:c r="W660">
        <x:v>55</x:v>
      </x:c>
      <x:c r="X660">
        <x:v>64</x:v>
      </x:c>
      <x:c r="Y660">
        <x:v>67</x:v>
      </x:c>
      <x:c r="Z660">
        <x:v>54</x:v>
      </x:c>
      <x:c r="AA660">
        <x:v>58</x:v>
      </x:c>
    </x:row>
    <x:row r="661">
      <x:c r="A661" t="s">
        <x:v>992</x:v>
      </x:c>
      <x:c r="B661" t="s">
        <x:v>324</x:v>
      </x:c>
      <x:c r="C661" t="s">
        <x:v>331</x:v>
      </x:c>
      <x:c r="D661">
        <x:v>8479387</x:v>
      </x:c>
      <x:c r="E661" t="s">
        <x:v>224</x:v>
      </x:c>
      <x:c r="F661">
        <x:v>3</x:v>
      </x:c>
      <x:c r="G661">
        <x:v>41</x:v>
      </x:c>
      <x:c r="J661" t="s">
        <x:v>2465</x:v>
      </x:c>
      <x:c r="K661">
        <x:v>85</x:v>
      </x:c>
      <x:c r="L661">
        <x:v>75</x:v>
      </x:c>
      <x:c r="M661">
        <x:v>71</x:v>
      </x:c>
      <x:c r="N661">
        <x:v>33</x:v>
      </x:c>
      <x:c r="O661">
        <x:v>93</x:v>
      </x:c>
      <x:c r="P661">
        <x:v>88</x:v>
      </x:c>
      <x:c r="Q661">
        <x:v>92</x:v>
      </x:c>
      <x:c r="R661">
        <x:v>33</x:v>
      </x:c>
      <x:c r="S661">
        <x:v>30</x:v>
      </x:c>
      <x:c r="T661">
        <x:v>54</x:v>
      </x:c>
      <x:c r="U661">
        <x:v>44</x:v>
      </x:c>
      <x:c r="V661">
        <x:v>44</x:v>
      </x:c>
      <x:c r="W661">
        <x:v>47</x:v>
      </x:c>
      <x:c r="X661">
        <x:v>65</x:v>
      </x:c>
      <x:c r="Y661">
        <x:v>70</x:v>
      </x:c>
      <x:c r="Z661">
        <x:v>51</x:v>
      </x:c>
      <x:c r="AA661">
        <x:v>55</x:v>
      </x:c>
    </x:row>
    <x:row r="662">
      <x:c r="A662" t="s">
        <x:v>401</x:v>
      </x:c>
      <x:c r="B662" t="s">
        <x:v>402</x:v>
      </x:c>
      <x:c r="C662" t="s">
        <x:v>333</x:v>
      </x:c>
      <x:c r="D662">
        <x:v>8471214</x:v>
      </x:c>
      <x:c r="E662" t="s">
        <x:v>224</x:v>
      </x:c>
      <x:c r="F662">
        <x:v>82</x:v>
      </x:c>
      <x:c r="G662">
        <x:v>65</x:v>
      </x:c>
      <x:c r="J662" t="s">
        <x:v>2079</x:v>
      </x:c>
      <x:c r="K662">
        <x:v>69</x:v>
      </x:c>
      <x:c r="L662">
        <x:v>43</x:v>
      </x:c>
      <x:c r="M662">
        <x:v>84</x:v>
      </x:c>
      <x:c r="N662">
        <x:v>40</x:v>
      </x:c>
      <x:c r="O662">
        <x:v>92</x:v>
      </x:c>
      <x:c r="P662">
        <x:v>88</x:v>
      </x:c>
      <x:c r="Q662">
        <x:v>96</x:v>
      </x:c>
      <x:c r="R662">
        <x:v>66</x:v>
      </x:c>
      <x:c r="S662">
        <x:v>67</x:v>
      </x:c>
      <x:c r="T662">
        <x:v>60</x:v>
      </x:c>
      <x:c r="U662">
        <x:v>72</x:v>
      </x:c>
      <x:c r="V662">
        <x:v>40</x:v>
      </x:c>
      <x:c r="W662">
        <x:v>75</x:v>
      </x:c>
      <x:c r="X662">
        <x:v>96</x:v>
      </x:c>
      <x:c r="Y662">
        <x:v>95</x:v>
      </x:c>
      <x:c r="Z662">
        <x:v>51</x:v>
      </x:c>
      <x:c r="AA662">
        <x:v>65</x:v>
      </x:c>
    </x:row>
    <x:row r="663">
      <x:c r="A663" t="s">
        <x:v>499</x:v>
      </x:c>
      <x:c r="B663" t="s">
        <x:v>361</x:v>
      </x:c>
      <x:c r="C663" t="s">
        <x:v>333</x:v>
      </x:c>
      <x:c r="D663">
        <x:v>8475722</x:v>
      </x:c>
      <x:c r="E663" t="s">
        <x:v>224</x:v>
      </x:c>
      <x:c r="F663">
        <x:v>62</x:v>
      </x:c>
      <x:c r="G663">
        <x:v>73</x:v>
      </x:c>
      <x:c r="J663" t="s">
        <x:v>2466</x:v>
      </x:c>
      <x:c r="K663">
        <x:v>65</x:v>
      </x:c>
      <x:c r="L663">
        <x:v>55</x:v>
      </x:c>
      <x:c r="M663">
        <x:v>88</x:v>
      </x:c>
      <x:c r="N663">
        <x:v>49</x:v>
      </x:c>
      <x:c r="O663">
        <x:v>80</x:v>
      </x:c>
      <x:c r="P663">
        <x:v>86</x:v>
      </x:c>
      <x:c r="Q663">
        <x:v>83</x:v>
      </x:c>
      <x:c r="R663">
        <x:v>61</x:v>
      </x:c>
      <x:c r="S663">
        <x:v>75</x:v>
      </x:c>
      <x:c r="T663">
        <x:v>59</x:v>
      </x:c>
      <x:c r="U663">
        <x:v>68</x:v>
      </x:c>
      <x:c r="V663">
        <x:v>40</x:v>
      </x:c>
      <x:c r="W663">
        <x:v>55</x:v>
      </x:c>
      <x:c r="X663">
        <x:v>85</x:v>
      </x:c>
      <x:c r="Y663">
        <x:v>78</x:v>
      </x:c>
      <x:c r="Z663">
        <x:v>51</x:v>
      </x:c>
      <x:c r="AA663">
        <x:v>62</x:v>
      </x:c>
    </x:row>
    <x:row r="664">
      <x:c r="A664" t="s">
        <x:v>707</x:v>
      </x:c>
      <x:c r="B664" t="s">
        <x:v>436</x:v>
      </x:c>
      <x:c r="C664" t="s">
        <x:v>331</x:v>
      </x:c>
      <x:c r="D664">
        <x:v>8484783</x:v>
      </x:c>
      <x:c r="E664" t="s">
        <x:v>224</x:v>
      </x:c>
      <x:c r="F664">
        <x:v>67</x:v>
      </x:c>
      <x:c r="G664">
        <x:v>18</x:v>
      </x:c>
      <x:c r="J664" t="s">
        <x:v>2467</x:v>
      </x:c>
      <x:c r="K664">
        <x:v>75</x:v>
      </x:c>
      <x:c r="L664">
        <x:v>38</x:v>
      </x:c>
      <x:c r="M664">
        <x:v>78</x:v>
      </x:c>
      <x:c r="N664">
        <x:v>43</x:v>
      </x:c>
      <x:c r="O664">
        <x:v>83</x:v>
      </x:c>
      <x:c r="P664">
        <x:v>90</x:v>
      </x:c>
      <x:c r="Q664">
        <x:v>89</x:v>
      </x:c>
      <x:c r="R664">
        <x:v>42</x:v>
      </x:c>
      <x:c r="S664">
        <x:v>30</x:v>
      </x:c>
      <x:c r="T664">
        <x:v>55</x:v>
      </x:c>
      <x:c r="U664">
        <x:v>46</x:v>
      </x:c>
      <x:c r="V664">
        <x:v>40</x:v>
      </x:c>
      <x:c r="W664">
        <x:v>52</x:v>
      </x:c>
      <x:c r="X664">
        <x:v>67</x:v>
      </x:c>
      <x:c r="Y664">
        <x:v>65</x:v>
      </x:c>
      <x:c r="Z664">
        <x:v>51</x:v>
      </x:c>
      <x:c r="AA664">
        <x:v>59</x:v>
      </x:c>
    </x:row>
    <x:row r="665">
      <x:c r="A665" t="s">
        <x:v>601</x:v>
      </x:c>
      <x:c r="B665" t="s">
        <x:v>372</x:v>
      </x:c>
      <x:c r="C665" t="s">
        <x:v>326</x:v>
      </x:c>
      <x:c r="D665">
        <x:v>8476539</x:v>
      </x:c>
      <x:c r="E665" t="s">
        <x:v>224</x:v>
      </x:c>
      <x:c r="F665">
        <x:v>62</x:v>
      </x:c>
      <x:c r="G665">
        <x:v>78</x:v>
      </x:c>
      <x:c r="J665" t="s">
        <x:v>2468</x:v>
      </x:c>
      <x:c r="K665">
        <x:v>66</x:v>
      </x:c>
      <x:c r="L665">
        <x:v>37</x:v>
      </x:c>
      <x:c r="M665">
        <x:v>87</x:v>
      </x:c>
      <x:c r="N665">
        <x:v>45</x:v>
      </x:c>
      <x:c r="O665">
        <x:v>77</x:v>
      </x:c>
      <x:c r="P665">
        <x:v>87</x:v>
      </x:c>
      <x:c r="Q665">
        <x:v>84</x:v>
      </x:c>
      <x:c r="R665">
        <x:v>57</x:v>
      </x:c>
      <x:c r="S665">
        <x:v>70</x:v>
      </x:c>
      <x:c r="T665">
        <x:v>56</x:v>
      </x:c>
      <x:c r="U665">
        <x:v>56</x:v>
      </x:c>
      <x:c r="V665">
        <x:v>38</x:v>
      </x:c>
      <x:c r="W665">
        <x:v>72</x:v>
      </x:c>
      <x:c r="X665">
        <x:v>86</x:v>
      </x:c>
      <x:c r="Y665">
        <x:v>77</x:v>
      </x:c>
      <x:c r="Z665">
        <x:v>51</x:v>
      </x:c>
      <x:c r="AA665">
        <x:v>60</x:v>
      </x:c>
    </x:row>
    <x:row r="666">
      <x:c r="A666" t="s">
        <x:v>852</x:v>
      </x:c>
      <x:c r="B666" t="s">
        <x:v>584</x:v>
      </x:c>
      <x:c r="C666" t="s">
        <x:v>358</x:v>
      </x:c>
      <x:c r="D666">
        <x:v>8475169</x:v>
      </x:c>
      <x:c r="E666" t="s">
        <x:v>224</x:v>
      </x:c>
      <x:c r="F666">
        <x:v>71</x:v>
      </x:c>
      <x:c r="J666" t="s">
        <x:v>2469</x:v>
      </x:c>
      <x:c r="K666">
        <x:v>69</x:v>
      </x:c>
      <x:c r="L666">
        <x:v>55</x:v>
      </x:c>
      <x:c r="M666">
        <x:v>78</x:v>
      </x:c>
      <x:c r="N666">
        <x:v>54</x:v>
      </x:c>
      <x:c r="O666">
        <x:v>87</x:v>
      </x:c>
      <x:c r="P666">
        <x:v>56</x:v>
      </x:c>
      <x:c r="Q666">
        <x:v>57</x:v>
      </x:c>
      <x:c r="R666">
        <x:v>57</x:v>
      </x:c>
      <x:c r="S666">
        <x:v>45</x:v>
      </x:c>
      <x:c r="T666">
        <x:v>53</x:v>
      </x:c>
      <x:c r="U666">
        <x:v>55</x:v>
      </x:c>
      <x:c r="V666">
        <x:v>38</x:v>
      </x:c>
      <x:c r="W666">
        <x:v>57</x:v>
      </x:c>
      <x:c r="X666">
        <x:v>89</x:v>
      </x:c>
      <x:c r="Y666">
        <x:v>53</x:v>
      </x:c>
      <x:c r="Z666">
        <x:v>51</x:v>
      </x:c>
      <x:c r="AA666">
        <x:v>57</x:v>
      </x:c>
    </x:row>
    <x:row r="667">
      <x:c r="A667" t="s">
        <x:v>932</x:v>
      </x:c>
      <x:c r="B667" t="s">
        <x:v>420</x:v>
      </x:c>
      <x:c r="C667" t="s">
        <x:v>339</x:v>
      </x:c>
      <x:c r="D667">
        <x:v>8481032</x:v>
      </x:c>
      <x:c r="E667" t="s">
        <x:v>224</x:v>
      </x:c>
      <x:c r="F667">
        <x:v>79</x:v>
      </x:c>
      <x:c r="G667">
        <x:v>79</x:v>
      </x:c>
      <x:c r="J667" t="s">
        <x:v>2274</x:v>
      </x:c>
      <x:c r="K667">
        <x:v>81</x:v>
      </x:c>
      <x:c r="L667">
        <x:v>61</x:v>
      </x:c>
      <x:c r="M667">
        <x:v>92</x:v>
      </x:c>
      <x:c r="N667">
        <x:v>68</x:v>
      </x:c>
      <x:c r="O667">
        <x:v>85</x:v>
      </x:c>
      <x:c r="P667">
        <x:v>82</x:v>
      </x:c>
      <x:c r="Q667">
        <x:v>96</x:v>
      </x:c>
      <x:c r="R667">
        <x:v>51</x:v>
      </x:c>
      <x:c r="S667">
        <x:v>77</x:v>
      </x:c>
      <x:c r="T667">
        <x:v>50</x:v>
      </x:c>
      <x:c r="U667">
        <x:v>56</x:v>
      </x:c>
      <x:c r="V667">
        <x:v>38</x:v>
      </x:c>
      <x:c r="W667">
        <x:v>84</x:v>
      </x:c>
      <x:c r="X667">
        <x:v>70</x:v>
      </x:c>
      <x:c r="Y667">
        <x:v>69</x:v>
      </x:c>
      <x:c r="Z667">
        <x:v>51</x:v>
      </x:c>
      <x:c r="AA667">
        <x:v>56</x:v>
      </x:c>
    </x:row>
    <x:row r="668">
      <x:c r="A668" t="s">
        <x:v>987</x:v>
      </x:c>
      <x:c r="B668" t="s">
        <x:v>370</x:v>
      </x:c>
      <x:c r="C668" t="s">
        <x:v>323</x:v>
      </x:c>
      <x:c r="D668">
        <x:v>8478173</x:v>
      </x:c>
      <x:c r="E668" t="s">
        <x:v>224</x:v>
      </x:c>
      <x:c r="F668">
        <x:v>10</x:v>
      </x:c>
      <x:c r="G668">
        <x:v>2</x:v>
      </x:c>
      <x:c r="J668" t="s">
        <x:v>2470</x:v>
      </x:c>
      <x:c r="K668">
        <x:v>92</x:v>
      </x:c>
      <x:c r="L668">
        <x:v>77</x:v>
      </x:c>
      <x:c r="M668">
        <x:v>71</x:v>
      </x:c>
      <x:c r="N668">
        <x:v>69</x:v>
      </x:c>
      <x:c r="O668">
        <x:v>89</x:v>
      </x:c>
      <x:c r="P668">
        <x:v>76</x:v>
      </x:c>
      <x:c r="Q668">
        <x:v>80</x:v>
      </x:c>
      <x:c r="R668">
        <x:v>47</x:v>
      </x:c>
      <x:c r="S668">
        <x:v>64</x:v>
      </x:c>
      <x:c r="T668">
        <x:v>44</x:v>
      </x:c>
      <x:c r="U668">
        <x:v>44</x:v>
      </x:c>
      <x:c r="V668">
        <x:v>38</x:v>
      </x:c>
      <x:c r="W668">
        <x:v>54</x:v>
      </x:c>
      <x:c r="X668">
        <x:v>65</x:v>
      </x:c>
      <x:c r="Y668">
        <x:v>73</x:v>
      </x:c>
      <x:c r="Z668">
        <x:v>51</x:v>
      </x:c>
      <x:c r="AA668">
        <x:v>55</x:v>
      </x:c>
    </x:row>
    <x:row r="669">
      <x:c r="A669" t="s">
        <x:v>1078</x:v>
      </x:c>
      <x:c r="B669" t="s">
        <x:v>584</x:v>
      </x:c>
      <x:c r="C669" t="s">
        <x:v>358</x:v>
      </x:c>
      <x:c r="D669">
        <x:v>8477947</x:v>
      </x:c>
      <x:c r="E669" t="s">
        <x:v>224</x:v>
      </x:c>
      <x:c r="F669">
        <x:v>31</x:v>
      </x:c>
      <x:c r="G669">
        <x:v>3</x:v>
      </x:c>
      <x:c r="J669" t="s">
        <x:v>2471</x:v>
      </x:c>
      <x:c r="K669">
        <x:v>62</x:v>
      </x:c>
      <x:c r="L669">
        <x:v>33</x:v>
      </x:c>
      <x:c r="M669">
        <x:v>96</x:v>
      </x:c>
      <x:c r="N669">
        <x:v>72</x:v>
      </x:c>
      <x:c r="O669">
        <x:v>82</x:v>
      </x:c>
      <x:c r="P669">
        <x:v>79</x:v>
      </x:c>
      <x:c r="Q669">
        <x:v>68</x:v>
      </x:c>
      <x:c r="R669">
        <x:v>48</x:v>
      </x:c>
      <x:c r="S669">
        <x:v>68</x:v>
      </x:c>
      <x:c r="T669">
        <x:v>51</x:v>
      </x:c>
      <x:c r="U669">
        <x:v>52</x:v>
      </x:c>
      <x:c r="V669">
        <x:v>38</x:v>
      </x:c>
      <x:c r="W669">
        <x:v>74</x:v>
      </x:c>
      <x:c r="X669">
        <x:v>73</x:v>
      </x:c>
      <x:c r="Y669">
        <x:v>71</x:v>
      </x:c>
      <x:c r="Z669">
        <x:v>51</x:v>
      </x:c>
      <x:c r="AA669">
        <x:v>54</x:v>
      </x:c>
    </x:row>
    <x:row r="670">
      <x:c r="A670" t="s">
        <x:v>1116</x:v>
      </x:c>
      <x:c r="B670" t="s">
        <x:v>345</x:v>
      </x:c>
      <x:c r="C670" t="s">
        <x:v>326</x:v>
      </x:c>
      <x:c r="D670">
        <x:v>8485702</x:v>
      </x:c>
      <x:c r="E670" t="s">
        <x:v>224</x:v>
      </x:c>
      <x:c r="F670">
        <x:v>44</x:v>
      </x:c>
      <x:c r="J670" t="s">
        <x:v>2472</x:v>
      </x:c>
      <x:c r="K670">
        <x:v>63</x:v>
      </x:c>
      <x:c r="L670">
        <x:v>31</x:v>
      </x:c>
      <x:c r="M670">
        <x:v>96</x:v>
      </x:c>
      <x:c r="N670">
        <x:v>51</x:v>
      </x:c>
      <x:c r="O670">
        <x:v>41</x:v>
      </x:c>
      <x:c r="P670">
        <x:v>83</x:v>
      </x:c>
      <x:c r="Q670">
        <x:v>70</x:v>
      </x:c>
      <x:c r="R670">
        <x:v>51</x:v>
      </x:c>
      <x:c r="S670">
        <x:v>61</x:v>
      </x:c>
      <x:c r="T670">
        <x:v>54</x:v>
      </x:c>
      <x:c r="U670">
        <x:v>51</x:v>
      </x:c>
      <x:c r="V670">
        <x:v>38</x:v>
      </x:c>
      <x:c r="W670">
        <x:v>51</x:v>
      </x:c>
      <x:c r="X670">
        <x:v>66</x:v>
      </x:c>
      <x:c r="Y670">
        <x:v>71</x:v>
      </x:c>
      <x:c r="Z670">
        <x:v>51</x:v>
      </x:c>
      <x:c r="AA670">
        <x:v>54</x:v>
      </x:c>
    </x:row>
    <x:row r="671">
      <x:c r="A671" t="s">
        <x:v>1117</x:v>
      </x:c>
      <x:c r="B671" t="s">
        <x:v>370</x:v>
      </x:c>
      <x:c r="C671" t="s">
        <x:v>358</x:v>
      </x:c>
      <x:c r="D671">
        <x:v>8477073</x:v>
      </x:c>
      <x:c r="E671" t="s">
        <x:v>224</x:v>
      </x:c>
      <x:c r="F671">
        <x:v>19</x:v>
      </x:c>
      <x:c r="G671">
        <x:v>23</x:v>
      </x:c>
      <x:c r="J671" t="s">
        <x:v>2473</x:v>
      </x:c>
      <x:c r="K671">
        <x:v>81</x:v>
      </x:c>
      <x:c r="L671">
        <x:v>95</x:v>
      </x:c>
      <x:c r="M671">
        <x:v>61</x:v>
      </x:c>
      <x:c r="N671">
        <x:v>47</x:v>
      </x:c>
      <x:c r="O671">
        <x:v>90</x:v>
      </x:c>
      <x:c r="P671">
        <x:v>69</x:v>
      </x:c>
      <x:c r="Q671">
        <x:v>41</x:v>
      </x:c>
      <x:c r="R671">
        <x:v>46</x:v>
      </x:c>
      <x:c r="S671">
        <x:v>61</x:v>
      </x:c>
      <x:c r="T671">
        <x:v>50</x:v>
      </x:c>
      <x:c r="U671">
        <x:v>45</x:v>
      </x:c>
      <x:c r="V671">
        <x:v>38</x:v>
      </x:c>
      <x:c r="W671">
        <x:v>52</x:v>
      </x:c>
      <x:c r="X671">
        <x:v>69</x:v>
      </x:c>
      <x:c r="Y671">
        <x:v>74</x:v>
      </x:c>
      <x:c r="Z671">
        <x:v>51</x:v>
      </x:c>
      <x:c r="AA671">
        <x:v>54</x:v>
      </x:c>
    </x:row>
  </x:sheetData>
  <x:mergeCells>
    <x:mergeCell ref="A1:AA1"/>
    <x:mergeCell ref="A2:AA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ColWidth="8.83203125" defaultRowHeight="14"/>
  <x:cols>
    <x:col min="1" max="1" width="26" customWidth="1"/>
    <x:col min="2" max="3" width="12" customWidth="1"/>
    <x:col min="4" max="4" width="12" hidden="1" customWidth="1"/>
    <x:col min="5" max="9" width="18" hidden="1" customWidth="1"/>
    <x:col min="10" max="10" width="18" customWidth="1"/>
    <x:col min="11" max="27" width="8" customWidth="1"/>
    <x:col min="28" max="28" width="15" hidden="0" customWidth="1"/>
    <x:col min="29" max="29" width="15" hidden="0" customWidth="1"/>
    <x:col min="30" max="30" width="24" hidden="0" customWidth="1"/>
    <x:col min="31" max="31" width="24" hidden="0" customWidth="1"/>
    <x:col min="32" max="32" width="13" hidden="0" customWidth="1"/>
    <x:col min="33" max="33" width="13" hidden="0" customWidth="1"/>
    <x:col min="34" max="34" width="43" hidden="0" customWidth="1"/>
  </x:cols>
  <x:sheetData>
    <x:row r="1" ht="19">
      <x:c r="A1" s="5" t="str">
        <x:v>AHL / FARM PLAYERS — V10 (PA/SC zohľadňuje NHL GP)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</x:row>
    <x:row r="2" ht="15">
      <x:c r="A2" s="6" t="str">
        <x:v>Hráči s NHL GP podľa pravidla majú PA/SC na úrovni NHL. Chýbajúce GP ≠ 0; pri neoverených údajoch zostanú pôvodné hodnoty AB/AC. F/G = NHL GP 2025/26 / 2024/25.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</x:row>
    <x:row r="4" ht="26" customHeight="1">
      <x:c r="A4" s="1" t="s">
        <x:v>315</x:v>
      </x:c>
      <x:c r="B4" s="1" t="s">
        <x:v>317</x:v>
      </x:c>
      <x:c r="C4" s="1" t="s">
        <x:v>316</x:v>
      </x:c>
      <x:c r="D4" s="1" t="s">
        <x:v>1975</x:v>
      </x:c>
      <x:c r="E4" s="1" t="s">
        <x:v>1986</x:v>
      </x:c>
      <x:c r="F4" s="1" t="s">
        <x:v>1987</x:v>
      </x:c>
      <x:c r="G4" s="1" t="s">
        <x:v>1988</x:v>
      </x:c>
      <x:c r="H4" s="1" t="s">
        <x:v>1989</x:v>
      </x:c>
      <x:c r="I4" s="1" t="s">
        <x:v>1990</x:v>
      </x:c>
      <x:c r="J4" s="1" t="s">
        <x:v>1991</x:v>
      </x:c>
      <x:c r="K4" s="1" t="s">
        <x:v>246</x:v>
      </x:c>
      <x:c r="L4" s="1" t="s">
        <x:v>1976</x:v>
      </x:c>
      <x:c r="M4" s="1" t="s">
        <x:v>250</x:v>
      </x:c>
      <x:c r="N4" s="1" t="s">
        <x:v>164</x:v>
      </x:c>
      <x:c r="O4" s="1" t="s">
        <x:v>257</x:v>
      </x:c>
      <x:c r="P4" s="1" t="s">
        <x:v>1977</x:v>
      </x:c>
      <x:c r="Q4" s="1" t="s">
        <x:v>1978</x:v>
      </x:c>
      <x:c r="R4" s="1" t="s">
        <x:v>1979</x:v>
      </x:c>
      <x:c r="S4" s="1" t="s">
        <x:v>1980</x:v>
      </x:c>
      <x:c r="T4" s="1" t="s">
        <x:v>223</x:v>
      </x:c>
      <x:c r="U4" s="1" t="s">
        <x:v>230</x:v>
      </x:c>
      <x:c r="V4" s="1" t="s">
        <x:v>235</x:v>
      </x:c>
      <x:c r="W4" s="1" t="s">
        <x:v>1981</x:v>
      </x:c>
      <x:c r="X4" s="1" t="s">
        <x:v>263</x:v>
      </x:c>
      <x:c r="Y4" s="1" t="s">
        <x:v>1982</x:v>
      </x:c>
      <x:c r="Z4" s="1" t="s">
        <x:v>1983</x:v>
      </x:c>
      <x:c r="AA4" s="1" t="s">
        <x:v>292</x:v>
      </x:c>
      <x:c r="AB4" s="53" t="str">
        <x:v>PA pred V9</x:v>
      </x:c>
      <x:c r="AC4" s="53" t="str">
        <x:v>SC pred V9</x:v>
      </x:c>
      <x:c r="AD4" s="53" t="str">
        <x:v>NHL kariéra GP (overené)</x:v>
      </x:c>
      <x:c r="AE4" s="53" t="str">
        <x:v>Skupina PA/SC V10</x:v>
      </x:c>
      <x:c r="AF4" s="53" t="str">
        <x:v>PA rozdiel</x:v>
      </x:c>
      <x:c r="AG4" s="53" t="str">
        <x:v>SC rozdiel</x:v>
      </x:c>
      <x:c r="AH4" s="76" t="str">
        <x:v>Zdroj overenia NHL GP</x:v>
      </x:c>
    </x:row>
    <x:row r="5">
      <x:c r="A5" t="s">
        <x:v>724</x:v>
      </x:c>
      <x:c r="C5" t="s">
        <x:v>331</x:v>
      </x:c>
      <x:c r="D5">
        <x:v>8481219</x:v>
      </x:c>
      <x:c r="E5" t="s">
        <x:v>267</x:v>
      </x:c>
      <x:c r="F5"/>
      <x:c r="G5"/>
      <x:c r="J5" t="s">
        <x:v>2474</x:v>
      </x:c>
      <x:c r="K5">
        <x:v>76</x:v>
      </x:c>
      <x:c r="L5">
        <x:v>75</x:v>
      </x:c>
      <x:c r="M5">
        <x:v>84</x:v>
      </x:c>
      <x:c r="N5">
        <x:v>38</x:v>
      </x:c>
      <x:c r="O5">
        <x:v>81</x:v>
      </x:c>
      <x:c r="P5">
        <x:v>88</x:v>
      </x:c>
      <x:c r="Q5">
        <x:v>88</x:v>
      </x:c>
      <x:c r="R5">
        <x:v>37</x:v>
      </x:c>
      <x:c r="S5">
        <x:v>30</x:v>
      </x:c>
      <x:c r="T5" s="63" t="n">
        <x:f>MAX(30,MIN(AB5-VLOOKUP(AE5,'AHL_PA_SC_BALANCE'!$A$8:$E$18,2,FALSE),VLOOKUP(AE5,'AHL_PA_SC_BALANCE'!$A$8:$E$18,4,FALSE)))</x:f>
        <x:v>51</x:v>
      </x:c>
      <x:c r="U5" s="63" t="n">
        <x:f>MAX(30,MIN(AC5-VLOOKUP(AE5,'AHL_PA_SC_BALANCE'!$A$8:$E$18,3,FALSE),VLOOKUP(AE5,'AHL_PA_SC_BALANCE'!$A$8:$E$18,5,FALSE)))</x:f>
        <x:v>47</x:v>
      </x:c>
      <x:c r="V5">
        <x:v>76</x:v>
      </x:c>
      <x:c r="W5">
        <x:v>55</x:v>
      </x:c>
      <x:c r="X5">
        <x:v>69</x:v>
      </x:c>
      <x:c r="Y5">
        <x:v>69</x:v>
      </x:c>
      <x:c r="Z5">
        <x:v>54</x:v>
      </x:c>
      <x:c r="AA5">
        <x:v>58</x:v>
      </x:c>
      <x:c r="AB5" s="57" t="n">
        <x:v>51</x:v>
      </x:c>
      <x:c r="AC5" s="57" t="n">
        <x:v>47</x:v>
      </x:c>
      <x:c r="AD5" s="59"/>
      <x:c r="AE5" s="61" t="str">
        <x:f>IF(N(F5)&gt;=10,"NHL_LATEST_10",IF(AND(N(F5)&gt;0,N(G5)&gt;0),"NHL_BOTH_SEASONS",IF(N(G5)&gt;=10,"NHL_PREVIOUS_10",IF(AND(ISNUMBER(AD5),AD5=0,SUM(F5:G5)=0),"FARM_CAREER_0",IF(COUNT(F5:G5)&lt;2,"UNKNOWN_GP",IF(AND(F5=0,G5=0),IF(AD5&gt;=10,"FARM_LEGACY_10",IF(AND(ISNUMBER(AD5),AD5&gt;0),"FARM_CAREER_1_9","FARM_0_0")),IF(F5&gt;=1,IF(F5&lt;=3,"FARM_RECENT_1_3","FARM_RECENT_4_9"),"FARM_PREV_1_9_ONLY")))))))</x:f>
        <x:v>UNKNOWN_GP</x:v>
      </x:c>
      <x:c r="AF5" s="57" t="n">
        <x:f>AB5-T5</x:f>
        <x:v>0</x:v>
      </x:c>
      <x:c r="AG5" s="57" t="n">
        <x:f>AC5-U5</x:f>
        <x:v>0</x:v>
      </x:c>
    </x:row>
    <x:row r="6">
      <x:c r="A6" t="s">
        <x:v>732</x:v>
      </x:c>
      <x:c r="C6" t="s">
        <x:v>331</x:v>
      </x:c>
      <x:c r="D6">
        <x:v>8484223</x:v>
      </x:c>
      <x:c r="E6" t="s">
        <x:v>267</x:v>
      </x:c>
      <x:c r="F6" t="n">
        <x:v>68</x:v>
      </x:c>
      <x:c r="G6" t="n">
        <x:v>0</x:v>
      </x:c>
      <x:c r="J6" t="str">
        <x:v>V10 NHL GP overené: 2025/26=68, 2024/25=0; PA/SC podľa skupiny AE. Externý V8 updater má vlastnú klasifikáciu.</x:v>
      </x:c>
      <x:c r="K6">
        <x:v>65</x:v>
      </x:c>
      <x:c r="L6">
        <x:v>31</x:v>
      </x:c>
      <x:c r="M6">
        <x:v>91</x:v>
      </x:c>
      <x:c r="N6">
        <x:v>43</x:v>
      </x:c>
      <x:c r="O6">
        <x:v>75</x:v>
      </x:c>
      <x:c r="P6">
        <x:v>85</x:v>
      </x:c>
      <x:c r="Q6">
        <x:v>90</x:v>
      </x:c>
      <x:c r="R6">
        <x:v>42</x:v>
      </x:c>
      <x:c r="S6">
        <x:v>30</x:v>
      </x:c>
      <x:c r="T6" s="63" t="n">
        <x:f>MAX(30,MIN(AB6-VLOOKUP(AE6,'AHL_PA_SC_BALANCE'!$A$8:$E$18,2,FALSE),VLOOKUP(AE6,'AHL_PA_SC_BALANCE'!$A$8:$E$18,4,FALSE)))</x:f>
        <x:v>52</x:v>
      </x:c>
      <x:c r="U6" s="63" t="n">
        <x:f>MAX(30,MIN(AC6-VLOOKUP(AE6,'AHL_PA_SC_BALANCE'!$A$8:$E$18,3,FALSE),VLOOKUP(AE6,'AHL_PA_SC_BALANCE'!$A$8:$E$18,5,FALSE)))</x:f>
        <x:v>51</x:v>
      </x:c>
      <x:c r="V6">
        <x:v>72</x:v>
      </x:c>
      <x:c r="W6">
        <x:v>51</x:v>
      </x:c>
      <x:c r="X6">
        <x:v>66</x:v>
      </x:c>
      <x:c r="Y6">
        <x:v>68</x:v>
      </x:c>
      <x:c r="Z6">
        <x:v>54</x:v>
      </x:c>
      <x:c r="AA6">
        <x:v>58</x:v>
      </x:c>
      <x:c r="AB6" s="57" t="n">
        <x:v>52</x:v>
      </x:c>
      <x:c r="AC6" s="57" t="n">
        <x:v>51</x:v>
      </x:c>
      <x:c r="AD6" s="59"/>
      <x:c r="AE6" s="61" t="str">
        <x:f>IF(N(F6)&gt;=10,"NHL_LATEST_10",IF(AND(N(F6)&gt;0,N(G6)&gt;0),"NHL_BOTH_SEASONS",IF(N(G6)&gt;=10,"NHL_PREVIOUS_10",IF(AND(ISNUMBER(AD6),AD6=0,SUM(F6:G6)=0),"FARM_CAREER_0",IF(COUNT(F6:G6)&lt;2,"UNKNOWN_GP",IF(AND(F6=0,G6=0),IF(AD6&gt;=10,"FARM_LEGACY_10",IF(AND(ISNUMBER(AD6),AD6&gt;0),"FARM_CAREER_1_9","FARM_0_0")),IF(F6&gt;=1,IF(F6&lt;=3,"FARM_RECENT_1_3","FARM_RECENT_4_9"),"FARM_PREV_1_9_ONLY")))))))</x:f>
        <x:v>NHL_LATEST_10</x:v>
      </x:c>
      <x:c r="AF6" s="57" t="n">
        <x:f>AB6-T6</x:f>
        <x:v>0</x:v>
      </x:c>
      <x:c r="AG6" s="57" t="n">
        <x:f>AC6-U6</x:f>
        <x:v>0</x:v>
      </x:c>
      <x:c r="AH6" t="str">
        <x:v>https://www.hockey-reference.com/players/s/sandiax01.html</x:v>
      </x:c>
    </x:row>
    <x:row r="7">
      <x:c r="A7" t="s">
        <x:v>814</x:v>
      </x:c>
      <x:c r="C7" t="s">
        <x:v>329</x:v>
      </x:c>
      <x:c r="D7">
        <x:v>8480798</x:v>
      </x:c>
      <x:c r="E7" t="s">
        <x:v>267</x:v>
      </x:c>
      <x:c r="F7" t="n">
        <x:v>43</x:v>
      </x:c>
      <x:c r="G7" t="n">
        <x:v>51</x:v>
      </x:c>
      <x:c r="J7" t="str">
        <x:v>V10 NHL GP overené: 2025/26=43, 2024/25=51; PA/SC podľa skupiny AE. Externý V8 updater má vlastnú klasifikáciu.</x:v>
      </x:c>
      <x:c r="K7">
        <x:v>65</x:v>
      </x:c>
      <x:c r="L7">
        <x:v>32</x:v>
      </x:c>
      <x:c r="M7">
        <x:v>87</x:v>
      </x:c>
      <x:c r="N7">
        <x:v>53</x:v>
      </x:c>
      <x:c r="O7">
        <x:v>75</x:v>
      </x:c>
      <x:c r="P7">
        <x:v>86</x:v>
      </x:c>
      <x:c r="Q7">
        <x:v>73</x:v>
      </x:c>
      <x:c r="R7">
        <x:v>54</x:v>
      </x:c>
      <x:c r="S7">
        <x:v>74</x:v>
      </x:c>
      <x:c r="T7" s="63" t="n">
        <x:f>MAX(30,MIN(AB7-VLOOKUP(AE7,'AHL_PA_SC_BALANCE'!$A$8:$E$18,2,FALSE),VLOOKUP(AE7,'AHL_PA_SC_BALANCE'!$A$8:$E$18,4,FALSE)))</x:f>
        <x:v>55</x:v>
      </x:c>
      <x:c r="U7" s="63" t="n">
        <x:f>MAX(30,MIN(AC7-VLOOKUP(AE7,'AHL_PA_SC_BALANCE'!$A$8:$E$18,3,FALSE),VLOOKUP(AE7,'AHL_PA_SC_BALANCE'!$A$8:$E$18,5,FALSE)))</x:f>
        <x:v>55</x:v>
      </x:c>
      <x:c r="V7">
        <x:v>64</x:v>
      </x:c>
      <x:c r="W7">
        <x:v>78</x:v>
      </x:c>
      <x:c r="X7">
        <x:v>72</x:v>
      </x:c>
      <x:c r="Y7">
        <x:v>68</x:v>
      </x:c>
      <x:c r="Z7">
        <x:v>51</x:v>
      </x:c>
      <x:c r="AA7">
        <x:v>57</x:v>
      </x:c>
      <x:c r="AB7" s="57" t="n">
        <x:v>55</x:v>
      </x:c>
      <x:c r="AC7" s="57" t="n">
        <x:v>55</x:v>
      </x:c>
      <x:c r="AD7" s="59"/>
      <x:c r="AE7" s="61" t="str">
        <x:f>IF(N(F7)&gt;=10,"NHL_LATEST_10",IF(AND(N(F7)&gt;0,N(G7)&gt;0),"NHL_BOTH_SEASONS",IF(N(G7)&gt;=10,"NHL_PREVIOUS_10",IF(AND(ISNUMBER(AD7),AD7=0,SUM(F7:G7)=0),"FARM_CAREER_0",IF(COUNT(F7:G7)&lt;2,"UNKNOWN_GP",IF(AND(F7=0,G7=0),IF(AD7&gt;=10,"FARM_LEGACY_10",IF(AND(ISNUMBER(AD7),AD7&gt;0),"FARM_CAREER_1_9","FARM_0_0")),IF(F7&gt;=1,IF(F7&lt;=3,"FARM_RECENT_1_3","FARM_RECENT_4_9"),"FARM_PREV_1_9_ONLY")))))))</x:f>
        <x:v>NHL_LATEST_10</x:v>
      </x:c>
      <x:c r="AF7" s="57" t="n">
        <x:f>AB7-T7</x:f>
        <x:v>0</x:v>
      </x:c>
      <x:c r="AG7" s="57" t="n">
        <x:f>AC7-U7</x:f>
        <x:v>0</x:v>
      </x:c>
      <x:c r="AH7" t="str">
        <x:v>https://www.hockey-reference.com/players/k/kurasph01.html</x:v>
      </x:c>
    </x:row>
    <x:row r="8">
      <x:c r="A8" t="s">
        <x:v>824</x:v>
      </x:c>
      <x:c r="C8" t="s">
        <x:v>331</x:v>
      </x:c>
      <x:c r="D8">
        <x:v>8483425</x:v>
      </x:c>
      <x:c r="E8" t="s">
        <x:v>267</x:v>
      </x:c>
      <x:c r="F8" t="n">
        <x:v>50</x:v>
      </x:c>
      <x:c r="G8" t="n">
        <x:v>38</x:v>
      </x:c>
      <x:c r="J8" t="str">
        <x:v>V10 NHL GP overené: 2025/26=50, 2024/25=38; PA/SC podľa skupiny AE. Externý V8 updater má vlastnú klasifikáciu.</x:v>
      </x:c>
      <x:c r="K8">
        <x:v>87</x:v>
      </x:c>
      <x:c r="L8">
        <x:v>74</x:v>
      </x:c>
      <x:c r="M8">
        <x:v>78</x:v>
      </x:c>
      <x:c r="N8">
        <x:v>36</x:v>
      </x:c>
      <x:c r="O8">
        <x:v>93</x:v>
      </x:c>
      <x:c r="P8">
        <x:v>85</x:v>
      </x:c>
      <x:c r="Q8">
        <x:v>79</x:v>
      </x:c>
      <x:c r="R8">
        <x:v>37</x:v>
      </x:c>
      <x:c r="S8">
        <x:v>30</x:v>
      </x:c>
      <x:c r="T8" s="63" t="n">
        <x:f>MAX(30,MIN(AB8-VLOOKUP(AE8,'AHL_PA_SC_BALANCE'!$A$8:$E$18,2,FALSE),VLOOKUP(AE8,'AHL_PA_SC_BALANCE'!$A$8:$E$18,4,FALSE)))</x:f>
        <x:v>49</x:v>
      </x:c>
      <x:c r="U8" s="63" t="n">
        <x:f>MAX(30,MIN(AC8-VLOOKUP(AE8,'AHL_PA_SC_BALANCE'!$A$8:$E$18,3,FALSE),VLOOKUP(AE8,'AHL_PA_SC_BALANCE'!$A$8:$E$18,5,FALSE)))</x:f>
        <x:v>48</x:v>
      </x:c>
      <x:c r="V8">
        <x:v>75</x:v>
      </x:c>
      <x:c r="W8">
        <x:v>52</x:v>
      </x:c>
      <x:c r="X8">
        <x:v>66</x:v>
      </x:c>
      <x:c r="Y8">
        <x:v>65</x:v>
      </x:c>
      <x:c r="Z8">
        <x:v>51</x:v>
      </x:c>
      <x:c r="AA8">
        <x:v>57</x:v>
      </x:c>
      <x:c r="AB8" s="57" t="n">
        <x:v>49</x:v>
      </x:c>
      <x:c r="AC8" s="57" t="n">
        <x:v>48</x:v>
      </x:c>
      <x:c r="AD8" s="59"/>
      <x:c r="AE8" s="61" t="str">
        <x:f>IF(N(F8)&gt;=10,"NHL_LATEST_10",IF(AND(N(F8)&gt;0,N(G8)&gt;0),"NHL_BOTH_SEASONS",IF(N(G8)&gt;=10,"NHL_PREVIOUS_10",IF(AND(ISNUMBER(AD8),AD8=0,SUM(F8:G8)=0),"FARM_CAREER_0",IF(COUNT(F8:G8)&lt;2,"UNKNOWN_GP",IF(AND(F8=0,G8=0),IF(AD8&gt;=10,"FARM_LEGACY_10",IF(AND(ISNUMBER(AD8),AD8&gt;0),"FARM_CAREER_1_9","FARM_0_0")),IF(F8&gt;=1,IF(F8&lt;=3,"FARM_RECENT_1_3","FARM_RECENT_4_9"),"FARM_PREV_1_9_ONLY")))))))</x:f>
        <x:v>NHL_LATEST_10</x:v>
      </x:c>
      <x:c r="AF8" s="57" t="n">
        <x:f>AB8-T8</x:f>
        <x:v>0</x:v>
      </x:c>
      <x:c r="AG8" s="57" t="n">
        <x:f>AC8-U8</x:f>
        <x:v>0</x:v>
      </x:c>
      <x:c r="AH8" t="str">
        <x:v>https://www.hockey-reference.com/players/b/bichsli01.html</x:v>
      </x:c>
    </x:row>
    <x:row r="9">
      <x:c r="A9" t="s">
        <x:v>827</x:v>
      </x:c>
      <x:c r="C9" t="s">
        <x:v>331</x:v>
      </x:c>
      <x:c r="D9">
        <x:v>8477541</x:v>
      </x:c>
      <x:c r="E9" t="s">
        <x:v>267</x:v>
      </x:c>
      <x:c r="J9" t="s">
        <x:v>2474</x:v>
      </x:c>
      <x:c r="K9">
        <x:v>71</x:v>
      </x:c>
      <x:c r="L9">
        <x:v>83</x:v>
      </x:c>
      <x:c r="M9">
        <x:v>81</x:v>
      </x:c>
      <x:c r="N9">
        <x:v>36</x:v>
      </x:c>
      <x:c r="O9">
        <x:v>78</x:v>
      </x:c>
      <x:c r="P9">
        <x:v>81</x:v>
      </x:c>
      <x:c r="Q9">
        <x:v>72</x:v>
      </x:c>
      <x:c r="R9">
        <x:v>37</x:v>
      </x:c>
      <x:c r="S9">
        <x:v>30</x:v>
      </x:c>
      <x:c r="T9" s="63" t="n">
        <x:f>MAX(30,MIN(AB9-VLOOKUP(AE9,'AHL_PA_SC_BALANCE'!$A$8:$E$18,2,FALSE),VLOOKUP(AE9,'AHL_PA_SC_BALANCE'!$A$8:$E$18,4,FALSE)))</x:f>
        <x:v>49</x:v>
      </x:c>
      <x:c r="U9" s="63" t="n">
        <x:f>MAX(30,MIN(AC9-VLOOKUP(AE9,'AHL_PA_SC_BALANCE'!$A$8:$E$18,3,FALSE),VLOOKUP(AE9,'AHL_PA_SC_BALANCE'!$A$8:$E$18,5,FALSE)))</x:f>
        <x:v>47</x:v>
      </x:c>
      <x:c r="V9">
        <x:v>74</x:v>
      </x:c>
      <x:c r="W9">
        <x:v>54</x:v>
      </x:c>
      <x:c r="X9">
        <x:v>76</x:v>
      </x:c>
      <x:c r="Y9">
        <x:v>77</x:v>
      </x:c>
      <x:c r="Z9">
        <x:v>51</x:v>
      </x:c>
      <x:c r="AA9">
        <x:v>57</x:v>
      </x:c>
      <x:c r="AB9" s="57" t="n">
        <x:v>49</x:v>
      </x:c>
      <x:c r="AC9" s="57" t="n">
        <x:v>47</x:v>
      </x:c>
      <x:c r="AD9" s="59"/>
      <x:c r="AE9" s="61" t="str">
        <x:f>IF(N(F9)&gt;=10,"NHL_LATEST_10",IF(AND(N(F9)&gt;0,N(G9)&gt;0),"NHL_BOTH_SEASONS",IF(N(G9)&gt;=10,"NHL_PREVIOUS_10",IF(AND(ISNUMBER(AD9),AD9=0,SUM(F9:G9)=0),"FARM_CAREER_0",IF(COUNT(F9:G9)&lt;2,"UNKNOWN_GP",IF(AND(F9=0,G9=0),IF(AD9&gt;=10,"FARM_LEGACY_10",IF(AND(ISNUMBER(AD9),AD9&gt;0),"FARM_CAREER_1_9","FARM_0_0")),IF(F9&gt;=1,IF(F9&lt;=3,"FARM_RECENT_1_3","FARM_RECENT_4_9"),"FARM_PREV_1_9_ONLY")))))))</x:f>
        <x:v>UNKNOWN_GP</x:v>
      </x:c>
      <x:c r="AF9" s="57" t="n">
        <x:f>AB9-T9</x:f>
        <x:v>0</x:v>
      </x:c>
      <x:c r="AG9" s="57" t="n">
        <x:f>AC9-U9</x:f>
        <x:v>0</x:v>
      </x:c>
    </x:row>
    <x:row r="10">
      <x:c r="A10" t="s">
        <x:v>830</x:v>
      </x:c>
      <x:c r="C10" t="s">
        <x:v>331</x:v>
      </x:c>
      <x:c r="D10">
        <x:v>8475755</x:v>
      </x:c>
      <x:c r="E10" t="s">
        <x:v>267</x:v>
      </x:c>
      <x:c r="J10" t="s">
        <x:v>2474</x:v>
      </x:c>
      <x:c r="K10">
        <x:v>77</x:v>
      </x:c>
      <x:c r="L10">
        <x:v>68</x:v>
      </x:c>
      <x:c r="M10">
        <x:v>79</x:v>
      </x:c>
      <x:c r="N10">
        <x:v>37</x:v>
      </x:c>
      <x:c r="O10">
        <x:v>87</x:v>
      </x:c>
      <x:c r="P10">
        <x:v>85</x:v>
      </x:c>
      <x:c r="Q10">
        <x:v>81</x:v>
      </x:c>
      <x:c r="R10">
        <x:v>36</x:v>
      </x:c>
      <x:c r="S10">
        <x:v>30</x:v>
      </x:c>
      <x:c r="T10" s="63" t="n">
        <x:f>MAX(30,MIN(AB10-VLOOKUP(AE10,'AHL_PA_SC_BALANCE'!$A$8:$E$18,2,FALSE),VLOOKUP(AE10,'AHL_PA_SC_BALANCE'!$A$8:$E$18,4,FALSE)))</x:f>
        <x:v>50</x:v>
      </x:c>
      <x:c r="U10" s="63" t="n">
        <x:f>MAX(30,MIN(AC10-VLOOKUP(AE10,'AHL_PA_SC_BALANCE'!$A$8:$E$18,3,FALSE),VLOOKUP(AE10,'AHL_PA_SC_BALANCE'!$A$8:$E$18,5,FALSE)))</x:f>
        <x:v>47</x:v>
      </x:c>
      <x:c r="V10">
        <x:v>75</x:v>
      </x:c>
      <x:c r="W10">
        <x:v>55</x:v>
      </x:c>
      <x:c r="X10">
        <x:v>80</x:v>
      </x:c>
      <x:c r="Y10">
        <x:v>76</x:v>
      </x:c>
      <x:c r="Z10">
        <x:v>51</x:v>
      </x:c>
      <x:c r="AA10">
        <x:v>57</x:v>
      </x:c>
      <x:c r="AB10" s="57" t="n">
        <x:v>50</x:v>
      </x:c>
      <x:c r="AC10" s="57" t="n">
        <x:v>47</x:v>
      </x:c>
      <x:c r="AD10" s="59"/>
      <x:c r="AE10" s="61" t="str">
        <x:f>IF(N(F10)&gt;=10,"NHL_LATEST_10",IF(AND(N(F10)&gt;0,N(G10)&gt;0),"NHL_BOTH_SEASONS",IF(N(G10)&gt;=10,"NHL_PREVIOUS_10",IF(AND(ISNUMBER(AD10),AD10=0,SUM(F10:G10)=0),"FARM_CAREER_0",IF(COUNT(F10:G10)&lt;2,"UNKNOWN_GP",IF(AND(F10=0,G10=0),IF(AD10&gt;=10,"FARM_LEGACY_10",IF(AND(ISNUMBER(AD10),AD10&gt;0),"FARM_CAREER_1_9","FARM_0_0")),IF(F10&gt;=1,IF(F10&lt;=3,"FARM_RECENT_1_3","FARM_RECENT_4_9"),"FARM_PREV_1_9_ONLY")))))))</x:f>
        <x:v>UNKNOWN_GP</x:v>
      </x:c>
      <x:c r="AF10" s="57" t="n">
        <x:f>AB10-T10</x:f>
        <x:v>0</x:v>
      </x:c>
      <x:c r="AG10" s="57" t="n">
        <x:f>AC10-U10</x:f>
        <x:v>0</x:v>
      </x:c>
    </x:row>
    <x:row r="11">
      <x:c r="A11" t="s">
        <x:v>837</x:v>
      </x:c>
      <x:c r="C11" t="s">
        <x:v>319</x:v>
      </x:c>
      <x:c r="D11">
        <x:v>8484221</x:v>
      </x:c>
      <x:c r="E11" t="s">
        <x:v>267</x:v>
      </x:c>
      <x:c r="J11" t="s">
        <x:v>2474</x:v>
      </x:c>
      <x:c r="K11">
        <x:v>57</x:v>
      </x:c>
      <x:c r="L11">
        <x:v>35</x:v>
      </x:c>
      <x:c r="M11">
        <x:v>87</x:v>
      </x:c>
      <x:c r="N11">
        <x:v>54</x:v>
      </x:c>
      <x:c r="O11">
        <x:v>78</x:v>
      </x:c>
      <x:c r="P11">
        <x:v>83</x:v>
      </x:c>
      <x:c r="Q11">
        <x:v>84</x:v>
      </x:c>
      <x:c r="R11">
        <x:v>56</x:v>
      </x:c>
      <x:c r="S11">
        <x:v>77</x:v>
      </x:c>
      <x:c r="T11" s="63" t="n">
        <x:f>MAX(30,MIN(AB11-VLOOKUP(AE11,'AHL_PA_SC_BALANCE'!$A$8:$E$18,2,FALSE),VLOOKUP(AE11,'AHL_PA_SC_BALANCE'!$A$8:$E$18,4,FALSE)))</x:f>
        <x:v>54</x:v>
      </x:c>
      <x:c r="U11" s="63" t="n">
        <x:f>MAX(30,MIN(AC11-VLOOKUP(AE11,'AHL_PA_SC_BALANCE'!$A$8:$E$18,3,FALSE),VLOOKUP(AE11,'AHL_PA_SC_BALANCE'!$A$8:$E$18,5,FALSE)))</x:f>
        <x:v>56</x:v>
      </x:c>
      <x:c r="V11">
        <x:v>60</x:v>
      </x:c>
      <x:c r="W11">
        <x:v>55</x:v>
      </x:c>
      <x:c r="X11">
        <x:v>66</x:v>
      </x:c>
      <x:c r="Y11">
        <x:v>69</x:v>
      </x:c>
      <x:c r="Z11">
        <x:v>54</x:v>
      </x:c>
      <x:c r="AA11">
        <x:v>57</x:v>
      </x:c>
      <x:c r="AB11" s="57" t="n">
        <x:v>54</x:v>
      </x:c>
      <x:c r="AC11" s="57" t="n">
        <x:v>56</x:v>
      </x:c>
      <x:c r="AD11" s="59"/>
      <x:c r="AE11" s="61" t="str">
        <x:f>IF(N(F11)&gt;=10,"NHL_LATEST_10",IF(AND(N(F11)&gt;0,N(G11)&gt;0),"NHL_BOTH_SEASONS",IF(N(G11)&gt;=10,"NHL_PREVIOUS_10",IF(AND(ISNUMBER(AD11),AD11=0,SUM(F11:G11)=0),"FARM_CAREER_0",IF(COUNT(F11:G11)&lt;2,"UNKNOWN_GP",IF(AND(F11=0,G11=0),IF(AD11&gt;=10,"FARM_LEGACY_10",IF(AND(ISNUMBER(AD11),AD11&gt;0),"FARM_CAREER_1_9","FARM_0_0")),IF(F11&gt;=1,IF(F11&lt;=3,"FARM_RECENT_1_3","FARM_RECENT_4_9"),"FARM_PREV_1_9_ONLY")))))))</x:f>
        <x:v>UNKNOWN_GP</x:v>
      </x:c>
      <x:c r="AF11" s="57" t="n">
        <x:f>AB11-T11</x:f>
        <x:v>0</x:v>
      </x:c>
      <x:c r="AG11" s="57" t="n">
        <x:f>AC11-U11</x:f>
        <x:v>0</x:v>
      </x:c>
    </x:row>
    <x:row r="12">
      <x:c r="A12" t="s">
        <x:v>868</x:v>
      </x:c>
      <x:c r="C12" t="s">
        <x:v>339</x:v>
      </x:c>
      <x:c r="D12">
        <x:v>8482177</x:v>
      </x:c>
      <x:c r="E12" t="s">
        <x:v>267</x:v>
      </x:c>
      <x:c r="F12" t="n">
        <x:v>77</x:v>
      </x:c>
      <x:c r="G12" t="n">
        <x:v>75</x:v>
      </x:c>
      <x:c r="J12" t="str">
        <x:v>V10 NHL GP overené: 2025/26=77, 2024/25=75; PA/SC podľa skupiny AE. Externý V8 updater má vlastnú klasifikáciu.</x:v>
      </x:c>
      <x:c r="K12">
        <x:v>61</x:v>
      </x:c>
      <x:c r="L12">
        <x:v>35</x:v>
      </x:c>
      <x:c r="M12">
        <x:v>92</x:v>
      </x:c>
      <x:c r="N12">
        <x:v>54</x:v>
      </x:c>
      <x:c r="O12">
        <x:v>77</x:v>
      </x:c>
      <x:c r="P12">
        <x:v>85</x:v>
      </x:c>
      <x:c r="Q12">
        <x:v>91</x:v>
      </x:c>
      <x:c r="R12">
        <x:v>54</x:v>
      </x:c>
      <x:c r="S12">
        <x:v>75</x:v>
      </x:c>
      <x:c r="T12" s="63" t="n">
        <x:f>MAX(30,MIN(AB12-VLOOKUP(AE12,'AHL_PA_SC_BALANCE'!$A$8:$E$18,2,FALSE),VLOOKUP(AE12,'AHL_PA_SC_BALANCE'!$A$8:$E$18,4,FALSE)))</x:f>
        <x:v>53</x:v>
      </x:c>
      <x:c r="U12" s="63" t="n">
        <x:f>MAX(30,MIN(AC12-VLOOKUP(AE12,'AHL_PA_SC_BALANCE'!$A$8:$E$18,3,FALSE),VLOOKUP(AE12,'AHL_PA_SC_BALANCE'!$A$8:$E$18,5,FALSE)))</x:f>
        <x:v>55</x:v>
      </x:c>
      <x:c r="V12">
        <x:v>68</x:v>
      </x:c>
      <x:c r="W12">
        <x:v>70</x:v>
      </x:c>
      <x:c r="X12">
        <x:v>67</x:v>
      </x:c>
      <x:c r="Y12">
        <x:v>65</x:v>
      </x:c>
      <x:c r="Z12">
        <x:v>54</x:v>
      </x:c>
      <x:c r="AA12">
        <x:v>57</x:v>
      </x:c>
      <x:c r="AB12" s="57" t="n">
        <x:v>53</x:v>
      </x:c>
      <x:c r="AC12" s="57" t="n">
        <x:v>55</x:v>
      </x:c>
      <x:c r="AD12" s="59"/>
      <x:c r="AE12" s="61" t="str">
        <x:f>IF(N(F12)&gt;=10,"NHL_LATEST_10",IF(AND(N(F12)&gt;0,N(G12)&gt;0),"NHL_BOTH_SEASONS",IF(N(G12)&gt;=10,"NHL_PREVIOUS_10",IF(AND(ISNUMBER(AD12),AD12=0,SUM(F12:G12)=0),"FARM_CAREER_0",IF(COUNT(F12:G12)&lt;2,"UNKNOWN_GP",IF(AND(F12=0,G12=0),IF(AD12&gt;=10,"FARM_LEGACY_10",IF(AND(ISNUMBER(AD12),AD12&gt;0),"FARM_CAREER_1_9","FARM_0_0")),IF(F12&gt;=1,IF(F12&lt;=3,"FARM_RECENT_1_3","FARM_RECENT_4_9"),"FARM_PREV_1_9_ONLY")))))))</x:f>
        <x:v>NHL_LATEST_10</x:v>
      </x:c>
      <x:c r="AF12" s="57" t="n">
        <x:f>AB12-T12</x:f>
        <x:v>0</x:v>
      </x:c>
      <x:c r="AG12" s="57" t="n">
        <x:f>AC12-U12</x:f>
        <x:v>0</x:v>
      </x:c>
      <x:c r="AH12" t="str">
        <x:v>https://www.hockey-reference.com/players/k/khusnma01.html</x:v>
      </x:c>
    </x:row>
    <x:row r="13">
      <x:c r="A13" t="s">
        <x:v>901</x:v>
      </x:c>
      <x:c r="C13" t="s">
        <x:v>329</x:v>
      </x:c>
      <x:c r="D13">
        <x:v>8484471</x:v>
      </x:c>
      <x:c r="E13" t="s">
        <x:v>267</x:v>
      </x:c>
      <x:c r="F13" t="n">
        <x:v>82</x:v>
      </x:c>
      <x:c r="G13" t="n">
        <x:v>0</x:v>
      </x:c>
      <x:c r="J13" t="str">
        <x:v>V10 NHL GP overené: 2025/26=82, 2024/25=0; PA/SC podľa skupiny AE. Externý V8 updater má vlastnú klasifikáciu.</x:v>
      </x:c>
      <x:c r="K13">
        <x:v>71</x:v>
      </x:c>
      <x:c r="L13">
        <x:v>36</x:v>
      </x:c>
      <x:c r="M13">
        <x:v>94</x:v>
      </x:c>
      <x:c r="N13">
        <x:v>54</x:v>
      </x:c>
      <x:c r="O13">
        <x:v>78</x:v>
      </x:c>
      <x:c r="P13">
        <x:v>84</x:v>
      </x:c>
      <x:c r="Q13">
        <x:v>94</x:v>
      </x:c>
      <x:c r="R13">
        <x:v>51</x:v>
      </x:c>
      <x:c r="S13">
        <x:v>70</x:v>
      </x:c>
      <x:c r="T13" s="63" t="n">
        <x:f>MAX(30,MIN(AB13-VLOOKUP(AE13,'AHL_PA_SC_BALANCE'!$A$8:$E$18,2,FALSE),VLOOKUP(AE13,'AHL_PA_SC_BALANCE'!$A$8:$E$18,4,FALSE)))</x:f>
        <x:v>52</x:v>
      </x:c>
      <x:c r="U13" s="63" t="n">
        <x:f>MAX(30,MIN(AC13-VLOOKUP(AE13,'AHL_PA_SC_BALANCE'!$A$8:$E$18,3,FALSE),VLOOKUP(AE13,'AHL_PA_SC_BALANCE'!$A$8:$E$18,5,FALSE)))</x:f>
        <x:v>54</x:v>
      </x:c>
      <x:c r="V13">
        <x:v>65</x:v>
      </x:c>
      <x:c r="W13">
        <x:v>54</x:v>
      </x:c>
      <x:c r="X13">
        <x:v>66</x:v>
      </x:c>
      <x:c r="Y13">
        <x:v>65</x:v>
      </x:c>
      <x:c r="Z13">
        <x:v>54</x:v>
      </x:c>
      <x:c r="AA13">
        <x:v>56</x:v>
      </x:c>
      <x:c r="AB13" s="57" t="n">
        <x:v>52</x:v>
      </x:c>
      <x:c r="AC13" s="57" t="n">
        <x:v>54</x:v>
      </x:c>
      <x:c r="AD13" s="59"/>
      <x:c r="AE13" s="61" t="str">
        <x:f>IF(N(F13)&gt;=10,"NHL_LATEST_10",IF(AND(N(F13)&gt;0,N(G13)&gt;0),"NHL_BOTH_SEASONS",IF(N(G13)&gt;=10,"NHL_PREVIOUS_10",IF(AND(ISNUMBER(AD13),AD13=0,SUM(F13:G13)=0),"FARM_CAREER_0",IF(COUNT(F13:G13)&lt;2,"UNKNOWN_GP",IF(AND(F13=0,G13=0),IF(AD13&gt;=10,"FARM_LEGACY_10",IF(AND(ISNUMBER(AD13),AD13&gt;0),"FARM_CAREER_1_9","FARM_0_0")),IF(F13&gt;=1,IF(F13&lt;=3,"FARM_RECENT_1_3","FARM_RECENT_4_9"),"FARM_PREV_1_9_ONLY")))))))</x:f>
        <x:v>NHL_LATEST_10</x:v>
      </x:c>
      <x:c r="AF13" s="57" t="n">
        <x:f>AB13-T13</x:f>
        <x:v>0</x:v>
      </x:c>
      <x:c r="AG13" s="57" t="n">
        <x:f>AC13-U13</x:f>
        <x:v>0</x:v>
      </x:c>
      <x:c r="AH13" t="str">
        <x:v>https://www.hockey-reference.com/players/f/finniem01.html</x:v>
      </x:c>
    </x:row>
    <x:row r="14">
      <x:c r="A14" t="s">
        <x:v>902</x:v>
      </x:c>
      <x:c r="C14" t="s">
        <x:v>339</x:v>
      </x:c>
      <x:c r="D14">
        <x:v>8456453</x:v>
      </x:c>
      <x:c r="E14" t="s">
        <x:v>267</x:v>
      </x:c>
      <x:c r="J14" t="s">
        <x:v>2474</x:v>
      </x:c>
      <x:c r="K14">
        <x:v>79</x:v>
      </x:c>
      <x:c r="L14">
        <x:v>39</x:v>
      </x:c>
      <x:c r="M14">
        <x:v>94</x:v>
      </x:c>
      <x:c r="N14">
        <x:v>48</x:v>
      </x:c>
      <x:c r="O14">
        <x:v>81</x:v>
      </x:c>
      <x:c r="P14">
        <x:v>83</x:v>
      </x:c>
      <x:c r="Q14">
        <x:v>32</x:v>
      </x:c>
      <x:c r="R14">
        <x:v>49</x:v>
      </x:c>
      <x:c r="S14">
        <x:v>82</x:v>
      </x:c>
      <x:c r="T14" s="63" t="n">
        <x:f>MAX(30,MIN(AB14-VLOOKUP(AE14,'AHL_PA_SC_BALANCE'!$A$8:$E$18,2,FALSE),VLOOKUP(AE14,'AHL_PA_SC_BALANCE'!$A$8:$E$18,4,FALSE)))</x:f>
        <x:v>48</x:v>
      </x:c>
      <x:c r="U14" s="63" t="n">
        <x:f>MAX(30,MIN(AC14-VLOOKUP(AE14,'AHL_PA_SC_BALANCE'!$A$8:$E$18,3,FALSE),VLOOKUP(AE14,'AHL_PA_SC_BALANCE'!$A$8:$E$18,5,FALSE)))</x:f>
        <x:v>54</x:v>
      </x:c>
      <x:c r="V14">
        <x:v>69</x:v>
      </x:c>
      <x:c r="W14">
        <x:v>51</x:v>
      </x:c>
      <x:c r="X14">
        <x:v>68</x:v>
      </x:c>
      <x:c r="Y14">
        <x:v>68</x:v>
      </x:c>
      <x:c r="Z14">
        <x:v>54</x:v>
      </x:c>
      <x:c r="AA14">
        <x:v>56</x:v>
      </x:c>
      <x:c r="AB14" s="57" t="n">
        <x:v>48</x:v>
      </x:c>
      <x:c r="AC14" s="57" t="n">
        <x:v>54</x:v>
      </x:c>
      <x:c r="AD14" s="59"/>
      <x:c r="AE14" s="61" t="str">
        <x:f>IF(N(F14)&gt;=10,"NHL_LATEST_10",IF(AND(N(F14)&gt;0,N(G14)&gt;0),"NHL_BOTH_SEASONS",IF(N(G14)&gt;=10,"NHL_PREVIOUS_10",IF(AND(ISNUMBER(AD14),AD14=0,SUM(F14:G14)=0),"FARM_CAREER_0",IF(COUNT(F14:G14)&lt;2,"UNKNOWN_GP",IF(AND(F14=0,G14=0),IF(AD14&gt;=10,"FARM_LEGACY_10",IF(AND(ISNUMBER(AD14),AD14&gt;0),"FARM_CAREER_1_9","FARM_0_0")),IF(F14&gt;=1,IF(F14&lt;=3,"FARM_RECENT_1_3","FARM_RECENT_4_9"),"FARM_PREV_1_9_ONLY")))))))</x:f>
        <x:v>UNKNOWN_GP</x:v>
      </x:c>
      <x:c r="AF14" s="57" t="n">
        <x:f>AB14-T14</x:f>
        <x:v>0</x:v>
      </x:c>
      <x:c r="AG14" s="57" t="n">
        <x:f>AC14-U14</x:f>
        <x:v>0</x:v>
      </x:c>
    </x:row>
    <x:row r="15">
      <x:c r="A15" t="s">
        <x:v>910</x:v>
      </x:c>
      <x:c r="C15" t="s">
        <x:v>329</x:v>
      </x:c>
      <x:c r="D15">
        <x:v>8475714</x:v>
      </x:c>
      <x:c r="E15" t="s">
        <x:v>267</x:v>
      </x:c>
      <x:c r="J15" t="s">
        <x:v>2474</x:v>
      </x:c>
      <x:c r="K15">
        <x:v>62</x:v>
      </x:c>
      <x:c r="L15">
        <x:v>36</x:v>
      </x:c>
      <x:c r="M15">
        <x:v>94</x:v>
      </x:c>
      <x:c r="N15">
        <x:v>51</x:v>
      </x:c>
      <x:c r="O15">
        <x:v>78</x:v>
      </x:c>
      <x:c r="P15">
        <x:v>83</x:v>
      </x:c>
      <x:c r="Q15">
        <x:v>72</x:v>
      </x:c>
      <x:c r="R15">
        <x:v>49</x:v>
      </x:c>
      <x:c r="S15">
        <x:v>72</x:v>
      </x:c>
      <x:c r="T15" s="63" t="n">
        <x:f>MAX(30,MIN(AB15-VLOOKUP(AE15,'AHL_PA_SC_BALANCE'!$A$8:$E$18,2,FALSE),VLOOKUP(AE15,'AHL_PA_SC_BALANCE'!$A$8:$E$18,4,FALSE)))</x:f>
        <x:v>50</x:v>
      </x:c>
      <x:c r="U15" s="63" t="n">
        <x:f>MAX(30,MIN(AC15-VLOOKUP(AE15,'AHL_PA_SC_BALANCE'!$A$8:$E$18,3,FALSE),VLOOKUP(AE15,'AHL_PA_SC_BALANCE'!$A$8:$E$18,5,FALSE)))</x:f>
        <x:v>52</x:v>
      </x:c>
      <x:c r="V15">
        <x:v>67</x:v>
      </x:c>
      <x:c r="W15">
        <x:v>57</x:v>
      </x:c>
      <x:c r="X15">
        <x:v>86</x:v>
      </x:c>
      <x:c r="Y15">
        <x:v>76</x:v>
      </x:c>
      <x:c r="Z15">
        <x:v>51</x:v>
      </x:c>
      <x:c r="AA15">
        <x:v>56</x:v>
      </x:c>
      <x:c r="AB15" s="57" t="n">
        <x:v>50</x:v>
      </x:c>
      <x:c r="AC15" s="57" t="n">
        <x:v>52</x:v>
      </x:c>
      <x:c r="AD15" s="59"/>
      <x:c r="AE15" s="61" t="str">
        <x:f>IF(N(F15)&gt;=10,"NHL_LATEST_10",IF(AND(N(F15)&gt;0,N(G15)&gt;0),"NHL_BOTH_SEASONS",IF(N(G15)&gt;=10,"NHL_PREVIOUS_10",IF(AND(ISNUMBER(AD15),AD15=0,SUM(F15:G15)=0),"FARM_CAREER_0",IF(COUNT(F15:G15)&lt;2,"UNKNOWN_GP",IF(AND(F15=0,G15=0),IF(AD15&gt;=10,"FARM_LEGACY_10",IF(AND(ISNUMBER(AD15),AD15&gt;0),"FARM_CAREER_1_9","FARM_0_0")),IF(F15&gt;=1,IF(F15&lt;=3,"FARM_RECENT_1_3","FARM_RECENT_4_9"),"FARM_PREV_1_9_ONLY")))))))</x:f>
        <x:v>UNKNOWN_GP</x:v>
      </x:c>
      <x:c r="AF15" s="57" t="n">
        <x:f>AB15-T15</x:f>
        <x:v>0</x:v>
      </x:c>
      <x:c r="AG15" s="57" t="n">
        <x:f>AC15-U15</x:f>
        <x:v>0</x:v>
      </x:c>
    </x:row>
    <x:row r="16">
      <x:c r="A16" t="s">
        <x:v>911</x:v>
      </x:c>
      <x:c r="C16" t="s">
        <x:v>331</x:v>
      </x:c>
      <x:c r="D16">
        <x:v>8482624</x:v>
      </x:c>
      <x:c r="E16" t="s">
        <x:v>267</x:v>
      </x:c>
      <x:c r="J16" t="s">
        <x:v>2474</x:v>
      </x:c>
      <x:c r="K16">
        <x:v>72</x:v>
      </x:c>
      <x:c r="L16">
        <x:v>37</x:v>
      </x:c>
      <x:c r="M16">
        <x:v>86</x:v>
      </x:c>
      <x:c r="N16">
        <x:v>35</x:v>
      </x:c>
      <x:c r="O16">
        <x:v>83</x:v>
      </x:c>
      <x:c r="P16">
        <x:v>86</x:v>
      </x:c>
      <x:c r="Q16">
        <x:v>88</x:v>
      </x:c>
      <x:c r="R16">
        <x:v>34</x:v>
      </x:c>
      <x:c r="S16">
        <x:v>30</x:v>
      </x:c>
      <x:c r="T16" s="63" t="n">
        <x:f>MAX(30,MIN(AB16-VLOOKUP(AE16,'AHL_PA_SC_BALANCE'!$A$8:$E$18,2,FALSE),VLOOKUP(AE16,'AHL_PA_SC_BALANCE'!$A$8:$E$18,4,FALSE)))</x:f>
        <x:v>52</x:v>
      </x:c>
      <x:c r="U16" s="63" t="n">
        <x:f>MAX(30,MIN(AC16-VLOOKUP(AE16,'AHL_PA_SC_BALANCE'!$A$8:$E$18,3,FALSE),VLOOKUP(AE16,'AHL_PA_SC_BALANCE'!$A$8:$E$18,5,FALSE)))</x:f>
        <x:v>46</x:v>
      </x:c>
      <x:c r="V16">
        <x:v>74</x:v>
      </x:c>
      <x:c r="W16">
        <x:v>52</x:v>
      </x:c>
      <x:c r="X16">
        <x:v>74</x:v>
      </x:c>
      <x:c r="Y16">
        <x:v>71</x:v>
      </x:c>
      <x:c r="Z16">
        <x:v>51</x:v>
      </x:c>
      <x:c r="AA16">
        <x:v>56</x:v>
      </x:c>
      <x:c r="AB16" s="57" t="n">
        <x:v>52</x:v>
      </x:c>
      <x:c r="AC16" s="57" t="n">
        <x:v>46</x:v>
      </x:c>
      <x:c r="AD16" s="59"/>
      <x:c r="AE16" s="61" t="str">
        <x:f>IF(N(F16)&gt;=10,"NHL_LATEST_10",IF(AND(N(F16)&gt;0,N(G16)&gt;0),"NHL_BOTH_SEASONS",IF(N(G16)&gt;=10,"NHL_PREVIOUS_10",IF(AND(ISNUMBER(AD16),AD16=0,SUM(F16:G16)=0),"FARM_CAREER_0",IF(COUNT(F16:G16)&lt;2,"UNKNOWN_GP",IF(AND(F16=0,G16=0),IF(AD16&gt;=10,"FARM_LEGACY_10",IF(AND(ISNUMBER(AD16),AD16&gt;0),"FARM_CAREER_1_9","FARM_0_0")),IF(F16&gt;=1,IF(F16&lt;=3,"FARM_RECENT_1_3","FARM_RECENT_4_9"),"FARM_PREV_1_9_ONLY")))))))</x:f>
        <x:v>UNKNOWN_GP</x:v>
      </x:c>
      <x:c r="AF16" s="57" t="n">
        <x:f>AB16-T16</x:f>
        <x:v>0</x:v>
      </x:c>
      <x:c r="AG16" s="57" t="n">
        <x:f>AC16-U16</x:f>
        <x:v>0</x:v>
      </x:c>
    </x:row>
    <x:row r="17">
      <x:c r="A17" t="s">
        <x:v>912</x:v>
      </x:c>
      <x:c r="C17" t="s">
        <x:v>323</x:v>
      </x:c>
      <x:c r="D17">
        <x:v>8477380</x:v>
      </x:c>
      <x:c r="E17" t="s">
        <x:v>267</x:v>
      </x:c>
      <x:c r="J17" t="s">
        <x:v>2474</x:v>
      </x:c>
      <x:c r="K17">
        <x:v>64</x:v>
      </x:c>
      <x:c r="L17">
        <x:v>36</x:v>
      </x:c>
      <x:c r="M17">
        <x:v>93</x:v>
      </x:c>
      <x:c r="N17">
        <x:v>49</x:v>
      </x:c>
      <x:c r="O17">
        <x:v>79</x:v>
      </x:c>
      <x:c r="P17">
        <x:v>82</x:v>
      </x:c>
      <x:c r="Q17">
        <x:v>78</x:v>
      </x:c>
      <x:c r="R17">
        <x:v>48</x:v>
      </x:c>
      <x:c r="S17">
        <x:v>77</x:v>
      </x:c>
      <x:c r="T17" s="63" t="n">
        <x:f>MAX(30,MIN(AB17-VLOOKUP(AE17,'AHL_PA_SC_BALANCE'!$A$8:$E$18,2,FALSE),VLOOKUP(AE17,'AHL_PA_SC_BALANCE'!$A$8:$E$18,4,FALSE)))</x:f>
        <x:v>52</x:v>
      </x:c>
      <x:c r="U17" s="63" t="n">
        <x:f>MAX(30,MIN(AC17-VLOOKUP(AE17,'AHL_PA_SC_BALANCE'!$A$8:$E$18,3,FALSE),VLOOKUP(AE17,'AHL_PA_SC_BALANCE'!$A$8:$E$18,5,FALSE)))</x:f>
        <x:v>53</x:v>
      </x:c>
      <x:c r="V17">
        <x:v>62</x:v>
      </x:c>
      <x:c r="W17">
        <x:v>53</x:v>
      </x:c>
      <x:c r="X17">
        <x:v>82</x:v>
      </x:c>
      <x:c r="Y17">
        <x:v>77</x:v>
      </x:c>
      <x:c r="Z17">
        <x:v>51</x:v>
      </x:c>
      <x:c r="AA17">
        <x:v>56</x:v>
      </x:c>
      <x:c r="AB17" s="57" t="n">
        <x:v>52</x:v>
      </x:c>
      <x:c r="AC17" s="57" t="n">
        <x:v>53</x:v>
      </x:c>
      <x:c r="AD17" s="59"/>
      <x:c r="AE17" s="61" t="str">
        <x:f>IF(N(F17)&gt;=10,"NHL_LATEST_10",IF(AND(N(F17)&gt;0,N(G17)&gt;0),"NHL_BOTH_SEASONS",IF(N(G17)&gt;=10,"NHL_PREVIOUS_10",IF(AND(ISNUMBER(AD17),AD17=0,SUM(F17:G17)=0),"FARM_CAREER_0",IF(COUNT(F17:G17)&lt;2,"UNKNOWN_GP",IF(AND(F17=0,G17=0),IF(AD17&gt;=10,"FARM_LEGACY_10",IF(AND(ISNUMBER(AD17),AD17&gt;0),"FARM_CAREER_1_9","FARM_0_0")),IF(F17&gt;=1,IF(F17&lt;=3,"FARM_RECENT_1_3","FARM_RECENT_4_9"),"FARM_PREV_1_9_ONLY")))))))</x:f>
        <x:v>UNKNOWN_GP</x:v>
      </x:c>
      <x:c r="AF17" s="57" t="n">
        <x:f>AB17-T17</x:f>
        <x:v>0</x:v>
      </x:c>
      <x:c r="AG17" s="57" t="n">
        <x:f>AC17-U17</x:f>
        <x:v>0</x:v>
      </x:c>
    </x:row>
    <x:row r="18">
      <x:c r="A18" t="s">
        <x:v>914</x:v>
      </x:c>
      <x:c r="C18" t="s">
        <x:v>331</x:v>
      </x:c>
      <x:c r="D18">
        <x:v>8481593</x:v>
      </x:c>
      <x:c r="E18" t="s">
        <x:v>267</x:v>
      </x:c>
      <x:c r="J18" t="s">
        <x:v>2474</x:v>
      </x:c>
      <x:c r="K18">
        <x:v>80</x:v>
      </x:c>
      <x:c r="L18">
        <x:v>78</x:v>
      </x:c>
      <x:c r="M18">
        <x:v>77</x:v>
      </x:c>
      <x:c r="N18">
        <x:v>37</x:v>
      </x:c>
      <x:c r="O18">
        <x:v>85</x:v>
      </x:c>
      <x:c r="P18">
        <x:v>84</x:v>
      </x:c>
      <x:c r="Q18">
        <x:v>82</x:v>
      </x:c>
      <x:c r="R18">
        <x:v>38</x:v>
      </x:c>
      <x:c r="S18">
        <x:v>30</x:v>
      </x:c>
      <x:c r="T18" s="63" t="n">
        <x:f>MAX(30,MIN(AB18-VLOOKUP(AE18,'AHL_PA_SC_BALANCE'!$A$8:$E$18,2,FALSE),VLOOKUP(AE18,'AHL_PA_SC_BALANCE'!$A$8:$E$18,4,FALSE)))</x:f>
        <x:v>52</x:v>
      </x:c>
      <x:c r="U18" s="63" t="n">
        <x:f>MAX(30,MIN(AC18-VLOOKUP(AE18,'AHL_PA_SC_BALANCE'!$A$8:$E$18,3,FALSE),VLOOKUP(AE18,'AHL_PA_SC_BALANCE'!$A$8:$E$18,5,FALSE)))</x:f>
        <x:v>46</x:v>
      </x:c>
      <x:c r="V18">
        <x:v>74</x:v>
      </x:c>
      <x:c r="W18">
        <x:v>51</x:v>
      </x:c>
      <x:c r="X18">
        <x:v>69</x:v>
      </x:c>
      <x:c r="Y18">
        <x:v>68</x:v>
      </x:c>
      <x:c r="Z18">
        <x:v>47</x:v>
      </x:c>
      <x:c r="AA18">
        <x:v>56</x:v>
      </x:c>
      <x:c r="AB18" s="57" t="n">
        <x:v>52</x:v>
      </x:c>
      <x:c r="AC18" s="57" t="n">
        <x:v>46</x:v>
      </x:c>
      <x:c r="AD18" s="59"/>
      <x:c r="AE18" s="61" t="str">
        <x:f>IF(N(F18)&gt;=10,"NHL_LATEST_10",IF(AND(N(F18)&gt;0,N(G18)&gt;0),"NHL_BOTH_SEASONS",IF(N(G18)&gt;=10,"NHL_PREVIOUS_10",IF(AND(ISNUMBER(AD18),AD18=0,SUM(F18:G18)=0),"FARM_CAREER_0",IF(COUNT(F18:G18)&lt;2,"UNKNOWN_GP",IF(AND(F18=0,G18=0),IF(AD18&gt;=10,"FARM_LEGACY_10",IF(AND(ISNUMBER(AD18),AD18&gt;0),"FARM_CAREER_1_9","FARM_0_0")),IF(F18&gt;=1,IF(F18&lt;=3,"FARM_RECENT_1_3","FARM_RECENT_4_9"),"FARM_PREV_1_9_ONLY")))))))</x:f>
        <x:v>UNKNOWN_GP</x:v>
      </x:c>
      <x:c r="AF18" s="57" t="n">
        <x:f>AB18-T18</x:f>
        <x:v>0</x:v>
      </x:c>
      <x:c r="AG18" s="57" t="n">
        <x:f>AC18-U18</x:f>
        <x:v>0</x:v>
      </x:c>
    </x:row>
    <x:row r="19">
      <x:c r="A19" t="s">
        <x:v>917</x:v>
      </x:c>
      <x:c r="C19" t="s">
        <x:v>331</x:v>
      </x:c>
      <x:c r="D19">
        <x:v>8477384</x:v>
      </x:c>
      <x:c r="E19" t="s">
        <x:v>267</x:v>
      </x:c>
      <x:c r="J19" t="s">
        <x:v>2474</x:v>
      </x:c>
      <x:c r="K19">
        <x:v>79</x:v>
      </x:c>
      <x:c r="L19">
        <x:v>91</x:v>
      </x:c>
      <x:c r="M19">
        <x:v>74</x:v>
      </x:c>
      <x:c r="N19">
        <x:v>34</x:v>
      </x:c>
      <x:c r="O19">
        <x:v>88</x:v>
      </x:c>
      <x:c r="P19">
        <x:v>82</x:v>
      </x:c>
      <x:c r="Q19">
        <x:v>84</x:v>
      </x:c>
      <x:c r="R19">
        <x:v>35</x:v>
      </x:c>
      <x:c r="S19">
        <x:v>30</x:v>
      </x:c>
      <x:c r="T19" s="63" t="n">
        <x:f>MAX(30,MIN(AB19-VLOOKUP(AE19,'AHL_PA_SC_BALANCE'!$A$8:$E$18,2,FALSE),VLOOKUP(AE19,'AHL_PA_SC_BALANCE'!$A$8:$E$18,4,FALSE)))</x:f>
        <x:v>49</x:v>
      </x:c>
      <x:c r="U19" s="63" t="n">
        <x:f>MAX(30,MIN(AC19-VLOOKUP(AE19,'AHL_PA_SC_BALANCE'!$A$8:$E$18,3,FALSE),VLOOKUP(AE19,'AHL_PA_SC_BALANCE'!$A$8:$E$18,5,FALSE)))</x:f>
        <x:v>44</x:v>
      </x:c>
      <x:c r="V19">
        <x:v>75</x:v>
      </x:c>
      <x:c r="W19">
        <x:v>47</x:v>
      </x:c>
      <x:c r="X19">
        <x:v>81</x:v>
      </x:c>
      <x:c r="Y19">
        <x:v>74</x:v>
      </x:c>
      <x:c r="Z19">
        <x:v>51</x:v>
      </x:c>
      <x:c r="AA19">
        <x:v>56</x:v>
      </x:c>
      <x:c r="AB19" s="57" t="n">
        <x:v>49</x:v>
      </x:c>
      <x:c r="AC19" s="57" t="n">
        <x:v>44</x:v>
      </x:c>
      <x:c r="AD19" s="59"/>
      <x:c r="AE19" s="61" t="str">
        <x:f>IF(N(F19)&gt;=10,"NHL_LATEST_10",IF(AND(N(F19)&gt;0,N(G19)&gt;0),"NHL_BOTH_SEASONS",IF(N(G19)&gt;=10,"NHL_PREVIOUS_10",IF(AND(ISNUMBER(AD19),AD19=0,SUM(F19:G19)=0),"FARM_CAREER_0",IF(COUNT(F19:G19)&lt;2,"UNKNOWN_GP",IF(AND(F19=0,G19=0),IF(AD19&gt;=10,"FARM_LEGACY_10",IF(AND(ISNUMBER(AD19),AD19&gt;0),"FARM_CAREER_1_9","FARM_0_0")),IF(F19&gt;=1,IF(F19&lt;=3,"FARM_RECENT_1_3","FARM_RECENT_4_9"),"FARM_PREV_1_9_ONLY")))))))</x:f>
        <x:v>UNKNOWN_GP</x:v>
      </x:c>
      <x:c r="AF19" s="57" t="n">
        <x:f>AB19-T19</x:f>
        <x:v>0</x:v>
      </x:c>
      <x:c r="AG19" s="57" t="n">
        <x:f>AC19-U19</x:f>
        <x:v>0</x:v>
      </x:c>
    </x:row>
    <x:row r="20">
      <x:c r="A20" t="s">
        <x:v>922</x:v>
      </x:c>
      <x:c r="C20" t="s">
        <x:v>331</x:v>
      </x:c>
      <x:c r="D20">
        <x:v>8478451</x:v>
      </x:c>
      <x:c r="E20" t="s">
        <x:v>267</x:v>
      </x:c>
      <x:c r="J20" t="s">
        <x:v>2474</x:v>
      </x:c>
      <x:c r="K20">
        <x:v>67</x:v>
      </x:c>
      <x:c r="L20">
        <x:v>39</x:v>
      </x:c>
      <x:c r="M20">
        <x:v>87</x:v>
      </x:c>
      <x:c r="N20">
        <x:v>35</x:v>
      </x:c>
      <x:c r="O20">
        <x:v>78</x:v>
      </x:c>
      <x:c r="P20">
        <x:v>79</x:v>
      </x:c>
      <x:c r="Q20">
        <x:v>81</x:v>
      </x:c>
      <x:c r="R20">
        <x:v>36</x:v>
      </x:c>
      <x:c r="S20">
        <x:v>30</x:v>
      </x:c>
      <x:c r="T20" s="63" t="n">
        <x:f>MAX(30,MIN(AB20-VLOOKUP(AE20,'AHL_PA_SC_BALANCE'!$A$8:$E$18,2,FALSE),VLOOKUP(AE20,'AHL_PA_SC_BALANCE'!$A$8:$E$18,4,FALSE)))</x:f>
        <x:v>51</x:v>
      </x:c>
      <x:c r="U20" s="63" t="n">
        <x:f>MAX(30,MIN(AC20-VLOOKUP(AE20,'AHL_PA_SC_BALANCE'!$A$8:$E$18,3,FALSE),VLOOKUP(AE20,'AHL_PA_SC_BALANCE'!$A$8:$E$18,5,FALSE)))</x:f>
        <x:v>44</x:v>
      </x:c>
      <x:c r="V20">
        <x:v>73</x:v>
      </x:c>
      <x:c r="W20">
        <x:v>52</x:v>
      </x:c>
      <x:c r="X20">
        <x:v>71</x:v>
      </x:c>
      <x:c r="Y20">
        <x:v>70</x:v>
      </x:c>
      <x:c r="Z20">
        <x:v>51</x:v>
      </x:c>
      <x:c r="AA20">
        <x:v>56</x:v>
      </x:c>
      <x:c r="AB20" s="57" t="n">
        <x:v>51</x:v>
      </x:c>
      <x:c r="AC20" s="57" t="n">
        <x:v>44</x:v>
      </x:c>
      <x:c r="AD20" s="59"/>
      <x:c r="AE20" s="61" t="str">
        <x:f>IF(N(F20)&gt;=10,"NHL_LATEST_10",IF(AND(N(F20)&gt;0,N(G20)&gt;0),"NHL_BOTH_SEASONS",IF(N(G20)&gt;=10,"NHL_PREVIOUS_10",IF(AND(ISNUMBER(AD20),AD20=0,SUM(F20:G20)=0),"FARM_CAREER_0",IF(COUNT(F20:G20)&lt;2,"UNKNOWN_GP",IF(AND(F20=0,G20=0),IF(AD20&gt;=10,"FARM_LEGACY_10",IF(AND(ISNUMBER(AD20),AD20&gt;0),"FARM_CAREER_1_9","FARM_0_0")),IF(F20&gt;=1,IF(F20&lt;=3,"FARM_RECENT_1_3","FARM_RECENT_4_9"),"FARM_PREV_1_9_ONLY")))))))</x:f>
        <x:v>UNKNOWN_GP</x:v>
      </x:c>
      <x:c r="AF20" s="57" t="n">
        <x:f>AB20-T20</x:f>
        <x:v>0</x:v>
      </x:c>
      <x:c r="AG20" s="57" t="n">
        <x:f>AC20-U20</x:f>
        <x:v>0</x:v>
      </x:c>
    </x:row>
    <x:row r="21">
      <x:c r="A21" t="s">
        <x:v>927</x:v>
      </x:c>
      <x:c r="C21" t="s">
        <x:v>339</x:v>
      </x:c>
      <x:c r="D21">
        <x:v>8483752</x:v>
      </x:c>
      <x:c r="E21" t="s">
        <x:v>267</x:v>
      </x:c>
      <x:c r="J21" t="s">
        <x:v>2474</x:v>
      </x:c>
      <x:c r="K21">
        <x:v>68</x:v>
      </x:c>
      <x:c r="L21">
        <x:v>31</x:v>
      </x:c>
      <x:c r="M21">
        <x:v>92</x:v>
      </x:c>
      <x:c r="N21">
        <x:v>52</x:v>
      </x:c>
      <x:c r="O21">
        <x:v>75</x:v>
      </x:c>
      <x:c r="P21">
        <x:v>82</x:v>
      </x:c>
      <x:c r="Q21">
        <x:v>72</x:v>
      </x:c>
      <x:c r="R21">
        <x:v>49</x:v>
      </x:c>
      <x:c r="S21">
        <x:v>83</x:v>
      </x:c>
      <x:c r="T21" s="63" t="n">
        <x:f>MAX(30,MIN(AB21-VLOOKUP(AE21,'AHL_PA_SC_BALANCE'!$A$8:$E$18,2,FALSE),VLOOKUP(AE21,'AHL_PA_SC_BALANCE'!$A$8:$E$18,4,FALSE)))</x:f>
        <x:v>51</x:v>
      </x:c>
      <x:c r="U21" s="63" t="n">
        <x:f>MAX(30,MIN(AC21-VLOOKUP(AE21,'AHL_PA_SC_BALANCE'!$A$8:$E$18,3,FALSE),VLOOKUP(AE21,'AHL_PA_SC_BALANCE'!$A$8:$E$18,5,FALSE)))</x:f>
        <x:v>53</x:v>
      </x:c>
      <x:c r="V21">
        <x:v>59</x:v>
      </x:c>
      <x:c r="W21">
        <x:v>76</x:v>
      </x:c>
      <x:c r="X21">
        <x:v>69</x:v>
      </x:c>
      <x:c r="Y21">
        <x:v>70</x:v>
      </x:c>
      <x:c r="Z21">
        <x:v>54</x:v>
      </x:c>
      <x:c r="AA21">
        <x:v>56</x:v>
      </x:c>
      <x:c r="AB21" s="57" t="n">
        <x:v>51</x:v>
      </x:c>
      <x:c r="AC21" s="57" t="n">
        <x:v>53</x:v>
      </x:c>
      <x:c r="AD21" s="59"/>
      <x:c r="AE21" s="61" t="str">
        <x:f>IF(N(F21)&gt;=10,"NHL_LATEST_10",IF(AND(N(F21)&gt;0,N(G21)&gt;0),"NHL_BOTH_SEASONS",IF(N(G21)&gt;=10,"NHL_PREVIOUS_10",IF(AND(ISNUMBER(AD21),AD21=0,SUM(F21:G21)=0),"FARM_CAREER_0",IF(COUNT(F21:G21)&lt;2,"UNKNOWN_GP",IF(AND(F21=0,G21=0),IF(AD21&gt;=10,"FARM_LEGACY_10",IF(AND(ISNUMBER(AD21),AD21&gt;0),"FARM_CAREER_1_9","FARM_0_0")),IF(F21&gt;=1,IF(F21&lt;=3,"FARM_RECENT_1_3","FARM_RECENT_4_9"),"FARM_PREV_1_9_ONLY")))))))</x:f>
        <x:v>UNKNOWN_GP</x:v>
      </x:c>
      <x:c r="AF21" s="57" t="n">
        <x:f>AB21-T21</x:f>
        <x:v>0</x:v>
      </x:c>
      <x:c r="AG21" s="57" t="n">
        <x:f>AC21-U21</x:f>
        <x:v>0</x:v>
      </x:c>
    </x:row>
    <x:row r="22">
      <x:c r="A22" t="s">
        <x:v>935</x:v>
      </x:c>
      <x:c r="C22" t="s">
        <x:v>331</x:v>
      </x:c>
      <x:c r="D22">
        <x:v>8482165</x:v>
      </x:c>
      <x:c r="E22" t="s">
        <x:v>267</x:v>
      </x:c>
      <x:c r="J22" t="s">
        <x:v>2474</x:v>
      </x:c>
      <x:c r="K22">
        <x:v>75</x:v>
      </x:c>
      <x:c r="L22">
        <x:v>42</x:v>
      </x:c>
      <x:c r="M22">
        <x:v>84</x:v>
      </x:c>
      <x:c r="N22">
        <x:v>37</x:v>
      </x:c>
      <x:c r="O22">
        <x:v>84</x:v>
      </x:c>
      <x:c r="P22">
        <x:v>92</x:v>
      </x:c>
      <x:c r="Q22">
        <x:v>90</x:v>
      </x:c>
      <x:c r="R22">
        <x:v>37</x:v>
      </x:c>
      <x:c r="S22">
        <x:v>30</x:v>
      </x:c>
      <x:c r="T22" s="63" t="n">
        <x:f>MAX(30,MIN(AB22-VLOOKUP(AE22,'AHL_PA_SC_BALANCE'!$A$8:$E$18,2,FALSE),VLOOKUP(AE22,'AHL_PA_SC_BALANCE'!$A$8:$E$18,4,FALSE)))</x:f>
        <x:v>49</x:v>
      </x:c>
      <x:c r="U22" s="63" t="n">
        <x:f>MAX(30,MIN(AC22-VLOOKUP(AE22,'AHL_PA_SC_BALANCE'!$A$8:$E$18,3,FALSE),VLOOKUP(AE22,'AHL_PA_SC_BALANCE'!$A$8:$E$18,5,FALSE)))</x:f>
        <x:v>49</x:v>
      </x:c>
      <x:c r="V22">
        <x:v>75</x:v>
      </x:c>
      <x:c r="W22">
        <x:v>54</x:v>
      </x:c>
      <x:c r="X22">
        <x:v>67</x:v>
      </x:c>
      <x:c r="Y22">
        <x:v>66</x:v>
      </x:c>
      <x:c r="Z22">
        <x:v>51</x:v>
      </x:c>
      <x:c r="AA22">
        <x:v>56</x:v>
      </x:c>
      <x:c r="AB22" s="57" t="n">
        <x:v>49</x:v>
      </x:c>
      <x:c r="AC22" s="57" t="n">
        <x:v>49</x:v>
      </x:c>
      <x:c r="AD22" s="59"/>
      <x:c r="AE22" s="61" t="str">
        <x:f>IF(N(F22)&gt;=10,"NHL_LATEST_10",IF(AND(N(F22)&gt;0,N(G22)&gt;0),"NHL_BOTH_SEASONS",IF(N(G22)&gt;=10,"NHL_PREVIOUS_10",IF(AND(ISNUMBER(AD22),AD22=0,SUM(F22:G22)=0),"FARM_CAREER_0",IF(COUNT(F22:G22)&lt;2,"UNKNOWN_GP",IF(AND(F22=0,G22=0),IF(AD22&gt;=10,"FARM_LEGACY_10",IF(AND(ISNUMBER(AD22),AD22&gt;0),"FARM_CAREER_1_9","FARM_0_0")),IF(F22&gt;=1,IF(F22&lt;=3,"FARM_RECENT_1_3","FARM_RECENT_4_9"),"FARM_PREV_1_9_ONLY")))))))</x:f>
        <x:v>UNKNOWN_GP</x:v>
      </x:c>
      <x:c r="AF22" s="57" t="n">
        <x:f>AB22-T22</x:f>
        <x:v>0</x:v>
      </x:c>
      <x:c r="AG22" s="57" t="n">
        <x:f>AC22-U22</x:f>
        <x:v>0</x:v>
      </x:c>
    </x:row>
    <x:row r="23">
      <x:c r="A23" t="s">
        <x:v>938</x:v>
      </x:c>
      <x:c r="C23" t="s">
        <x:v>331</x:v>
      </x:c>
      <x:c r="D23">
        <x:v>8480871</x:v>
      </x:c>
      <x:c r="E23" t="s">
        <x:v>267</x:v>
      </x:c>
      <x:c r="J23" t="s">
        <x:v>2474</x:v>
      </x:c>
      <x:c r="K23">
        <x:v>67</x:v>
      </x:c>
      <x:c r="L23">
        <x:v>32</x:v>
      </x:c>
      <x:c r="M23">
        <x:v>89</x:v>
      </x:c>
      <x:c r="N23">
        <x:v>39</x:v>
      </x:c>
      <x:c r="O23">
        <x:v>75</x:v>
      </x:c>
      <x:c r="P23">
        <x:v>83</x:v>
      </x:c>
      <x:c r="Q23">
        <x:v>60</x:v>
      </x:c>
      <x:c r="R23">
        <x:v>37</x:v>
      </x:c>
      <x:c r="S23">
        <x:v>30</x:v>
      </x:c>
      <x:c r="T23" s="63" t="n">
        <x:f>MAX(30,MIN(AB23-VLOOKUP(AE23,'AHL_PA_SC_BALANCE'!$A$8:$E$18,2,FALSE),VLOOKUP(AE23,'AHL_PA_SC_BALANCE'!$A$8:$E$18,4,FALSE)))</x:f>
        <x:v>51</x:v>
      </x:c>
      <x:c r="U23" s="63" t="n">
        <x:f>MAX(30,MIN(AC23-VLOOKUP(AE23,'AHL_PA_SC_BALANCE'!$A$8:$E$18,3,FALSE),VLOOKUP(AE23,'AHL_PA_SC_BALANCE'!$A$8:$E$18,5,FALSE)))</x:f>
        <x:v>46</x:v>
      </x:c>
      <x:c r="V23">
        <x:v>72</x:v>
      </x:c>
      <x:c r="W23">
        <x:v>53</x:v>
      </x:c>
      <x:c r="X23">
        <x:v>72</x:v>
      </x:c>
      <x:c r="Y23">
        <x:v>67</x:v>
      </x:c>
      <x:c r="Z23">
        <x:v>51</x:v>
      </x:c>
      <x:c r="AA23">
        <x:v>56</x:v>
      </x:c>
      <x:c r="AB23" s="57" t="n">
        <x:v>51</x:v>
      </x:c>
      <x:c r="AC23" s="57" t="n">
        <x:v>46</x:v>
      </x:c>
      <x:c r="AD23" s="59"/>
      <x:c r="AE23" s="61" t="str">
        <x:f>IF(N(F23)&gt;=10,"NHL_LATEST_10",IF(AND(N(F23)&gt;0,N(G23)&gt;0),"NHL_BOTH_SEASONS",IF(N(G23)&gt;=10,"NHL_PREVIOUS_10",IF(AND(ISNUMBER(AD23),AD23=0,SUM(F23:G23)=0),"FARM_CAREER_0",IF(COUNT(F23:G23)&lt;2,"UNKNOWN_GP",IF(AND(F23=0,G23=0),IF(AD23&gt;=10,"FARM_LEGACY_10",IF(AND(ISNUMBER(AD23),AD23&gt;0),"FARM_CAREER_1_9","FARM_0_0")),IF(F23&gt;=1,IF(F23&lt;=3,"FARM_RECENT_1_3","FARM_RECENT_4_9"),"FARM_PREV_1_9_ONLY")))))))</x:f>
        <x:v>UNKNOWN_GP</x:v>
      </x:c>
      <x:c r="AF23" s="57" t="n">
        <x:f>AB23-T23</x:f>
        <x:v>0</x:v>
      </x:c>
      <x:c r="AG23" s="57" t="n">
        <x:f>AC23-U23</x:f>
        <x:v>0</x:v>
      </x:c>
    </x:row>
    <x:row r="24">
      <x:c r="A24" t="s">
        <x:v>943</x:v>
      </x:c>
      <x:c r="C24" t="s">
        <x:v>319</x:v>
      </x:c>
      <x:c r="D24">
        <x:v>8479591</x:v>
      </x:c>
      <x:c r="E24" t="s">
        <x:v>267</x:v>
      </x:c>
      <x:c r="J24" t="s">
        <x:v>2474</x:v>
      </x:c>
      <x:c r="K24">
        <x:v>67</x:v>
      </x:c>
      <x:c r="L24">
        <x:v>62</x:v>
      </x:c>
      <x:c r="M24">
        <x:v>83</x:v>
      </x:c>
      <x:c r="N24">
        <x:v>51</x:v>
      </x:c>
      <x:c r="O24">
        <x:v>80</x:v>
      </x:c>
      <x:c r="P24">
        <x:v>82</x:v>
      </x:c>
      <x:c r="Q24">
        <x:v>81</x:v>
      </x:c>
      <x:c r="R24">
        <x:v>51</x:v>
      </x:c>
      <x:c r="S24">
        <x:v>68</x:v>
      </x:c>
      <x:c r="T24" s="63" t="n">
        <x:f>MAX(30,MIN(AB24-VLOOKUP(AE24,'AHL_PA_SC_BALANCE'!$A$8:$E$18,2,FALSE),VLOOKUP(AE24,'AHL_PA_SC_BALANCE'!$A$8:$E$18,4,FALSE)))</x:f>
        <x:v>52</x:v>
      </x:c>
      <x:c r="U24" s="63" t="n">
        <x:f>MAX(30,MIN(AC24-VLOOKUP(AE24,'AHL_PA_SC_BALANCE'!$A$8:$E$18,3,FALSE),VLOOKUP(AE24,'AHL_PA_SC_BALANCE'!$A$8:$E$18,5,FALSE)))</x:f>
        <x:v>54</x:v>
      </x:c>
      <x:c r="V24">
        <x:v>61</x:v>
      </x:c>
      <x:c r="W24">
        <x:v>60</x:v>
      </x:c>
      <x:c r="X24">
        <x:v>77</x:v>
      </x:c>
      <x:c r="Y24">
        <x:v>72</x:v>
      </x:c>
      <x:c r="Z24">
        <x:v>51</x:v>
      </x:c>
      <x:c r="AA24">
        <x:v>56</x:v>
      </x:c>
      <x:c r="AB24" s="57" t="n">
        <x:v>52</x:v>
      </x:c>
      <x:c r="AC24" s="57" t="n">
        <x:v>54</x:v>
      </x:c>
      <x:c r="AD24" s="59"/>
      <x:c r="AE24" s="61" t="str">
        <x:f>IF(N(F24)&gt;=10,"NHL_LATEST_10",IF(AND(N(F24)&gt;0,N(G24)&gt;0),"NHL_BOTH_SEASONS",IF(N(G24)&gt;=10,"NHL_PREVIOUS_10",IF(AND(ISNUMBER(AD24),AD24=0,SUM(F24:G24)=0),"FARM_CAREER_0",IF(COUNT(F24:G24)&lt;2,"UNKNOWN_GP",IF(AND(F24=0,G24=0),IF(AD24&gt;=10,"FARM_LEGACY_10",IF(AND(ISNUMBER(AD24),AD24&gt;0),"FARM_CAREER_1_9","FARM_0_0")),IF(F24&gt;=1,IF(F24&lt;=3,"FARM_RECENT_1_3","FARM_RECENT_4_9"),"FARM_PREV_1_9_ONLY")))))))</x:f>
        <x:v>UNKNOWN_GP</x:v>
      </x:c>
      <x:c r="AF24" s="57" t="n">
        <x:f>AB24-T24</x:f>
        <x:v>0</x:v>
      </x:c>
      <x:c r="AG24" s="57" t="n">
        <x:f>AC24-U24</x:f>
        <x:v>0</x:v>
      </x:c>
    </x:row>
    <x:row r="25">
      <x:c r="A25" t="s">
        <x:v>945</x:v>
      </x:c>
      <x:c r="C25" t="s">
        <x:v>331</x:v>
      </x:c>
      <x:c r="D25">
        <x:v>8475718</x:v>
      </x:c>
      <x:c r="E25" t="s">
        <x:v>267</x:v>
      </x:c>
      <x:c r="J25" t="s">
        <x:v>2474</x:v>
      </x:c>
      <x:c r="K25">
        <x:v>71</x:v>
      </x:c>
      <x:c r="L25">
        <x:v>36</x:v>
      </x:c>
      <x:c r="M25">
        <x:v>90</x:v>
      </x:c>
      <x:c r="N25">
        <x:v>35</x:v>
      </x:c>
      <x:c r="O25">
        <x:v>84</x:v>
      </x:c>
      <x:c r="P25">
        <x:v>83</x:v>
      </x:c>
      <x:c r="Q25">
        <x:v>85</x:v>
      </x:c>
      <x:c r="R25">
        <x:v>35</x:v>
      </x:c>
      <x:c r="S25">
        <x:v>30</x:v>
      </x:c>
      <x:c r="T25" s="63" t="n">
        <x:f>MAX(30,MIN(AB25-VLOOKUP(AE25,'AHL_PA_SC_BALANCE'!$A$8:$E$18,2,FALSE),VLOOKUP(AE25,'AHL_PA_SC_BALANCE'!$A$8:$E$18,4,FALSE)))</x:f>
        <x:v>50</x:v>
      </x:c>
      <x:c r="U25" s="63" t="n">
        <x:f>MAX(30,MIN(AC25-VLOOKUP(AE25,'AHL_PA_SC_BALANCE'!$A$8:$E$18,3,FALSE),VLOOKUP(AE25,'AHL_PA_SC_BALANCE'!$A$8:$E$18,5,FALSE)))</x:f>
        <x:v>46</x:v>
      </x:c>
      <x:c r="V25">
        <x:v>76</x:v>
      </x:c>
      <x:c r="W25">
        <x:v>48</x:v>
      </x:c>
      <x:c r="X25">
        <x:v>86</x:v>
      </x:c>
      <x:c r="Y25">
        <x:v>75</x:v>
      </x:c>
      <x:c r="Z25">
        <x:v>51</x:v>
      </x:c>
      <x:c r="AA25">
        <x:v>56</x:v>
      </x:c>
      <x:c r="AB25" s="57" t="n">
        <x:v>50</x:v>
      </x:c>
      <x:c r="AC25" s="57" t="n">
        <x:v>46</x:v>
      </x:c>
      <x:c r="AD25" s="59"/>
      <x:c r="AE25" s="61" t="str">
        <x:f>IF(N(F25)&gt;=10,"NHL_LATEST_10",IF(AND(N(F25)&gt;0,N(G25)&gt;0),"NHL_BOTH_SEASONS",IF(N(G25)&gt;=10,"NHL_PREVIOUS_10",IF(AND(ISNUMBER(AD25),AD25=0,SUM(F25:G25)=0),"FARM_CAREER_0",IF(COUNT(F25:G25)&lt;2,"UNKNOWN_GP",IF(AND(F25=0,G25=0),IF(AD25&gt;=10,"FARM_LEGACY_10",IF(AND(ISNUMBER(AD25),AD25&gt;0),"FARM_CAREER_1_9","FARM_0_0")),IF(F25&gt;=1,IF(F25&lt;=3,"FARM_RECENT_1_3","FARM_RECENT_4_9"),"FARM_PREV_1_9_ONLY")))))))</x:f>
        <x:v>UNKNOWN_GP</x:v>
      </x:c>
      <x:c r="AF25" s="57" t="n">
        <x:f>AB25-T25</x:f>
        <x:v>0</x:v>
      </x:c>
      <x:c r="AG25" s="57" t="n">
        <x:f>AC25-U25</x:f>
        <x:v>0</x:v>
      </x:c>
    </x:row>
    <x:row r="26">
      <x:c r="A26" t="s">
        <x:v>946</x:v>
      </x:c>
      <x:c r="C26" t="s">
        <x:v>331</x:v>
      </x:c>
      <x:c r="D26">
        <x:v>8482131</x:v>
      </x:c>
      <x:c r="E26" t="s">
        <x:v>267</x:v>
      </x:c>
      <x:c r="J26" t="s">
        <x:v>2474</x:v>
      </x:c>
      <x:c r="K26">
        <x:v>78</x:v>
      </x:c>
      <x:c r="L26">
        <x:v>80</x:v>
      </x:c>
      <x:c r="M26">
        <x:v>73</x:v>
      </x:c>
      <x:c r="N26">
        <x:v>37</x:v>
      </x:c>
      <x:c r="O26">
        <x:v>82</x:v>
      </x:c>
      <x:c r="P26">
        <x:v>84</x:v>
      </x:c>
      <x:c r="Q26">
        <x:v>75</x:v>
      </x:c>
      <x:c r="R26">
        <x:v>37</x:v>
      </x:c>
      <x:c r="S26">
        <x:v>30</x:v>
      </x:c>
      <x:c r="T26" s="63" t="n">
        <x:f>MAX(30,MIN(AB26-VLOOKUP(AE26,'AHL_PA_SC_BALANCE'!$A$8:$E$18,2,FALSE),VLOOKUP(AE26,'AHL_PA_SC_BALANCE'!$A$8:$E$18,4,FALSE)))</x:f>
        <x:v>52</x:v>
      </x:c>
      <x:c r="U26" s="63" t="n">
        <x:f>MAX(30,MIN(AC26-VLOOKUP(AE26,'AHL_PA_SC_BALANCE'!$A$8:$E$18,3,FALSE),VLOOKUP(AE26,'AHL_PA_SC_BALANCE'!$A$8:$E$18,5,FALSE)))</x:f>
        <x:v>45</x:v>
      </x:c>
      <x:c r="V26">
        <x:v>73</x:v>
      </x:c>
      <x:c r="W26">
        <x:v>55</x:v>
      </x:c>
      <x:c r="X26">
        <x:v>67</x:v>
      </x:c>
      <x:c r="Y26">
        <x:v>66</x:v>
      </x:c>
      <x:c r="Z26">
        <x:v>51</x:v>
      </x:c>
      <x:c r="AA26">
        <x:v>56</x:v>
      </x:c>
      <x:c r="AB26" s="57" t="n">
        <x:v>52</x:v>
      </x:c>
      <x:c r="AC26" s="57" t="n">
        <x:v>45</x:v>
      </x:c>
      <x:c r="AD26" s="59"/>
      <x:c r="AE26" s="61" t="str">
        <x:f>IF(N(F26)&gt;=10,"NHL_LATEST_10",IF(AND(N(F26)&gt;0,N(G26)&gt;0),"NHL_BOTH_SEASONS",IF(N(G26)&gt;=10,"NHL_PREVIOUS_10",IF(AND(ISNUMBER(AD26),AD26=0,SUM(F26:G26)=0),"FARM_CAREER_0",IF(COUNT(F26:G26)&lt;2,"UNKNOWN_GP",IF(AND(F26=0,G26=0),IF(AD26&gt;=10,"FARM_LEGACY_10",IF(AND(ISNUMBER(AD26),AD26&gt;0),"FARM_CAREER_1_9","FARM_0_0")),IF(F26&gt;=1,IF(F26&lt;=3,"FARM_RECENT_1_3","FARM_RECENT_4_9"),"FARM_PREV_1_9_ONLY")))))))</x:f>
        <x:v>UNKNOWN_GP</x:v>
      </x:c>
      <x:c r="AF26" s="57" t="n">
        <x:f>AB26-T26</x:f>
        <x:v>0</x:v>
      </x:c>
      <x:c r="AG26" s="57" t="n">
        <x:f>AC26-U26</x:f>
        <x:v>0</x:v>
      </x:c>
    </x:row>
    <x:row r="27">
      <x:c r="A27" t="s">
        <x:v>953</x:v>
      </x:c>
      <x:c r="C27" t="s">
        <x:v>331</x:v>
      </x:c>
      <x:c r="D27">
        <x:v>8482733</x:v>
      </x:c>
      <x:c r="E27" t="s">
        <x:v>267</x:v>
      </x:c>
      <x:c r="J27" t="s">
        <x:v>2474</x:v>
      </x:c>
      <x:c r="K27">
        <x:v>76</x:v>
      </x:c>
      <x:c r="L27">
        <x:v>70</x:v>
      </x:c>
      <x:c r="M27">
        <x:v>80</x:v>
      </x:c>
      <x:c r="N27">
        <x:v>39</x:v>
      </x:c>
      <x:c r="O27">
        <x:v>83</x:v>
      </x:c>
      <x:c r="P27">
        <x:v>88</x:v>
      </x:c>
      <x:c r="Q27">
        <x:v>92</x:v>
      </x:c>
      <x:c r="R27">
        <x:v>37</x:v>
      </x:c>
      <x:c r="S27">
        <x:v>30</x:v>
      </x:c>
      <x:c r="T27" s="63" t="n">
        <x:f>MAX(30,MIN(AB27-VLOOKUP(AE27,'AHL_PA_SC_BALANCE'!$A$8:$E$18,2,FALSE),VLOOKUP(AE27,'AHL_PA_SC_BALANCE'!$A$8:$E$18,4,FALSE)))</x:f>
        <x:v>49</x:v>
      </x:c>
      <x:c r="U27" s="63" t="n">
        <x:f>MAX(30,MIN(AC27-VLOOKUP(AE27,'AHL_PA_SC_BALANCE'!$A$8:$E$18,3,FALSE),VLOOKUP(AE27,'AHL_PA_SC_BALANCE'!$A$8:$E$18,5,FALSE)))</x:f>
        <x:v>50</x:v>
      </x:c>
      <x:c r="V27">
        <x:v>73</x:v>
      </x:c>
      <x:c r="W27">
        <x:v>58</x:v>
      </x:c>
      <x:c r="X27">
        <x:v>66</x:v>
      </x:c>
      <x:c r="Y27">
        <x:v>66</x:v>
      </x:c>
      <x:c r="Z27">
        <x:v>51</x:v>
      </x:c>
      <x:c r="AA27">
        <x:v>56</x:v>
      </x:c>
      <x:c r="AB27" s="57" t="n">
        <x:v>49</x:v>
      </x:c>
      <x:c r="AC27" s="57" t="n">
        <x:v>50</x:v>
      </x:c>
      <x:c r="AD27" s="59"/>
      <x:c r="AE27" s="61" t="str">
        <x:f>IF(N(F27)&gt;=10,"NHL_LATEST_10",IF(AND(N(F27)&gt;0,N(G27)&gt;0),"NHL_BOTH_SEASONS",IF(N(G27)&gt;=10,"NHL_PREVIOUS_10",IF(AND(ISNUMBER(AD27),AD27=0,SUM(F27:G27)=0),"FARM_CAREER_0",IF(COUNT(F27:G27)&lt;2,"UNKNOWN_GP",IF(AND(F27=0,G27=0),IF(AD27&gt;=10,"FARM_LEGACY_10",IF(AND(ISNUMBER(AD27),AD27&gt;0),"FARM_CAREER_1_9","FARM_0_0")),IF(F27&gt;=1,IF(F27&lt;=3,"FARM_RECENT_1_3","FARM_RECENT_4_9"),"FARM_PREV_1_9_ONLY")))))))</x:f>
        <x:v>UNKNOWN_GP</x:v>
      </x:c>
      <x:c r="AF27" s="57" t="n">
        <x:f>AB27-T27</x:f>
        <x:v>0</x:v>
      </x:c>
      <x:c r="AG27" s="57" t="n">
        <x:f>AC27-U27</x:f>
        <x:v>0</x:v>
      </x:c>
    </x:row>
    <x:row r="28">
      <x:c r="A28" t="s">
        <x:v>956</x:v>
      </x:c>
      <x:c r="C28" t="s">
        <x:v>331</x:v>
      </x:c>
      <x:c r="D28">
        <x:v>8478476</x:v>
      </x:c>
      <x:c r="E28" t="s">
        <x:v>267</x:v>
      </x:c>
      <x:c r="J28" t="s">
        <x:v>2474</x:v>
      </x:c>
      <x:c r="K28">
        <x:v>67</x:v>
      </x:c>
      <x:c r="L28">
        <x:v>39</x:v>
      </x:c>
      <x:c r="M28">
        <x:v>88</x:v>
      </x:c>
      <x:c r="N28">
        <x:v>37</x:v>
      </x:c>
      <x:c r="O28">
        <x:v>82</x:v>
      </x:c>
      <x:c r="P28">
        <x:v>82</x:v>
      </x:c>
      <x:c r="Q28">
        <x:v>74</x:v>
      </x:c>
      <x:c r="R28">
        <x:v>37</x:v>
      </x:c>
      <x:c r="S28">
        <x:v>30</x:v>
      </x:c>
      <x:c r="T28" s="63" t="n">
        <x:f>MAX(30,MIN(AB28-VLOOKUP(AE28,'AHL_PA_SC_BALANCE'!$A$8:$E$18,2,FALSE),VLOOKUP(AE28,'AHL_PA_SC_BALANCE'!$A$8:$E$18,4,FALSE)))</x:f>
        <x:v>49</x:v>
      </x:c>
      <x:c r="U28" s="63" t="n">
        <x:f>MAX(30,MIN(AC28-VLOOKUP(AE28,'AHL_PA_SC_BALANCE'!$A$8:$E$18,3,FALSE),VLOOKUP(AE28,'AHL_PA_SC_BALANCE'!$A$8:$E$18,5,FALSE)))</x:f>
        <x:v>47</x:v>
      </x:c>
      <x:c r="V28">
        <x:v>72</x:v>
      </x:c>
      <x:c r="W28">
        <x:v>56</x:v>
      </x:c>
      <x:c r="X28">
        <x:v>71</x:v>
      </x:c>
      <x:c r="Y28">
        <x:v>70</x:v>
      </x:c>
      <x:c r="Z28">
        <x:v>51</x:v>
      </x:c>
      <x:c r="AA28">
        <x:v>56</x:v>
      </x:c>
      <x:c r="AB28" s="57" t="n">
        <x:v>49</x:v>
      </x:c>
      <x:c r="AC28" s="57" t="n">
        <x:v>47</x:v>
      </x:c>
      <x:c r="AD28" s="59"/>
      <x:c r="AE28" s="61" t="str">
        <x:f>IF(N(F28)&gt;=10,"NHL_LATEST_10",IF(AND(N(F28)&gt;0,N(G28)&gt;0),"NHL_BOTH_SEASONS",IF(N(G28)&gt;=10,"NHL_PREVIOUS_10",IF(AND(ISNUMBER(AD28),AD28=0,SUM(F28:G28)=0),"FARM_CAREER_0",IF(COUNT(F28:G28)&lt;2,"UNKNOWN_GP",IF(AND(F28=0,G28=0),IF(AD28&gt;=10,"FARM_LEGACY_10",IF(AND(ISNUMBER(AD28),AD28&gt;0),"FARM_CAREER_1_9","FARM_0_0")),IF(F28&gt;=1,IF(F28&lt;=3,"FARM_RECENT_1_3","FARM_RECENT_4_9"),"FARM_PREV_1_9_ONLY")))))))</x:f>
        <x:v>UNKNOWN_GP</x:v>
      </x:c>
      <x:c r="AF28" s="57" t="n">
        <x:f>AB28-T28</x:f>
        <x:v>0</x:v>
      </x:c>
      <x:c r="AG28" s="57" t="n">
        <x:f>AC28-U28</x:f>
        <x:v>0</x:v>
      </x:c>
    </x:row>
    <x:row r="29">
      <x:c r="A29" t="s">
        <x:v>967</x:v>
      </x:c>
      <x:c r="C29" t="s">
        <x:v>333</x:v>
      </x:c>
      <x:c r="D29">
        <x:v>8477839</x:v>
      </x:c>
      <x:c r="E29" t="s">
        <x:v>267</x:v>
      </x:c>
      <x:c r="J29" t="s">
        <x:v>2474</x:v>
      </x:c>
      <x:c r="K29">
        <x:v>60</x:v>
      </x:c>
      <x:c r="L29">
        <x:v>32</x:v>
      </x:c>
      <x:c r="M29">
        <x:v>93</x:v>
      </x:c>
      <x:c r="N29">
        <x:v>51</x:v>
      </x:c>
      <x:c r="O29">
        <x:v>74</x:v>
      </x:c>
      <x:c r="P29">
        <x:v>84</x:v>
      </x:c>
      <x:c r="Q29">
        <x:v>82</x:v>
      </x:c>
      <x:c r="R29">
        <x:v>52</x:v>
      </x:c>
      <x:c r="S29">
        <x:v>70</x:v>
      </x:c>
      <x:c r="T29" s="63" t="n">
        <x:f>MAX(30,MIN(AB29-VLOOKUP(AE29,'AHL_PA_SC_BALANCE'!$A$8:$E$18,2,FALSE),VLOOKUP(AE29,'AHL_PA_SC_BALANCE'!$A$8:$E$18,4,FALSE)))</x:f>
        <x:v>52</x:v>
      </x:c>
      <x:c r="U29" s="63" t="n">
        <x:f>MAX(30,MIN(AC29-VLOOKUP(AE29,'AHL_PA_SC_BALANCE'!$A$8:$E$18,3,FALSE),VLOOKUP(AE29,'AHL_PA_SC_BALANCE'!$A$8:$E$18,5,FALSE)))</x:f>
        <x:v>53</x:v>
      </x:c>
      <x:c r="V29">
        <x:v>65</x:v>
      </x:c>
      <x:c r="W29">
        <x:v>61</x:v>
      </x:c>
      <x:c r="X29">
        <x:v>80</x:v>
      </x:c>
      <x:c r="Y29">
        <x:v>80</x:v>
      </x:c>
      <x:c r="Z29">
        <x:v>54</x:v>
      </x:c>
      <x:c r="AA29">
        <x:v>56</x:v>
      </x:c>
      <x:c r="AB29" s="57" t="n">
        <x:v>52</x:v>
      </x:c>
      <x:c r="AC29" s="57" t="n">
        <x:v>53</x:v>
      </x:c>
      <x:c r="AD29" s="59"/>
      <x:c r="AE29" s="61" t="str">
        <x:f>IF(N(F29)&gt;=10,"NHL_LATEST_10",IF(AND(N(F29)&gt;0,N(G29)&gt;0),"NHL_BOTH_SEASONS",IF(N(G29)&gt;=10,"NHL_PREVIOUS_10",IF(AND(ISNUMBER(AD29),AD29=0,SUM(F29:G29)=0),"FARM_CAREER_0",IF(COUNT(F29:G29)&lt;2,"UNKNOWN_GP",IF(AND(F29=0,G29=0),IF(AD29&gt;=10,"FARM_LEGACY_10",IF(AND(ISNUMBER(AD29),AD29&gt;0),"FARM_CAREER_1_9","FARM_0_0")),IF(F29&gt;=1,IF(F29&lt;=3,"FARM_RECENT_1_3","FARM_RECENT_4_9"),"FARM_PREV_1_9_ONLY")))))))</x:f>
        <x:v>UNKNOWN_GP</x:v>
      </x:c>
      <x:c r="AF29" s="57" t="n">
        <x:f>AB29-T29</x:f>
        <x:v>0</x:v>
      </x:c>
      <x:c r="AG29" s="57" t="n">
        <x:f>AC29-U29</x:f>
        <x:v>0</x:v>
      </x:c>
    </x:row>
    <x:row r="30">
      <x:c r="A30" t="s">
        <x:v>972</x:v>
      </x:c>
      <x:c r="C30" t="s">
        <x:v>331</x:v>
      </x:c>
      <x:c r="D30">
        <x:v>8479976</x:v>
      </x:c>
      <x:c r="E30" t="s">
        <x:v>267</x:v>
      </x:c>
      <x:c r="J30" t="s">
        <x:v>2474</x:v>
      </x:c>
      <x:c r="K30">
        <x:v>72</x:v>
      </x:c>
      <x:c r="L30">
        <x:v>37</x:v>
      </x:c>
      <x:c r="M30">
        <x:v>85</x:v>
      </x:c>
      <x:c r="N30">
        <x:v>36</x:v>
      </x:c>
      <x:c r="O30">
        <x:v>82</x:v>
      </x:c>
      <x:c r="P30">
        <x:v>78</x:v>
      </x:c>
      <x:c r="Q30">
        <x:v>78</x:v>
      </x:c>
      <x:c r="R30">
        <x:v>36</x:v>
      </x:c>
      <x:c r="S30">
        <x:v>30</x:v>
      </x:c>
      <x:c r="T30" s="63" t="n">
        <x:f>MAX(30,MIN(AB30-VLOOKUP(AE30,'AHL_PA_SC_BALANCE'!$A$8:$E$18,2,FALSE),VLOOKUP(AE30,'AHL_PA_SC_BALANCE'!$A$8:$E$18,4,FALSE)))</x:f>
        <x:v>52</x:v>
      </x:c>
      <x:c r="U30" s="63" t="n">
        <x:f>MAX(30,MIN(AC30-VLOOKUP(AE30,'AHL_PA_SC_BALANCE'!$A$8:$E$18,3,FALSE),VLOOKUP(AE30,'AHL_PA_SC_BALANCE'!$A$8:$E$18,5,FALSE)))</x:f>
        <x:v>46</x:v>
      </x:c>
      <x:c r="V30">
        <x:v>74</x:v>
      </x:c>
      <x:c r="W30">
        <x:v>55</x:v>
      </x:c>
      <x:c r="X30">
        <x:v>74</x:v>
      </x:c>
      <x:c r="Y30">
        <x:v>72</x:v>
      </x:c>
      <x:c r="Z30">
        <x:v>51</x:v>
      </x:c>
      <x:c r="AA30">
        <x:v>56</x:v>
      </x:c>
      <x:c r="AB30" s="57" t="n">
        <x:v>52</x:v>
      </x:c>
      <x:c r="AC30" s="57" t="n">
        <x:v>46</x:v>
      </x:c>
      <x:c r="AD30" s="59"/>
      <x:c r="AE30" s="61" t="str">
        <x:f>IF(N(F30)&gt;=10,"NHL_LATEST_10",IF(AND(N(F30)&gt;0,N(G30)&gt;0),"NHL_BOTH_SEASONS",IF(N(G30)&gt;=10,"NHL_PREVIOUS_10",IF(AND(ISNUMBER(AD30),AD30=0,SUM(F30:G30)=0),"FARM_CAREER_0",IF(COUNT(F30:G30)&lt;2,"UNKNOWN_GP",IF(AND(F30=0,G30=0),IF(AD30&gt;=10,"FARM_LEGACY_10",IF(AND(ISNUMBER(AD30),AD30&gt;0),"FARM_CAREER_1_9","FARM_0_0")),IF(F30&gt;=1,IF(F30&lt;=3,"FARM_RECENT_1_3","FARM_RECENT_4_9"),"FARM_PREV_1_9_ONLY")))))))</x:f>
        <x:v>UNKNOWN_GP</x:v>
      </x:c>
      <x:c r="AF30" s="57" t="n">
        <x:f>AB30-T30</x:f>
        <x:v>0</x:v>
      </x:c>
      <x:c r="AG30" s="57" t="n">
        <x:f>AC30-U30</x:f>
        <x:v>0</x:v>
      </x:c>
    </x:row>
    <x:row r="31">
      <x:c r="A31" t="s">
        <x:v>974</x:v>
      </x:c>
      <x:c r="C31" t="s">
        <x:v>331</x:v>
      </x:c>
      <x:c r="D31">
        <x:v>8479341</x:v>
      </x:c>
      <x:c r="E31" t="s">
        <x:v>267</x:v>
      </x:c>
      <x:c r="J31" t="s">
        <x:v>2474</x:v>
      </x:c>
      <x:c r="K31">
        <x:v>67</x:v>
      </x:c>
      <x:c r="L31">
        <x:v>36</x:v>
      </x:c>
      <x:c r="M31">
        <x:v>85</x:v>
      </x:c>
      <x:c r="N31">
        <x:v>36</x:v>
      </x:c>
      <x:c r="O31">
        <x:v>78</x:v>
      </x:c>
      <x:c r="P31">
        <x:v>81</x:v>
      </x:c>
      <x:c r="Q31">
        <x:v>82</x:v>
      </x:c>
      <x:c r="R31">
        <x:v>37</x:v>
      </x:c>
      <x:c r="S31">
        <x:v>30</x:v>
      </x:c>
      <x:c r="T31" s="63" t="n">
        <x:f>MAX(30,MIN(AB31-VLOOKUP(AE31,'AHL_PA_SC_BALANCE'!$A$8:$E$18,2,FALSE),VLOOKUP(AE31,'AHL_PA_SC_BALANCE'!$A$8:$E$18,4,FALSE)))</x:f>
        <x:v>49</x:v>
      </x:c>
      <x:c r="U31" s="63" t="n">
        <x:f>MAX(30,MIN(AC31-VLOOKUP(AE31,'AHL_PA_SC_BALANCE'!$A$8:$E$18,3,FALSE),VLOOKUP(AE31,'AHL_PA_SC_BALANCE'!$A$8:$E$18,5,FALSE)))</x:f>
        <x:v>41</x:v>
      </x:c>
      <x:c r="V31">
        <x:v>69</x:v>
      </x:c>
      <x:c r="W31">
        <x:v>51</x:v>
      </x:c>
      <x:c r="X31">
        <x:v>70</x:v>
      </x:c>
      <x:c r="Y31">
        <x:v>70</x:v>
      </x:c>
      <x:c r="Z31">
        <x:v>51</x:v>
      </x:c>
      <x:c r="AA31">
        <x:v>55</x:v>
      </x:c>
      <x:c r="AB31" s="57" t="n">
        <x:v>49</x:v>
      </x:c>
      <x:c r="AC31" s="57" t="n">
        <x:v>41</x:v>
      </x:c>
      <x:c r="AD31" s="59"/>
      <x:c r="AE31" s="61" t="str">
        <x:f>IF(N(F31)&gt;=10,"NHL_LATEST_10",IF(AND(N(F31)&gt;0,N(G31)&gt;0),"NHL_BOTH_SEASONS",IF(N(G31)&gt;=10,"NHL_PREVIOUS_10",IF(AND(ISNUMBER(AD31),AD31=0,SUM(F31:G31)=0),"FARM_CAREER_0",IF(COUNT(F31:G31)&lt;2,"UNKNOWN_GP",IF(AND(F31=0,G31=0),IF(AD31&gt;=10,"FARM_LEGACY_10",IF(AND(ISNUMBER(AD31),AD31&gt;0),"FARM_CAREER_1_9","FARM_0_0")),IF(F31&gt;=1,IF(F31&lt;=3,"FARM_RECENT_1_3","FARM_RECENT_4_9"),"FARM_PREV_1_9_ONLY")))))))</x:f>
        <x:v>UNKNOWN_GP</x:v>
      </x:c>
      <x:c r="AF31" s="57" t="n">
        <x:f>AB31-T31</x:f>
        <x:v>0</x:v>
      </x:c>
      <x:c r="AG31" s="57" t="n">
        <x:f>AC31-U31</x:f>
        <x:v>0</x:v>
      </x:c>
    </x:row>
    <x:row r="32">
      <x:c r="A32" t="s">
        <x:v>977</x:v>
      </x:c>
      <x:c r="C32" t="s">
        <x:v>331</x:v>
      </x:c>
      <x:c r="D32">
        <x:v>8476884</x:v>
      </x:c>
      <x:c r="E32" t="s">
        <x:v>267</x:v>
      </x:c>
      <x:c r="J32" t="s">
        <x:v>2474</x:v>
      </x:c>
      <x:c r="K32">
        <x:v>69</x:v>
      </x:c>
      <x:c r="L32">
        <x:v>37</x:v>
      </x:c>
      <x:c r="M32">
        <x:v>84</x:v>
      </x:c>
      <x:c r="N32">
        <x:v>35</x:v>
      </x:c>
      <x:c r="O32">
        <x:v>81</x:v>
      </x:c>
      <x:c r="P32">
        <x:v>91</x:v>
      </x:c>
      <x:c r="Q32">
        <x:v>93</x:v>
      </x:c>
      <x:c r="R32">
        <x:v>36</x:v>
      </x:c>
      <x:c r="S32">
        <x:v>30</x:v>
      </x:c>
      <x:c r="T32" s="63" t="n">
        <x:f>MAX(30,MIN(AB32-VLOOKUP(AE32,'AHL_PA_SC_BALANCE'!$A$8:$E$18,2,FALSE),VLOOKUP(AE32,'AHL_PA_SC_BALANCE'!$A$8:$E$18,4,FALSE)))</x:f>
        <x:v>50</x:v>
      </x:c>
      <x:c r="U32" s="63" t="n">
        <x:f>MAX(30,MIN(AC32-VLOOKUP(AE32,'AHL_PA_SC_BALANCE'!$A$8:$E$18,3,FALSE),VLOOKUP(AE32,'AHL_PA_SC_BALANCE'!$A$8:$E$18,5,FALSE)))</x:f>
        <x:v>39</x:v>
      </x:c>
      <x:c r="V32">
        <x:v>70</x:v>
      </x:c>
      <x:c r="W32">
        <x:v>51</x:v>
      </x:c>
      <x:c r="X32">
        <x:v>76</x:v>
      </x:c>
      <x:c r="Y32">
        <x:v>75</x:v>
      </x:c>
      <x:c r="Z32">
        <x:v>51</x:v>
      </x:c>
      <x:c r="AA32">
        <x:v>55</x:v>
      </x:c>
      <x:c r="AB32" s="57" t="n">
        <x:v>50</x:v>
      </x:c>
      <x:c r="AC32" s="57" t="n">
        <x:v>39</x:v>
      </x:c>
      <x:c r="AD32" s="59"/>
      <x:c r="AE32" s="61" t="str">
        <x:f>IF(N(F32)&gt;=10,"NHL_LATEST_10",IF(AND(N(F32)&gt;0,N(G32)&gt;0),"NHL_BOTH_SEASONS",IF(N(G32)&gt;=10,"NHL_PREVIOUS_10",IF(AND(ISNUMBER(AD32),AD32=0,SUM(F32:G32)=0),"FARM_CAREER_0",IF(COUNT(F32:G32)&lt;2,"UNKNOWN_GP",IF(AND(F32=0,G32=0),IF(AD32&gt;=10,"FARM_LEGACY_10",IF(AND(ISNUMBER(AD32),AD32&gt;0),"FARM_CAREER_1_9","FARM_0_0")),IF(F32&gt;=1,IF(F32&lt;=3,"FARM_RECENT_1_3","FARM_RECENT_4_9"),"FARM_PREV_1_9_ONLY")))))))</x:f>
        <x:v>UNKNOWN_GP</x:v>
      </x:c>
      <x:c r="AF32" s="57" t="n">
        <x:f>AB32-T32</x:f>
        <x:v>0</x:v>
      </x:c>
      <x:c r="AG32" s="57" t="n">
        <x:f>AC32-U32</x:f>
        <x:v>0</x:v>
      </x:c>
    </x:row>
    <x:row r="33">
      <x:c r="A33" t="s">
        <x:v>979</x:v>
      </x:c>
      <x:c r="C33" t="s">
        <x:v>331</x:v>
      </x:c>
      <x:c r="D33">
        <x:v>8476449</x:v>
      </x:c>
      <x:c r="E33" t="s">
        <x:v>267</x:v>
      </x:c>
      <x:c r="J33" t="s">
        <x:v>2474</x:v>
      </x:c>
      <x:c r="K33">
        <x:v>84</x:v>
      </x:c>
      <x:c r="L33">
        <x:v>46</x:v>
      </x:c>
      <x:c r="M33">
        <x:v>86</x:v>
      </x:c>
      <x:c r="N33">
        <x:v>33</x:v>
      </x:c>
      <x:c r="O33">
        <x:v>81</x:v>
      </x:c>
      <x:c r="P33">
        <x:v>86</x:v>
      </x:c>
      <x:c r="Q33">
        <x:v>91</x:v>
      </x:c>
      <x:c r="R33">
        <x:v>32</x:v>
      </x:c>
      <x:c r="S33">
        <x:v>30</x:v>
      </x:c>
      <x:c r="T33" s="63" t="n">
        <x:f>MAX(30,MIN(AB33-VLOOKUP(AE33,'AHL_PA_SC_BALANCE'!$A$8:$E$18,2,FALSE),VLOOKUP(AE33,'AHL_PA_SC_BALANCE'!$A$8:$E$18,4,FALSE)))</x:f>
        <x:v>42</x:v>
      </x:c>
      <x:c r="U33" s="63" t="n">
        <x:f>MAX(30,MIN(AC33-VLOOKUP(AE33,'AHL_PA_SC_BALANCE'!$A$8:$E$18,3,FALSE),VLOOKUP(AE33,'AHL_PA_SC_BALANCE'!$A$8:$E$18,5,FALSE)))</x:f>
        <x:v>39</x:v>
      </x:c>
      <x:c r="V33">
        <x:v>70</x:v>
      </x:c>
      <x:c r="W33">
        <x:v>46</x:v>
      </x:c>
      <x:c r="X33">
        <x:v>78</x:v>
      </x:c>
      <x:c r="Y33">
        <x:v>78</x:v>
      </x:c>
      <x:c r="Z33">
        <x:v>51</x:v>
      </x:c>
      <x:c r="AA33">
        <x:v>55</x:v>
      </x:c>
      <x:c r="AB33" s="57" t="n">
        <x:v>42</x:v>
      </x:c>
      <x:c r="AC33" s="57" t="n">
        <x:v>39</x:v>
      </x:c>
      <x:c r="AD33" s="59"/>
      <x:c r="AE33" s="61" t="str">
        <x:f>IF(N(F33)&gt;=10,"NHL_LATEST_10",IF(AND(N(F33)&gt;0,N(G33)&gt;0),"NHL_BOTH_SEASONS",IF(N(G33)&gt;=10,"NHL_PREVIOUS_10",IF(AND(ISNUMBER(AD33),AD33=0,SUM(F33:G33)=0),"FARM_CAREER_0",IF(COUNT(F33:G33)&lt;2,"UNKNOWN_GP",IF(AND(F33=0,G33=0),IF(AD33&gt;=10,"FARM_LEGACY_10",IF(AND(ISNUMBER(AD33),AD33&gt;0),"FARM_CAREER_1_9","FARM_0_0")),IF(F33&gt;=1,IF(F33&lt;=3,"FARM_RECENT_1_3","FARM_RECENT_4_9"),"FARM_PREV_1_9_ONLY")))))))</x:f>
        <x:v>UNKNOWN_GP</x:v>
      </x:c>
      <x:c r="AF33" s="57" t="n">
        <x:f>AB33-T33</x:f>
        <x:v>0</x:v>
      </x:c>
      <x:c r="AG33" s="57" t="n">
        <x:f>AC33-U33</x:f>
        <x:v>0</x:v>
      </x:c>
    </x:row>
    <x:row r="34">
      <x:c r="A34" t="s">
        <x:v>980</x:v>
      </x:c>
      <x:c r="C34" t="s">
        <x:v>339</x:v>
      </x:c>
      <x:c r="D34">
        <x:v>8484230</x:v>
      </x:c>
      <x:c r="E34" t="s">
        <x:v>267</x:v>
      </x:c>
      <x:c r="J34" t="s">
        <x:v>2474</x:v>
      </x:c>
      <x:c r="K34">
        <x:v>68</x:v>
      </x:c>
      <x:c r="L34">
        <x:v>70</x:v>
      </x:c>
      <x:c r="M34">
        <x:v>96</x:v>
      </x:c>
      <x:c r="N34">
        <x:v>48</x:v>
      </x:c>
      <x:c r="O34">
        <x:v>75</x:v>
      </x:c>
      <x:c r="P34">
        <x:v>81</x:v>
      </x:c>
      <x:c r="Q34">
        <x:v>85</x:v>
      </x:c>
      <x:c r="R34">
        <x:v>51</x:v>
      </x:c>
      <x:c r="S34">
        <x:v>69</x:v>
      </x:c>
      <x:c r="T34" s="63" t="n">
        <x:f>MAX(30,MIN(AB34-VLOOKUP(AE34,'AHL_PA_SC_BALANCE'!$A$8:$E$18,2,FALSE),VLOOKUP(AE34,'AHL_PA_SC_BALANCE'!$A$8:$E$18,4,FALSE)))</x:f>
        <x:v>51</x:v>
      </x:c>
      <x:c r="U34" s="63" t="n">
        <x:f>MAX(30,MIN(AC34-VLOOKUP(AE34,'AHL_PA_SC_BALANCE'!$A$8:$E$18,3,FALSE),VLOOKUP(AE34,'AHL_PA_SC_BALANCE'!$A$8:$E$18,5,FALSE)))</x:f>
        <x:v>49</x:v>
      </x:c>
      <x:c r="V34">
        <x:v>65</x:v>
      </x:c>
      <x:c r="W34">
        <x:v>55</x:v>
      </x:c>
      <x:c r="X34">
        <x:v>65</x:v>
      </x:c>
      <x:c r="Y34">
        <x:v>65</x:v>
      </x:c>
      <x:c r="Z34">
        <x:v>54</x:v>
      </x:c>
      <x:c r="AA34">
        <x:v>55</x:v>
      </x:c>
      <x:c r="AB34" s="57" t="n">
        <x:v>51</x:v>
      </x:c>
      <x:c r="AC34" s="57" t="n">
        <x:v>49</x:v>
      </x:c>
      <x:c r="AD34" s="59"/>
      <x:c r="AE34" s="61" t="str">
        <x:f>IF(N(F34)&gt;=10,"NHL_LATEST_10",IF(AND(N(F34)&gt;0,N(G34)&gt;0),"NHL_BOTH_SEASONS",IF(N(G34)&gt;=10,"NHL_PREVIOUS_10",IF(AND(ISNUMBER(AD34),AD34=0,SUM(F34:G34)=0),"FARM_CAREER_0",IF(COUNT(F34:G34)&lt;2,"UNKNOWN_GP",IF(AND(F34=0,G34=0),IF(AD34&gt;=10,"FARM_LEGACY_10",IF(AND(ISNUMBER(AD34),AD34&gt;0),"FARM_CAREER_1_9","FARM_0_0")),IF(F34&gt;=1,IF(F34&lt;=3,"FARM_RECENT_1_3","FARM_RECENT_4_9"),"FARM_PREV_1_9_ONLY")))))))</x:f>
        <x:v>UNKNOWN_GP</x:v>
      </x:c>
      <x:c r="AF34" s="57" t="n">
        <x:f>AB34-T34</x:f>
        <x:v>0</x:v>
      </x:c>
      <x:c r="AG34" s="57" t="n">
        <x:f>AC34-U34</x:f>
        <x:v>0</x:v>
      </x:c>
    </x:row>
    <x:row r="35">
      <x:c r="A35" t="s">
        <x:v>981</x:v>
      </x:c>
      <x:c r="C35" t="s">
        <x:v>333</x:v>
      </x:c>
      <x:c r="D35">
        <x:v>8481641</x:v>
      </x:c>
      <x:c r="E35" t="s">
        <x:v>267</x:v>
      </x:c>
      <x:c r="J35" t="s">
        <x:v>2474</x:v>
      </x:c>
      <x:c r="K35">
        <x:v>68</x:v>
      </x:c>
      <x:c r="L35">
        <x:v>34</x:v>
      </x:c>
      <x:c r="M35">
        <x:v>94</x:v>
      </x:c>
      <x:c r="N35">
        <x:v>48</x:v>
      </x:c>
      <x:c r="O35">
        <x:v>77</x:v>
      </x:c>
      <x:c r="P35">
        <x:v>82</x:v>
      </x:c>
      <x:c r="Q35">
        <x:v>80</x:v>
      </x:c>
      <x:c r="R35">
        <x:v>48</x:v>
      </x:c>
      <x:c r="S35">
        <x:v>68</x:v>
      </x:c>
      <x:c r="T35" s="63" t="n">
        <x:f>MAX(30,MIN(AB35-VLOOKUP(AE35,'AHL_PA_SC_BALANCE'!$A$8:$E$18,2,FALSE),VLOOKUP(AE35,'AHL_PA_SC_BALANCE'!$A$8:$E$18,4,FALSE)))</x:f>
        <x:v>51</x:v>
      </x:c>
      <x:c r="U35" s="63" t="n">
        <x:f>MAX(30,MIN(AC35-VLOOKUP(AE35,'AHL_PA_SC_BALANCE'!$A$8:$E$18,3,FALSE),VLOOKUP(AE35,'AHL_PA_SC_BALANCE'!$A$8:$E$18,5,FALSE)))</x:f>
        <x:v>51</x:v>
      </x:c>
      <x:c r="V35">
        <x:v>67</x:v>
      </x:c>
      <x:c r="W35">
        <x:v>52</x:v>
      </x:c>
      <x:c r="X35">
        <x:v>77</x:v>
      </x:c>
      <x:c r="Y35">
        <x:v>72</x:v>
      </x:c>
      <x:c r="Z35">
        <x:v>51</x:v>
      </x:c>
      <x:c r="AA35">
        <x:v>55</x:v>
      </x:c>
      <x:c r="AB35" s="57" t="n">
        <x:v>51</x:v>
      </x:c>
      <x:c r="AC35" s="57" t="n">
        <x:v>51</x:v>
      </x:c>
      <x:c r="AD35" s="59"/>
      <x:c r="AE35" s="61" t="str">
        <x:f>IF(N(F35)&gt;=10,"NHL_LATEST_10",IF(AND(N(F35)&gt;0,N(G35)&gt;0),"NHL_BOTH_SEASONS",IF(N(G35)&gt;=10,"NHL_PREVIOUS_10",IF(AND(ISNUMBER(AD35),AD35=0,SUM(F35:G35)=0),"FARM_CAREER_0",IF(COUNT(F35:G35)&lt;2,"UNKNOWN_GP",IF(AND(F35=0,G35=0),IF(AD35&gt;=10,"FARM_LEGACY_10",IF(AND(ISNUMBER(AD35),AD35&gt;0),"FARM_CAREER_1_9","FARM_0_0")),IF(F35&gt;=1,IF(F35&lt;=3,"FARM_RECENT_1_3","FARM_RECENT_4_9"),"FARM_PREV_1_9_ONLY")))))))</x:f>
        <x:v>UNKNOWN_GP</x:v>
      </x:c>
      <x:c r="AF35" s="57" t="n">
        <x:f>AB35-T35</x:f>
        <x:v>0</x:v>
      </x:c>
      <x:c r="AG35" s="57" t="n">
        <x:f>AC35-U35</x:f>
        <x:v>0</x:v>
      </x:c>
    </x:row>
    <x:row r="36">
      <x:c r="A36" t="s">
        <x:v>983</x:v>
      </x:c>
      <x:c r="C36" t="s">
        <x:v>326</x:v>
      </x:c>
      <x:c r="E36" t="s">
        <x:v>267</x:v>
      </x:c>
      <x:c r="J36" t="s">
        <x:v>2474</x:v>
      </x:c>
      <x:c r="K36">
        <x:v>76</x:v>
      </x:c>
      <x:c r="L36">
        <x:v>39</x:v>
      </x:c>
      <x:c r="M36">
        <x:v>83</x:v>
      </x:c>
      <x:c r="N36">
        <x:v>46</x:v>
      </x:c>
      <x:c r="O36">
        <x:v>85</x:v>
      </x:c>
      <x:c r="P36">
        <x:v>93</x:v>
      </x:c>
      <x:c r="Q36">
        <x:v>96</x:v>
      </x:c>
      <x:c r="R36">
        <x:v>46</x:v>
      </x:c>
      <x:c r="S36">
        <x:v>77</x:v>
      </x:c>
      <x:c r="T36" s="63" t="n">
        <x:f>MAX(30,MIN(AB36-VLOOKUP(AE36,'AHL_PA_SC_BALANCE'!$A$8:$E$18,2,FALSE),VLOOKUP(AE36,'AHL_PA_SC_BALANCE'!$A$8:$E$18,4,FALSE)))</x:f>
        <x:v>48</x:v>
      </x:c>
      <x:c r="U36" s="63" t="n">
        <x:f>MAX(30,MIN(AC36-VLOOKUP(AE36,'AHL_PA_SC_BALANCE'!$A$8:$E$18,3,FALSE),VLOOKUP(AE36,'AHL_PA_SC_BALANCE'!$A$8:$E$18,5,FALSE)))</x:f>
        <x:v>45</x:v>
      </x:c>
      <x:c r="V36">
        <x:v>69</x:v>
      </x:c>
      <x:c r="W36">
        <x:v>68</x:v>
      </x:c>
      <x:c r="X36">
        <x:v>80</x:v>
      </x:c>
      <x:c r="Y36">
        <x:v>78</x:v>
      </x:c>
      <x:c r="Z36">
        <x:v>51</x:v>
      </x:c>
      <x:c r="AA36">
        <x:v>55</x:v>
      </x:c>
      <x:c r="AB36" s="57" t="n">
        <x:v>48</x:v>
      </x:c>
      <x:c r="AC36" s="57" t="n">
        <x:v>45</x:v>
      </x:c>
      <x:c r="AD36" s="59"/>
      <x:c r="AE36" s="61" t="str">
        <x:f>IF(N(F36)&gt;=10,"NHL_LATEST_10",IF(AND(N(F36)&gt;0,N(G36)&gt;0),"NHL_BOTH_SEASONS",IF(N(G36)&gt;=10,"NHL_PREVIOUS_10",IF(AND(ISNUMBER(AD36),AD36=0,SUM(F36:G36)=0),"FARM_CAREER_0",IF(COUNT(F36:G36)&lt;2,"UNKNOWN_GP",IF(AND(F36=0,G36=0),IF(AD36&gt;=10,"FARM_LEGACY_10",IF(AND(ISNUMBER(AD36),AD36&gt;0),"FARM_CAREER_1_9","FARM_0_0")),IF(F36&gt;=1,IF(F36&lt;=3,"FARM_RECENT_1_3","FARM_RECENT_4_9"),"FARM_PREV_1_9_ONLY")))))))</x:f>
        <x:v>UNKNOWN_GP</x:v>
      </x:c>
      <x:c r="AF36" s="57" t="n">
        <x:f>AB36-T36</x:f>
        <x:v>0</x:v>
      </x:c>
      <x:c r="AG36" s="57" t="n">
        <x:f>AC36-U36</x:f>
        <x:v>0</x:v>
      </x:c>
    </x:row>
    <x:row r="37">
      <x:c r="A37" t="s">
        <x:v>984</x:v>
      </x:c>
      <x:c r="C37" t="s">
        <x:v>331</x:v>
      </x:c>
      <x:c r="D37">
        <x:v>8479388</x:v>
      </x:c>
      <x:c r="E37" t="s">
        <x:v>267</x:v>
      </x:c>
      <x:c r="J37" t="s">
        <x:v>2474</x:v>
      </x:c>
      <x:c r="K37">
        <x:v>81</x:v>
      </x:c>
      <x:c r="L37">
        <x:v>80</x:v>
      </x:c>
      <x:c r="M37">
        <x:v>73</x:v>
      </x:c>
      <x:c r="N37">
        <x:v>33</x:v>
      </x:c>
      <x:c r="O37">
        <x:v>81</x:v>
      </x:c>
      <x:c r="P37">
        <x:v>82</x:v>
      </x:c>
      <x:c r="Q37">
        <x:v>84</x:v>
      </x:c>
      <x:c r="R37">
        <x:v>34</x:v>
      </x:c>
      <x:c r="S37">
        <x:v>30</x:v>
      </x:c>
      <x:c r="T37" s="63" t="n">
        <x:f>MAX(30,MIN(AB37-VLOOKUP(AE37,'AHL_PA_SC_BALANCE'!$A$8:$E$18,2,FALSE),VLOOKUP(AE37,'AHL_PA_SC_BALANCE'!$A$8:$E$18,4,FALSE)))</x:f>
        <x:v>44</x:v>
      </x:c>
      <x:c r="U37" s="63" t="n">
        <x:f>MAX(30,MIN(AC37-VLOOKUP(AE37,'AHL_PA_SC_BALANCE'!$A$8:$E$18,3,FALSE),VLOOKUP(AE37,'AHL_PA_SC_BALANCE'!$A$8:$E$18,5,FALSE)))</x:f>
        <x:v>40</x:v>
      </x:c>
      <x:c r="V37">
        <x:v>71</x:v>
      </x:c>
      <x:c r="W37">
        <x:v>47</x:v>
      </x:c>
      <x:c r="X37">
        <x:v>70</x:v>
      </x:c>
      <x:c r="Y37">
        <x:v>70</x:v>
      </x:c>
      <x:c r="Z37">
        <x:v>51</x:v>
      </x:c>
      <x:c r="AA37">
        <x:v>55</x:v>
      </x:c>
      <x:c r="AB37" s="57" t="n">
        <x:v>44</x:v>
      </x:c>
      <x:c r="AC37" s="57" t="n">
        <x:v>40</x:v>
      </x:c>
      <x:c r="AD37" s="59"/>
      <x:c r="AE37" s="61" t="str">
        <x:f>IF(N(F37)&gt;=10,"NHL_LATEST_10",IF(AND(N(F37)&gt;0,N(G37)&gt;0),"NHL_BOTH_SEASONS",IF(N(G37)&gt;=10,"NHL_PREVIOUS_10",IF(AND(ISNUMBER(AD37),AD37=0,SUM(F37:G37)=0),"FARM_CAREER_0",IF(COUNT(F37:G37)&lt;2,"UNKNOWN_GP",IF(AND(F37=0,G37=0),IF(AD37&gt;=10,"FARM_LEGACY_10",IF(AND(ISNUMBER(AD37),AD37&gt;0),"FARM_CAREER_1_9","FARM_0_0")),IF(F37&gt;=1,IF(F37&lt;=3,"FARM_RECENT_1_3","FARM_RECENT_4_9"),"FARM_PREV_1_9_ONLY")))))))</x:f>
        <x:v>UNKNOWN_GP</x:v>
      </x:c>
      <x:c r="AF37" s="57" t="n">
        <x:f>AB37-T37</x:f>
        <x:v>0</x:v>
      </x:c>
      <x:c r="AG37" s="57" t="n">
        <x:f>AC37-U37</x:f>
        <x:v>0</x:v>
      </x:c>
    </x:row>
    <x:row r="38">
      <x:c r="A38" t="s">
        <x:v>985</x:v>
      </x:c>
      <x:c r="C38" t="s">
        <x:v>331</x:v>
      </x:c>
      <x:c r="D38">
        <x:v>8478021</x:v>
      </x:c>
      <x:c r="E38" t="s">
        <x:v>267</x:v>
      </x:c>
      <x:c r="J38" t="s">
        <x:v>2474</x:v>
      </x:c>
      <x:c r="K38">
        <x:v>75</x:v>
      </x:c>
      <x:c r="L38">
        <x:v>79</x:v>
      </x:c>
      <x:c r="M38">
        <x:v>83</x:v>
      </x:c>
      <x:c r="N38">
        <x:v>34</x:v>
      </x:c>
      <x:c r="O38">
        <x:v>83</x:v>
      </x:c>
      <x:c r="P38">
        <x:v>82</x:v>
      </x:c>
      <x:c r="Q38">
        <x:v>86</x:v>
      </x:c>
      <x:c r="R38">
        <x:v>34</x:v>
      </x:c>
      <x:c r="S38">
        <x:v>30</x:v>
      </x:c>
      <x:c r="T38" s="63" t="n">
        <x:f>MAX(30,MIN(AB38-VLOOKUP(AE38,'AHL_PA_SC_BALANCE'!$A$8:$E$18,2,FALSE),VLOOKUP(AE38,'AHL_PA_SC_BALANCE'!$A$8:$E$18,4,FALSE)))</x:f>
        <x:v>50</x:v>
      </x:c>
      <x:c r="U38" s="63" t="n">
        <x:f>MAX(30,MIN(AC38-VLOOKUP(AE38,'AHL_PA_SC_BALANCE'!$A$8:$E$18,3,FALSE),VLOOKUP(AE38,'AHL_PA_SC_BALANCE'!$A$8:$E$18,5,FALSE)))</x:f>
        <x:v>44</x:v>
      </x:c>
      <x:c r="V38">
        <x:v>73</x:v>
      </x:c>
      <x:c r="W38">
        <x:v>48</x:v>
      </x:c>
      <x:c r="X38">
        <x:v>72</x:v>
      </x:c>
      <x:c r="Y38">
        <x:v>72</x:v>
      </x:c>
      <x:c r="Z38">
        <x:v>51</x:v>
      </x:c>
      <x:c r="AA38">
        <x:v>55</x:v>
      </x:c>
      <x:c r="AB38" s="57" t="n">
        <x:v>50</x:v>
      </x:c>
      <x:c r="AC38" s="57" t="n">
        <x:v>44</x:v>
      </x:c>
      <x:c r="AD38" s="59"/>
      <x:c r="AE38" s="61" t="str">
        <x:f>IF(N(F38)&gt;=10,"NHL_LATEST_10",IF(AND(N(F38)&gt;0,N(G38)&gt;0),"NHL_BOTH_SEASONS",IF(N(G38)&gt;=10,"NHL_PREVIOUS_10",IF(AND(ISNUMBER(AD38),AD38=0,SUM(F38:G38)=0),"FARM_CAREER_0",IF(COUNT(F38:G38)&lt;2,"UNKNOWN_GP",IF(AND(F38=0,G38=0),IF(AD38&gt;=10,"FARM_LEGACY_10",IF(AND(ISNUMBER(AD38),AD38&gt;0),"FARM_CAREER_1_9","FARM_0_0")),IF(F38&gt;=1,IF(F38&lt;=3,"FARM_RECENT_1_3","FARM_RECENT_4_9"),"FARM_PREV_1_9_ONLY")))))))</x:f>
        <x:v>UNKNOWN_GP</x:v>
      </x:c>
      <x:c r="AF38" s="57" t="n">
        <x:f>AB38-T38</x:f>
        <x:v>0</x:v>
      </x:c>
      <x:c r="AG38" s="57" t="n">
        <x:f>AC38-U38</x:f>
        <x:v>0</x:v>
      </x:c>
    </x:row>
    <x:row r="39">
      <x:c r="A39" t="s">
        <x:v>986</x:v>
      </x:c>
      <x:c r="C39" t="s">
        <x:v>323</x:v>
      </x:c>
      <x:c r="D39">
        <x:v>8479580</x:v>
      </x:c>
      <x:c r="E39" t="s">
        <x:v>267</x:v>
      </x:c>
      <x:c r="J39" t="s">
        <x:v>2474</x:v>
      </x:c>
      <x:c r="K39">
        <x:v>66</x:v>
      </x:c>
      <x:c r="L39">
        <x:v>35</x:v>
      </x:c>
      <x:c r="M39">
        <x:v>91</x:v>
      </x:c>
      <x:c r="N39">
        <x:v>48</x:v>
      </x:c>
      <x:c r="O39">
        <x:v>79</x:v>
      </x:c>
      <x:c r="P39">
        <x:v>80</x:v>
      </x:c>
      <x:c r="Q39">
        <x:v>81</x:v>
      </x:c>
      <x:c r="R39">
        <x:v>48</x:v>
      </x:c>
      <x:c r="S39">
        <x:v>85</x:v>
      </x:c>
      <x:c r="T39" s="63" t="n">
        <x:f>MAX(30,MIN(AB39-VLOOKUP(AE39,'AHL_PA_SC_BALANCE'!$A$8:$E$18,2,FALSE),VLOOKUP(AE39,'AHL_PA_SC_BALANCE'!$A$8:$E$18,4,FALSE)))</x:f>
        <x:v>51</x:v>
      </x:c>
      <x:c r="U39" s="63" t="n">
        <x:f>MAX(30,MIN(AC39-VLOOKUP(AE39,'AHL_PA_SC_BALANCE'!$A$8:$E$18,3,FALSE),VLOOKUP(AE39,'AHL_PA_SC_BALANCE'!$A$8:$E$18,5,FALSE)))</x:f>
        <x:v>45</x:v>
      </x:c>
      <x:c r="V39">
        <x:v>69</x:v>
      </x:c>
      <x:c r="W39">
        <x:v>70</x:v>
      </x:c>
      <x:c r="X39">
        <x:v>72</x:v>
      </x:c>
      <x:c r="Y39">
        <x:v>73</x:v>
      </x:c>
      <x:c r="Z39">
        <x:v>51</x:v>
      </x:c>
      <x:c r="AA39">
        <x:v>55</x:v>
      </x:c>
      <x:c r="AB39" s="57" t="n">
        <x:v>51</x:v>
      </x:c>
      <x:c r="AC39" s="57" t="n">
        <x:v>45</x:v>
      </x:c>
      <x:c r="AD39" s="59"/>
      <x:c r="AE39" s="61" t="str">
        <x:f>IF(N(F39)&gt;=10,"NHL_LATEST_10",IF(AND(N(F39)&gt;0,N(G39)&gt;0),"NHL_BOTH_SEASONS",IF(N(G39)&gt;=10,"NHL_PREVIOUS_10",IF(AND(ISNUMBER(AD39),AD39=0,SUM(F39:G39)=0),"FARM_CAREER_0",IF(COUNT(F39:G39)&lt;2,"UNKNOWN_GP",IF(AND(F39=0,G39=0),IF(AD39&gt;=10,"FARM_LEGACY_10",IF(AND(ISNUMBER(AD39),AD39&gt;0),"FARM_CAREER_1_9","FARM_0_0")),IF(F39&gt;=1,IF(F39&lt;=3,"FARM_RECENT_1_3","FARM_RECENT_4_9"),"FARM_PREV_1_9_ONLY")))))))</x:f>
        <x:v>UNKNOWN_GP</x:v>
      </x:c>
      <x:c r="AF39" s="57" t="n">
        <x:f>AB39-T39</x:f>
        <x:v>0</x:v>
      </x:c>
      <x:c r="AG39" s="57" t="n">
        <x:f>AC39-U39</x:f>
        <x:v>0</x:v>
      </x:c>
    </x:row>
    <x:row r="40">
      <x:c r="A40" t="s">
        <x:v>988</x:v>
      </x:c>
      <x:c r="B40" t="s">
        <x:v>354</x:v>
      </x:c>
      <x:c r="C40" t="s">
        <x:v>331</x:v>
      </x:c>
      <x:c r="D40">
        <x:v>8479639</x:v>
      </x:c>
      <x:c r="E40" t="s">
        <x:v>267</x:v>
      </x:c>
      <x:c r="F40">
        <x:v>3</x:v>
      </x:c>
      <x:c r="G40">
        <x:v>6</x:v>
      </x:c>
      <x:c r="J40" t="s">
        <x:v>2475</x:v>
      </x:c>
      <x:c r="K40">
        <x:v>68</x:v>
      </x:c>
      <x:c r="L40">
        <x:v>37</x:v>
      </x:c>
      <x:c r="M40">
        <x:v>85</x:v>
      </x:c>
      <x:c r="N40">
        <x:v>33</x:v>
      </x:c>
      <x:c r="O40">
        <x:v>85</x:v>
      </x:c>
      <x:c r="P40">
        <x:v>85</x:v>
      </x:c>
      <x:c r="Q40">
        <x:v>89</x:v>
      </x:c>
      <x:c r="R40">
        <x:v>34</x:v>
      </x:c>
      <x:c r="S40">
        <x:v>30</x:v>
      </x:c>
      <x:c r="T40" s="63" t="n">
        <x:f>MAX(30,MIN(AB40-VLOOKUP(AE40,'AHL_PA_SC_BALANCE'!$A$8:$E$18,2,FALSE),VLOOKUP(AE40,'AHL_PA_SC_BALANCE'!$A$8:$E$18,4,FALSE)))</x:f>
        <x:v>50</x:v>
      </x:c>
      <x:c r="U40" s="63" t="n">
        <x:f>MAX(30,MIN(AC40-VLOOKUP(AE40,'AHL_PA_SC_BALANCE'!$A$8:$E$18,3,FALSE),VLOOKUP(AE40,'AHL_PA_SC_BALANCE'!$A$8:$E$18,5,FALSE)))</x:f>
        <x:v>45</x:v>
      </x:c>
      <x:c r="V40">
        <x:v>72</x:v>
      </x:c>
      <x:c r="W40">
        <x:v>53</x:v>
      </x:c>
      <x:c r="X40">
        <x:v>70</x:v>
      </x:c>
      <x:c r="Y40">
        <x:v>71</x:v>
      </x:c>
      <x:c r="Z40">
        <x:v>51</x:v>
      </x:c>
      <x:c r="AA40">
        <x:v>55</x:v>
      </x:c>
      <x:c r="AB40" s="57" t="n">
        <x:v>50</x:v>
      </x:c>
      <x:c r="AC40" s="57" t="n">
        <x:v>45</x:v>
      </x:c>
      <x:c r="AD40" s="59"/>
      <x:c r="AE40" s="61" t="str">
        <x:f>IF(N(F40)&gt;=10,"NHL_LATEST_10",IF(AND(N(F40)&gt;0,N(G40)&gt;0),"NHL_BOTH_SEASONS",IF(N(G40)&gt;=10,"NHL_PREVIOUS_10",IF(AND(ISNUMBER(AD40),AD40=0,SUM(F40:G40)=0),"FARM_CAREER_0",IF(COUNT(F40:G40)&lt;2,"UNKNOWN_GP",IF(AND(F40=0,G40=0),IF(AD40&gt;=10,"FARM_LEGACY_10",IF(AND(ISNUMBER(AD40),AD40&gt;0),"FARM_CAREER_1_9","FARM_0_0")),IF(F40&gt;=1,IF(F40&lt;=3,"FARM_RECENT_1_3","FARM_RECENT_4_9"),"FARM_PREV_1_9_ONLY")))))))</x:f>
        <x:v>NHL_BOTH_SEASONS</x:v>
      </x:c>
      <x:c r="AF40" s="57" t="n">
        <x:f>AB40-T40</x:f>
        <x:v>0</x:v>
      </x:c>
      <x:c r="AG40" s="57" t="n">
        <x:f>AC40-U40</x:f>
        <x:v>0</x:v>
      </x:c>
    </x:row>
    <x:row r="41">
      <x:c r="A41" t="s">
        <x:v>990</x:v>
      </x:c>
      <x:c r="C41" t="s">
        <x:v>331</x:v>
      </x:c>
      <x:c r="D41">
        <x:v>8481708</x:v>
      </x:c>
      <x:c r="E41" t="s">
        <x:v>267</x:v>
      </x:c>
      <x:c r="J41" t="s">
        <x:v>2474</x:v>
      </x:c>
      <x:c r="K41">
        <x:v>69</x:v>
      </x:c>
      <x:c r="L41">
        <x:v>38</x:v>
      </x:c>
      <x:c r="M41">
        <x:v>89</x:v>
      </x:c>
      <x:c r="N41">
        <x:v>36</x:v>
      </x:c>
      <x:c r="O41">
        <x:v>76</x:v>
      </x:c>
      <x:c r="P41">
        <x:v>83</x:v>
      </x:c>
      <x:c r="Q41">
        <x:v>85</x:v>
      </x:c>
      <x:c r="R41">
        <x:v>37</x:v>
      </x:c>
      <x:c r="S41">
        <x:v>30</x:v>
      </x:c>
      <x:c r="T41" s="63" t="n">
        <x:f>MAX(30,MIN(AB41-VLOOKUP(AE41,'AHL_PA_SC_BALANCE'!$A$8:$E$18,2,FALSE),VLOOKUP(AE41,'AHL_PA_SC_BALANCE'!$A$8:$E$18,4,FALSE)))</x:f>
        <x:v>53</x:v>
      </x:c>
      <x:c r="U41" s="63" t="n">
        <x:f>MAX(30,MIN(AC41-VLOOKUP(AE41,'AHL_PA_SC_BALANCE'!$A$8:$E$18,3,FALSE),VLOOKUP(AE41,'AHL_PA_SC_BALANCE'!$A$8:$E$18,5,FALSE)))</x:f>
        <x:v>46</x:v>
      </x:c>
      <x:c r="V41">
        <x:v>74</x:v>
      </x:c>
      <x:c r="W41">
        <x:v>55</x:v>
      </x:c>
      <x:c r="X41">
        <x:v>71</x:v>
      </x:c>
      <x:c r="Y41">
        <x:v>70</x:v>
      </x:c>
      <x:c r="Z41">
        <x:v>47</x:v>
      </x:c>
      <x:c r="AA41">
        <x:v>55</x:v>
      </x:c>
      <x:c r="AB41" s="57" t="n">
        <x:v>53</x:v>
      </x:c>
      <x:c r="AC41" s="57" t="n">
        <x:v>46</x:v>
      </x:c>
      <x:c r="AD41" s="59"/>
      <x:c r="AE41" s="61" t="str">
        <x:f>IF(N(F41)&gt;=10,"NHL_LATEST_10",IF(AND(N(F41)&gt;0,N(G41)&gt;0),"NHL_BOTH_SEASONS",IF(N(G41)&gt;=10,"NHL_PREVIOUS_10",IF(AND(ISNUMBER(AD41),AD41=0,SUM(F41:G41)=0),"FARM_CAREER_0",IF(COUNT(F41:G41)&lt;2,"UNKNOWN_GP",IF(AND(F41=0,G41=0),IF(AD41&gt;=10,"FARM_LEGACY_10",IF(AND(ISNUMBER(AD41),AD41&gt;0),"FARM_CAREER_1_9","FARM_0_0")),IF(F41&gt;=1,IF(F41&lt;=3,"FARM_RECENT_1_3","FARM_RECENT_4_9"),"FARM_PREV_1_9_ONLY")))))))</x:f>
        <x:v>UNKNOWN_GP</x:v>
      </x:c>
      <x:c r="AF41" s="57" t="n">
        <x:f>AB41-T41</x:f>
        <x:v>0</x:v>
      </x:c>
      <x:c r="AG41" s="57" t="n">
        <x:f>AC41-U41</x:f>
        <x:v>0</x:v>
      </x:c>
    </x:row>
    <x:row r="42">
      <x:c r="A42" t="s">
        <x:v>993</x:v>
      </x:c>
      <x:c r="C42" t="s">
        <x:v>331</x:v>
      </x:c>
      <x:c r="D42">
        <x:v>8482094</x:v>
      </x:c>
      <x:c r="E42" t="s">
        <x:v>267</x:v>
      </x:c>
      <x:c r="J42" t="s">
        <x:v>2474</x:v>
      </x:c>
      <x:c r="K42">
        <x:v>70</x:v>
      </x:c>
      <x:c r="L42">
        <x:v>33</x:v>
      </x:c>
      <x:c r="M42">
        <x:v>92</x:v>
      </x:c>
      <x:c r="N42">
        <x:v>37</x:v>
      </x:c>
      <x:c r="O42">
        <x:v>77</x:v>
      </x:c>
      <x:c r="P42">
        <x:v>82</x:v>
      </x:c>
      <x:c r="Q42">
        <x:v>69</x:v>
      </x:c>
      <x:c r="R42">
        <x:v>37</x:v>
      </x:c>
      <x:c r="S42">
        <x:v>30</x:v>
      </x:c>
      <x:c r="T42" s="63" t="n">
        <x:f>MAX(30,MIN(AB42-VLOOKUP(AE42,'AHL_PA_SC_BALANCE'!$A$8:$E$18,2,FALSE),VLOOKUP(AE42,'AHL_PA_SC_BALANCE'!$A$8:$E$18,4,FALSE)))</x:f>
        <x:v>52</x:v>
      </x:c>
      <x:c r="U42" s="63" t="n">
        <x:f>MAX(30,MIN(AC42-VLOOKUP(AE42,'AHL_PA_SC_BALANCE'!$A$8:$E$18,3,FALSE),VLOOKUP(AE42,'AHL_PA_SC_BALANCE'!$A$8:$E$18,5,FALSE)))</x:f>
        <x:v>45</x:v>
      </x:c>
      <x:c r="V42">
        <x:v>74</x:v>
      </x:c>
      <x:c r="W42">
        <x:v>55</x:v>
      </x:c>
      <x:c r="X42">
        <x:v>67</x:v>
      </x:c>
      <x:c r="Y42">
        <x:v>66</x:v>
      </x:c>
      <x:c r="Z42">
        <x:v>51</x:v>
      </x:c>
      <x:c r="AA42">
        <x:v>55</x:v>
      </x:c>
      <x:c r="AB42" s="57" t="n">
        <x:v>52</x:v>
      </x:c>
      <x:c r="AC42" s="57" t="n">
        <x:v>45</x:v>
      </x:c>
      <x:c r="AD42" s="59"/>
      <x:c r="AE42" s="61" t="str">
        <x:f>IF(N(F42)&gt;=10,"NHL_LATEST_10",IF(AND(N(F42)&gt;0,N(G42)&gt;0),"NHL_BOTH_SEASONS",IF(N(G42)&gt;=10,"NHL_PREVIOUS_10",IF(AND(ISNUMBER(AD42),AD42=0,SUM(F42:G42)=0),"FARM_CAREER_0",IF(COUNT(F42:G42)&lt;2,"UNKNOWN_GP",IF(AND(F42=0,G42=0),IF(AD42&gt;=10,"FARM_LEGACY_10",IF(AND(ISNUMBER(AD42),AD42&gt;0),"FARM_CAREER_1_9","FARM_0_0")),IF(F42&gt;=1,IF(F42&lt;=3,"FARM_RECENT_1_3","FARM_RECENT_4_9"),"FARM_PREV_1_9_ONLY")))))))</x:f>
        <x:v>UNKNOWN_GP</x:v>
      </x:c>
      <x:c r="AF42" s="57" t="n">
        <x:f>AB42-T42</x:f>
        <x:v>0</x:v>
      </x:c>
      <x:c r="AG42" s="57" t="n">
        <x:f>AC42-U42</x:f>
        <x:v>0</x:v>
      </x:c>
    </x:row>
    <x:row r="43">
      <x:c r="A43" t="s">
        <x:v>996</x:v>
      </x:c>
      <x:c r="C43" t="s">
        <x:v>339</x:v>
      </x:c>
      <x:c r="D43">
        <x:v>8477931</x:v>
      </x:c>
      <x:c r="E43" t="s">
        <x:v>267</x:v>
      </x:c>
      <x:c r="J43" t="s">
        <x:v>2474</x:v>
      </x:c>
      <x:c r="K43">
        <x:v>75</x:v>
      </x:c>
      <x:c r="L43">
        <x:v>38</x:v>
      </x:c>
      <x:c r="M43">
        <x:v>92</x:v>
      </x:c>
      <x:c r="N43">
        <x:v>46</x:v>
      </x:c>
      <x:c r="O43">
        <x:v>81</x:v>
      </x:c>
      <x:c r="P43">
        <x:v>82</x:v>
      </x:c>
      <x:c r="Q43">
        <x:v>48</x:v>
      </x:c>
      <x:c r="R43">
        <x:v>48</x:v>
      </x:c>
      <x:c r="S43">
        <x:v>85</x:v>
      </x:c>
      <x:c r="T43" s="63" t="n">
        <x:f>MAX(30,MIN(AB43-VLOOKUP(AE43,'AHL_PA_SC_BALANCE'!$A$8:$E$18,2,FALSE),VLOOKUP(AE43,'AHL_PA_SC_BALANCE'!$A$8:$E$18,4,FALSE)))</x:f>
        <x:v>50</x:v>
      </x:c>
      <x:c r="U43" s="63" t="n">
        <x:f>MAX(30,MIN(AC43-VLOOKUP(AE43,'AHL_PA_SC_BALANCE'!$A$8:$E$18,3,FALSE),VLOOKUP(AE43,'AHL_PA_SC_BALANCE'!$A$8:$E$18,5,FALSE)))</x:f>
        <x:v>51</x:v>
      </x:c>
      <x:c r="V43">
        <x:v>66</x:v>
      </x:c>
      <x:c r="W43">
        <x:v>52</x:v>
      </x:c>
      <x:c r="X43">
        <x:v>85</x:v>
      </x:c>
      <x:c r="Y43">
        <x:v>74</x:v>
      </x:c>
      <x:c r="Z43">
        <x:v>51</x:v>
      </x:c>
      <x:c r="AA43">
        <x:v>55</x:v>
      </x:c>
      <x:c r="AB43" s="57" t="n">
        <x:v>50</x:v>
      </x:c>
      <x:c r="AC43" s="57" t="n">
        <x:v>51</x:v>
      </x:c>
      <x:c r="AD43" s="59"/>
      <x:c r="AE43" s="61" t="str">
        <x:f>IF(N(F43)&gt;=10,"NHL_LATEST_10",IF(AND(N(F43)&gt;0,N(G43)&gt;0),"NHL_BOTH_SEASONS",IF(N(G43)&gt;=10,"NHL_PREVIOUS_10",IF(AND(ISNUMBER(AD43),AD43=0,SUM(F43:G43)=0),"FARM_CAREER_0",IF(COUNT(F43:G43)&lt;2,"UNKNOWN_GP",IF(AND(F43=0,G43=0),IF(AD43&gt;=10,"FARM_LEGACY_10",IF(AND(ISNUMBER(AD43),AD43&gt;0),"FARM_CAREER_1_9","FARM_0_0")),IF(F43&gt;=1,IF(F43&lt;=3,"FARM_RECENT_1_3","FARM_RECENT_4_9"),"FARM_PREV_1_9_ONLY")))))))</x:f>
        <x:v>UNKNOWN_GP</x:v>
      </x:c>
      <x:c r="AF43" s="57" t="n">
        <x:f>AB43-T43</x:f>
        <x:v>0</x:v>
      </x:c>
      <x:c r="AG43" s="57" t="n">
        <x:f>AC43-U43</x:f>
        <x:v>0</x:v>
      </x:c>
    </x:row>
    <x:row r="44">
      <x:c r="A44" t="s">
        <x:v>1002</x:v>
      </x:c>
      <x:c r="C44" t="s">
        <x:v>331</x:v>
      </x:c>
      <x:c r="D44">
        <x:v>8479395</x:v>
      </x:c>
      <x:c r="E44" t="s">
        <x:v>267</x:v>
      </x:c>
      <x:c r="J44" t="s">
        <x:v>2474</x:v>
      </x:c>
      <x:c r="K44">
        <x:v>65</x:v>
      </x:c>
      <x:c r="L44">
        <x:v>39</x:v>
      </x:c>
      <x:c r="M44">
        <x:v>93</x:v>
      </x:c>
      <x:c r="N44">
        <x:v>36</x:v>
      </x:c>
      <x:c r="O44">
        <x:v>82</x:v>
      </x:c>
      <x:c r="P44">
        <x:v>82</x:v>
      </x:c>
      <x:c r="Q44">
        <x:v>65</x:v>
      </x:c>
      <x:c r="R44">
        <x:v>37</x:v>
      </x:c>
      <x:c r="S44">
        <x:v>30</x:v>
      </x:c>
      <x:c r="T44" s="63" t="n">
        <x:f>MAX(30,MIN(AB44-VLOOKUP(AE44,'AHL_PA_SC_BALANCE'!$A$8:$E$18,2,FALSE),VLOOKUP(AE44,'AHL_PA_SC_BALANCE'!$A$8:$E$18,4,FALSE)))</x:f>
        <x:v>50</x:v>
      </x:c>
      <x:c r="U44" s="63" t="n">
        <x:f>MAX(30,MIN(AC44-VLOOKUP(AE44,'AHL_PA_SC_BALANCE'!$A$8:$E$18,3,FALSE),VLOOKUP(AE44,'AHL_PA_SC_BALANCE'!$A$8:$E$18,5,FALSE)))</x:f>
        <x:v>46</x:v>
      </x:c>
      <x:c r="V44">
        <x:v>72</x:v>
      </x:c>
      <x:c r="W44">
        <x:v>52</x:v>
      </x:c>
      <x:c r="X44">
        <x:v>70</x:v>
      </x:c>
      <x:c r="Y44">
        <x:v>70</x:v>
      </x:c>
      <x:c r="Z44">
        <x:v>51</x:v>
      </x:c>
      <x:c r="AA44">
        <x:v>55</x:v>
      </x:c>
      <x:c r="AB44" s="57" t="n">
        <x:v>50</x:v>
      </x:c>
      <x:c r="AC44" s="57" t="n">
        <x:v>46</x:v>
      </x:c>
      <x:c r="AD44" s="59"/>
      <x:c r="AE44" s="61" t="str">
        <x:f>IF(N(F44)&gt;=10,"NHL_LATEST_10",IF(AND(N(F44)&gt;0,N(G44)&gt;0),"NHL_BOTH_SEASONS",IF(N(G44)&gt;=10,"NHL_PREVIOUS_10",IF(AND(ISNUMBER(AD44),AD44=0,SUM(F44:G44)=0),"FARM_CAREER_0",IF(COUNT(F44:G44)&lt;2,"UNKNOWN_GP",IF(AND(F44=0,G44=0),IF(AD44&gt;=10,"FARM_LEGACY_10",IF(AND(ISNUMBER(AD44),AD44&gt;0),"FARM_CAREER_1_9","FARM_0_0")),IF(F44&gt;=1,IF(F44&lt;=3,"FARM_RECENT_1_3","FARM_RECENT_4_9"),"FARM_PREV_1_9_ONLY")))))))</x:f>
        <x:v>UNKNOWN_GP</x:v>
      </x:c>
      <x:c r="AF44" s="57" t="n">
        <x:f>AB44-T44</x:f>
        <x:v>0</x:v>
      </x:c>
      <x:c r="AG44" s="57" t="n">
        <x:f>AC44-U44</x:f>
        <x:v>0</x:v>
      </x:c>
    </x:row>
    <x:row r="45">
      <x:c r="A45" t="s">
        <x:v>1003</x:v>
      </x:c>
      <x:c r="C45" t="s">
        <x:v>358</x:v>
      </x:c>
      <x:c r="D45">
        <x:v>8479066</x:v>
      </x:c>
      <x:c r="E45" t="s">
        <x:v>267</x:v>
      </x:c>
      <x:c r="J45" t="s">
        <x:v>2474</x:v>
      </x:c>
      <x:c r="K45">
        <x:v>76</x:v>
      </x:c>
      <x:c r="L45">
        <x:v>87</x:v>
      </x:c>
      <x:c r="M45">
        <x:v>79</x:v>
      </x:c>
      <x:c r="N45">
        <x:v>49</x:v>
      </x:c>
      <x:c r="O45">
        <x:v>78</x:v>
      </x:c>
      <x:c r="P45">
        <x:v>80</x:v>
      </x:c>
      <x:c r="Q45">
        <x:v>82</x:v>
      </x:c>
      <x:c r="R45">
        <x:v>47</x:v>
      </x:c>
      <x:c r="S45">
        <x:v>67</x:v>
      </x:c>
      <x:c r="T45" s="63" t="n">
        <x:f>MAX(30,MIN(AB45-VLOOKUP(AE45,'AHL_PA_SC_BALANCE'!$A$8:$E$18,2,FALSE),VLOOKUP(AE45,'AHL_PA_SC_BALANCE'!$A$8:$E$18,4,FALSE)))</x:f>
        <x:v>50</x:v>
      </x:c>
      <x:c r="U45" s="63" t="n">
        <x:f>MAX(30,MIN(AC45-VLOOKUP(AE45,'AHL_PA_SC_BALANCE'!$A$8:$E$18,3,FALSE),VLOOKUP(AE45,'AHL_PA_SC_BALANCE'!$A$8:$E$18,5,FALSE)))</x:f>
        <x:v>50</x:v>
      </x:c>
      <x:c r="V45">
        <x:v>61</x:v>
      </x:c>
      <x:c r="W45">
        <x:v>52</x:v>
      </x:c>
      <x:c r="X45">
        <x:v>80</x:v>
      </x:c>
      <x:c r="Y45">
        <x:v>73</x:v>
      </x:c>
      <x:c r="Z45">
        <x:v>51</x:v>
      </x:c>
      <x:c r="AA45">
        <x:v>55</x:v>
      </x:c>
      <x:c r="AB45" s="57" t="n">
        <x:v>50</x:v>
      </x:c>
      <x:c r="AC45" s="57" t="n">
        <x:v>50</x:v>
      </x:c>
      <x:c r="AD45" s="59"/>
      <x:c r="AE45" s="61" t="str">
        <x:f>IF(N(F45)&gt;=10,"NHL_LATEST_10",IF(AND(N(F45)&gt;0,N(G45)&gt;0),"NHL_BOTH_SEASONS",IF(N(G45)&gt;=10,"NHL_PREVIOUS_10",IF(AND(ISNUMBER(AD45),AD45=0,SUM(F45:G45)=0),"FARM_CAREER_0",IF(COUNT(F45:G45)&lt;2,"UNKNOWN_GP",IF(AND(F45=0,G45=0),IF(AD45&gt;=10,"FARM_LEGACY_10",IF(AND(ISNUMBER(AD45),AD45&gt;0),"FARM_CAREER_1_9","FARM_0_0")),IF(F45&gt;=1,IF(F45&lt;=3,"FARM_RECENT_1_3","FARM_RECENT_4_9"),"FARM_PREV_1_9_ONLY")))))))</x:f>
        <x:v>UNKNOWN_GP</x:v>
      </x:c>
      <x:c r="AF45" s="57" t="n">
        <x:f>AB45-T45</x:f>
        <x:v>0</x:v>
      </x:c>
      <x:c r="AG45" s="57" t="n">
        <x:f>AC45-U45</x:f>
        <x:v>0</x:v>
      </x:c>
    </x:row>
    <x:row r="46">
      <x:c r="A46" t="s">
        <x:v>1004</x:v>
      </x:c>
      <x:c r="C46" t="s">
        <x:v>331</x:v>
      </x:c>
      <x:c r="D46">
        <x:v>8475795</x:v>
      </x:c>
      <x:c r="E46" t="s">
        <x:v>267</x:v>
      </x:c>
      <x:c r="J46" t="s">
        <x:v>2474</x:v>
      </x:c>
      <x:c r="K46">
        <x:v>78</x:v>
      </x:c>
      <x:c r="L46">
        <x:v>92</x:v>
      </x:c>
      <x:c r="M46">
        <x:v>89</x:v>
      </x:c>
      <x:c r="N46">
        <x:v>35</x:v>
      </x:c>
      <x:c r="O46">
        <x:v>93</x:v>
      </x:c>
      <x:c r="P46">
        <x:v>78</x:v>
      </x:c>
      <x:c r="Q46">
        <x:v>38</x:v>
      </x:c>
      <x:c r="R46">
        <x:v>35</x:v>
      </x:c>
      <x:c r="S46">
        <x:v>30</x:v>
      </x:c>
      <x:c r="T46" s="63" t="n">
        <x:f>MAX(30,MIN(AB46-VLOOKUP(AE46,'AHL_PA_SC_BALANCE'!$A$8:$E$18,2,FALSE),VLOOKUP(AE46,'AHL_PA_SC_BALANCE'!$A$8:$E$18,4,FALSE)))</x:f>
        <x:v>48</x:v>
      </x:c>
      <x:c r="U46" s="63" t="n">
        <x:f>MAX(30,MIN(AC46-VLOOKUP(AE46,'AHL_PA_SC_BALANCE'!$A$8:$E$18,3,FALSE),VLOOKUP(AE46,'AHL_PA_SC_BALANCE'!$A$8:$E$18,5,FALSE)))</x:f>
        <x:v>46</x:v>
      </x:c>
      <x:c r="V46">
        <x:v>73</x:v>
      </x:c>
      <x:c r="W46">
        <x:v>52</x:v>
      </x:c>
      <x:c r="X46">
        <x:v>80</x:v>
      </x:c>
      <x:c r="Y46">
        <x:v>76</x:v>
      </x:c>
      <x:c r="Z46">
        <x:v>51</x:v>
      </x:c>
      <x:c r="AA46">
        <x:v>55</x:v>
      </x:c>
      <x:c r="AB46" s="57" t="n">
        <x:v>48</x:v>
      </x:c>
      <x:c r="AC46" s="57" t="n">
        <x:v>46</x:v>
      </x:c>
      <x:c r="AD46" s="59"/>
      <x:c r="AE46" s="61" t="str">
        <x:f>IF(N(F46)&gt;=10,"NHL_LATEST_10",IF(AND(N(F46)&gt;0,N(G46)&gt;0),"NHL_BOTH_SEASONS",IF(N(G46)&gt;=10,"NHL_PREVIOUS_10",IF(AND(ISNUMBER(AD46),AD46=0,SUM(F46:G46)=0),"FARM_CAREER_0",IF(COUNT(F46:G46)&lt;2,"UNKNOWN_GP",IF(AND(F46=0,G46=0),IF(AD46&gt;=10,"FARM_LEGACY_10",IF(AND(ISNUMBER(AD46),AD46&gt;0),"FARM_CAREER_1_9","FARM_0_0")),IF(F46&gt;=1,IF(F46&lt;=3,"FARM_RECENT_1_3","FARM_RECENT_4_9"),"FARM_PREV_1_9_ONLY")))))))</x:f>
        <x:v>UNKNOWN_GP</x:v>
      </x:c>
      <x:c r="AF46" s="57" t="n">
        <x:f>AB46-T46</x:f>
        <x:v>0</x:v>
      </x:c>
      <x:c r="AG46" s="57" t="n">
        <x:f>AC46-U46</x:f>
        <x:v>0</x:v>
      </x:c>
    </x:row>
    <x:row r="47">
      <x:c r="A47" t="s">
        <x:v>1005</x:v>
      </x:c>
      <x:c r="C47" t="s">
        <x:v>329</x:v>
      </x:c>
      <x:c r="D47">
        <x:v>8480144</x:v>
      </x:c>
      <x:c r="E47" t="s">
        <x:v>267</x:v>
      </x:c>
      <x:c r="J47" t="s">
        <x:v>2474</x:v>
      </x:c>
      <x:c r="K47">
        <x:v>67</x:v>
      </x:c>
      <x:c r="L47">
        <x:v>37</x:v>
      </x:c>
      <x:c r="M47">
        <x:v>89</x:v>
      </x:c>
      <x:c r="N47">
        <x:v>48</x:v>
      </x:c>
      <x:c r="O47">
        <x:v>79</x:v>
      </x:c>
      <x:c r="P47">
        <x:v>84</x:v>
      </x:c>
      <x:c r="Q47">
        <x:v>74</x:v>
      </x:c>
      <x:c r="R47">
        <x:v>47</x:v>
      </x:c>
      <x:c r="S47">
        <x:v>88</x:v>
      </x:c>
      <x:c r="T47" s="63" t="n">
        <x:f>MAX(30,MIN(AB47-VLOOKUP(AE47,'AHL_PA_SC_BALANCE'!$A$8:$E$18,2,FALSE),VLOOKUP(AE47,'AHL_PA_SC_BALANCE'!$A$8:$E$18,4,FALSE)))</x:f>
        <x:v>51</x:v>
      </x:c>
      <x:c r="U47" s="63" t="n">
        <x:f>MAX(30,MIN(AC47-VLOOKUP(AE47,'AHL_PA_SC_BALANCE'!$A$8:$E$18,3,FALSE),VLOOKUP(AE47,'AHL_PA_SC_BALANCE'!$A$8:$E$18,5,FALSE)))</x:f>
        <x:v>51</x:v>
      </x:c>
      <x:c r="V47">
        <x:v>67</x:v>
      </x:c>
      <x:c r="W47">
        <x:v>52</x:v>
      </x:c>
      <x:c r="X47">
        <x:v>79</x:v>
      </x:c>
      <x:c r="Y47">
        <x:v>72</x:v>
      </x:c>
      <x:c r="Z47">
        <x:v>41</x:v>
      </x:c>
      <x:c r="AA47">
        <x:v>55</x:v>
      </x:c>
      <x:c r="AB47" s="57" t="n">
        <x:v>51</x:v>
      </x:c>
      <x:c r="AC47" s="57" t="n">
        <x:v>51</x:v>
      </x:c>
      <x:c r="AD47" s="59"/>
      <x:c r="AE47" s="61" t="str">
        <x:f>IF(N(F47)&gt;=10,"NHL_LATEST_10",IF(AND(N(F47)&gt;0,N(G47)&gt;0),"NHL_BOTH_SEASONS",IF(N(G47)&gt;=10,"NHL_PREVIOUS_10",IF(AND(ISNUMBER(AD47),AD47=0,SUM(F47:G47)=0),"FARM_CAREER_0",IF(COUNT(F47:G47)&lt;2,"UNKNOWN_GP",IF(AND(F47=0,G47=0),IF(AD47&gt;=10,"FARM_LEGACY_10",IF(AND(ISNUMBER(AD47),AD47&gt;0),"FARM_CAREER_1_9","FARM_0_0")),IF(F47&gt;=1,IF(F47&lt;=3,"FARM_RECENT_1_3","FARM_RECENT_4_9"),"FARM_PREV_1_9_ONLY")))))))</x:f>
        <x:v>UNKNOWN_GP</x:v>
      </x:c>
      <x:c r="AF47" s="57" t="n">
        <x:f>AB47-T47</x:f>
        <x:v>0</x:v>
      </x:c>
      <x:c r="AG47" s="57" t="n">
        <x:f>AC47-U47</x:f>
        <x:v>0</x:v>
      </x:c>
    </x:row>
    <x:row r="48">
      <x:c r="A48" t="s">
        <x:v>1006</x:v>
      </x:c>
      <x:c r="C48" t="s">
        <x:v>339</x:v>
      </x:c>
      <x:c r="D48">
        <x:v>8476867</x:v>
      </x:c>
      <x:c r="E48" t="s">
        <x:v>267</x:v>
      </x:c>
      <x:c r="J48" t="s">
        <x:v>2474</x:v>
      </x:c>
      <x:c r="K48">
        <x:v>71</x:v>
      </x:c>
      <x:c r="L48">
        <x:v>42</x:v>
      </x:c>
      <x:c r="M48">
        <x:v>84</x:v>
      </x:c>
      <x:c r="N48">
        <x:v>47</x:v>
      </x:c>
      <x:c r="O48">
        <x:v>85</x:v>
      </x:c>
      <x:c r="P48">
        <x:v>81</x:v>
      </x:c>
      <x:c r="Q48">
        <x:v>85</x:v>
      </x:c>
      <x:c r="R48">
        <x:v>47</x:v>
      </x:c>
      <x:c r="S48">
        <x:v>84</x:v>
      </x:c>
      <x:c r="T48" s="63" t="n">
        <x:f>MAX(30,MIN(AB48-VLOOKUP(AE48,'AHL_PA_SC_BALANCE'!$A$8:$E$18,2,FALSE),VLOOKUP(AE48,'AHL_PA_SC_BALANCE'!$A$8:$E$18,4,FALSE)))</x:f>
        <x:v>51</x:v>
      </x:c>
      <x:c r="U48" s="63" t="n">
        <x:f>MAX(30,MIN(AC48-VLOOKUP(AE48,'AHL_PA_SC_BALANCE'!$A$8:$E$18,3,FALSE),VLOOKUP(AE48,'AHL_PA_SC_BALANCE'!$A$8:$E$18,5,FALSE)))</x:f>
        <x:v>51</x:v>
      </x:c>
      <x:c r="V48">
        <x:v>67</x:v>
      </x:c>
      <x:c r="W48">
        <x:v>52</x:v>
      </x:c>
      <x:c r="X48">
        <x:v>74</x:v>
      </x:c>
      <x:c r="Y48">
        <x:v>74</x:v>
      </x:c>
      <x:c r="Z48">
        <x:v>51</x:v>
      </x:c>
      <x:c r="AA48">
        <x:v>55</x:v>
      </x:c>
      <x:c r="AB48" s="57" t="n">
        <x:v>51</x:v>
      </x:c>
      <x:c r="AC48" s="57" t="n">
        <x:v>51</x:v>
      </x:c>
      <x:c r="AD48" s="59"/>
      <x:c r="AE48" s="61" t="str">
        <x:f>IF(N(F48)&gt;=10,"NHL_LATEST_10",IF(AND(N(F48)&gt;0,N(G48)&gt;0),"NHL_BOTH_SEASONS",IF(N(G48)&gt;=10,"NHL_PREVIOUS_10",IF(AND(ISNUMBER(AD48),AD48=0,SUM(F48:G48)=0),"FARM_CAREER_0",IF(COUNT(F48:G48)&lt;2,"UNKNOWN_GP",IF(AND(F48=0,G48=0),IF(AD48&gt;=10,"FARM_LEGACY_10",IF(AND(ISNUMBER(AD48),AD48&gt;0),"FARM_CAREER_1_9","FARM_0_0")),IF(F48&gt;=1,IF(F48&lt;=3,"FARM_RECENT_1_3","FARM_RECENT_4_9"),"FARM_PREV_1_9_ONLY")))))))</x:f>
        <x:v>UNKNOWN_GP</x:v>
      </x:c>
      <x:c r="AF48" s="57" t="n">
        <x:f>AB48-T48</x:f>
        <x:v>0</x:v>
      </x:c>
      <x:c r="AG48" s="57" t="n">
        <x:f>AC48-U48</x:f>
        <x:v>0</x:v>
      </x:c>
    </x:row>
    <x:row r="49">
      <x:c r="A49" t="s">
        <x:v>1007</x:v>
      </x:c>
      <x:c r="C49" t="s">
        <x:v>339</x:v>
      </x:c>
      <x:c r="D49">
        <x:v>8477952</x:v>
      </x:c>
      <x:c r="E49" t="s">
        <x:v>267</x:v>
      </x:c>
      <x:c r="J49" t="s">
        <x:v>2474</x:v>
      </x:c>
      <x:c r="K49">
        <x:v>72</x:v>
      </x:c>
      <x:c r="L49">
        <x:v>33</x:v>
      </x:c>
      <x:c r="M49">
        <x:v>79</x:v>
      </x:c>
      <x:c r="N49">
        <x:v>49</x:v>
      </x:c>
      <x:c r="O49">
        <x:v>75</x:v>
      </x:c>
      <x:c r="P49">
        <x:v>82</x:v>
      </x:c>
      <x:c r="Q49">
        <x:v>52</x:v>
      </x:c>
      <x:c r="R49">
        <x:v>49</x:v>
      </x:c>
      <x:c r="S49">
        <x:v>72</x:v>
      </x:c>
      <x:c r="T49" s="63" t="n">
        <x:f>MAX(30,MIN(AB49-VLOOKUP(AE49,'AHL_PA_SC_BALANCE'!$A$8:$E$18,2,FALSE),VLOOKUP(AE49,'AHL_PA_SC_BALANCE'!$A$8:$E$18,4,FALSE)))</x:f>
        <x:v>52</x:v>
      </x:c>
      <x:c r="U49" s="63" t="n">
        <x:f>MAX(30,MIN(AC49-VLOOKUP(AE49,'AHL_PA_SC_BALANCE'!$A$8:$E$18,3,FALSE),VLOOKUP(AE49,'AHL_PA_SC_BALANCE'!$A$8:$E$18,5,FALSE)))</x:f>
        <x:v>53</x:v>
      </x:c>
      <x:c r="V49">
        <x:v>63</x:v>
      </x:c>
      <x:c r="W49">
        <x:v>59</x:v>
      </x:c>
      <x:c r="X49">
        <x:v>77</x:v>
      </x:c>
      <x:c r="Y49">
        <x:v>72</x:v>
      </x:c>
      <x:c r="Z49">
        <x:v>51</x:v>
      </x:c>
      <x:c r="AA49">
        <x:v>55</x:v>
      </x:c>
      <x:c r="AB49" s="57" t="n">
        <x:v>52</x:v>
      </x:c>
      <x:c r="AC49" s="57" t="n">
        <x:v>53</x:v>
      </x:c>
      <x:c r="AD49" s="59"/>
      <x:c r="AE49" s="61" t="str">
        <x:f>IF(N(F49)&gt;=10,"NHL_LATEST_10",IF(AND(N(F49)&gt;0,N(G49)&gt;0),"NHL_BOTH_SEASONS",IF(N(G49)&gt;=10,"NHL_PREVIOUS_10",IF(AND(ISNUMBER(AD49),AD49=0,SUM(F49:G49)=0),"FARM_CAREER_0",IF(COUNT(F49:G49)&lt;2,"UNKNOWN_GP",IF(AND(F49=0,G49=0),IF(AD49&gt;=10,"FARM_LEGACY_10",IF(AND(ISNUMBER(AD49),AD49&gt;0),"FARM_CAREER_1_9","FARM_0_0")),IF(F49&gt;=1,IF(F49&lt;=3,"FARM_RECENT_1_3","FARM_RECENT_4_9"),"FARM_PREV_1_9_ONLY")))))))</x:f>
        <x:v>UNKNOWN_GP</x:v>
      </x:c>
      <x:c r="AF49" s="57" t="n">
        <x:f>AB49-T49</x:f>
        <x:v>0</x:v>
      </x:c>
      <x:c r="AG49" s="57" t="n">
        <x:f>AC49-U49</x:f>
        <x:v>0</x:v>
      </x:c>
    </x:row>
    <x:row r="50">
      <x:c r="A50" t="s">
        <x:v>1009</x:v>
      </x:c>
      <x:c r="C50" t="s">
        <x:v>331</x:v>
      </x:c>
      <x:c r="D50">
        <x:v>8482470</x:v>
      </x:c>
      <x:c r="E50" t="s">
        <x:v>267</x:v>
      </x:c>
      <x:c r="J50" t="s">
        <x:v>2474</x:v>
      </x:c>
      <x:c r="K50">
        <x:v>74</x:v>
      </x:c>
      <x:c r="L50">
        <x:v>40</x:v>
      </x:c>
      <x:c r="M50">
        <x:v>82</x:v>
      </x:c>
      <x:c r="N50">
        <x:v>38</x:v>
      </x:c>
      <x:c r="O50">
        <x:v>83</x:v>
      </x:c>
      <x:c r="P50">
        <x:v>82</x:v>
      </x:c>
      <x:c r="Q50">
        <x:v>70</x:v>
      </x:c>
      <x:c r="R50">
        <x:v>37</x:v>
      </x:c>
      <x:c r="S50">
        <x:v>30</x:v>
      </x:c>
      <x:c r="T50" s="63" t="n">
        <x:f>MAX(30,MIN(AB50-VLOOKUP(AE50,'AHL_PA_SC_BALANCE'!$A$8:$E$18,2,FALSE),VLOOKUP(AE50,'AHL_PA_SC_BALANCE'!$A$8:$E$18,4,FALSE)))</x:f>
        <x:v>53</x:v>
      </x:c>
      <x:c r="U50" s="63" t="n">
        <x:f>MAX(30,MIN(AC50-VLOOKUP(AE50,'AHL_PA_SC_BALANCE'!$A$8:$E$18,3,FALSE),VLOOKUP(AE50,'AHL_PA_SC_BALANCE'!$A$8:$E$18,5,FALSE)))</x:f>
        <x:v>46</x:v>
      </x:c>
      <x:c r="V50">
        <x:v>73</x:v>
      </x:c>
      <x:c r="W50">
        <x:v>55</x:v>
      </x:c>
      <x:c r="X50">
        <x:v>69</x:v>
      </x:c>
      <x:c r="Y50">
        <x:v>68</x:v>
      </x:c>
      <x:c r="Z50">
        <x:v>51</x:v>
      </x:c>
      <x:c r="AA50">
        <x:v>55</x:v>
      </x:c>
      <x:c r="AB50" s="57" t="n">
        <x:v>53</x:v>
      </x:c>
      <x:c r="AC50" s="57" t="n">
        <x:v>46</x:v>
      </x:c>
      <x:c r="AD50" s="59"/>
      <x:c r="AE50" s="61" t="str">
        <x:f>IF(N(F50)&gt;=10,"NHL_LATEST_10",IF(AND(N(F50)&gt;0,N(G50)&gt;0),"NHL_BOTH_SEASONS",IF(N(G50)&gt;=10,"NHL_PREVIOUS_10",IF(AND(ISNUMBER(AD50),AD50=0,SUM(F50:G50)=0),"FARM_CAREER_0",IF(COUNT(F50:G50)&lt;2,"UNKNOWN_GP",IF(AND(F50=0,G50=0),IF(AD50&gt;=10,"FARM_LEGACY_10",IF(AND(ISNUMBER(AD50),AD50&gt;0),"FARM_CAREER_1_9","FARM_0_0")),IF(F50&gt;=1,IF(F50&lt;=3,"FARM_RECENT_1_3","FARM_RECENT_4_9"),"FARM_PREV_1_9_ONLY")))))))</x:f>
        <x:v>UNKNOWN_GP</x:v>
      </x:c>
      <x:c r="AF50" s="57" t="n">
        <x:f>AB50-T50</x:f>
        <x:v>0</x:v>
      </x:c>
      <x:c r="AG50" s="57" t="n">
        <x:f>AC50-U50</x:f>
        <x:v>0</x:v>
      </x:c>
    </x:row>
    <x:row r="51">
      <x:c r="A51" t="s">
        <x:v>1010</x:v>
      </x:c>
      <x:c r="C51" t="s">
        <x:v>331</x:v>
      </x:c>
      <x:c r="D51">
        <x:v>8483510</x:v>
      </x:c>
      <x:c r="E51" t="s">
        <x:v>267</x:v>
      </x:c>
      <x:c r="J51" t="s">
        <x:v>2474</x:v>
      </x:c>
      <x:c r="K51">
        <x:v>75</x:v>
      </x:c>
      <x:c r="L51">
        <x:v>34</x:v>
      </x:c>
      <x:c r="M51">
        <x:v>86</x:v>
      </x:c>
      <x:c r="N51">
        <x:v>38</x:v>
      </x:c>
      <x:c r="O51">
        <x:v>77</x:v>
      </x:c>
      <x:c r="P51">
        <x:v>85</x:v>
      </x:c>
      <x:c r="Q51">
        <x:v>83</x:v>
      </x:c>
      <x:c r="R51">
        <x:v>38</x:v>
      </x:c>
      <x:c r="S51">
        <x:v>30</x:v>
      </x:c>
      <x:c r="T51" s="63" t="n">
        <x:f>MAX(30,MIN(AB51-VLOOKUP(AE51,'AHL_PA_SC_BALANCE'!$A$8:$E$18,2,FALSE),VLOOKUP(AE51,'AHL_PA_SC_BALANCE'!$A$8:$E$18,4,FALSE)))</x:f>
        <x:v>49</x:v>
      </x:c>
      <x:c r="U51" s="63" t="n">
        <x:f>MAX(30,MIN(AC51-VLOOKUP(AE51,'AHL_PA_SC_BALANCE'!$A$8:$E$18,3,FALSE),VLOOKUP(AE51,'AHL_PA_SC_BALANCE'!$A$8:$E$18,5,FALSE)))</x:f>
        <x:v>48</x:v>
      </x:c>
      <x:c r="V51">
        <x:v>71</x:v>
      </x:c>
      <x:c r="W51">
        <x:v>55</x:v>
      </x:c>
      <x:c r="X51">
        <x:v>65</x:v>
      </x:c>
      <x:c r="Y51">
        <x:v>65</x:v>
      </x:c>
      <x:c r="Z51">
        <x:v>51</x:v>
      </x:c>
      <x:c r="AA51">
        <x:v>55</x:v>
      </x:c>
      <x:c r="AB51" s="57" t="n">
        <x:v>49</x:v>
      </x:c>
      <x:c r="AC51" s="57" t="n">
        <x:v>48</x:v>
      </x:c>
      <x:c r="AD51" s="59"/>
      <x:c r="AE51" s="61" t="str">
        <x:f>IF(N(F51)&gt;=10,"NHL_LATEST_10",IF(AND(N(F51)&gt;0,N(G51)&gt;0),"NHL_BOTH_SEASONS",IF(N(G51)&gt;=10,"NHL_PREVIOUS_10",IF(AND(ISNUMBER(AD51),AD51=0,SUM(F51:G51)=0),"FARM_CAREER_0",IF(COUNT(F51:G51)&lt;2,"UNKNOWN_GP",IF(AND(F51=0,G51=0),IF(AD51&gt;=10,"FARM_LEGACY_10",IF(AND(ISNUMBER(AD51),AD51&gt;0),"FARM_CAREER_1_9","FARM_0_0")),IF(F51&gt;=1,IF(F51&lt;=3,"FARM_RECENT_1_3","FARM_RECENT_4_9"),"FARM_PREV_1_9_ONLY")))))))</x:f>
        <x:v>UNKNOWN_GP</x:v>
      </x:c>
      <x:c r="AF51" s="57" t="n">
        <x:f>AB51-T51</x:f>
        <x:v>0</x:v>
      </x:c>
      <x:c r="AG51" s="57" t="n">
        <x:f>AC51-U51</x:f>
        <x:v>0</x:v>
      </x:c>
    </x:row>
    <x:row r="52">
      <x:c r="A52" t="s">
        <x:v>1013</x:v>
      </x:c>
      <x:c r="C52" t="s">
        <x:v>333</x:v>
      </x:c>
      <x:c r="D52">
        <x:v>8475752</x:v>
      </x:c>
      <x:c r="E52" t="s">
        <x:v>267</x:v>
      </x:c>
      <x:c r="J52" t="s">
        <x:v>2474</x:v>
      </x:c>
      <x:c r="K52">
        <x:v>79</x:v>
      </x:c>
      <x:c r="L52">
        <x:v>68</x:v>
      </x:c>
      <x:c r="M52">
        <x:v>82</x:v>
      </x:c>
      <x:c r="N52">
        <x:v>47</x:v>
      </x:c>
      <x:c r="O52">
        <x:v>79</x:v>
      </x:c>
      <x:c r="P52">
        <x:v>78</x:v>
      </x:c>
      <x:c r="Q52">
        <x:v>78</x:v>
      </x:c>
      <x:c r="R52">
        <x:v>47</x:v>
      </x:c>
      <x:c r="S52">
        <x:v>62</x:v>
      </x:c>
      <x:c r="T52" s="63" t="n">
        <x:f>MAX(30,MIN(AB52-VLOOKUP(AE52,'AHL_PA_SC_BALANCE'!$A$8:$E$18,2,FALSE),VLOOKUP(AE52,'AHL_PA_SC_BALANCE'!$A$8:$E$18,4,FALSE)))</x:f>
        <x:v>47</x:v>
      </x:c>
      <x:c r="U52" s="63" t="n">
        <x:f>MAX(30,MIN(AC52-VLOOKUP(AE52,'AHL_PA_SC_BALANCE'!$A$8:$E$18,3,FALSE),VLOOKUP(AE52,'AHL_PA_SC_BALANCE'!$A$8:$E$18,5,FALSE)))</x:f>
        <x:v>50</x:v>
      </x:c>
      <x:c r="V52">
        <x:v>62</x:v>
      </x:c>
      <x:c r="W52">
        <x:v>56</x:v>
      </x:c>
      <x:c r="X52">
        <x:v>82</x:v>
      </x:c>
      <x:c r="Y52">
        <x:v>83</x:v>
      </x:c>
      <x:c r="Z52">
        <x:v>51</x:v>
      </x:c>
      <x:c r="AA52">
        <x:v>55</x:v>
      </x:c>
      <x:c r="AB52" s="57" t="n">
        <x:v>47</x:v>
      </x:c>
      <x:c r="AC52" s="57" t="n">
        <x:v>50</x:v>
      </x:c>
      <x:c r="AD52" s="59"/>
      <x:c r="AE52" s="61" t="str">
        <x:f>IF(N(F52)&gt;=10,"NHL_LATEST_10",IF(AND(N(F52)&gt;0,N(G52)&gt;0),"NHL_BOTH_SEASONS",IF(N(G52)&gt;=10,"NHL_PREVIOUS_10",IF(AND(ISNUMBER(AD52),AD52=0,SUM(F52:G52)=0),"FARM_CAREER_0",IF(COUNT(F52:G52)&lt;2,"UNKNOWN_GP",IF(AND(F52=0,G52=0),IF(AD52&gt;=10,"FARM_LEGACY_10",IF(AND(ISNUMBER(AD52),AD52&gt;0),"FARM_CAREER_1_9","FARM_0_0")),IF(F52&gt;=1,IF(F52&lt;=3,"FARM_RECENT_1_3","FARM_RECENT_4_9"),"FARM_PREV_1_9_ONLY")))))))</x:f>
        <x:v>UNKNOWN_GP</x:v>
      </x:c>
      <x:c r="AF52" s="57" t="n">
        <x:f>AB52-T52</x:f>
        <x:v>0</x:v>
      </x:c>
      <x:c r="AG52" s="57" t="n">
        <x:f>AC52-U52</x:f>
        <x:v>0</x:v>
      </x:c>
    </x:row>
    <x:row r="53">
      <x:c r="A53" t="s">
        <x:v>1015</x:v>
      </x:c>
      <x:c r="C53" t="s">
        <x:v>331</x:v>
      </x:c>
      <x:c r="D53">
        <x:v>8483768</x:v>
      </x:c>
      <x:c r="E53" t="s">
        <x:v>267</x:v>
      </x:c>
      <x:c r="J53" t="s">
        <x:v>2474</x:v>
      </x:c>
      <x:c r="K53">
        <x:v>73</x:v>
      </x:c>
      <x:c r="L53">
        <x:v>71</x:v>
      </x:c>
      <x:c r="M53">
        <x:v>94</x:v>
      </x:c>
      <x:c r="N53">
        <x:v>38</x:v>
      </x:c>
      <x:c r="O53">
        <x:v>85</x:v>
      </x:c>
      <x:c r="P53">
        <x:v>82</x:v>
      </x:c>
      <x:c r="Q53">
        <x:v>81</x:v>
      </x:c>
      <x:c r="R53">
        <x:v>38</x:v>
      </x:c>
      <x:c r="S53">
        <x:v>30</x:v>
      </x:c>
      <x:c r="T53" s="63" t="n">
        <x:f>MAX(30,MIN(AB53-VLOOKUP(AE53,'AHL_PA_SC_BALANCE'!$A$8:$E$18,2,FALSE),VLOOKUP(AE53,'AHL_PA_SC_BALANCE'!$A$8:$E$18,4,FALSE)))</x:f>
        <x:v>50</x:v>
      </x:c>
      <x:c r="U53" s="63" t="n">
        <x:f>MAX(30,MIN(AC53-VLOOKUP(AE53,'AHL_PA_SC_BALANCE'!$A$8:$E$18,3,FALSE),VLOOKUP(AE53,'AHL_PA_SC_BALANCE'!$A$8:$E$18,5,FALSE)))</x:f>
        <x:v>46</x:v>
      </x:c>
      <x:c r="V53">
        <x:v>72</x:v>
      </x:c>
      <x:c r="W53">
        <x:v>52</x:v>
      </x:c>
      <x:c r="X53">
        <x:v>68</x:v>
      </x:c>
      <x:c r="Y53">
        <x:v>65</x:v>
      </x:c>
      <x:c r="Z53">
        <x:v>51</x:v>
      </x:c>
      <x:c r="AA53">
        <x:v>55</x:v>
      </x:c>
      <x:c r="AB53" s="57" t="n">
        <x:v>50</x:v>
      </x:c>
      <x:c r="AC53" s="57" t="n">
        <x:v>46</x:v>
      </x:c>
      <x:c r="AD53" s="59"/>
      <x:c r="AE53" s="61" t="str">
        <x:f>IF(N(F53)&gt;=10,"NHL_LATEST_10",IF(AND(N(F53)&gt;0,N(G53)&gt;0),"NHL_BOTH_SEASONS",IF(N(G53)&gt;=10,"NHL_PREVIOUS_10",IF(AND(ISNUMBER(AD53),AD53=0,SUM(F53:G53)=0),"FARM_CAREER_0",IF(COUNT(F53:G53)&lt;2,"UNKNOWN_GP",IF(AND(F53=0,G53=0),IF(AD53&gt;=10,"FARM_LEGACY_10",IF(AND(ISNUMBER(AD53),AD53&gt;0),"FARM_CAREER_1_9","FARM_0_0")),IF(F53&gt;=1,IF(F53&lt;=3,"FARM_RECENT_1_3","FARM_RECENT_4_9"),"FARM_PREV_1_9_ONLY")))))))</x:f>
        <x:v>UNKNOWN_GP</x:v>
      </x:c>
      <x:c r="AF53" s="57" t="n">
        <x:f>AB53-T53</x:f>
        <x:v>0</x:v>
      </x:c>
      <x:c r="AG53" s="57" t="n">
        <x:f>AC53-U53</x:f>
        <x:v>0</x:v>
      </x:c>
    </x:row>
    <x:row r="54">
      <x:c r="A54" t="s">
        <x:v>1017</x:v>
      </x:c>
      <x:c r="C54" t="s">
        <x:v>331</x:v>
      </x:c>
      <x:c r="D54">
        <x:v>8482144</x:v>
      </x:c>
      <x:c r="E54" t="s">
        <x:v>267</x:v>
      </x:c>
      <x:c r="J54" t="s">
        <x:v>2474</x:v>
      </x:c>
      <x:c r="K54">
        <x:v>68</x:v>
      </x:c>
      <x:c r="L54">
        <x:v>38</x:v>
      </x:c>
      <x:c r="M54">
        <x:v>86</x:v>
      </x:c>
      <x:c r="N54">
        <x:v>35</x:v>
      </x:c>
      <x:c r="O54">
        <x:v>78</x:v>
      </x:c>
      <x:c r="P54">
        <x:v>82</x:v>
      </x:c>
      <x:c r="Q54">
        <x:v>85</x:v>
      </x:c>
      <x:c r="R54">
        <x:v>36</x:v>
      </x:c>
      <x:c r="S54">
        <x:v>30</x:v>
      </x:c>
      <x:c r="T54" s="63" t="n">
        <x:f>MAX(30,MIN(AB54-VLOOKUP(AE54,'AHL_PA_SC_BALANCE'!$A$8:$E$18,2,FALSE),VLOOKUP(AE54,'AHL_PA_SC_BALANCE'!$A$8:$E$18,4,FALSE)))</x:f>
        <x:v>50</x:v>
      </x:c>
      <x:c r="U54" s="63" t="n">
        <x:f>MAX(30,MIN(AC54-VLOOKUP(AE54,'AHL_PA_SC_BALANCE'!$A$8:$E$18,3,FALSE),VLOOKUP(AE54,'AHL_PA_SC_BALANCE'!$A$8:$E$18,5,FALSE)))</x:f>
        <x:v>46</x:v>
      </x:c>
      <x:c r="V54">
        <x:v>73</x:v>
      </x:c>
      <x:c r="W54">
        <x:v>51</x:v>
      </x:c>
      <x:c r="X54">
        <x:v>67</x:v>
      </x:c>
      <x:c r="Y54">
        <x:v>67</x:v>
      </x:c>
      <x:c r="Z54">
        <x:v>51</x:v>
      </x:c>
      <x:c r="AA54">
        <x:v>55</x:v>
      </x:c>
      <x:c r="AB54" s="57" t="n">
        <x:v>50</x:v>
      </x:c>
      <x:c r="AC54" s="57" t="n">
        <x:v>46</x:v>
      </x:c>
      <x:c r="AD54" s="59"/>
      <x:c r="AE54" s="61" t="str">
        <x:f>IF(N(F54)&gt;=10,"NHL_LATEST_10",IF(AND(N(F54)&gt;0,N(G54)&gt;0),"NHL_BOTH_SEASONS",IF(N(G54)&gt;=10,"NHL_PREVIOUS_10",IF(AND(ISNUMBER(AD54),AD54=0,SUM(F54:G54)=0),"FARM_CAREER_0",IF(COUNT(F54:G54)&lt;2,"UNKNOWN_GP",IF(AND(F54=0,G54=0),IF(AD54&gt;=10,"FARM_LEGACY_10",IF(AND(ISNUMBER(AD54),AD54&gt;0),"FARM_CAREER_1_9","FARM_0_0")),IF(F54&gt;=1,IF(F54&lt;=3,"FARM_RECENT_1_3","FARM_RECENT_4_9"),"FARM_PREV_1_9_ONLY")))))))</x:f>
        <x:v>UNKNOWN_GP</x:v>
      </x:c>
      <x:c r="AF54" s="57" t="n">
        <x:f>AB54-T54</x:f>
        <x:v>0</x:v>
      </x:c>
      <x:c r="AG54" s="57" t="n">
        <x:f>AC54-U54</x:f>
        <x:v>0</x:v>
      </x:c>
    </x:row>
    <x:row r="55">
      <x:c r="A55" t="s">
        <x:v>1020</x:v>
      </x:c>
      <x:c r="C55" t="s">
        <x:v>331</x:v>
      </x:c>
      <x:c r="D55">
        <x:v>8484759</x:v>
      </x:c>
      <x:c r="E55" t="s">
        <x:v>267</x:v>
      </x:c>
      <x:c r="J55" t="s">
        <x:v>2474</x:v>
      </x:c>
      <x:c r="K55">
        <x:v>79</x:v>
      </x:c>
      <x:c r="L55">
        <x:v>38</x:v>
      </x:c>
      <x:c r="M55">
        <x:v>82</x:v>
      </x:c>
      <x:c r="N55">
        <x:v>36</x:v>
      </x:c>
      <x:c r="O55">
        <x:v>86</x:v>
      </x:c>
      <x:c r="P55">
        <x:v>81</x:v>
      </x:c>
      <x:c r="Q55">
        <x:v>85</x:v>
      </x:c>
      <x:c r="R55">
        <x:v>37</x:v>
      </x:c>
      <x:c r="S55">
        <x:v>30</x:v>
      </x:c>
      <x:c r="T55" s="63" t="n">
        <x:f>MAX(30,MIN(AB55-VLOOKUP(AE55,'AHL_PA_SC_BALANCE'!$A$8:$E$18,2,FALSE),VLOOKUP(AE55,'AHL_PA_SC_BALANCE'!$A$8:$E$18,4,FALSE)))</x:f>
        <x:v>51</x:v>
      </x:c>
      <x:c r="U55" s="63" t="n">
        <x:f>MAX(30,MIN(AC55-VLOOKUP(AE55,'AHL_PA_SC_BALANCE'!$A$8:$E$18,3,FALSE),VLOOKUP(AE55,'AHL_PA_SC_BALANCE'!$A$8:$E$18,5,FALSE)))</x:f>
        <x:v>44</x:v>
      </x:c>
      <x:c r="V55">
        <x:v>71</x:v>
      </x:c>
      <x:c r="W55">
        <x:v>53</x:v>
      </x:c>
      <x:c r="X55">
        <x:v>65</x:v>
      </x:c>
      <x:c r="Y55">
        <x:v>65</x:v>
      </x:c>
      <x:c r="Z55">
        <x:v>51</x:v>
      </x:c>
      <x:c r="AA55">
        <x:v>55</x:v>
      </x:c>
      <x:c r="AB55" s="57" t="n">
        <x:v>51</x:v>
      </x:c>
      <x:c r="AC55" s="57" t="n">
        <x:v>44</x:v>
      </x:c>
      <x:c r="AD55" s="59"/>
      <x:c r="AE55" s="61" t="str">
        <x:f>IF(N(F55)&gt;=10,"NHL_LATEST_10",IF(AND(N(F55)&gt;0,N(G55)&gt;0),"NHL_BOTH_SEASONS",IF(N(G55)&gt;=10,"NHL_PREVIOUS_10",IF(AND(ISNUMBER(AD55),AD55=0,SUM(F55:G55)=0),"FARM_CAREER_0",IF(COUNT(F55:G55)&lt;2,"UNKNOWN_GP",IF(AND(F55=0,G55=0),IF(AD55&gt;=10,"FARM_LEGACY_10",IF(AND(ISNUMBER(AD55),AD55&gt;0),"FARM_CAREER_1_9","FARM_0_0")),IF(F55&gt;=1,IF(F55&lt;=3,"FARM_RECENT_1_3","FARM_RECENT_4_9"),"FARM_PREV_1_9_ONLY")))))))</x:f>
        <x:v>UNKNOWN_GP</x:v>
      </x:c>
      <x:c r="AF55" s="57" t="n">
        <x:f>AB55-T55</x:f>
        <x:v>0</x:v>
      </x:c>
      <x:c r="AG55" s="57" t="n">
        <x:f>AC55-U55</x:f>
        <x:v>0</x:v>
      </x:c>
    </x:row>
    <x:row r="56">
      <x:c r="A56" t="s">
        <x:v>1022</x:v>
      </x:c>
      <x:c r="C56" t="s">
        <x:v>331</x:v>
      </x:c>
      <x:c r="D56">
        <x:v>8480157</x:v>
      </x:c>
      <x:c r="E56" t="s">
        <x:v>267</x:v>
      </x:c>
      <x:c r="J56" t="s">
        <x:v>2474</x:v>
      </x:c>
      <x:c r="K56">
        <x:v>64</x:v>
      </x:c>
      <x:c r="L56">
        <x:v>37</x:v>
      </x:c>
      <x:c r="M56">
        <x:v>87</x:v>
      </x:c>
      <x:c r="N56">
        <x:v>36</x:v>
      </x:c>
      <x:c r="O56">
        <x:v>79</x:v>
      </x:c>
      <x:c r="P56">
        <x:v>90</x:v>
      </x:c>
      <x:c r="Q56">
        <x:v>94</x:v>
      </x:c>
      <x:c r="R56">
        <x:v>37</x:v>
      </x:c>
      <x:c r="S56">
        <x:v>30</x:v>
      </x:c>
      <x:c r="T56" s="63" t="n">
        <x:f>MAX(30,MIN(AB56-VLOOKUP(AE56,'AHL_PA_SC_BALANCE'!$A$8:$E$18,2,FALSE),VLOOKUP(AE56,'AHL_PA_SC_BALANCE'!$A$8:$E$18,4,FALSE)))</x:f>
        <x:v>48</x:v>
      </x:c>
      <x:c r="U56" s="63" t="n">
        <x:f>MAX(30,MIN(AC56-VLOOKUP(AE56,'AHL_PA_SC_BALANCE'!$A$8:$E$18,3,FALSE),VLOOKUP(AE56,'AHL_PA_SC_BALANCE'!$A$8:$E$18,5,FALSE)))</x:f>
        <x:v>42</x:v>
      </x:c>
      <x:c r="V56">
        <x:v>70</x:v>
      </x:c>
      <x:c r="W56">
        <x:v>51</x:v>
      </x:c>
      <x:c r="X56">
        <x:v>76</x:v>
      </x:c>
      <x:c r="Y56">
        <x:v>75</x:v>
      </x:c>
      <x:c r="Z56">
        <x:v>51</x:v>
      </x:c>
      <x:c r="AA56">
        <x:v>55</x:v>
      </x:c>
      <x:c r="AB56" s="57" t="n">
        <x:v>48</x:v>
      </x:c>
      <x:c r="AC56" s="57" t="n">
        <x:v>42</x:v>
      </x:c>
      <x:c r="AD56" s="59"/>
      <x:c r="AE56" s="61" t="str">
        <x:f>IF(N(F56)&gt;=10,"NHL_LATEST_10",IF(AND(N(F56)&gt;0,N(G56)&gt;0),"NHL_BOTH_SEASONS",IF(N(G56)&gt;=10,"NHL_PREVIOUS_10",IF(AND(ISNUMBER(AD56),AD56=0,SUM(F56:G56)=0),"FARM_CAREER_0",IF(COUNT(F56:G56)&lt;2,"UNKNOWN_GP",IF(AND(F56=0,G56=0),IF(AD56&gt;=10,"FARM_LEGACY_10",IF(AND(ISNUMBER(AD56),AD56&gt;0),"FARM_CAREER_1_9","FARM_0_0")),IF(F56&gt;=1,IF(F56&lt;=3,"FARM_RECENT_1_3","FARM_RECENT_4_9"),"FARM_PREV_1_9_ONLY")))))))</x:f>
        <x:v>UNKNOWN_GP</x:v>
      </x:c>
      <x:c r="AF56" s="57" t="n">
        <x:f>AB56-T56</x:f>
        <x:v>0</x:v>
      </x:c>
      <x:c r="AG56" s="57" t="n">
        <x:f>AC56-U56</x:f>
        <x:v>0</x:v>
      </x:c>
    </x:row>
    <x:row r="57">
      <x:c r="A57" t="s">
        <x:v>1023</x:v>
      </x:c>
      <x:c r="C57" t="s">
        <x:v>331</x:v>
      </x:c>
      <x:c r="D57">
        <x:v>8479439</x:v>
      </x:c>
      <x:c r="E57" t="s">
        <x:v>267</x:v>
      </x:c>
      <x:c r="J57" t="s">
        <x:v>2474</x:v>
      </x:c>
      <x:c r="K57">
        <x:v>74</x:v>
      </x:c>
      <x:c r="L57">
        <x:v>79</x:v>
      </x:c>
      <x:c r="M57">
        <x:v>90</x:v>
      </x:c>
      <x:c r="N57">
        <x:v>35</x:v>
      </x:c>
      <x:c r="O57">
        <x:v>80</x:v>
      </x:c>
      <x:c r="P57">
        <x:v>77</x:v>
      </x:c>
      <x:c r="Q57">
        <x:v>78</x:v>
      </x:c>
      <x:c r="R57">
        <x:v>36</x:v>
      </x:c>
      <x:c r="S57">
        <x:v>30</x:v>
      </x:c>
      <x:c r="T57" s="63" t="n">
        <x:f>MAX(30,MIN(AB57-VLOOKUP(AE57,'AHL_PA_SC_BALANCE'!$A$8:$E$18,2,FALSE),VLOOKUP(AE57,'AHL_PA_SC_BALANCE'!$A$8:$E$18,4,FALSE)))</x:f>
        <x:v>49</x:v>
      </x:c>
      <x:c r="U57" s="63" t="n">
        <x:f>MAX(30,MIN(AC57-VLOOKUP(AE57,'AHL_PA_SC_BALANCE'!$A$8:$E$18,3,FALSE),VLOOKUP(AE57,'AHL_PA_SC_BALANCE'!$A$8:$E$18,5,FALSE)))</x:f>
        <x:v>48</x:v>
      </x:c>
      <x:c r="V57">
        <x:v>72</x:v>
      </x:c>
      <x:c r="W57">
        <x:v>53</x:v>
      </x:c>
      <x:c r="X57">
        <x:v>78</x:v>
      </x:c>
      <x:c r="Y57">
        <x:v>79</x:v>
      </x:c>
      <x:c r="Z57">
        <x:v>47</x:v>
      </x:c>
      <x:c r="AA57">
        <x:v>55</x:v>
      </x:c>
      <x:c r="AB57" s="57" t="n">
        <x:v>49</x:v>
      </x:c>
      <x:c r="AC57" s="57" t="n">
        <x:v>48</x:v>
      </x:c>
      <x:c r="AD57" s="59"/>
      <x:c r="AE57" s="61" t="str">
        <x:f>IF(N(F57)&gt;=10,"NHL_LATEST_10",IF(AND(N(F57)&gt;0,N(G57)&gt;0),"NHL_BOTH_SEASONS",IF(N(G57)&gt;=10,"NHL_PREVIOUS_10",IF(AND(ISNUMBER(AD57),AD57=0,SUM(F57:G57)=0),"FARM_CAREER_0",IF(COUNT(F57:G57)&lt;2,"UNKNOWN_GP",IF(AND(F57=0,G57=0),IF(AD57&gt;=10,"FARM_LEGACY_10",IF(AND(ISNUMBER(AD57),AD57&gt;0),"FARM_CAREER_1_9","FARM_0_0")),IF(F57&gt;=1,IF(F57&lt;=3,"FARM_RECENT_1_3","FARM_RECENT_4_9"),"FARM_PREV_1_9_ONLY")))))))</x:f>
        <x:v>UNKNOWN_GP</x:v>
      </x:c>
      <x:c r="AF57" s="57" t="n">
        <x:f>AB57-T57</x:f>
        <x:v>0</x:v>
      </x:c>
      <x:c r="AG57" s="57" t="n">
        <x:f>AC57-U57</x:f>
        <x:v>0</x:v>
      </x:c>
    </x:row>
    <x:row r="58">
      <x:c r="A58" t="s">
        <x:v>1025</x:v>
      </x:c>
      <x:c r="C58" t="s">
        <x:v>331</x:v>
      </x:c>
      <x:c r="D58">
        <x:v>8482067</x:v>
      </x:c>
      <x:c r="E58" t="s">
        <x:v>267</x:v>
      </x:c>
      <x:c r="J58" t="s">
        <x:v>2474</x:v>
      </x:c>
      <x:c r="K58">
        <x:v>78</x:v>
      </x:c>
      <x:c r="L58">
        <x:v>34</x:v>
      </x:c>
      <x:c r="M58">
        <x:v>75</x:v>
      </x:c>
      <x:c r="N58">
        <x:v>33</x:v>
      </x:c>
      <x:c r="O58">
        <x:v>83</x:v>
      </x:c>
      <x:c r="P58">
        <x:v>87</x:v>
      </x:c>
      <x:c r="Q58">
        <x:v>90</x:v>
      </x:c>
      <x:c r="R58">
        <x:v>32</x:v>
      </x:c>
      <x:c r="S58">
        <x:v>30</x:v>
      </x:c>
      <x:c r="T58" s="63" t="n">
        <x:f>MAX(30,MIN(AB58-VLOOKUP(AE58,'AHL_PA_SC_BALANCE'!$A$8:$E$18,2,FALSE),VLOOKUP(AE58,'AHL_PA_SC_BALANCE'!$A$8:$E$18,4,FALSE)))</x:f>
        <x:v>43</x:v>
      </x:c>
      <x:c r="U58" s="63" t="n">
        <x:f>MAX(30,MIN(AC58-VLOOKUP(AE58,'AHL_PA_SC_BALANCE'!$A$8:$E$18,3,FALSE),VLOOKUP(AE58,'AHL_PA_SC_BALANCE'!$A$8:$E$18,5,FALSE)))</x:f>
        <x:v>41</x:v>
      </x:c>
      <x:c r="V58">
        <x:v>70</x:v>
      </x:c>
      <x:c r="W58">
        <x:v>47</x:v>
      </x:c>
      <x:c r="X58">
        <x:v>72</x:v>
      </x:c>
      <x:c r="Y58">
        <x:v>73</x:v>
      </x:c>
      <x:c r="Z58">
        <x:v>51</x:v>
      </x:c>
      <x:c r="AA58">
        <x:v>55</x:v>
      </x:c>
      <x:c r="AB58" s="57" t="n">
        <x:v>43</x:v>
      </x:c>
      <x:c r="AC58" s="57" t="n">
        <x:v>41</x:v>
      </x:c>
      <x:c r="AD58" s="59"/>
      <x:c r="AE58" s="61" t="str">
        <x:f>IF(N(F58)&gt;=10,"NHL_LATEST_10",IF(AND(N(F58)&gt;0,N(G58)&gt;0),"NHL_BOTH_SEASONS",IF(N(G58)&gt;=10,"NHL_PREVIOUS_10",IF(AND(ISNUMBER(AD58),AD58=0,SUM(F58:G58)=0),"FARM_CAREER_0",IF(COUNT(F58:G58)&lt;2,"UNKNOWN_GP",IF(AND(F58=0,G58=0),IF(AD58&gt;=10,"FARM_LEGACY_10",IF(AND(ISNUMBER(AD58),AD58&gt;0),"FARM_CAREER_1_9","FARM_0_0")),IF(F58&gt;=1,IF(F58&lt;=3,"FARM_RECENT_1_3","FARM_RECENT_4_9"),"FARM_PREV_1_9_ONLY")))))))</x:f>
        <x:v>UNKNOWN_GP</x:v>
      </x:c>
      <x:c r="AF58" s="57" t="n">
        <x:f>AB58-T58</x:f>
        <x:v>0</x:v>
      </x:c>
      <x:c r="AG58" s="57" t="n">
        <x:f>AC58-U58</x:f>
        <x:v>0</x:v>
      </x:c>
    </x:row>
    <x:row r="59">
      <x:c r="A59" t="s">
        <x:v>1027</x:v>
      </x:c>
      <x:c r="C59" t="s">
        <x:v>358</x:v>
      </x:c>
      <x:c r="D59">
        <x:v>8483731</x:v>
      </x:c>
      <x:c r="E59" t="s">
        <x:v>267</x:v>
      </x:c>
      <x:c r="J59" t="s">
        <x:v>2474</x:v>
      </x:c>
      <x:c r="K59">
        <x:v>62</x:v>
      </x:c>
      <x:c r="L59">
        <x:v>34</x:v>
      </x:c>
      <x:c r="M59">
        <x:v>92</x:v>
      </x:c>
      <x:c r="N59">
        <x:v>51</x:v>
      </x:c>
      <x:c r="O59">
        <x:v>77</x:v>
      </x:c>
      <x:c r="P59">
        <x:v>80</x:v>
      </x:c>
      <x:c r="Q59">
        <x:v>75</x:v>
      </x:c>
      <x:c r="R59">
        <x:v>51</x:v>
      </x:c>
      <x:c r="S59">
        <x:v>61</x:v>
      </x:c>
      <x:c r="T59" s="63" t="n">
        <x:f>MAX(30,MIN(AB59-VLOOKUP(AE59,'AHL_PA_SC_BALANCE'!$A$8:$E$18,2,FALSE),VLOOKUP(AE59,'AHL_PA_SC_BALANCE'!$A$8:$E$18,4,FALSE)))</x:f>
        <x:v>50</x:v>
      </x:c>
      <x:c r="U59" s="63" t="n">
        <x:f>MAX(30,MIN(AC59-VLOOKUP(AE59,'AHL_PA_SC_BALANCE'!$A$8:$E$18,3,FALSE),VLOOKUP(AE59,'AHL_PA_SC_BALANCE'!$A$8:$E$18,5,FALSE)))</x:f>
        <x:v>54</x:v>
      </x:c>
      <x:c r="V59">
        <x:v>58</x:v>
      </x:c>
      <x:c r="W59">
        <x:v>51</x:v>
      </x:c>
      <x:c r="X59">
        <x:v>68</x:v>
      </x:c>
      <x:c r="Y59">
        <x:v>69</x:v>
      </x:c>
      <x:c r="Z59">
        <x:v>54</x:v>
      </x:c>
      <x:c r="AA59">
        <x:v>55</x:v>
      </x:c>
      <x:c r="AB59" s="57" t="n">
        <x:v>50</x:v>
      </x:c>
      <x:c r="AC59" s="57" t="n">
        <x:v>54</x:v>
      </x:c>
      <x:c r="AD59" s="59"/>
      <x:c r="AE59" s="61" t="str">
        <x:f>IF(N(F59)&gt;=10,"NHL_LATEST_10",IF(AND(N(F59)&gt;0,N(G59)&gt;0),"NHL_BOTH_SEASONS",IF(N(G59)&gt;=10,"NHL_PREVIOUS_10",IF(AND(ISNUMBER(AD59),AD59=0,SUM(F59:G59)=0),"FARM_CAREER_0",IF(COUNT(F59:G59)&lt;2,"UNKNOWN_GP",IF(AND(F59=0,G59=0),IF(AD59&gt;=10,"FARM_LEGACY_10",IF(AND(ISNUMBER(AD59),AD59&gt;0),"FARM_CAREER_1_9","FARM_0_0")),IF(F59&gt;=1,IF(F59&lt;=3,"FARM_RECENT_1_3","FARM_RECENT_4_9"),"FARM_PREV_1_9_ONLY")))))))</x:f>
        <x:v>UNKNOWN_GP</x:v>
      </x:c>
      <x:c r="AF59" s="57" t="n">
        <x:f>AB59-T59</x:f>
        <x:v>0</x:v>
      </x:c>
      <x:c r="AG59" s="57" t="n">
        <x:f>AC59-U59</x:f>
        <x:v>0</x:v>
      </x:c>
    </x:row>
    <x:row r="60">
      <x:c r="A60" t="s">
        <x:v>1028</x:v>
      </x:c>
      <x:c r="C60" t="s">
        <x:v>326</x:v>
      </x:c>
      <x:c r="D60">
        <x:v>8481517</x:v>
      </x:c>
      <x:c r="E60" t="s">
        <x:v>267</x:v>
      </x:c>
      <x:c r="J60" t="s">
        <x:v>2474</x:v>
      </x:c>
      <x:c r="K60">
        <x:v>70</x:v>
      </x:c>
      <x:c r="L60">
        <x:v>37</x:v>
      </x:c>
      <x:c r="M60">
        <x:v>82</x:v>
      </x:c>
      <x:c r="N60">
        <x:v>46</x:v>
      </x:c>
      <x:c r="O60">
        <x:v>88</x:v>
      </x:c>
      <x:c r="P60">
        <x:v>84</x:v>
      </x:c>
      <x:c r="Q60">
        <x:v>87</x:v>
      </x:c>
      <x:c r="R60">
        <x:v>46</x:v>
      </x:c>
      <x:c r="S60">
        <x:v>73</x:v>
      </x:c>
      <x:c r="T60" s="63" t="n">
        <x:f>MAX(30,MIN(AB60-VLOOKUP(AE60,'AHL_PA_SC_BALANCE'!$A$8:$E$18,2,FALSE),VLOOKUP(AE60,'AHL_PA_SC_BALANCE'!$A$8:$E$18,4,FALSE)))</x:f>
        <x:v>52</x:v>
      </x:c>
      <x:c r="U60" s="63" t="n">
        <x:f>MAX(30,MIN(AC60-VLOOKUP(AE60,'AHL_PA_SC_BALANCE'!$A$8:$E$18,3,FALSE),VLOOKUP(AE60,'AHL_PA_SC_BALANCE'!$A$8:$E$18,5,FALSE)))</x:f>
        <x:v>52</x:v>
      </x:c>
      <x:c r="V60">
        <x:v>66</x:v>
      </x:c>
      <x:c r="W60">
        <x:v>68</x:v>
      </x:c>
      <x:c r="X60">
        <x:v>72</x:v>
      </x:c>
      <x:c r="Y60">
        <x:v>69</x:v>
      </x:c>
      <x:c r="Z60">
        <x:v>51</x:v>
      </x:c>
      <x:c r="AA60">
        <x:v>55</x:v>
      </x:c>
      <x:c r="AB60" s="57" t="n">
        <x:v>52</x:v>
      </x:c>
      <x:c r="AC60" s="57" t="n">
        <x:v>52</x:v>
      </x:c>
      <x:c r="AD60" s="59"/>
      <x:c r="AE60" s="61" t="str">
        <x:f>IF(N(F60)&gt;=10,"NHL_LATEST_10",IF(AND(N(F60)&gt;0,N(G60)&gt;0),"NHL_BOTH_SEASONS",IF(N(G60)&gt;=10,"NHL_PREVIOUS_10",IF(AND(ISNUMBER(AD60),AD60=0,SUM(F60:G60)=0),"FARM_CAREER_0",IF(COUNT(F60:G60)&lt;2,"UNKNOWN_GP",IF(AND(F60=0,G60=0),IF(AD60&gt;=10,"FARM_LEGACY_10",IF(AND(ISNUMBER(AD60),AD60&gt;0),"FARM_CAREER_1_9","FARM_0_0")),IF(F60&gt;=1,IF(F60&lt;=3,"FARM_RECENT_1_3","FARM_RECENT_4_9"),"FARM_PREV_1_9_ONLY")))))))</x:f>
        <x:v>UNKNOWN_GP</x:v>
      </x:c>
      <x:c r="AF60" s="57" t="n">
        <x:f>AB60-T60</x:f>
        <x:v>0</x:v>
      </x:c>
      <x:c r="AG60" s="57" t="n">
        <x:f>AC60-U60</x:f>
        <x:v>0</x:v>
      </x:c>
    </x:row>
    <x:row r="61">
      <x:c r="A61" t="s">
        <x:v>1031</x:v>
      </x:c>
      <x:c r="C61" t="s">
        <x:v>331</x:v>
      </x:c>
      <x:c r="D61">
        <x:v>8483398</x:v>
      </x:c>
      <x:c r="E61" t="s">
        <x:v>267</x:v>
      </x:c>
      <x:c r="J61" t="s">
        <x:v>2474</x:v>
      </x:c>
      <x:c r="K61">
        <x:v>74</x:v>
      </x:c>
      <x:c r="L61">
        <x:v>73</x:v>
      </x:c>
      <x:c r="M61">
        <x:v>79</x:v>
      </x:c>
      <x:c r="N61">
        <x:v>37</x:v>
      </x:c>
      <x:c r="O61">
        <x:v>81</x:v>
      </x:c>
      <x:c r="P61">
        <x:v>85</x:v>
      </x:c>
      <x:c r="Q61">
        <x:v>83</x:v>
      </x:c>
      <x:c r="R61">
        <x:v>37</x:v>
      </x:c>
      <x:c r="S61">
        <x:v>30</x:v>
      </x:c>
      <x:c r="T61" s="63" t="n">
        <x:f>MAX(30,MIN(AB61-VLOOKUP(AE61,'AHL_PA_SC_BALANCE'!$A$8:$E$18,2,FALSE),VLOOKUP(AE61,'AHL_PA_SC_BALANCE'!$A$8:$E$18,4,FALSE)))</x:f>
        <x:v>47</x:v>
      </x:c>
      <x:c r="U61" s="63" t="n">
        <x:f>MAX(30,MIN(AC61-VLOOKUP(AE61,'AHL_PA_SC_BALANCE'!$A$8:$E$18,3,FALSE),VLOOKUP(AE61,'AHL_PA_SC_BALANCE'!$A$8:$E$18,5,FALSE)))</x:f>
        <x:v>47</x:v>
      </x:c>
      <x:c r="V61">
        <x:v>74</x:v>
      </x:c>
      <x:c r="W61">
        <x:v>54</x:v>
      </x:c>
      <x:c r="X61">
        <x:v>69</x:v>
      </x:c>
      <x:c r="Y61">
        <x:v>69</x:v>
      </x:c>
      <x:c r="Z61">
        <x:v>51</x:v>
      </x:c>
      <x:c r="AA61">
        <x:v>55</x:v>
      </x:c>
      <x:c r="AB61" s="57" t="n">
        <x:v>47</x:v>
      </x:c>
      <x:c r="AC61" s="57" t="n">
        <x:v>47</x:v>
      </x:c>
      <x:c r="AD61" s="59"/>
      <x:c r="AE61" s="61" t="str">
        <x:f>IF(N(F61)&gt;=10,"NHL_LATEST_10",IF(AND(N(F61)&gt;0,N(G61)&gt;0),"NHL_BOTH_SEASONS",IF(N(G61)&gt;=10,"NHL_PREVIOUS_10",IF(AND(ISNUMBER(AD61),AD61=0,SUM(F61:G61)=0),"FARM_CAREER_0",IF(COUNT(F61:G61)&lt;2,"UNKNOWN_GP",IF(AND(F61=0,G61=0),IF(AD61&gt;=10,"FARM_LEGACY_10",IF(AND(ISNUMBER(AD61),AD61&gt;0),"FARM_CAREER_1_9","FARM_0_0")),IF(F61&gt;=1,IF(F61&lt;=3,"FARM_RECENT_1_3","FARM_RECENT_4_9"),"FARM_PREV_1_9_ONLY")))))))</x:f>
        <x:v>UNKNOWN_GP</x:v>
      </x:c>
      <x:c r="AF61" s="57" t="n">
        <x:f>AB61-T61</x:f>
        <x:v>0</x:v>
      </x:c>
      <x:c r="AG61" s="57" t="n">
        <x:f>AC61-U61</x:f>
        <x:v>0</x:v>
      </x:c>
    </x:row>
    <x:row r="62">
      <x:c r="A62" t="s">
        <x:v>1032</x:v>
      </x:c>
      <x:c r="C62" t="s">
        <x:v>331</x:v>
      </x:c>
      <x:c r="D62">
        <x:v>8477467</x:v>
      </x:c>
      <x:c r="E62" t="s">
        <x:v>267</x:v>
      </x:c>
      <x:c r="J62" t="s">
        <x:v>2474</x:v>
      </x:c>
      <x:c r="K62">
        <x:v>79</x:v>
      </x:c>
      <x:c r="L62">
        <x:v>40</x:v>
      </x:c>
      <x:c r="M62">
        <x:v>84</x:v>
      </x:c>
      <x:c r="N62">
        <x:v>36</x:v>
      </x:c>
      <x:c r="O62">
        <x:v>82</x:v>
      </x:c>
      <x:c r="P62">
        <x:v>81</x:v>
      </x:c>
      <x:c r="Q62">
        <x:v>83</x:v>
      </x:c>
      <x:c r="R62">
        <x:v>37</x:v>
      </x:c>
      <x:c r="S62">
        <x:v>30</x:v>
      </x:c>
      <x:c r="T62" s="63" t="n">
        <x:f>MAX(30,MIN(AB62-VLOOKUP(AE62,'AHL_PA_SC_BALANCE'!$A$8:$E$18,2,FALSE),VLOOKUP(AE62,'AHL_PA_SC_BALANCE'!$A$8:$E$18,4,FALSE)))</x:f>
        <x:v>50</x:v>
      </x:c>
      <x:c r="U62" s="63" t="n">
        <x:f>MAX(30,MIN(AC62-VLOOKUP(AE62,'AHL_PA_SC_BALANCE'!$A$8:$E$18,3,FALSE),VLOOKUP(AE62,'AHL_PA_SC_BALANCE'!$A$8:$E$18,5,FALSE)))</x:f>
        <x:v>41</x:v>
      </x:c>
      <x:c r="V62">
        <x:v>70</x:v>
      </x:c>
      <x:c r="W62">
        <x:v>51</x:v>
      </x:c>
      <x:c r="X62">
        <x:v>76</x:v>
      </x:c>
      <x:c r="Y62">
        <x:v>76</x:v>
      </x:c>
      <x:c r="Z62">
        <x:v>51</x:v>
      </x:c>
      <x:c r="AA62">
        <x:v>55</x:v>
      </x:c>
      <x:c r="AB62" s="57" t="n">
        <x:v>50</x:v>
      </x:c>
      <x:c r="AC62" s="57" t="n">
        <x:v>41</x:v>
      </x:c>
      <x:c r="AD62" s="59"/>
      <x:c r="AE62" s="61" t="str">
        <x:f>IF(N(F62)&gt;=10,"NHL_LATEST_10",IF(AND(N(F62)&gt;0,N(G62)&gt;0),"NHL_BOTH_SEASONS",IF(N(G62)&gt;=10,"NHL_PREVIOUS_10",IF(AND(ISNUMBER(AD62),AD62=0,SUM(F62:G62)=0),"FARM_CAREER_0",IF(COUNT(F62:G62)&lt;2,"UNKNOWN_GP",IF(AND(F62=0,G62=0),IF(AD62&gt;=10,"FARM_LEGACY_10",IF(AND(ISNUMBER(AD62),AD62&gt;0),"FARM_CAREER_1_9","FARM_0_0")),IF(F62&gt;=1,IF(F62&lt;=3,"FARM_RECENT_1_3","FARM_RECENT_4_9"),"FARM_PREV_1_9_ONLY")))))))</x:f>
        <x:v>UNKNOWN_GP</x:v>
      </x:c>
      <x:c r="AF62" s="57" t="n">
        <x:f>AB62-T62</x:f>
        <x:v>0</x:v>
      </x:c>
      <x:c r="AG62" s="57" t="n">
        <x:f>AC62-U62</x:f>
        <x:v>0</x:v>
      </x:c>
    </x:row>
    <x:row r="63">
      <x:c r="A63" t="s">
        <x:v>1034</x:v>
      </x:c>
      <x:c r="C63" t="s">
        <x:v>331</x:v>
      </x:c>
      <x:c r="D63">
        <x:v>8480058</x:v>
      </x:c>
      <x:c r="E63" t="s">
        <x:v>267</x:v>
      </x:c>
      <x:c r="J63" t="s">
        <x:v>2474</x:v>
      </x:c>
      <x:c r="K63">
        <x:v>69</x:v>
      </x:c>
      <x:c r="L63">
        <x:v>42</x:v>
      </x:c>
      <x:c r="M63">
        <x:v>88</x:v>
      </x:c>
      <x:c r="N63">
        <x:v>37</x:v>
      </x:c>
      <x:c r="O63">
        <x:v>78</x:v>
      </x:c>
      <x:c r="P63">
        <x:v>83</x:v>
      </x:c>
      <x:c r="Q63">
        <x:v>66</x:v>
      </x:c>
      <x:c r="R63">
        <x:v>38</x:v>
      </x:c>
      <x:c r="S63">
        <x:v>30</x:v>
      </x:c>
      <x:c r="T63" s="63" t="n">
        <x:f>MAX(30,MIN(AB63-VLOOKUP(AE63,'AHL_PA_SC_BALANCE'!$A$8:$E$18,2,FALSE),VLOOKUP(AE63,'AHL_PA_SC_BALANCE'!$A$8:$E$18,4,FALSE)))</x:f>
        <x:v>51</x:v>
      </x:c>
      <x:c r="U63" s="63" t="n">
        <x:f>MAX(30,MIN(AC63-VLOOKUP(AE63,'AHL_PA_SC_BALANCE'!$A$8:$E$18,3,FALSE),VLOOKUP(AE63,'AHL_PA_SC_BALANCE'!$A$8:$E$18,5,FALSE)))</x:f>
        <x:v>46</x:v>
      </x:c>
      <x:c r="V63">
        <x:v>74</x:v>
      </x:c>
      <x:c r="W63">
        <x:v>52</x:v>
      </x:c>
      <x:c r="X63">
        <x:v>72</x:v>
      </x:c>
      <x:c r="Y63">
        <x:v>69</x:v>
      </x:c>
      <x:c r="Z63">
        <x:v>47</x:v>
      </x:c>
      <x:c r="AA63">
        <x:v>55</x:v>
      </x:c>
      <x:c r="AB63" s="57" t="n">
        <x:v>51</x:v>
      </x:c>
      <x:c r="AC63" s="57" t="n">
        <x:v>46</x:v>
      </x:c>
      <x:c r="AD63" s="59"/>
      <x:c r="AE63" s="61" t="str">
        <x:f>IF(N(F63)&gt;=10,"NHL_LATEST_10",IF(AND(N(F63)&gt;0,N(G63)&gt;0),"NHL_BOTH_SEASONS",IF(N(G63)&gt;=10,"NHL_PREVIOUS_10",IF(AND(ISNUMBER(AD63),AD63=0,SUM(F63:G63)=0),"FARM_CAREER_0",IF(COUNT(F63:G63)&lt;2,"UNKNOWN_GP",IF(AND(F63=0,G63=0),IF(AD63&gt;=10,"FARM_LEGACY_10",IF(AND(ISNUMBER(AD63),AD63&gt;0),"FARM_CAREER_1_9","FARM_0_0")),IF(F63&gt;=1,IF(F63&lt;=3,"FARM_RECENT_1_3","FARM_RECENT_4_9"),"FARM_PREV_1_9_ONLY")))))))</x:f>
        <x:v>UNKNOWN_GP</x:v>
      </x:c>
      <x:c r="AF63" s="57" t="n">
        <x:f>AB63-T63</x:f>
        <x:v>0</x:v>
      </x:c>
      <x:c r="AG63" s="57" t="n">
        <x:f>AC63-U63</x:f>
        <x:v>0</x:v>
      </x:c>
    </x:row>
    <x:row r="64">
      <x:c r="A64" t="s">
        <x:v>1035</x:v>
      </x:c>
      <x:c r="C64" t="s">
        <x:v>331</x:v>
      </x:c>
      <x:c r="D64">
        <x:v>8479026</x:v>
      </x:c>
      <x:c r="E64" t="s">
        <x:v>267</x:v>
      </x:c>
      <x:c r="J64" t="s">
        <x:v>2474</x:v>
      </x:c>
      <x:c r="K64">
        <x:v>77</x:v>
      </x:c>
      <x:c r="L64">
        <x:v>49</x:v>
      </x:c>
      <x:c r="M64">
        <x:v>81</x:v>
      </x:c>
      <x:c r="N64">
        <x:v>36</x:v>
      </x:c>
      <x:c r="O64">
        <x:v>88</x:v>
      </x:c>
      <x:c r="P64">
        <x:v>84</x:v>
      </x:c>
      <x:c r="Q64">
        <x:v>72</x:v>
      </x:c>
      <x:c r="R64">
        <x:v>36</x:v>
      </x:c>
      <x:c r="S64">
        <x:v>30</x:v>
      </x:c>
      <x:c r="T64" s="63" t="n">
        <x:f>MAX(30,MIN(AB64-VLOOKUP(AE64,'AHL_PA_SC_BALANCE'!$A$8:$E$18,2,FALSE),VLOOKUP(AE64,'AHL_PA_SC_BALANCE'!$A$8:$E$18,4,FALSE)))</x:f>
        <x:v>48</x:v>
      </x:c>
      <x:c r="U64" s="63" t="n">
        <x:f>MAX(30,MIN(AC64-VLOOKUP(AE64,'AHL_PA_SC_BALANCE'!$A$8:$E$18,3,FALSE),VLOOKUP(AE64,'AHL_PA_SC_BALANCE'!$A$8:$E$18,5,FALSE)))</x:f>
        <x:v>45</x:v>
      </x:c>
      <x:c r="V64">
        <x:v>75</x:v>
      </x:c>
      <x:c r="W64">
        <x:v>53</x:v>
      </x:c>
      <x:c r="X64">
        <x:v>75</x:v>
      </x:c>
      <x:c r="Y64">
        <x:v>71</x:v>
      </x:c>
      <x:c r="Z64">
        <x:v>51</x:v>
      </x:c>
      <x:c r="AA64">
        <x:v>55</x:v>
      </x:c>
      <x:c r="AB64" s="57" t="n">
        <x:v>48</x:v>
      </x:c>
      <x:c r="AC64" s="57" t="n">
        <x:v>45</x:v>
      </x:c>
      <x:c r="AD64" s="59"/>
      <x:c r="AE64" s="61" t="str">
        <x:f>IF(N(F64)&gt;=10,"NHL_LATEST_10",IF(AND(N(F64)&gt;0,N(G64)&gt;0),"NHL_BOTH_SEASONS",IF(N(G64)&gt;=10,"NHL_PREVIOUS_10",IF(AND(ISNUMBER(AD64),AD64=0,SUM(F64:G64)=0),"FARM_CAREER_0",IF(COUNT(F64:G64)&lt;2,"UNKNOWN_GP",IF(AND(F64=0,G64=0),IF(AD64&gt;=10,"FARM_LEGACY_10",IF(AND(ISNUMBER(AD64),AD64&gt;0),"FARM_CAREER_1_9","FARM_0_0")),IF(F64&gt;=1,IF(F64&lt;=3,"FARM_RECENT_1_3","FARM_RECENT_4_9"),"FARM_PREV_1_9_ONLY")))))))</x:f>
        <x:v>UNKNOWN_GP</x:v>
      </x:c>
      <x:c r="AF64" s="57" t="n">
        <x:f>AB64-T64</x:f>
        <x:v>0</x:v>
      </x:c>
      <x:c r="AG64" s="57" t="n">
        <x:f>AC64-U64</x:f>
        <x:v>0</x:v>
      </x:c>
    </x:row>
    <x:row r="65">
      <x:c r="A65" t="s">
        <x:v>1036</x:v>
      </x:c>
      <x:c r="B65" t="s">
        <x:v>584</x:v>
      </x:c>
      <x:c r="C65" t="s">
        <x:v>331</x:v>
      </x:c>
      <x:c r="D65">
        <x:v>8475246</x:v>
      </x:c>
      <x:c r="E65" t="s">
        <x:v>267</x:v>
      </x:c>
      <x:c r="J65" t="s">
        <x:v>2476</x:v>
      </x:c>
      <x:c r="K65">
        <x:v>78</x:v>
      </x:c>
      <x:c r="L65">
        <x:v>35</x:v>
      </x:c>
      <x:c r="M65">
        <x:v>79</x:v>
      </x:c>
      <x:c r="N65">
        <x:v>32</x:v>
      </x:c>
      <x:c r="O65">
        <x:v>83</x:v>
      </x:c>
      <x:c r="P65">
        <x:v>79</x:v>
      </x:c>
      <x:c r="Q65">
        <x:v>80</x:v>
      </x:c>
      <x:c r="R65">
        <x:v>33</x:v>
      </x:c>
      <x:c r="S65">
        <x:v>30</x:v>
      </x:c>
      <x:c r="T65" s="63" t="n">
        <x:f>MAX(30,MIN(AB65-VLOOKUP(AE65,'AHL_PA_SC_BALANCE'!$A$8:$E$18,2,FALSE),VLOOKUP(AE65,'AHL_PA_SC_BALANCE'!$A$8:$E$18,4,FALSE)))</x:f>
        <x:v>42</x:v>
      </x:c>
      <x:c r="U65" s="63" t="n">
        <x:f>MAX(30,MIN(AC65-VLOOKUP(AE65,'AHL_PA_SC_BALANCE'!$A$8:$E$18,3,FALSE),VLOOKUP(AE65,'AHL_PA_SC_BALANCE'!$A$8:$E$18,5,FALSE)))</x:f>
        <x:v>38</x:v>
      </x:c>
      <x:c r="V65">
        <x:v>69</x:v>
      </x:c>
      <x:c r="W65">
        <x:v>45</x:v>
      </x:c>
      <x:c r="X65">
        <x:v>83</x:v>
      </x:c>
      <x:c r="Y65">
        <x:v>79</x:v>
      </x:c>
      <x:c r="Z65">
        <x:v>51</x:v>
      </x:c>
      <x:c r="AA65">
        <x:v>55</x:v>
      </x:c>
      <x:c r="AB65" s="57" t="n">
        <x:v>42</x:v>
      </x:c>
      <x:c r="AC65" s="57" t="n">
        <x:v>38</x:v>
      </x:c>
      <x:c r="AD65" s="59"/>
      <x:c r="AE65" s="61" t="str">
        <x:f>IF(N(F65)&gt;=10,"NHL_LATEST_10",IF(AND(N(F65)&gt;0,N(G65)&gt;0),"NHL_BOTH_SEASONS",IF(N(G65)&gt;=10,"NHL_PREVIOUS_10",IF(AND(ISNUMBER(AD65),AD65=0,SUM(F65:G65)=0),"FARM_CAREER_0",IF(COUNT(F65:G65)&lt;2,"UNKNOWN_GP",IF(AND(F65=0,G65=0),IF(AD65&gt;=10,"FARM_LEGACY_10",IF(AND(ISNUMBER(AD65),AD65&gt;0),"FARM_CAREER_1_9","FARM_0_0")),IF(F65&gt;=1,IF(F65&lt;=3,"FARM_RECENT_1_3","FARM_RECENT_4_9"),"FARM_PREV_1_9_ONLY")))))))</x:f>
        <x:v>UNKNOWN_GP</x:v>
      </x:c>
      <x:c r="AF65" s="57" t="n">
        <x:f>AB65-T65</x:f>
        <x:v>0</x:v>
      </x:c>
      <x:c r="AG65" s="57" t="n">
        <x:f>AC65-U65</x:f>
        <x:v>0</x:v>
      </x:c>
    </x:row>
    <x:row r="66">
      <x:c r="A66" t="s">
        <x:v>1039</x:v>
      </x:c>
      <x:c r="C66" t="s">
        <x:v>331</x:v>
      </x:c>
      <x:c r="D66">
        <x:v>8476979</x:v>
      </x:c>
      <x:c r="E66" t="s">
        <x:v>267</x:v>
      </x:c>
      <x:c r="J66" t="s">
        <x:v>2474</x:v>
      </x:c>
      <x:c r="K66">
        <x:v>72</x:v>
      </x:c>
      <x:c r="L66">
        <x:v>39</x:v>
      </x:c>
      <x:c r="M66">
        <x:v>82</x:v>
      </x:c>
      <x:c r="N66">
        <x:v>37</x:v>
      </x:c>
      <x:c r="O66">
        <x:v>77</x:v>
      </x:c>
      <x:c r="P66">
        <x:v>81</x:v>
      </x:c>
      <x:c r="Q66">
        <x:v>82</x:v>
      </x:c>
      <x:c r="R66">
        <x:v>36</x:v>
      </x:c>
      <x:c r="S66">
        <x:v>30</x:v>
      </x:c>
      <x:c r="T66" s="63" t="n">
        <x:f>MAX(30,MIN(AB66-VLOOKUP(AE66,'AHL_PA_SC_BALANCE'!$A$8:$E$18,2,FALSE),VLOOKUP(AE66,'AHL_PA_SC_BALANCE'!$A$8:$E$18,4,FALSE)))</x:f>
        <x:v>53</x:v>
      </x:c>
      <x:c r="U66" s="63" t="n">
        <x:f>MAX(30,MIN(AC66-VLOOKUP(AE66,'AHL_PA_SC_BALANCE'!$A$8:$E$18,3,FALSE),VLOOKUP(AE66,'AHL_PA_SC_BALANCE'!$A$8:$E$18,5,FALSE)))</x:f>
        <x:v>47</x:v>
      </x:c>
      <x:c r="V66">
        <x:v>74</x:v>
      </x:c>
      <x:c r="W66">
        <x:v>55</x:v>
      </x:c>
      <x:c r="X66">
        <x:v>86</x:v>
      </x:c>
      <x:c r="Y66">
        <x:v>73</x:v>
      </x:c>
      <x:c r="Z66">
        <x:v>47</x:v>
      </x:c>
      <x:c r="AA66">
        <x:v>55</x:v>
      </x:c>
      <x:c r="AB66" s="57" t="n">
        <x:v>53</x:v>
      </x:c>
      <x:c r="AC66" s="57" t="n">
        <x:v>47</x:v>
      </x:c>
      <x:c r="AD66" s="59"/>
      <x:c r="AE66" s="61" t="str">
        <x:f>IF(N(F66)&gt;=10,"NHL_LATEST_10",IF(AND(N(F66)&gt;0,N(G66)&gt;0),"NHL_BOTH_SEASONS",IF(N(G66)&gt;=10,"NHL_PREVIOUS_10",IF(AND(ISNUMBER(AD66),AD66=0,SUM(F66:G66)=0),"FARM_CAREER_0",IF(COUNT(F66:G66)&lt;2,"UNKNOWN_GP",IF(AND(F66=0,G66=0),IF(AD66&gt;=10,"FARM_LEGACY_10",IF(AND(ISNUMBER(AD66),AD66&gt;0),"FARM_CAREER_1_9","FARM_0_0")),IF(F66&gt;=1,IF(F66&lt;=3,"FARM_RECENT_1_3","FARM_RECENT_4_9"),"FARM_PREV_1_9_ONLY")))))))</x:f>
        <x:v>UNKNOWN_GP</x:v>
      </x:c>
      <x:c r="AF66" s="57" t="n">
        <x:f>AB66-T66</x:f>
        <x:v>0</x:v>
      </x:c>
      <x:c r="AG66" s="57" t="n">
        <x:f>AC66-U66</x:f>
        <x:v>0</x:v>
      </x:c>
    </x:row>
    <x:row r="67">
      <x:c r="A67" t="s">
        <x:v>1040</x:v>
      </x:c>
      <x:c r="C67" t="s">
        <x:v>319</x:v>
      </x:c>
      <x:c r="D67">
        <x:v>8477070</x:v>
      </x:c>
      <x:c r="E67" t="s">
        <x:v>267</x:v>
      </x:c>
      <x:c r="J67" t="s">
        <x:v>2474</x:v>
      </x:c>
      <x:c r="K67">
        <x:v>84</x:v>
      </x:c>
      <x:c r="L67">
        <x:v>88</x:v>
      </x:c>
      <x:c r="M67">
        <x:v>75</x:v>
      </x:c>
      <x:c r="N67">
        <x:v>47</x:v>
      </x:c>
      <x:c r="O67">
        <x:v>84</x:v>
      </x:c>
      <x:c r="P67">
        <x:v>79</x:v>
      </x:c>
      <x:c r="Q67">
        <x:v>67</x:v>
      </x:c>
      <x:c r="R67">
        <x:v>46</x:v>
      </x:c>
      <x:c r="S67">
        <x:v>69</x:v>
      </x:c>
      <x:c r="T67" s="63" t="n">
        <x:f>MAX(30,MIN(AB67-VLOOKUP(AE67,'AHL_PA_SC_BALANCE'!$A$8:$E$18,2,FALSE),VLOOKUP(AE67,'AHL_PA_SC_BALANCE'!$A$8:$E$18,4,FALSE)))</x:f>
        <x:v>49</x:v>
      </x:c>
      <x:c r="U67" s="63" t="n">
        <x:f>MAX(30,MIN(AC67-VLOOKUP(AE67,'AHL_PA_SC_BALANCE'!$A$8:$E$18,3,FALSE),VLOOKUP(AE67,'AHL_PA_SC_BALANCE'!$A$8:$E$18,5,FALSE)))</x:f>
        <x:v>51</x:v>
      </x:c>
      <x:c r="V67">
        <x:v>61</x:v>
      </x:c>
      <x:c r="W67">
        <x:v>52</x:v>
      </x:c>
      <x:c r="X67">
        <x:v>79</x:v>
      </x:c>
      <x:c r="Y67">
        <x:v>72</x:v>
      </x:c>
      <x:c r="Z67">
        <x:v>51</x:v>
      </x:c>
      <x:c r="AA67">
        <x:v>55</x:v>
      </x:c>
      <x:c r="AB67" s="57" t="n">
        <x:v>49</x:v>
      </x:c>
      <x:c r="AC67" s="57" t="n">
        <x:v>51</x:v>
      </x:c>
      <x:c r="AD67" s="59"/>
      <x:c r="AE67" s="61" t="str">
        <x:f>IF(N(F67)&gt;=10,"NHL_LATEST_10",IF(AND(N(F67)&gt;0,N(G67)&gt;0),"NHL_BOTH_SEASONS",IF(N(G67)&gt;=10,"NHL_PREVIOUS_10",IF(AND(ISNUMBER(AD67),AD67=0,SUM(F67:G67)=0),"FARM_CAREER_0",IF(COUNT(F67:G67)&lt;2,"UNKNOWN_GP",IF(AND(F67=0,G67=0),IF(AD67&gt;=10,"FARM_LEGACY_10",IF(AND(ISNUMBER(AD67),AD67&gt;0),"FARM_CAREER_1_9","FARM_0_0")),IF(F67&gt;=1,IF(F67&lt;=3,"FARM_RECENT_1_3","FARM_RECENT_4_9"),"FARM_PREV_1_9_ONLY")))))))</x:f>
        <x:v>UNKNOWN_GP</x:v>
      </x:c>
      <x:c r="AF67" s="57" t="n">
        <x:f>AB67-T67</x:f>
        <x:v>0</x:v>
      </x:c>
      <x:c r="AG67" s="57" t="n">
        <x:f>AC67-U67</x:f>
        <x:v>0</x:v>
      </x:c>
    </x:row>
    <x:row r="68">
      <x:c r="A68" t="s">
        <x:v>1041</x:v>
      </x:c>
      <x:c r="C68" t="s">
        <x:v>331</x:v>
      </x:c>
      <x:c r="D68">
        <x:v>8480196</x:v>
      </x:c>
      <x:c r="E68" t="s">
        <x:v>267</x:v>
      </x:c>
      <x:c r="J68" t="s">
        <x:v>2474</x:v>
      </x:c>
      <x:c r="K68">
        <x:v>67</x:v>
      </x:c>
      <x:c r="L68">
        <x:v>32</x:v>
      </x:c>
      <x:c r="M68">
        <x:v>93</x:v>
      </x:c>
      <x:c r="N68">
        <x:v>37</x:v>
      </x:c>
      <x:c r="O68">
        <x:v>74</x:v>
      </x:c>
      <x:c r="P68">
        <x:v>82</x:v>
      </x:c>
      <x:c r="Q68">
        <x:v>77</x:v>
      </x:c>
      <x:c r="R68">
        <x:v>38</x:v>
      </x:c>
      <x:c r="S68">
        <x:v>30</x:v>
      </x:c>
      <x:c r="T68" s="63" t="n">
        <x:f>MAX(30,MIN(AB68-VLOOKUP(AE68,'AHL_PA_SC_BALANCE'!$A$8:$E$18,2,FALSE),VLOOKUP(AE68,'AHL_PA_SC_BALANCE'!$A$8:$E$18,4,FALSE)))</x:f>
        <x:v>51</x:v>
      </x:c>
      <x:c r="U68" s="63" t="n">
        <x:f>MAX(30,MIN(AC68-VLOOKUP(AE68,'AHL_PA_SC_BALANCE'!$A$8:$E$18,3,FALSE),VLOOKUP(AE68,'AHL_PA_SC_BALANCE'!$A$8:$E$18,5,FALSE)))</x:f>
        <x:v>46</x:v>
      </x:c>
      <x:c r="V68">
        <x:v>74</x:v>
      </x:c>
      <x:c r="W68">
        <x:v>51</x:v>
      </x:c>
      <x:c r="X68">
        <x:v>75</x:v>
      </x:c>
      <x:c r="Y68">
        <x:v>71</x:v>
      </x:c>
      <x:c r="Z68">
        <x:v>47</x:v>
      </x:c>
      <x:c r="AA68">
        <x:v>55</x:v>
      </x:c>
      <x:c r="AB68" s="57" t="n">
        <x:v>51</x:v>
      </x:c>
      <x:c r="AC68" s="57" t="n">
        <x:v>46</x:v>
      </x:c>
      <x:c r="AD68" s="59"/>
      <x:c r="AE68" s="61" t="str">
        <x:f>IF(N(F68)&gt;=10,"NHL_LATEST_10",IF(AND(N(F68)&gt;0,N(G68)&gt;0),"NHL_BOTH_SEASONS",IF(N(G68)&gt;=10,"NHL_PREVIOUS_10",IF(AND(ISNUMBER(AD68),AD68=0,SUM(F68:G68)=0),"FARM_CAREER_0",IF(COUNT(F68:G68)&lt;2,"UNKNOWN_GP",IF(AND(F68=0,G68=0),IF(AD68&gt;=10,"FARM_LEGACY_10",IF(AND(ISNUMBER(AD68),AD68&gt;0),"FARM_CAREER_1_9","FARM_0_0")),IF(F68&gt;=1,IF(F68&lt;=3,"FARM_RECENT_1_3","FARM_RECENT_4_9"),"FARM_PREV_1_9_ONLY")))))))</x:f>
        <x:v>UNKNOWN_GP</x:v>
      </x:c>
      <x:c r="AF68" s="57" t="n">
        <x:f>AB68-T68</x:f>
        <x:v>0</x:v>
      </x:c>
      <x:c r="AG68" s="57" t="n">
        <x:f>AC68-U68</x:f>
        <x:v>0</x:v>
      </x:c>
    </x:row>
    <x:row r="69">
      <x:c r="A69" t="s">
        <x:v>1043</x:v>
      </x:c>
      <x:c r="C69" t="s">
        <x:v>331</x:v>
      </x:c>
      <x:c r="D69">
        <x:v>8481575</x:v>
      </x:c>
      <x:c r="E69" t="s">
        <x:v>267</x:v>
      </x:c>
      <x:c r="J69" t="s">
        <x:v>2474</x:v>
      </x:c>
      <x:c r="K69">
        <x:v>67</x:v>
      </x:c>
      <x:c r="L69">
        <x:v>37</x:v>
      </x:c>
      <x:c r="M69">
        <x:v>94</x:v>
      </x:c>
      <x:c r="N69">
        <x:v>37</x:v>
      </x:c>
      <x:c r="O69">
        <x:v>79</x:v>
      </x:c>
      <x:c r="P69">
        <x:v>81</x:v>
      </x:c>
      <x:c r="Q69">
        <x:v>84</x:v>
      </x:c>
      <x:c r="R69">
        <x:v>37</x:v>
      </x:c>
      <x:c r="S69">
        <x:v>30</x:v>
      </x:c>
      <x:c r="T69" s="63" t="n">
        <x:f>MAX(30,MIN(AB69-VLOOKUP(AE69,'AHL_PA_SC_BALANCE'!$A$8:$E$18,2,FALSE),VLOOKUP(AE69,'AHL_PA_SC_BALANCE'!$A$8:$E$18,4,FALSE)))</x:f>
        <x:v>52</x:v>
      </x:c>
      <x:c r="U69" s="63" t="n">
        <x:f>MAX(30,MIN(AC69-VLOOKUP(AE69,'AHL_PA_SC_BALANCE'!$A$8:$E$18,3,FALSE),VLOOKUP(AE69,'AHL_PA_SC_BALANCE'!$A$8:$E$18,5,FALSE)))</x:f>
        <x:v>46</x:v>
      </x:c>
      <x:c r="V69">
        <x:v>72</x:v>
      </x:c>
      <x:c r="W69">
        <x:v>51</x:v>
      </x:c>
      <x:c r="X69">
        <x:v>71</x:v>
      </x:c>
      <x:c r="Y69">
        <x:v>71</x:v>
      </x:c>
      <x:c r="Z69">
        <x:v>51</x:v>
      </x:c>
      <x:c r="AA69">
        <x:v>55</x:v>
      </x:c>
      <x:c r="AB69" s="57" t="n">
        <x:v>52</x:v>
      </x:c>
      <x:c r="AC69" s="57" t="n">
        <x:v>46</x:v>
      </x:c>
      <x:c r="AD69" s="59"/>
      <x:c r="AE69" s="61" t="str">
        <x:f>IF(N(F69)&gt;=10,"NHL_LATEST_10",IF(AND(N(F69)&gt;0,N(G69)&gt;0),"NHL_BOTH_SEASONS",IF(N(G69)&gt;=10,"NHL_PREVIOUS_10",IF(AND(ISNUMBER(AD69),AD69=0,SUM(F69:G69)=0),"FARM_CAREER_0",IF(COUNT(F69:G69)&lt;2,"UNKNOWN_GP",IF(AND(F69=0,G69=0),IF(AD69&gt;=10,"FARM_LEGACY_10",IF(AND(ISNUMBER(AD69),AD69&gt;0),"FARM_CAREER_1_9","FARM_0_0")),IF(F69&gt;=1,IF(F69&lt;=3,"FARM_RECENT_1_3","FARM_RECENT_4_9"),"FARM_PREV_1_9_ONLY")))))))</x:f>
        <x:v>UNKNOWN_GP</x:v>
      </x:c>
      <x:c r="AF69" s="57" t="n">
        <x:f>AB69-T69</x:f>
        <x:v>0</x:v>
      </x:c>
      <x:c r="AG69" s="57" t="n">
        <x:f>AC69-U69</x:f>
        <x:v>0</x:v>
      </x:c>
    </x:row>
    <x:row r="70">
      <x:c r="A70" t="s">
        <x:v>1044</x:v>
      </x:c>
      <x:c r="C70" t="s">
        <x:v>331</x:v>
      </x:c>
      <x:c r="D70">
        <x:v>8482666</x:v>
      </x:c>
      <x:c r="E70" t="s">
        <x:v>267</x:v>
      </x:c>
      <x:c r="J70" t="s">
        <x:v>2474</x:v>
      </x:c>
      <x:c r="K70">
        <x:v>67</x:v>
      </x:c>
      <x:c r="L70">
        <x:v>39</x:v>
      </x:c>
      <x:c r="M70">
        <x:v>93</x:v>
      </x:c>
      <x:c r="N70">
        <x:v>39</x:v>
      </x:c>
      <x:c r="O70">
        <x:v>81</x:v>
      </x:c>
      <x:c r="P70">
        <x:v>84</x:v>
      </x:c>
      <x:c r="Q70">
        <x:v>84</x:v>
      </x:c>
      <x:c r="R70">
        <x:v>38</x:v>
      </x:c>
      <x:c r="S70">
        <x:v>30</x:v>
      </x:c>
      <x:c r="T70" s="63" t="n">
        <x:f>MAX(30,MIN(AB70-VLOOKUP(AE70,'AHL_PA_SC_BALANCE'!$A$8:$E$18,2,FALSE),VLOOKUP(AE70,'AHL_PA_SC_BALANCE'!$A$8:$E$18,4,FALSE)))</x:f>
        <x:v>53</x:v>
      </x:c>
      <x:c r="U70" s="63" t="n">
        <x:f>MAX(30,MIN(AC70-VLOOKUP(AE70,'AHL_PA_SC_BALANCE'!$A$8:$E$18,3,FALSE),VLOOKUP(AE70,'AHL_PA_SC_BALANCE'!$A$8:$E$18,5,FALSE)))</x:f>
        <x:v>46</x:v>
      </x:c>
      <x:c r="V70">
        <x:v>72</x:v>
      </x:c>
      <x:c r="W70">
        <x:v>52</x:v>
      </x:c>
      <x:c r="X70">
        <x:v>68</x:v>
      </x:c>
      <x:c r="Y70">
        <x:v>68</x:v>
      </x:c>
      <x:c r="Z70">
        <x:v>51</x:v>
      </x:c>
      <x:c r="AA70">
        <x:v>55</x:v>
      </x:c>
      <x:c r="AB70" s="57" t="n">
        <x:v>53</x:v>
      </x:c>
      <x:c r="AC70" s="57" t="n">
        <x:v>46</x:v>
      </x:c>
      <x:c r="AD70" s="59"/>
      <x:c r="AE70" s="61" t="str">
        <x:f>IF(N(F70)&gt;=10,"NHL_LATEST_10",IF(AND(N(F70)&gt;0,N(G70)&gt;0),"NHL_BOTH_SEASONS",IF(N(G70)&gt;=10,"NHL_PREVIOUS_10",IF(AND(ISNUMBER(AD70),AD70=0,SUM(F70:G70)=0),"FARM_CAREER_0",IF(COUNT(F70:G70)&lt;2,"UNKNOWN_GP",IF(AND(F70=0,G70=0),IF(AD70&gt;=10,"FARM_LEGACY_10",IF(AND(ISNUMBER(AD70),AD70&gt;0),"FARM_CAREER_1_9","FARM_0_0")),IF(F70&gt;=1,IF(F70&lt;=3,"FARM_RECENT_1_3","FARM_RECENT_4_9"),"FARM_PREV_1_9_ONLY")))))))</x:f>
        <x:v>UNKNOWN_GP</x:v>
      </x:c>
      <x:c r="AF70" s="57" t="n">
        <x:f>AB70-T70</x:f>
        <x:v>0</x:v>
      </x:c>
      <x:c r="AG70" s="57" t="n">
        <x:f>AC70-U70</x:f>
        <x:v>0</x:v>
      </x:c>
    </x:row>
    <x:row r="71">
      <x:c r="A71" t="s">
        <x:v>1045</x:v>
      </x:c>
      <x:c r="C71" t="s">
        <x:v>358</x:v>
      </x:c>
      <x:c r="D71">
        <x:v>8478211</x:v>
      </x:c>
      <x:c r="E71" t="s">
        <x:v>267</x:v>
      </x:c>
      <x:c r="J71" t="s">
        <x:v>2474</x:v>
      </x:c>
      <x:c r="K71">
        <x:v>76</x:v>
      </x:c>
      <x:c r="L71">
        <x:v>81</x:v>
      </x:c>
      <x:c r="M71">
        <x:v>77</x:v>
      </x:c>
      <x:c r="N71">
        <x:v>48</x:v>
      </x:c>
      <x:c r="O71">
        <x:v>79</x:v>
      </x:c>
      <x:c r="P71">
        <x:v>82</x:v>
      </x:c>
      <x:c r="Q71">
        <x:v>85</x:v>
      </x:c>
      <x:c r="R71">
        <x:v>47</x:v>
      </x:c>
      <x:c r="S71">
        <x:v>77</x:v>
      </x:c>
      <x:c r="T71" s="63" t="n">
        <x:f>MAX(30,MIN(AB71-VLOOKUP(AE71,'AHL_PA_SC_BALANCE'!$A$8:$E$18,2,FALSE),VLOOKUP(AE71,'AHL_PA_SC_BALANCE'!$A$8:$E$18,4,FALSE)))</x:f>
        <x:v>54</x:v>
      </x:c>
      <x:c r="U71" s="63" t="n">
        <x:f>MAX(30,MIN(AC71-VLOOKUP(AE71,'AHL_PA_SC_BALANCE'!$A$8:$E$18,3,FALSE),VLOOKUP(AE71,'AHL_PA_SC_BALANCE'!$A$8:$E$18,5,FALSE)))</x:f>
        <x:v>51</x:v>
      </x:c>
      <x:c r="V71">
        <x:v>62</x:v>
      </x:c>
      <x:c r="W71">
        <x:v>73</x:v>
      </x:c>
      <x:c r="X71">
        <x:v>74</x:v>
      </x:c>
      <x:c r="Y71">
        <x:v>73</x:v>
      </x:c>
      <x:c r="Z71">
        <x:v>51</x:v>
      </x:c>
      <x:c r="AA71">
        <x:v>55</x:v>
      </x:c>
      <x:c r="AB71" s="57" t="n">
        <x:v>54</x:v>
      </x:c>
      <x:c r="AC71" s="57" t="n">
        <x:v>51</x:v>
      </x:c>
      <x:c r="AD71" s="59"/>
      <x:c r="AE71" s="61" t="str">
        <x:f>IF(N(F71)&gt;=10,"NHL_LATEST_10",IF(AND(N(F71)&gt;0,N(G71)&gt;0),"NHL_BOTH_SEASONS",IF(N(G71)&gt;=10,"NHL_PREVIOUS_10",IF(AND(ISNUMBER(AD71),AD71=0,SUM(F71:G71)=0),"FARM_CAREER_0",IF(COUNT(F71:G71)&lt;2,"UNKNOWN_GP",IF(AND(F71=0,G71=0),IF(AD71&gt;=10,"FARM_LEGACY_10",IF(AND(ISNUMBER(AD71),AD71&gt;0),"FARM_CAREER_1_9","FARM_0_0")),IF(F71&gt;=1,IF(F71&lt;=3,"FARM_RECENT_1_3","FARM_RECENT_4_9"),"FARM_PREV_1_9_ONLY")))))))</x:f>
        <x:v>UNKNOWN_GP</x:v>
      </x:c>
      <x:c r="AF71" s="57" t="n">
        <x:f>AB71-T71</x:f>
        <x:v>0</x:v>
      </x:c>
      <x:c r="AG71" s="57" t="n">
        <x:f>AC71-U71</x:f>
        <x:v>0</x:v>
      </x:c>
    </x:row>
    <x:row r="72">
      <x:c r="A72" t="s">
        <x:v>1046</x:v>
      </x:c>
      <x:c r="C72" t="s">
        <x:v>331</x:v>
      </x:c>
      <x:c r="D72">
        <x:v>8479416</x:v>
      </x:c>
      <x:c r="E72" t="s">
        <x:v>267</x:v>
      </x:c>
      <x:c r="J72" t="s">
        <x:v>2474</x:v>
      </x:c>
      <x:c r="K72">
        <x:v>75</x:v>
      </x:c>
      <x:c r="L72">
        <x:v>38</x:v>
      </x:c>
      <x:c r="M72">
        <x:v>86</x:v>
      </x:c>
      <x:c r="N72">
        <x:v>34</x:v>
      </x:c>
      <x:c r="O72">
        <x:v>79</x:v>
      </x:c>
      <x:c r="P72">
        <x:v>82</x:v>
      </x:c>
      <x:c r="Q72">
        <x:v>85</x:v>
      </x:c>
      <x:c r="R72">
        <x:v>35</x:v>
      </x:c>
      <x:c r="S72">
        <x:v>30</x:v>
      </x:c>
      <x:c r="T72" s="63" t="n">
        <x:f>MAX(30,MIN(AB72-VLOOKUP(AE72,'AHL_PA_SC_BALANCE'!$A$8:$E$18,2,FALSE),VLOOKUP(AE72,'AHL_PA_SC_BALANCE'!$A$8:$E$18,4,FALSE)))</x:f>
        <x:v>46</x:v>
      </x:c>
      <x:c r="U72" s="63" t="n">
        <x:f>MAX(30,MIN(AC72-VLOOKUP(AE72,'AHL_PA_SC_BALANCE'!$A$8:$E$18,3,FALSE),VLOOKUP(AE72,'AHL_PA_SC_BALANCE'!$A$8:$E$18,5,FALSE)))</x:f>
        <x:v>39</x:v>
      </x:c>
      <x:c r="V72">
        <x:v>69</x:v>
      </x:c>
      <x:c r="W72">
        <x:v>48</x:v>
      </x:c>
      <x:c r="X72">
        <x:v>70</x:v>
      </x:c>
      <x:c r="Y72">
        <x:v>69</x:v>
      </x:c>
      <x:c r="Z72">
        <x:v>51</x:v>
      </x:c>
      <x:c r="AA72">
        <x:v>55</x:v>
      </x:c>
      <x:c r="AB72" s="57" t="n">
        <x:v>46</x:v>
      </x:c>
      <x:c r="AC72" s="57" t="n">
        <x:v>39</x:v>
      </x:c>
      <x:c r="AD72" s="59"/>
      <x:c r="AE72" s="61" t="str">
        <x:f>IF(N(F72)&gt;=10,"NHL_LATEST_10",IF(AND(N(F72)&gt;0,N(G72)&gt;0),"NHL_BOTH_SEASONS",IF(N(G72)&gt;=10,"NHL_PREVIOUS_10",IF(AND(ISNUMBER(AD72),AD72=0,SUM(F72:G72)=0),"FARM_CAREER_0",IF(COUNT(F72:G72)&lt;2,"UNKNOWN_GP",IF(AND(F72=0,G72=0),IF(AD72&gt;=10,"FARM_LEGACY_10",IF(AND(ISNUMBER(AD72),AD72&gt;0),"FARM_CAREER_1_9","FARM_0_0")),IF(F72&gt;=1,IF(F72&lt;=3,"FARM_RECENT_1_3","FARM_RECENT_4_9"),"FARM_PREV_1_9_ONLY")))))))</x:f>
        <x:v>UNKNOWN_GP</x:v>
      </x:c>
      <x:c r="AF72" s="57" t="n">
        <x:f>AB72-T72</x:f>
        <x:v>0</x:v>
      </x:c>
      <x:c r="AG72" s="57" t="n">
        <x:f>AC72-U72</x:f>
        <x:v>0</x:v>
      </x:c>
    </x:row>
    <x:row r="73">
      <x:c r="A73" t="s">
        <x:v>1047</x:v>
      </x:c>
      <x:c r="C73" t="s">
        <x:v>331</x:v>
      </x:c>
      <x:c r="D73">
        <x:v>8477971</x:v>
      </x:c>
      <x:c r="E73" t="s">
        <x:v>267</x:v>
      </x:c>
      <x:c r="J73" t="s">
        <x:v>2474</x:v>
      </x:c>
      <x:c r="K73">
        <x:v>77</x:v>
      </x:c>
      <x:c r="L73">
        <x:v>94</x:v>
      </x:c>
      <x:c r="M73">
        <x:v>75</x:v>
      </x:c>
      <x:c r="N73">
        <x:v>33</x:v>
      </x:c>
      <x:c r="O73">
        <x:v>84</x:v>
      </x:c>
      <x:c r="P73">
        <x:v>81</x:v>
      </x:c>
      <x:c r="Q73">
        <x:v>83</x:v>
      </x:c>
      <x:c r="R73">
        <x:v>32</x:v>
      </x:c>
      <x:c r="S73">
        <x:v>30</x:v>
      </x:c>
      <x:c r="T73" s="63" t="n">
        <x:f>MAX(30,MIN(AB73-VLOOKUP(AE73,'AHL_PA_SC_BALANCE'!$A$8:$E$18,2,FALSE),VLOOKUP(AE73,'AHL_PA_SC_BALANCE'!$A$8:$E$18,4,FALSE)))</x:f>
        <x:v>50</x:v>
      </x:c>
      <x:c r="U73" s="63" t="n">
        <x:f>MAX(30,MIN(AC73-VLOOKUP(AE73,'AHL_PA_SC_BALANCE'!$A$8:$E$18,3,FALSE),VLOOKUP(AE73,'AHL_PA_SC_BALANCE'!$A$8:$E$18,5,FALSE)))</x:f>
        <x:v>45</x:v>
      </x:c>
      <x:c r="V73">
        <x:v>74</x:v>
      </x:c>
      <x:c r="W73">
        <x:v>47</x:v>
      </x:c>
      <x:c r="X73">
        <x:v>76</x:v>
      </x:c>
      <x:c r="Y73">
        <x:v>72</x:v>
      </x:c>
      <x:c r="Z73">
        <x:v>45</x:v>
      </x:c>
      <x:c r="AA73">
        <x:v>55</x:v>
      </x:c>
      <x:c r="AB73" s="57" t="n">
        <x:v>50</x:v>
      </x:c>
      <x:c r="AC73" s="57" t="n">
        <x:v>45</x:v>
      </x:c>
      <x:c r="AD73" s="59"/>
      <x:c r="AE73" s="61" t="str">
        <x:f>IF(N(F73)&gt;=10,"NHL_LATEST_10",IF(AND(N(F73)&gt;0,N(G73)&gt;0),"NHL_BOTH_SEASONS",IF(N(G73)&gt;=10,"NHL_PREVIOUS_10",IF(AND(ISNUMBER(AD73),AD73=0,SUM(F73:G73)=0),"FARM_CAREER_0",IF(COUNT(F73:G73)&lt;2,"UNKNOWN_GP",IF(AND(F73=0,G73=0),IF(AD73&gt;=10,"FARM_LEGACY_10",IF(AND(ISNUMBER(AD73),AD73&gt;0),"FARM_CAREER_1_9","FARM_0_0")),IF(F73&gt;=1,IF(F73&lt;=3,"FARM_RECENT_1_3","FARM_RECENT_4_9"),"FARM_PREV_1_9_ONLY")))))))</x:f>
        <x:v>UNKNOWN_GP</x:v>
      </x:c>
      <x:c r="AF73" s="57" t="n">
        <x:f>AB73-T73</x:f>
        <x:v>0</x:v>
      </x:c>
      <x:c r="AG73" s="57" t="n">
        <x:f>AC73-U73</x:f>
        <x:v>0</x:v>
      </x:c>
    </x:row>
    <x:row r="74">
      <x:c r="A74" t="s">
        <x:v>1048</x:v>
      </x:c>
      <x:c r="C74" t="s">
        <x:v>331</x:v>
      </x:c>
      <x:c r="D74">
        <x:v>8475797</x:v>
      </x:c>
      <x:c r="E74" t="s">
        <x:v>267</x:v>
      </x:c>
      <x:c r="J74" t="s">
        <x:v>2474</x:v>
      </x:c>
      <x:c r="K74">
        <x:v>91</x:v>
      </x:c>
      <x:c r="L74">
        <x:v>91</x:v>
      </x:c>
      <x:c r="M74">
        <x:v>74</x:v>
      </x:c>
      <x:c r="N74">
        <x:v>33</x:v>
      </x:c>
      <x:c r="O74">
        <x:v>93</x:v>
      </x:c>
      <x:c r="P74">
        <x:v>79</x:v>
      </x:c>
      <x:c r="Q74">
        <x:v>81</x:v>
      </x:c>
      <x:c r="R74">
        <x:v>34</x:v>
      </x:c>
      <x:c r="S74">
        <x:v>30</x:v>
      </x:c>
      <x:c r="T74" s="63" t="n">
        <x:f>MAX(30,MIN(AB74-VLOOKUP(AE74,'AHL_PA_SC_BALANCE'!$A$8:$E$18,2,FALSE),VLOOKUP(AE74,'AHL_PA_SC_BALANCE'!$A$8:$E$18,4,FALSE)))</x:f>
        <x:v>48</x:v>
      </x:c>
      <x:c r="U74" s="63" t="n">
        <x:f>MAX(30,MIN(AC74-VLOOKUP(AE74,'AHL_PA_SC_BALANCE'!$A$8:$E$18,3,FALSE),VLOOKUP(AE74,'AHL_PA_SC_BALANCE'!$A$8:$E$18,5,FALSE)))</x:f>
        <x:v>43</x:v>
      </x:c>
      <x:c r="V74">
        <x:v>74</x:v>
      </x:c>
      <x:c r="W74">
        <x:v>46</x:v>
      </x:c>
      <x:c r="X74">
        <x:v>82</x:v>
      </x:c>
      <x:c r="Y74">
        <x:v>79</x:v>
      </x:c>
      <x:c r="Z74">
        <x:v>51</x:v>
      </x:c>
      <x:c r="AA74">
        <x:v>55</x:v>
      </x:c>
      <x:c r="AB74" s="57" t="n">
        <x:v>48</x:v>
      </x:c>
      <x:c r="AC74" s="57" t="n">
        <x:v>43</x:v>
      </x:c>
      <x:c r="AD74" s="59"/>
      <x:c r="AE74" s="61" t="str">
        <x:f>IF(N(F74)&gt;=10,"NHL_LATEST_10",IF(AND(N(F74)&gt;0,N(G74)&gt;0),"NHL_BOTH_SEASONS",IF(N(G74)&gt;=10,"NHL_PREVIOUS_10",IF(AND(ISNUMBER(AD74),AD74=0,SUM(F74:G74)=0),"FARM_CAREER_0",IF(COUNT(F74:G74)&lt;2,"UNKNOWN_GP",IF(AND(F74=0,G74=0),IF(AD74&gt;=10,"FARM_LEGACY_10",IF(AND(ISNUMBER(AD74),AD74&gt;0),"FARM_CAREER_1_9","FARM_0_0")),IF(F74&gt;=1,IF(F74&lt;=3,"FARM_RECENT_1_3","FARM_RECENT_4_9"),"FARM_PREV_1_9_ONLY")))))))</x:f>
        <x:v>UNKNOWN_GP</x:v>
      </x:c>
      <x:c r="AF74" s="57" t="n">
        <x:f>AB74-T74</x:f>
        <x:v>0</x:v>
      </x:c>
      <x:c r="AG74" s="57" t="n">
        <x:f>AC74-U74</x:f>
        <x:v>0</x:v>
      </x:c>
    </x:row>
    <x:row r="75">
      <x:c r="A75" t="s">
        <x:v>1049</x:v>
      </x:c>
      <x:c r="C75" t="s">
        <x:v>319</x:v>
      </x:c>
      <x:c r="D75">
        <x:v>8476285</x:v>
      </x:c>
      <x:c r="E75" t="s">
        <x:v>267</x:v>
      </x:c>
      <x:c r="J75" t="s">
        <x:v>2474</x:v>
      </x:c>
      <x:c r="K75">
        <x:v>64</x:v>
      </x:c>
      <x:c r="L75">
        <x:v>35</x:v>
      </x:c>
      <x:c r="M75">
        <x:v>89</x:v>
      </x:c>
      <x:c r="N75">
        <x:v>48</x:v>
      </x:c>
      <x:c r="O75">
        <x:v>74</x:v>
      </x:c>
      <x:c r="P75">
        <x:v>87</x:v>
      </x:c>
      <x:c r="Q75">
        <x:v>89</x:v>
      </x:c>
      <x:c r="R75">
        <x:v>49</x:v>
      </x:c>
      <x:c r="S75">
        <x:v>67</x:v>
      </x:c>
      <x:c r="T75" s="63" t="n">
        <x:f>MAX(30,MIN(AB75-VLOOKUP(AE75,'AHL_PA_SC_BALANCE'!$A$8:$E$18,2,FALSE),VLOOKUP(AE75,'AHL_PA_SC_BALANCE'!$A$8:$E$18,4,FALSE)))</x:f>
        <x:v>51</x:v>
      </x:c>
      <x:c r="U75" s="63" t="n">
        <x:f>MAX(30,MIN(AC75-VLOOKUP(AE75,'AHL_PA_SC_BALANCE'!$A$8:$E$18,3,FALSE),VLOOKUP(AE75,'AHL_PA_SC_BALANCE'!$A$8:$E$18,5,FALSE)))</x:f>
        <x:v>45</x:v>
      </x:c>
      <x:c r="V75">
        <x:v>67</x:v>
      </x:c>
      <x:c r="W75">
        <x:v>70</x:v>
      </x:c>
      <x:c r="X75">
        <x:v>78</x:v>
      </x:c>
      <x:c r="Y75">
        <x:v>78</x:v>
      </x:c>
      <x:c r="Z75">
        <x:v>51</x:v>
      </x:c>
      <x:c r="AA75">
        <x:v>55</x:v>
      </x:c>
      <x:c r="AB75" s="57" t="n">
        <x:v>51</x:v>
      </x:c>
      <x:c r="AC75" s="57" t="n">
        <x:v>45</x:v>
      </x:c>
      <x:c r="AD75" s="59"/>
      <x:c r="AE75" s="61" t="str">
        <x:f>IF(N(F75)&gt;=10,"NHL_LATEST_10",IF(AND(N(F75)&gt;0,N(G75)&gt;0),"NHL_BOTH_SEASONS",IF(N(G75)&gt;=10,"NHL_PREVIOUS_10",IF(AND(ISNUMBER(AD75),AD75=0,SUM(F75:G75)=0),"FARM_CAREER_0",IF(COUNT(F75:G75)&lt;2,"UNKNOWN_GP",IF(AND(F75=0,G75=0),IF(AD75&gt;=10,"FARM_LEGACY_10",IF(AND(ISNUMBER(AD75),AD75&gt;0),"FARM_CAREER_1_9","FARM_0_0")),IF(F75&gt;=1,IF(F75&lt;=3,"FARM_RECENT_1_3","FARM_RECENT_4_9"),"FARM_PREV_1_9_ONLY")))))))</x:f>
        <x:v>UNKNOWN_GP</x:v>
      </x:c>
      <x:c r="AF75" s="57" t="n">
        <x:f>AB75-T75</x:f>
        <x:v>0</x:v>
      </x:c>
      <x:c r="AG75" s="57" t="n">
        <x:f>AC75-U75</x:f>
        <x:v>0</x:v>
      </x:c>
    </x:row>
    <x:row r="76">
      <x:c r="A76" t="s">
        <x:v>1050</x:v>
      </x:c>
      <x:c r="C76" t="s">
        <x:v>331</x:v>
      </x:c>
      <x:c r="D76">
        <x:v>8479602</x:v>
      </x:c>
      <x:c r="E76" t="s">
        <x:v>267</x:v>
      </x:c>
      <x:c r="J76" t="s">
        <x:v>2474</x:v>
      </x:c>
      <x:c r="K76">
        <x:v>70</x:v>
      </x:c>
      <x:c r="L76">
        <x:v>39</x:v>
      </x:c>
      <x:c r="M76">
        <x:v>79</x:v>
      </x:c>
      <x:c r="N76">
        <x:v>35</x:v>
      </x:c>
      <x:c r="O76">
        <x:v>77</x:v>
      </x:c>
      <x:c r="P76">
        <x:v>94</x:v>
      </x:c>
      <x:c r="Q76">
        <x:v>97</x:v>
      </x:c>
      <x:c r="R76">
        <x:v>35</x:v>
      </x:c>
      <x:c r="S76">
        <x:v>30</x:v>
      </x:c>
      <x:c r="T76" s="63" t="n">
        <x:f>MAX(30,MIN(AB76-VLOOKUP(AE76,'AHL_PA_SC_BALANCE'!$A$8:$E$18,2,FALSE),VLOOKUP(AE76,'AHL_PA_SC_BALANCE'!$A$8:$E$18,4,FALSE)))</x:f>
        <x:v>51</x:v>
      </x:c>
      <x:c r="U76" s="63" t="n">
        <x:f>MAX(30,MIN(AC76-VLOOKUP(AE76,'AHL_PA_SC_BALANCE'!$A$8:$E$18,3,FALSE),VLOOKUP(AE76,'AHL_PA_SC_BALANCE'!$A$8:$E$18,5,FALSE)))</x:f>
        <x:v>42</x:v>
      </x:c>
      <x:c r="V76">
        <x:v>65</x:v>
      </x:c>
      <x:c r="W76">
        <x:v>52</x:v>
      </x:c>
      <x:c r="X76">
        <x:v>72</x:v>
      </x:c>
      <x:c r="Y76">
        <x:v>71</x:v>
      </x:c>
      <x:c r="Z76">
        <x:v>51</x:v>
      </x:c>
      <x:c r="AA76">
        <x:v>55</x:v>
      </x:c>
      <x:c r="AB76" s="57" t="n">
        <x:v>51</x:v>
      </x:c>
      <x:c r="AC76" s="57" t="n">
        <x:v>42</x:v>
      </x:c>
      <x:c r="AD76" s="59"/>
      <x:c r="AE76" s="61" t="str">
        <x:f>IF(N(F76)&gt;=10,"NHL_LATEST_10",IF(AND(N(F76)&gt;0,N(G76)&gt;0),"NHL_BOTH_SEASONS",IF(N(G76)&gt;=10,"NHL_PREVIOUS_10",IF(AND(ISNUMBER(AD76),AD76=0,SUM(F76:G76)=0),"FARM_CAREER_0",IF(COUNT(F76:G76)&lt;2,"UNKNOWN_GP",IF(AND(F76=0,G76=0),IF(AD76&gt;=10,"FARM_LEGACY_10",IF(AND(ISNUMBER(AD76),AD76&gt;0),"FARM_CAREER_1_9","FARM_0_0")),IF(F76&gt;=1,IF(F76&lt;=3,"FARM_RECENT_1_3","FARM_RECENT_4_9"),"FARM_PREV_1_9_ONLY")))))))</x:f>
        <x:v>UNKNOWN_GP</x:v>
      </x:c>
      <x:c r="AF76" s="57" t="n">
        <x:f>AB76-T76</x:f>
        <x:v>0</x:v>
      </x:c>
      <x:c r="AG76" s="57" t="n">
        <x:f>AC76-U76</x:f>
        <x:v>0</x:v>
      </x:c>
    </x:row>
    <x:row r="77">
      <x:c r="A77" t="s">
        <x:v>1055</x:v>
      </x:c>
      <x:c r="C77" t="s">
        <x:v>339</x:v>
      </x:c>
      <x:c r="D77">
        <x:v>8483500</x:v>
      </x:c>
      <x:c r="E77" t="s">
        <x:v>267</x:v>
      </x:c>
      <x:c r="J77" t="s">
        <x:v>2474</x:v>
      </x:c>
      <x:c r="K77">
        <x:v>55</x:v>
      </x:c>
      <x:c r="L77">
        <x:v>32</x:v>
      </x:c>
      <x:c r="M77">
        <x:v>91</x:v>
      </x:c>
      <x:c r="N77">
        <x:v>53</x:v>
      </x:c>
      <x:c r="O77">
        <x:v>74</x:v>
      </x:c>
      <x:c r="P77">
        <x:v>83</x:v>
      </x:c>
      <x:c r="Q77">
        <x:v>85</x:v>
      </x:c>
      <x:c r="R77">
        <x:v>54</x:v>
      </x:c>
      <x:c r="S77">
        <x:v>75</x:v>
      </x:c>
      <x:c r="T77" s="63" t="n">
        <x:f>MAX(30,MIN(AB77-VLOOKUP(AE77,'AHL_PA_SC_BALANCE'!$A$8:$E$18,2,FALSE),VLOOKUP(AE77,'AHL_PA_SC_BALANCE'!$A$8:$E$18,4,FALSE)))</x:f>
        <x:v>53</x:v>
      </x:c>
      <x:c r="U77" s="63" t="n">
        <x:f>MAX(30,MIN(AC77-VLOOKUP(AE77,'AHL_PA_SC_BALANCE'!$A$8:$E$18,3,FALSE),VLOOKUP(AE77,'AHL_PA_SC_BALANCE'!$A$8:$E$18,5,FALSE)))</x:f>
        <x:v>54</x:v>
      </x:c>
      <x:c r="V77">
        <x:v>62</x:v>
      </x:c>
      <x:c r="W77">
        <x:v>74</x:v>
      </x:c>
      <x:c r="X77">
        <x:v>65</x:v>
      </x:c>
      <x:c r="Y77">
        <x:v>65</x:v>
      </x:c>
      <x:c r="Z77">
        <x:v>51</x:v>
      </x:c>
      <x:c r="AA77">
        <x:v>54</x:v>
      </x:c>
      <x:c r="AB77" s="57" t="n">
        <x:v>53</x:v>
      </x:c>
      <x:c r="AC77" s="57" t="n">
        <x:v>54</x:v>
      </x:c>
      <x:c r="AD77" s="59"/>
      <x:c r="AE77" s="61" t="str">
        <x:f>IF(N(F77)&gt;=10,"NHL_LATEST_10",IF(AND(N(F77)&gt;0,N(G77)&gt;0),"NHL_BOTH_SEASONS",IF(N(G77)&gt;=10,"NHL_PREVIOUS_10",IF(AND(ISNUMBER(AD77),AD77=0,SUM(F77:G77)=0),"FARM_CAREER_0",IF(COUNT(F77:G77)&lt;2,"UNKNOWN_GP",IF(AND(F77=0,G77=0),IF(AD77&gt;=10,"FARM_LEGACY_10",IF(AND(ISNUMBER(AD77),AD77&gt;0),"FARM_CAREER_1_9","FARM_0_0")),IF(F77&gt;=1,IF(F77&lt;=3,"FARM_RECENT_1_3","FARM_RECENT_4_9"),"FARM_PREV_1_9_ONLY")))))))</x:f>
        <x:v>UNKNOWN_GP</x:v>
      </x:c>
      <x:c r="AF77" s="57" t="n">
        <x:f>AB77-T77</x:f>
        <x:v>0</x:v>
      </x:c>
      <x:c r="AG77" s="57" t="n">
        <x:f>AC77-U77</x:f>
        <x:v>0</x:v>
      </x:c>
    </x:row>
    <x:row r="78">
      <x:c r="A78" t="s">
        <x:v>1056</x:v>
      </x:c>
      <x:c r="C78" t="s">
        <x:v>326</x:v>
      </x:c>
      <x:c r="D78">
        <x:v>8482070</x:v>
      </x:c>
      <x:c r="E78" t="s">
        <x:v>267</x:v>
      </x:c>
      <x:c r="J78" t="s">
        <x:v>2474</x:v>
      </x:c>
      <x:c r="K78">
        <x:v>77</x:v>
      </x:c>
      <x:c r="L78">
        <x:v>37</x:v>
      </x:c>
      <x:c r="M78">
        <x:v>85</x:v>
      </x:c>
      <x:c r="N78">
        <x:v>47</x:v>
      </x:c>
      <x:c r="O78">
        <x:v>78</x:v>
      </x:c>
      <x:c r="P78">
        <x:v>79</x:v>
      </x:c>
      <x:c r="Q78">
        <x:v>84</x:v>
      </x:c>
      <x:c r="R78">
        <x:v>46</x:v>
      </x:c>
      <x:c r="S78">
        <x:v>71</x:v>
      </x:c>
      <x:c r="T78" s="63" t="n">
        <x:f>MAX(30,MIN(AB78-VLOOKUP(AE78,'AHL_PA_SC_BALANCE'!$A$8:$E$18,2,FALSE),VLOOKUP(AE78,'AHL_PA_SC_BALANCE'!$A$8:$E$18,4,FALSE)))</x:f>
        <x:v>50</x:v>
      </x:c>
      <x:c r="U78" s="63" t="n">
        <x:f>MAX(30,MIN(AC78-VLOOKUP(AE78,'AHL_PA_SC_BALANCE'!$A$8:$E$18,3,FALSE),VLOOKUP(AE78,'AHL_PA_SC_BALANCE'!$A$8:$E$18,5,FALSE)))</x:f>
        <x:v>51</x:v>
      </x:c>
      <x:c r="V78">
        <x:v>61</x:v>
      </x:c>
      <x:c r="W78">
        <x:v>52</x:v>
      </x:c>
      <x:c r="X78">
        <x:v>72</x:v>
      </x:c>
      <x:c r="Y78">
        <x:v>70</x:v>
      </x:c>
      <x:c r="Z78">
        <x:v>51</x:v>
      </x:c>
      <x:c r="AA78">
        <x:v>54</x:v>
      </x:c>
      <x:c r="AB78" s="57" t="n">
        <x:v>50</x:v>
      </x:c>
      <x:c r="AC78" s="57" t="n">
        <x:v>51</x:v>
      </x:c>
      <x:c r="AD78" s="59"/>
      <x:c r="AE78" s="61" t="str">
        <x:f>IF(N(F78)&gt;=10,"NHL_LATEST_10",IF(AND(N(F78)&gt;0,N(G78)&gt;0),"NHL_BOTH_SEASONS",IF(N(G78)&gt;=10,"NHL_PREVIOUS_10",IF(AND(ISNUMBER(AD78),AD78=0,SUM(F78:G78)=0),"FARM_CAREER_0",IF(COUNT(F78:G78)&lt;2,"UNKNOWN_GP",IF(AND(F78=0,G78=0),IF(AD78&gt;=10,"FARM_LEGACY_10",IF(AND(ISNUMBER(AD78),AD78&gt;0),"FARM_CAREER_1_9","FARM_0_0")),IF(F78&gt;=1,IF(F78&lt;=3,"FARM_RECENT_1_3","FARM_RECENT_4_9"),"FARM_PREV_1_9_ONLY")))))))</x:f>
        <x:v>UNKNOWN_GP</x:v>
      </x:c>
      <x:c r="AF78" s="57" t="n">
        <x:f>AB78-T78</x:f>
        <x:v>0</x:v>
      </x:c>
      <x:c r="AG78" s="57" t="n">
        <x:f>AC78-U78</x:f>
        <x:v>0</x:v>
      </x:c>
    </x:row>
    <x:row r="79">
      <x:c r="A79" t="s">
        <x:v>1057</x:v>
      </x:c>
      <x:c r="C79" t="s">
        <x:v>331</x:v>
      </x:c>
      <x:c r="D79">
        <x:v>8481609</x:v>
      </x:c>
      <x:c r="E79" t="s">
        <x:v>267</x:v>
      </x:c>
      <x:c r="J79" t="s">
        <x:v>2474</x:v>
      </x:c>
      <x:c r="K79">
        <x:v>68</x:v>
      </x:c>
      <x:c r="L79">
        <x:v>36</x:v>
      </x:c>
      <x:c r="M79">
        <x:v>87</x:v>
      </x:c>
      <x:c r="N79">
        <x:v>37</x:v>
      </x:c>
      <x:c r="O79">
        <x:v>78</x:v>
      </x:c>
      <x:c r="P79">
        <x:v>81</x:v>
      </x:c>
      <x:c r="Q79">
        <x:v>75</x:v>
      </x:c>
      <x:c r="R79">
        <x:v>38</x:v>
      </x:c>
      <x:c r="S79">
        <x:v>30</x:v>
      </x:c>
      <x:c r="T79" s="63" t="n">
        <x:f>MAX(30,MIN(AB79-VLOOKUP(AE79,'AHL_PA_SC_BALANCE'!$A$8:$E$18,2,FALSE),VLOOKUP(AE79,'AHL_PA_SC_BALANCE'!$A$8:$E$18,4,FALSE)))</x:f>
        <x:v>51</x:v>
      </x:c>
      <x:c r="U79" s="63" t="n">
        <x:f>MAX(30,MIN(AC79-VLOOKUP(AE79,'AHL_PA_SC_BALANCE'!$A$8:$E$18,3,FALSE),VLOOKUP(AE79,'AHL_PA_SC_BALANCE'!$A$8:$E$18,5,FALSE)))</x:f>
        <x:v>47</x:v>
      </x:c>
      <x:c r="V79">
        <x:v>73</x:v>
      </x:c>
      <x:c r="W79">
        <x:v>52</x:v>
      </x:c>
      <x:c r="X79">
        <x:v>69</x:v>
      </x:c>
      <x:c r="Y79">
        <x:v>67</x:v>
      </x:c>
      <x:c r="Z79">
        <x:v>51</x:v>
      </x:c>
      <x:c r="AA79">
        <x:v>54</x:v>
      </x:c>
      <x:c r="AB79" s="57" t="n">
        <x:v>51</x:v>
      </x:c>
      <x:c r="AC79" s="57" t="n">
        <x:v>47</x:v>
      </x:c>
      <x:c r="AD79" s="59"/>
      <x:c r="AE79" s="61" t="str">
        <x:f>IF(N(F79)&gt;=10,"NHL_LATEST_10",IF(AND(N(F79)&gt;0,N(G79)&gt;0),"NHL_BOTH_SEASONS",IF(N(G79)&gt;=10,"NHL_PREVIOUS_10",IF(AND(ISNUMBER(AD79),AD79=0,SUM(F79:G79)=0),"FARM_CAREER_0",IF(COUNT(F79:G79)&lt;2,"UNKNOWN_GP",IF(AND(F79=0,G79=0),IF(AD79&gt;=10,"FARM_LEGACY_10",IF(AND(ISNUMBER(AD79),AD79&gt;0),"FARM_CAREER_1_9","FARM_0_0")),IF(F79&gt;=1,IF(F79&lt;=3,"FARM_RECENT_1_3","FARM_RECENT_4_9"),"FARM_PREV_1_9_ONLY")))))))</x:f>
        <x:v>UNKNOWN_GP</x:v>
      </x:c>
      <x:c r="AF79" s="57" t="n">
        <x:f>AB79-T79</x:f>
        <x:v>0</x:v>
      </x:c>
      <x:c r="AG79" s="57" t="n">
        <x:f>AC79-U79</x:f>
        <x:v>0</x:v>
      </x:c>
    </x:row>
    <x:row r="80">
      <x:c r="A80" t="s">
        <x:v>1058</x:v>
      </x:c>
      <x:c r="C80" t="s">
        <x:v>331</x:v>
      </x:c>
      <x:c r="D80">
        <x:v>8484428</x:v>
      </x:c>
      <x:c r="E80" t="s">
        <x:v>267</x:v>
      </x:c>
      <x:c r="J80" t="s">
        <x:v>2474</x:v>
      </x:c>
      <x:c r="K80">
        <x:v>70</x:v>
      </x:c>
      <x:c r="L80">
        <x:v>85</x:v>
      </x:c>
      <x:c r="M80">
        <x:v>77</x:v>
      </x:c>
      <x:c r="N80">
        <x:v>37</x:v>
      </x:c>
      <x:c r="O80">
        <x:v>84</x:v>
      </x:c>
      <x:c r="P80">
        <x:v>81</x:v>
      </x:c>
      <x:c r="Q80">
        <x:v>66</x:v>
      </x:c>
      <x:c r="R80">
        <x:v>36</x:v>
      </x:c>
      <x:c r="S80">
        <x:v>30</x:v>
      </x:c>
      <x:c r="T80" s="63" t="n">
        <x:f>MAX(30,MIN(AB80-VLOOKUP(AE80,'AHL_PA_SC_BALANCE'!$A$8:$E$18,2,FALSE),VLOOKUP(AE80,'AHL_PA_SC_BALANCE'!$A$8:$E$18,4,FALSE)))</x:f>
        <x:v>46</x:v>
      </x:c>
      <x:c r="U80" s="63" t="n">
        <x:f>MAX(30,MIN(AC80-VLOOKUP(AE80,'AHL_PA_SC_BALANCE'!$A$8:$E$18,3,FALSE),VLOOKUP(AE80,'AHL_PA_SC_BALANCE'!$A$8:$E$18,5,FALSE)))</x:f>
        <x:v>48</x:v>
      </x:c>
      <x:c r="V80">
        <x:v>72</x:v>
      </x:c>
      <x:c r="W80">
        <x:v>51</x:v>
      </x:c>
      <x:c r="X80">
        <x:v>65</x:v>
      </x:c>
      <x:c r="Y80">
        <x:v>66</x:v>
      </x:c>
      <x:c r="Z80">
        <x:v>51</x:v>
      </x:c>
      <x:c r="AA80">
        <x:v>54</x:v>
      </x:c>
      <x:c r="AB80" s="57" t="n">
        <x:v>46</x:v>
      </x:c>
      <x:c r="AC80" s="57" t="n">
        <x:v>48</x:v>
      </x:c>
      <x:c r="AD80" s="59"/>
      <x:c r="AE80" s="61" t="str">
        <x:f>IF(N(F80)&gt;=10,"NHL_LATEST_10",IF(AND(N(F80)&gt;0,N(G80)&gt;0),"NHL_BOTH_SEASONS",IF(N(G80)&gt;=10,"NHL_PREVIOUS_10",IF(AND(ISNUMBER(AD80),AD80=0,SUM(F80:G80)=0),"FARM_CAREER_0",IF(COUNT(F80:G80)&lt;2,"UNKNOWN_GP",IF(AND(F80=0,G80=0),IF(AD80&gt;=10,"FARM_LEGACY_10",IF(AND(ISNUMBER(AD80),AD80&gt;0),"FARM_CAREER_1_9","FARM_0_0")),IF(F80&gt;=1,IF(F80&lt;=3,"FARM_RECENT_1_3","FARM_RECENT_4_9"),"FARM_PREV_1_9_ONLY")))))))</x:f>
        <x:v>UNKNOWN_GP</x:v>
      </x:c>
      <x:c r="AF80" s="57" t="n">
        <x:f>AB80-T80</x:f>
        <x:v>0</x:v>
      </x:c>
      <x:c r="AG80" s="57" t="n">
        <x:f>AC80-U80</x:f>
        <x:v>0</x:v>
      </x:c>
    </x:row>
    <x:row r="81">
      <x:c r="A81" t="s">
        <x:v>1059</x:v>
      </x:c>
      <x:c r="C81" t="s">
        <x:v>329</x:v>
      </x:c>
      <x:c r="D81">
        <x:v>8480326</x:v>
      </x:c>
      <x:c r="E81" t="s">
        <x:v>267</x:v>
      </x:c>
      <x:c r="J81" t="s">
        <x:v>2474</x:v>
      </x:c>
      <x:c r="K81">
        <x:v>68</x:v>
      </x:c>
      <x:c r="L81">
        <x:v>36</x:v>
      </x:c>
      <x:c r="M81">
        <x:v>89</x:v>
      </x:c>
      <x:c r="N81">
        <x:v>47</x:v>
      </x:c>
      <x:c r="O81">
        <x:v>74</x:v>
      </x:c>
      <x:c r="P81">
        <x:v>85</x:v>
      </x:c>
      <x:c r="Q81">
        <x:v>88</x:v>
      </x:c>
      <x:c r="R81">
        <x:v>48</x:v>
      </x:c>
      <x:c r="S81">
        <x:v>85</x:v>
      </x:c>
      <x:c r="T81" s="63" t="n">
        <x:f>MAX(30,MIN(AB81-VLOOKUP(AE81,'AHL_PA_SC_BALANCE'!$A$8:$E$18,2,FALSE),VLOOKUP(AE81,'AHL_PA_SC_BALANCE'!$A$8:$E$18,4,FALSE)))</x:f>
        <x:v>46</x:v>
      </x:c>
      <x:c r="U81" s="63" t="n">
        <x:f>MAX(30,MIN(AC81-VLOOKUP(AE81,'AHL_PA_SC_BALANCE'!$A$8:$E$18,3,FALSE),VLOOKUP(AE81,'AHL_PA_SC_BALANCE'!$A$8:$E$18,5,FALSE)))</x:f>
        <x:v>47</x:v>
      </x:c>
      <x:c r="V81">
        <x:v>64</x:v>
      </x:c>
      <x:c r="W81">
        <x:v>68</x:v>
      </x:c>
      <x:c r="X81">
        <x:v>76</x:v>
      </x:c>
      <x:c r="Y81">
        <x:v>77</x:v>
      </x:c>
      <x:c r="Z81">
        <x:v>51</x:v>
      </x:c>
      <x:c r="AA81">
        <x:v>54</x:v>
      </x:c>
      <x:c r="AB81" s="57" t="n">
        <x:v>46</x:v>
      </x:c>
      <x:c r="AC81" s="57" t="n">
        <x:v>47</x:v>
      </x:c>
      <x:c r="AD81" s="59"/>
      <x:c r="AE81" s="61" t="str">
        <x:f>IF(N(F81)&gt;=10,"NHL_LATEST_10",IF(AND(N(F81)&gt;0,N(G81)&gt;0),"NHL_BOTH_SEASONS",IF(N(G81)&gt;=10,"NHL_PREVIOUS_10",IF(AND(ISNUMBER(AD81),AD81=0,SUM(F81:G81)=0),"FARM_CAREER_0",IF(COUNT(F81:G81)&lt;2,"UNKNOWN_GP",IF(AND(F81=0,G81=0),IF(AD81&gt;=10,"FARM_LEGACY_10",IF(AND(ISNUMBER(AD81),AD81&gt;0),"FARM_CAREER_1_9","FARM_0_0")),IF(F81&gt;=1,IF(F81&lt;=3,"FARM_RECENT_1_3","FARM_RECENT_4_9"),"FARM_PREV_1_9_ONLY")))))))</x:f>
        <x:v>UNKNOWN_GP</x:v>
      </x:c>
      <x:c r="AF81" s="57" t="n">
        <x:f>AB81-T81</x:f>
        <x:v>0</x:v>
      </x:c>
      <x:c r="AG81" s="57" t="n">
        <x:f>AC81-U81</x:f>
        <x:v>0</x:v>
      </x:c>
    </x:row>
    <x:row r="82">
      <x:c r="A82" t="s">
        <x:v>1060</x:v>
      </x:c>
      <x:c r="C82" t="s">
        <x:v>331</x:v>
      </x:c>
      <x:c r="D82">
        <x:v>8484150</x:v>
      </x:c>
      <x:c r="E82" t="s">
        <x:v>267</x:v>
      </x:c>
      <x:c r="J82" t="s">
        <x:v>2474</x:v>
      </x:c>
      <x:c r="K82">
        <x:v>68</x:v>
      </x:c>
      <x:c r="L82">
        <x:v>35</x:v>
      </x:c>
      <x:c r="M82">
        <x:v>93</x:v>
      </x:c>
      <x:c r="N82">
        <x:v>37</x:v>
      </x:c>
      <x:c r="O82">
        <x:v>76</x:v>
      </x:c>
      <x:c r="P82">
        <x:v>86</x:v>
      </x:c>
      <x:c r="Q82">
        <x:v>90</x:v>
      </x:c>
      <x:c r="R82">
        <x:v>35</x:v>
      </x:c>
      <x:c r="S82">
        <x:v>30</x:v>
      </x:c>
      <x:c r="T82" s="63" t="n">
        <x:f>MAX(30,MIN(AB82-VLOOKUP(AE82,'AHL_PA_SC_BALANCE'!$A$8:$E$18,2,FALSE),VLOOKUP(AE82,'AHL_PA_SC_BALANCE'!$A$8:$E$18,4,FALSE)))</x:f>
        <x:v>48</x:v>
      </x:c>
      <x:c r="U82" s="63" t="n">
        <x:f>MAX(30,MIN(AC82-VLOOKUP(AE82,'AHL_PA_SC_BALANCE'!$A$8:$E$18,3,FALSE),VLOOKUP(AE82,'AHL_PA_SC_BALANCE'!$A$8:$E$18,5,FALSE)))</x:f>
        <x:v>47</x:v>
      </x:c>
      <x:c r="V82">
        <x:v>70</x:v>
      </x:c>
      <x:c r="W82">
        <x:v>55</x:v>
      </x:c>
      <x:c r="X82">
        <x:v>65</x:v>
      </x:c>
      <x:c r="Y82">
        <x:v>64</x:v>
      </x:c>
      <x:c r="Z82">
        <x:v>51</x:v>
      </x:c>
      <x:c r="AA82">
        <x:v>54</x:v>
      </x:c>
      <x:c r="AB82" s="57" t="n">
        <x:v>48</x:v>
      </x:c>
      <x:c r="AC82" s="57" t="n">
        <x:v>47</x:v>
      </x:c>
      <x:c r="AD82" s="59"/>
      <x:c r="AE82" s="61" t="str">
        <x:f>IF(N(F82)&gt;=10,"NHL_LATEST_10",IF(AND(N(F82)&gt;0,N(G82)&gt;0),"NHL_BOTH_SEASONS",IF(N(G82)&gt;=10,"NHL_PREVIOUS_10",IF(AND(ISNUMBER(AD82),AD82=0,SUM(F82:G82)=0),"FARM_CAREER_0",IF(COUNT(F82:G82)&lt;2,"UNKNOWN_GP",IF(AND(F82=0,G82=0),IF(AD82&gt;=10,"FARM_LEGACY_10",IF(AND(ISNUMBER(AD82),AD82&gt;0),"FARM_CAREER_1_9","FARM_0_0")),IF(F82&gt;=1,IF(F82&lt;=3,"FARM_RECENT_1_3","FARM_RECENT_4_9"),"FARM_PREV_1_9_ONLY")))))))</x:f>
        <x:v>UNKNOWN_GP</x:v>
      </x:c>
      <x:c r="AF82" s="57" t="n">
        <x:f>AB82-T82</x:f>
        <x:v>0</x:v>
      </x:c>
      <x:c r="AG82" s="57" t="n">
        <x:f>AC82-U82</x:f>
        <x:v>0</x:v>
      </x:c>
    </x:row>
    <x:row r="83">
      <x:c r="A83" t="s">
        <x:v>1061</x:v>
      </x:c>
      <x:c r="C83" t="s">
        <x:v>331</x:v>
      </x:c>
      <x:c r="D83">
        <x:v>8481161</x:v>
      </x:c>
      <x:c r="E83" t="s">
        <x:v>267</x:v>
      </x:c>
      <x:c r="J83" t="s">
        <x:v>2474</x:v>
      </x:c>
      <x:c r="K83">
        <x:v>70</x:v>
      </x:c>
      <x:c r="L83">
        <x:v>38</x:v>
      </x:c>
      <x:c r="M83">
        <x:v>93</x:v>
      </x:c>
      <x:c r="N83">
        <x:v>37</x:v>
      </x:c>
      <x:c r="O83">
        <x:v>77</x:v>
      </x:c>
      <x:c r="P83">
        <x:v>81</x:v>
      </x:c>
      <x:c r="Q83">
        <x:v>76</x:v>
      </x:c>
      <x:c r="R83">
        <x:v>38</x:v>
      </x:c>
      <x:c r="S83">
        <x:v>30</x:v>
      </x:c>
      <x:c r="T83" s="63" t="n">
        <x:f>MAX(30,MIN(AB83-VLOOKUP(AE83,'AHL_PA_SC_BALANCE'!$A$8:$E$18,2,FALSE),VLOOKUP(AE83,'AHL_PA_SC_BALANCE'!$A$8:$E$18,4,FALSE)))</x:f>
        <x:v>48</x:v>
      </x:c>
      <x:c r="U83" s="63" t="n">
        <x:f>MAX(30,MIN(AC83-VLOOKUP(AE83,'AHL_PA_SC_BALANCE'!$A$8:$E$18,3,FALSE),VLOOKUP(AE83,'AHL_PA_SC_BALANCE'!$A$8:$E$18,5,FALSE)))</x:f>
        <x:v>45</x:v>
      </x:c>
      <x:c r="V83">
        <x:v>73</x:v>
      </x:c>
      <x:c r="W83">
        <x:v>52</x:v>
      </x:c>
      <x:c r="X83">
        <x:v>71</x:v>
      </x:c>
      <x:c r="Y83">
        <x:v>69</x:v>
      </x:c>
      <x:c r="Z83">
        <x:v>51</x:v>
      </x:c>
      <x:c r="AA83">
        <x:v>54</x:v>
      </x:c>
      <x:c r="AB83" s="57" t="n">
        <x:v>48</x:v>
      </x:c>
      <x:c r="AC83" s="57" t="n">
        <x:v>45</x:v>
      </x:c>
      <x:c r="AD83" s="59"/>
      <x:c r="AE83" s="61" t="str">
        <x:f>IF(N(F83)&gt;=10,"NHL_LATEST_10",IF(AND(N(F83)&gt;0,N(G83)&gt;0),"NHL_BOTH_SEASONS",IF(N(G83)&gt;=10,"NHL_PREVIOUS_10",IF(AND(ISNUMBER(AD83),AD83=0,SUM(F83:G83)=0),"FARM_CAREER_0",IF(COUNT(F83:G83)&lt;2,"UNKNOWN_GP",IF(AND(F83=0,G83=0),IF(AD83&gt;=10,"FARM_LEGACY_10",IF(AND(ISNUMBER(AD83),AD83&gt;0),"FARM_CAREER_1_9","FARM_0_0")),IF(F83&gt;=1,IF(F83&lt;=3,"FARM_RECENT_1_3","FARM_RECENT_4_9"),"FARM_PREV_1_9_ONLY")))))))</x:f>
        <x:v>UNKNOWN_GP</x:v>
      </x:c>
      <x:c r="AF83" s="57" t="n">
        <x:f>AB83-T83</x:f>
        <x:v>0</x:v>
      </x:c>
      <x:c r="AG83" s="57" t="n">
        <x:f>AC83-U83</x:f>
        <x:v>0</x:v>
      </x:c>
    </x:row>
    <x:row r="84">
      <x:c r="A84" t="s">
        <x:v>1063</x:v>
      </x:c>
      <x:c r="C84" t="s">
        <x:v>339</x:v>
      </x:c>
      <x:c r="D84">
        <x:v>8482117</x:v>
      </x:c>
      <x:c r="E84" t="s">
        <x:v>267</x:v>
      </x:c>
      <x:c r="J84" t="s">
        <x:v>2474</x:v>
      </x:c>
      <x:c r="K84">
        <x:v>59</x:v>
      </x:c>
      <x:c r="L84">
        <x:v>32</x:v>
      </x:c>
      <x:c r="M84">
        <x:v>92</x:v>
      </x:c>
      <x:c r="N84">
        <x:v>51</x:v>
      </x:c>
      <x:c r="O84">
        <x:v>76</x:v>
      </x:c>
      <x:c r="P84">
        <x:v>82</x:v>
      </x:c>
      <x:c r="Q84">
        <x:v>80</x:v>
      </x:c>
      <x:c r="R84">
        <x:v>48</x:v>
      </x:c>
      <x:c r="S84">
        <x:v>78</x:v>
      </x:c>
      <x:c r="T84" s="63" t="n">
        <x:f>MAX(30,MIN(AB84-VLOOKUP(AE84,'AHL_PA_SC_BALANCE'!$A$8:$E$18,2,FALSE),VLOOKUP(AE84,'AHL_PA_SC_BALANCE'!$A$8:$E$18,4,FALSE)))</x:f>
        <x:v>52</x:v>
      </x:c>
      <x:c r="U84" s="63" t="n">
        <x:f>MAX(30,MIN(AC84-VLOOKUP(AE84,'AHL_PA_SC_BALANCE'!$A$8:$E$18,3,FALSE),VLOOKUP(AE84,'AHL_PA_SC_BALANCE'!$A$8:$E$18,5,FALSE)))</x:f>
        <x:v>53</x:v>
      </x:c>
      <x:c r="V84">
        <x:v>62</x:v>
      </x:c>
      <x:c r="W84">
        <x:v>58</x:v>
      </x:c>
      <x:c r="X84">
        <x:v>69</x:v>
      </x:c>
      <x:c r="Y84">
        <x:v>68</x:v>
      </x:c>
      <x:c r="Z84">
        <x:v>51</x:v>
      </x:c>
      <x:c r="AA84">
        <x:v>54</x:v>
      </x:c>
      <x:c r="AB84" s="57" t="n">
        <x:v>52</x:v>
      </x:c>
      <x:c r="AC84" s="57" t="n">
        <x:v>53</x:v>
      </x:c>
      <x:c r="AD84" s="59"/>
      <x:c r="AE84" s="61" t="str">
        <x:f>IF(N(F84)&gt;=10,"NHL_LATEST_10",IF(AND(N(F84)&gt;0,N(G84)&gt;0),"NHL_BOTH_SEASONS",IF(N(G84)&gt;=10,"NHL_PREVIOUS_10",IF(AND(ISNUMBER(AD84),AD84=0,SUM(F84:G84)=0),"FARM_CAREER_0",IF(COUNT(F84:G84)&lt;2,"UNKNOWN_GP",IF(AND(F84=0,G84=0),IF(AD84&gt;=10,"FARM_LEGACY_10",IF(AND(ISNUMBER(AD84),AD84&gt;0),"FARM_CAREER_1_9","FARM_0_0")),IF(F84&gt;=1,IF(F84&lt;=3,"FARM_RECENT_1_3","FARM_RECENT_4_9"),"FARM_PREV_1_9_ONLY")))))))</x:f>
        <x:v>UNKNOWN_GP</x:v>
      </x:c>
      <x:c r="AF84" s="57" t="n">
        <x:f>AB84-T84</x:f>
        <x:v>0</x:v>
      </x:c>
      <x:c r="AG84" s="57" t="n">
        <x:f>AC84-U84</x:f>
        <x:v>0</x:v>
      </x:c>
    </x:row>
    <x:row r="85">
      <x:c r="A85" t="s">
        <x:v>1065</x:v>
      </x:c>
      <x:c r="C85" t="s">
        <x:v>331</x:v>
      </x:c>
      <x:c r="D85">
        <x:v>8481600</x:v>
      </x:c>
      <x:c r="E85" t="s">
        <x:v>267</x:v>
      </x:c>
      <x:c r="J85" t="s">
        <x:v>2474</x:v>
      </x:c>
      <x:c r="K85">
        <x:v>70</x:v>
      </x:c>
      <x:c r="L85">
        <x:v>39</x:v>
      </x:c>
      <x:c r="M85">
        <x:v>93</x:v>
      </x:c>
      <x:c r="N85">
        <x:v>35</x:v>
      </x:c>
      <x:c r="O85">
        <x:v>81</x:v>
      </x:c>
      <x:c r="P85">
        <x:v>81</x:v>
      </x:c>
      <x:c r="Q85">
        <x:v>79</x:v>
      </x:c>
      <x:c r="R85">
        <x:v>35</x:v>
      </x:c>
      <x:c r="S85">
        <x:v>30</x:v>
      </x:c>
      <x:c r="T85" s="63" t="n">
        <x:f>MAX(30,MIN(AB85-VLOOKUP(AE85,'AHL_PA_SC_BALANCE'!$A$8:$E$18,2,FALSE),VLOOKUP(AE85,'AHL_PA_SC_BALANCE'!$A$8:$E$18,4,FALSE)))</x:f>
        <x:v>49</x:v>
      </x:c>
      <x:c r="U85" s="63" t="n">
        <x:f>MAX(30,MIN(AC85-VLOOKUP(AE85,'AHL_PA_SC_BALANCE'!$A$8:$E$18,3,FALSE),VLOOKUP(AE85,'AHL_PA_SC_BALANCE'!$A$8:$E$18,5,FALSE)))</x:f>
        <x:v>47</x:v>
      </x:c>
      <x:c r="V85">
        <x:v>73</x:v>
      </x:c>
      <x:c r="W85">
        <x:v>53</x:v>
      </x:c>
      <x:c r="X85">
        <x:v>69</x:v>
      </x:c>
      <x:c r="Y85">
        <x:v>67</x:v>
      </x:c>
      <x:c r="Z85">
        <x:v>51</x:v>
      </x:c>
      <x:c r="AA85">
        <x:v>54</x:v>
      </x:c>
      <x:c r="AB85" s="57" t="n">
        <x:v>49</x:v>
      </x:c>
      <x:c r="AC85" s="57" t="n">
        <x:v>47</x:v>
      </x:c>
      <x:c r="AD85" s="59"/>
      <x:c r="AE85" s="61" t="str">
        <x:f>IF(N(F85)&gt;=10,"NHL_LATEST_10",IF(AND(N(F85)&gt;0,N(G85)&gt;0),"NHL_BOTH_SEASONS",IF(N(G85)&gt;=10,"NHL_PREVIOUS_10",IF(AND(ISNUMBER(AD85),AD85=0,SUM(F85:G85)=0),"FARM_CAREER_0",IF(COUNT(F85:G85)&lt;2,"UNKNOWN_GP",IF(AND(F85=0,G85=0),IF(AD85&gt;=10,"FARM_LEGACY_10",IF(AND(ISNUMBER(AD85),AD85&gt;0),"FARM_CAREER_1_9","FARM_0_0")),IF(F85&gt;=1,IF(F85&lt;=3,"FARM_RECENT_1_3","FARM_RECENT_4_9"),"FARM_PREV_1_9_ONLY")))))))</x:f>
        <x:v>UNKNOWN_GP</x:v>
      </x:c>
      <x:c r="AF85" s="57" t="n">
        <x:f>AB85-T85</x:f>
        <x:v>0</x:v>
      </x:c>
      <x:c r="AG85" s="57" t="n">
        <x:f>AC85-U85</x:f>
        <x:v>0</x:v>
      </x:c>
    </x:row>
    <x:row r="86">
      <x:c r="A86" t="s">
        <x:v>1066</x:v>
      </x:c>
      <x:c r="C86" t="s">
        <x:v>331</x:v>
      </x:c>
      <x:c r="D86">
        <x:v>8479348</x:v>
      </x:c>
      <x:c r="E86" t="s">
        <x:v>267</x:v>
      </x:c>
      <x:c r="J86" t="s">
        <x:v>2474</x:v>
      </x:c>
      <x:c r="K86">
        <x:v>67</x:v>
      </x:c>
      <x:c r="L86">
        <x:v>36</x:v>
      </x:c>
      <x:c r="M86">
        <x:v>83</x:v>
      </x:c>
      <x:c r="N86">
        <x:v>35</x:v>
      </x:c>
      <x:c r="O86">
        <x:v>79</x:v>
      </x:c>
      <x:c r="P86">
        <x:v>88</x:v>
      </x:c>
      <x:c r="Q86">
        <x:v>92</x:v>
      </x:c>
      <x:c r="R86">
        <x:v>36</x:v>
      </x:c>
      <x:c r="S86">
        <x:v>30</x:v>
      </x:c>
      <x:c r="T86" s="63" t="n">
        <x:f>MAX(30,MIN(AB86-VLOOKUP(AE86,'AHL_PA_SC_BALANCE'!$A$8:$E$18,2,FALSE),VLOOKUP(AE86,'AHL_PA_SC_BALANCE'!$A$8:$E$18,4,FALSE)))</x:f>
        <x:v>45</x:v>
      </x:c>
      <x:c r="U86" s="63" t="n">
        <x:f>MAX(30,MIN(AC86-VLOOKUP(AE86,'AHL_PA_SC_BALANCE'!$A$8:$E$18,3,FALSE),VLOOKUP(AE86,'AHL_PA_SC_BALANCE'!$A$8:$E$18,5,FALSE)))</x:f>
        <x:v>42</x:v>
      </x:c>
      <x:c r="V86">
        <x:v>68</x:v>
      </x:c>
      <x:c r="W86">
        <x:v>48</x:v>
      </x:c>
      <x:c r="X86">
        <x:v>70</x:v>
      </x:c>
      <x:c r="Y86">
        <x:v>69</x:v>
      </x:c>
      <x:c r="Z86">
        <x:v>51</x:v>
      </x:c>
      <x:c r="AA86">
        <x:v>54</x:v>
      </x:c>
      <x:c r="AB86" s="57" t="n">
        <x:v>45</x:v>
      </x:c>
      <x:c r="AC86" s="57" t="n">
        <x:v>42</x:v>
      </x:c>
      <x:c r="AD86" s="59"/>
      <x:c r="AE86" s="61" t="str">
        <x:f>IF(N(F86)&gt;=10,"NHL_LATEST_10",IF(AND(N(F86)&gt;0,N(G86)&gt;0),"NHL_BOTH_SEASONS",IF(N(G86)&gt;=10,"NHL_PREVIOUS_10",IF(AND(ISNUMBER(AD86),AD86=0,SUM(F86:G86)=0),"FARM_CAREER_0",IF(COUNT(F86:G86)&lt;2,"UNKNOWN_GP",IF(AND(F86=0,G86=0),IF(AD86&gt;=10,"FARM_LEGACY_10",IF(AND(ISNUMBER(AD86),AD86&gt;0),"FARM_CAREER_1_9","FARM_0_0")),IF(F86&gt;=1,IF(F86&lt;=3,"FARM_RECENT_1_3","FARM_RECENT_4_9"),"FARM_PREV_1_9_ONLY")))))))</x:f>
        <x:v>UNKNOWN_GP</x:v>
      </x:c>
      <x:c r="AF86" s="57" t="n">
        <x:f>AB86-T86</x:f>
        <x:v>0</x:v>
      </x:c>
      <x:c r="AG86" s="57" t="n">
        <x:f>AC86-U86</x:f>
        <x:v>0</x:v>
      </x:c>
    </x:row>
    <x:row r="87">
      <x:c r="A87" t="s">
        <x:v>1067</x:v>
      </x:c>
      <x:c r="C87" t="s">
        <x:v>331</x:v>
      </x:c>
      <x:c r="D87">
        <x:v>8484305</x:v>
      </x:c>
      <x:c r="E87" t="s">
        <x:v>267</x:v>
      </x:c>
      <x:c r="J87" t="s">
        <x:v>2474</x:v>
      </x:c>
      <x:c r="K87">
        <x:v>63</x:v>
      </x:c>
      <x:c r="L87">
        <x:v>33</x:v>
      </x:c>
      <x:c r="M87">
        <x:v>93</x:v>
      </x:c>
      <x:c r="N87">
        <x:v>37</x:v>
      </x:c>
      <x:c r="O87">
        <x:v>76</x:v>
      </x:c>
      <x:c r="P87">
        <x:v>83</x:v>
      </x:c>
      <x:c r="Q87">
        <x:v>85</x:v>
      </x:c>
      <x:c r="R87">
        <x:v>37</x:v>
      </x:c>
      <x:c r="S87">
        <x:v>30</x:v>
      </x:c>
      <x:c r="T87" s="63" t="n">
        <x:f>MAX(30,MIN(AB87-VLOOKUP(AE87,'AHL_PA_SC_BALANCE'!$A$8:$E$18,2,FALSE),VLOOKUP(AE87,'AHL_PA_SC_BALANCE'!$A$8:$E$18,4,FALSE)))</x:f>
        <x:v>48</x:v>
      </x:c>
      <x:c r="U87" s="63" t="n">
        <x:f>MAX(30,MIN(AC87-VLOOKUP(AE87,'AHL_PA_SC_BALANCE'!$A$8:$E$18,3,FALSE),VLOOKUP(AE87,'AHL_PA_SC_BALANCE'!$A$8:$E$18,5,FALSE)))</x:f>
        <x:v>48</x:v>
      </x:c>
      <x:c r="V87">
        <x:v>71</x:v>
      </x:c>
      <x:c r="W87">
        <x:v>56</x:v>
      </x:c>
      <x:c r="X87">
        <x:v>70</x:v>
      </x:c>
      <x:c r="Y87">
        <x:v>70</x:v>
      </x:c>
      <x:c r="Z87">
        <x:v>51</x:v>
      </x:c>
      <x:c r="AA87">
        <x:v>54</x:v>
      </x:c>
      <x:c r="AB87" s="57" t="n">
        <x:v>48</x:v>
      </x:c>
      <x:c r="AC87" s="57" t="n">
        <x:v>48</x:v>
      </x:c>
      <x:c r="AD87" s="59"/>
      <x:c r="AE87" s="61" t="str">
        <x:f>IF(N(F87)&gt;=10,"NHL_LATEST_10",IF(AND(N(F87)&gt;0,N(G87)&gt;0),"NHL_BOTH_SEASONS",IF(N(G87)&gt;=10,"NHL_PREVIOUS_10",IF(AND(ISNUMBER(AD87),AD87=0,SUM(F87:G87)=0),"FARM_CAREER_0",IF(COUNT(F87:G87)&lt;2,"UNKNOWN_GP",IF(AND(F87=0,G87=0),IF(AD87&gt;=10,"FARM_LEGACY_10",IF(AND(ISNUMBER(AD87),AD87&gt;0),"FARM_CAREER_1_9","FARM_0_0")),IF(F87&gt;=1,IF(F87&lt;=3,"FARM_RECENT_1_3","FARM_RECENT_4_9"),"FARM_PREV_1_9_ONLY")))))))</x:f>
        <x:v>UNKNOWN_GP</x:v>
      </x:c>
      <x:c r="AF87" s="57" t="n">
        <x:f>AB87-T87</x:f>
        <x:v>0</x:v>
      </x:c>
      <x:c r="AG87" s="57" t="n">
        <x:f>AC87-U87</x:f>
        <x:v>0</x:v>
      </x:c>
    </x:row>
    <x:row r="88">
      <x:c r="A88" t="s">
        <x:v>1068</x:v>
      </x:c>
      <x:c r="C88" t="s">
        <x:v>331</x:v>
      </x:c>
      <x:c r="D88">
        <x:v>8484386</x:v>
      </x:c>
      <x:c r="E88" t="s">
        <x:v>267</x:v>
      </x:c>
      <x:c r="J88" t="s">
        <x:v>2474</x:v>
      </x:c>
      <x:c r="K88">
        <x:v>66</x:v>
      </x:c>
      <x:c r="L88">
        <x:v>78</x:v>
      </x:c>
      <x:c r="M88">
        <x:v>79</x:v>
      </x:c>
      <x:c r="N88">
        <x:v>38</x:v>
      </x:c>
      <x:c r="O88">
        <x:v>83</x:v>
      </x:c>
      <x:c r="P88">
        <x:v>83</x:v>
      </x:c>
      <x:c r="Q88">
        <x:v>86</x:v>
      </x:c>
      <x:c r="R88">
        <x:v>36</x:v>
      </x:c>
      <x:c r="S88">
        <x:v>30</x:v>
      </x:c>
      <x:c r="T88" s="63" t="n">
        <x:f>MAX(30,MIN(AB88-VLOOKUP(AE88,'AHL_PA_SC_BALANCE'!$A$8:$E$18,2,FALSE),VLOOKUP(AE88,'AHL_PA_SC_BALANCE'!$A$8:$E$18,4,FALSE)))</x:f>
        <x:v>49</x:v>
      </x:c>
      <x:c r="U88" s="63" t="n">
        <x:f>MAX(30,MIN(AC88-VLOOKUP(AE88,'AHL_PA_SC_BALANCE'!$A$8:$E$18,3,FALSE),VLOOKUP(AE88,'AHL_PA_SC_BALANCE'!$A$8:$E$18,5,FALSE)))</x:f>
        <x:v>46</x:v>
      </x:c>
      <x:c r="V88">
        <x:v>70</x:v>
      </x:c>
      <x:c r="W88">
        <x:v>51</x:v>
      </x:c>
      <x:c r="X88">
        <x:v>65</x:v>
      </x:c>
      <x:c r="Y88">
        <x:v>66</x:v>
      </x:c>
      <x:c r="Z88">
        <x:v>51</x:v>
      </x:c>
      <x:c r="AA88">
        <x:v>54</x:v>
      </x:c>
      <x:c r="AB88" s="57" t="n">
        <x:v>49</x:v>
      </x:c>
      <x:c r="AC88" s="57" t="n">
        <x:v>46</x:v>
      </x:c>
      <x:c r="AD88" s="59"/>
      <x:c r="AE88" s="61" t="str">
        <x:f>IF(N(F88)&gt;=10,"NHL_LATEST_10",IF(AND(N(F88)&gt;0,N(G88)&gt;0),"NHL_BOTH_SEASONS",IF(N(G88)&gt;=10,"NHL_PREVIOUS_10",IF(AND(ISNUMBER(AD88),AD88=0,SUM(F88:G88)=0),"FARM_CAREER_0",IF(COUNT(F88:G88)&lt;2,"UNKNOWN_GP",IF(AND(F88=0,G88=0),IF(AD88&gt;=10,"FARM_LEGACY_10",IF(AND(ISNUMBER(AD88),AD88&gt;0),"FARM_CAREER_1_9","FARM_0_0")),IF(F88&gt;=1,IF(F88&lt;=3,"FARM_RECENT_1_3","FARM_RECENT_4_9"),"FARM_PREV_1_9_ONLY")))))))</x:f>
        <x:v>UNKNOWN_GP</x:v>
      </x:c>
      <x:c r="AF88" s="57" t="n">
        <x:f>AB88-T88</x:f>
        <x:v>0</x:v>
      </x:c>
      <x:c r="AG88" s="57" t="n">
        <x:f>AC88-U88</x:f>
        <x:v>0</x:v>
      </x:c>
    </x:row>
    <x:row r="89">
      <x:c r="A89" t="s">
        <x:v>1069</x:v>
      </x:c>
      <x:c r="C89" t="s">
        <x:v>331</x:v>
      </x:c>
      <x:c r="D89">
        <x:v>8478176</x:v>
      </x:c>
      <x:c r="E89" t="s">
        <x:v>267</x:v>
      </x:c>
      <x:c r="J89" t="s">
        <x:v>2474</x:v>
      </x:c>
      <x:c r="K89">
        <x:v>66</x:v>
      </x:c>
      <x:c r="L89">
        <x:v>37</x:v>
      </x:c>
      <x:c r="M89">
        <x:v>80</x:v>
      </x:c>
      <x:c r="N89">
        <x:v>34</x:v>
      </x:c>
      <x:c r="O89">
        <x:v>76</x:v>
      </x:c>
      <x:c r="P89">
        <x:v>87</x:v>
      </x:c>
      <x:c r="Q89">
        <x:v>91</x:v>
      </x:c>
      <x:c r="R89">
        <x:v>34</x:v>
      </x:c>
      <x:c r="S89">
        <x:v>30</x:v>
      </x:c>
      <x:c r="T89" s="63" t="n">
        <x:f>MAX(30,MIN(AB89-VLOOKUP(AE89,'AHL_PA_SC_BALANCE'!$A$8:$E$18,2,FALSE),VLOOKUP(AE89,'AHL_PA_SC_BALANCE'!$A$8:$E$18,4,FALSE)))</x:f>
        <x:v>45</x:v>
      </x:c>
      <x:c r="U89" s="63" t="n">
        <x:f>MAX(30,MIN(AC89-VLOOKUP(AE89,'AHL_PA_SC_BALANCE'!$A$8:$E$18,3,FALSE),VLOOKUP(AE89,'AHL_PA_SC_BALANCE'!$A$8:$E$18,5,FALSE)))</x:f>
        <x:v>40</x:v>
      </x:c>
      <x:c r="V89">
        <x:v>68</x:v>
      </x:c>
      <x:c r="W89">
        <x:v>47</x:v>
      </x:c>
      <x:c r="X89">
        <x:v>72</x:v>
      </x:c>
      <x:c r="Y89">
        <x:v>73</x:v>
      </x:c>
      <x:c r="Z89">
        <x:v>51</x:v>
      </x:c>
      <x:c r="AA89">
        <x:v>54</x:v>
      </x:c>
      <x:c r="AB89" s="57" t="n">
        <x:v>45</x:v>
      </x:c>
      <x:c r="AC89" s="57" t="n">
        <x:v>40</x:v>
      </x:c>
      <x:c r="AD89" s="59"/>
      <x:c r="AE89" s="61" t="str">
        <x:f>IF(N(F89)&gt;=10,"NHL_LATEST_10",IF(AND(N(F89)&gt;0,N(G89)&gt;0),"NHL_BOTH_SEASONS",IF(N(G89)&gt;=10,"NHL_PREVIOUS_10",IF(AND(ISNUMBER(AD89),AD89=0,SUM(F89:G89)=0),"FARM_CAREER_0",IF(COUNT(F89:G89)&lt;2,"UNKNOWN_GP",IF(AND(F89=0,G89=0),IF(AD89&gt;=10,"FARM_LEGACY_10",IF(AND(ISNUMBER(AD89),AD89&gt;0),"FARM_CAREER_1_9","FARM_0_0")),IF(F89&gt;=1,IF(F89&lt;=3,"FARM_RECENT_1_3","FARM_RECENT_4_9"),"FARM_PREV_1_9_ONLY")))))))</x:f>
        <x:v>UNKNOWN_GP</x:v>
      </x:c>
      <x:c r="AF89" s="57" t="n">
        <x:f>AB89-T89</x:f>
        <x:v>0</x:v>
      </x:c>
      <x:c r="AG89" s="57" t="n">
        <x:f>AC89-U89</x:f>
        <x:v>0</x:v>
      </x:c>
    </x:row>
    <x:row r="90">
      <x:c r="A90" t="s">
        <x:v>1070</x:v>
      </x:c>
      <x:c r="C90" t="s">
        <x:v>331</x:v>
      </x:c>
      <x:c r="D90">
        <x:v>8480070</x:v>
      </x:c>
      <x:c r="E90" t="s">
        <x:v>267</x:v>
      </x:c>
      <x:c r="J90" t="s">
        <x:v>2474</x:v>
      </x:c>
      <x:c r="K90">
        <x:v>67</x:v>
      </x:c>
      <x:c r="L90">
        <x:v>35</x:v>
      </x:c>
      <x:c r="M90">
        <x:v>91</x:v>
      </x:c>
      <x:c r="N90">
        <x:v>35</x:v>
      </x:c>
      <x:c r="O90">
        <x:v>78</x:v>
      </x:c>
      <x:c r="P90">
        <x:v>83</x:v>
      </x:c>
      <x:c r="Q90">
        <x:v>86</x:v>
      </x:c>
      <x:c r="R90">
        <x:v>36</x:v>
      </x:c>
      <x:c r="S90">
        <x:v>30</x:v>
      </x:c>
      <x:c r="T90" s="63" t="n">
        <x:f>MAX(30,MIN(AB90-VLOOKUP(AE90,'AHL_PA_SC_BALANCE'!$A$8:$E$18,2,FALSE),VLOOKUP(AE90,'AHL_PA_SC_BALANCE'!$A$8:$E$18,4,FALSE)))</x:f>
        <x:v>49</x:v>
      </x:c>
      <x:c r="U90" s="63" t="n">
        <x:f>MAX(30,MIN(AC90-VLOOKUP(AE90,'AHL_PA_SC_BALANCE'!$A$8:$E$18,3,FALSE),VLOOKUP(AE90,'AHL_PA_SC_BALANCE'!$A$8:$E$18,5,FALSE)))</x:f>
        <x:v>44</x:v>
      </x:c>
      <x:c r="V90">
        <x:v>72</x:v>
      </x:c>
      <x:c r="W90">
        <x:v>49</x:v>
      </x:c>
      <x:c r="X90">
        <x:v>71</x:v>
      </x:c>
      <x:c r="Y90">
        <x:v>69</x:v>
      </x:c>
      <x:c r="Z90">
        <x:v>43</x:v>
      </x:c>
      <x:c r="AA90">
        <x:v>54</x:v>
      </x:c>
      <x:c r="AB90" s="57" t="n">
        <x:v>49</x:v>
      </x:c>
      <x:c r="AC90" s="57" t="n">
        <x:v>44</x:v>
      </x:c>
      <x:c r="AD90" s="59"/>
      <x:c r="AE90" s="61" t="str">
        <x:f>IF(N(F90)&gt;=10,"NHL_LATEST_10",IF(AND(N(F90)&gt;0,N(G90)&gt;0),"NHL_BOTH_SEASONS",IF(N(G90)&gt;=10,"NHL_PREVIOUS_10",IF(AND(ISNUMBER(AD90),AD90=0,SUM(F90:G90)=0),"FARM_CAREER_0",IF(COUNT(F90:G90)&lt;2,"UNKNOWN_GP",IF(AND(F90=0,G90=0),IF(AD90&gt;=10,"FARM_LEGACY_10",IF(AND(ISNUMBER(AD90),AD90&gt;0),"FARM_CAREER_1_9","FARM_0_0")),IF(F90&gt;=1,IF(F90&lt;=3,"FARM_RECENT_1_3","FARM_RECENT_4_9"),"FARM_PREV_1_9_ONLY")))))))</x:f>
        <x:v>UNKNOWN_GP</x:v>
      </x:c>
      <x:c r="AF90" s="57" t="n">
        <x:f>AB90-T90</x:f>
        <x:v>0</x:v>
      </x:c>
      <x:c r="AG90" s="57" t="n">
        <x:f>AC90-U90</x:f>
        <x:v>0</x:v>
      </x:c>
    </x:row>
    <x:row r="91">
      <x:c r="A91" t="s">
        <x:v>1071</x:v>
      </x:c>
      <x:c r="C91" t="s">
        <x:v>319</x:v>
      </x:c>
      <x:c r="D91">
        <x:v>8477993</x:v>
      </x:c>
      <x:c r="E91" t="s">
        <x:v>267</x:v>
      </x:c>
      <x:c r="J91" t="s">
        <x:v>2474</x:v>
      </x:c>
      <x:c r="K91">
        <x:v>70</x:v>
      </x:c>
      <x:c r="L91">
        <x:v>45</x:v>
      </x:c>
      <x:c r="M91">
        <x:v>93</x:v>
      </x:c>
      <x:c r="N91">
        <x:v>48</x:v>
      </x:c>
      <x:c r="O91">
        <x:v>80</x:v>
      </x:c>
      <x:c r="P91">
        <x:v>80</x:v>
      </x:c>
      <x:c r="Q91">
        <x:v>75</x:v>
      </x:c>
      <x:c r="R91">
        <x:v>47</x:v>
      </x:c>
      <x:c r="S91">
        <x:v>82</x:v>
      </x:c>
      <x:c r="T91" s="63" t="n">
        <x:f>MAX(30,MIN(AB91-VLOOKUP(AE91,'AHL_PA_SC_BALANCE'!$A$8:$E$18,2,FALSE),VLOOKUP(AE91,'AHL_PA_SC_BALANCE'!$A$8:$E$18,4,FALSE)))</x:f>
        <x:v>50</x:v>
      </x:c>
      <x:c r="U91" s="63" t="n">
        <x:f>MAX(30,MIN(AC91-VLOOKUP(AE91,'AHL_PA_SC_BALANCE'!$A$8:$E$18,3,FALSE),VLOOKUP(AE91,'AHL_PA_SC_BALANCE'!$A$8:$E$18,5,FALSE)))</x:f>
        <x:v>51</x:v>
      </x:c>
      <x:c r="V91">
        <x:v>66</x:v>
      </x:c>
      <x:c r="W91">
        <x:v>71</x:v>
      </x:c>
      <x:c r="X91">
        <x:v>72</x:v>
      </x:c>
      <x:c r="Y91">
        <x:v>72</x:v>
      </x:c>
      <x:c r="Z91">
        <x:v>51</x:v>
      </x:c>
      <x:c r="AA91">
        <x:v>54</x:v>
      </x:c>
      <x:c r="AB91" s="57" t="n">
        <x:v>50</x:v>
      </x:c>
      <x:c r="AC91" s="57" t="n">
        <x:v>51</x:v>
      </x:c>
      <x:c r="AD91" s="59"/>
      <x:c r="AE91" s="61" t="str">
        <x:f>IF(N(F91)&gt;=10,"NHL_LATEST_10",IF(AND(N(F91)&gt;0,N(G91)&gt;0),"NHL_BOTH_SEASONS",IF(N(G91)&gt;=10,"NHL_PREVIOUS_10",IF(AND(ISNUMBER(AD91),AD91=0,SUM(F91:G91)=0),"FARM_CAREER_0",IF(COUNT(F91:G91)&lt;2,"UNKNOWN_GP",IF(AND(F91=0,G91=0),IF(AD91&gt;=10,"FARM_LEGACY_10",IF(AND(ISNUMBER(AD91),AD91&gt;0),"FARM_CAREER_1_9","FARM_0_0")),IF(F91&gt;=1,IF(F91&lt;=3,"FARM_RECENT_1_3","FARM_RECENT_4_9"),"FARM_PREV_1_9_ONLY")))))))</x:f>
        <x:v>UNKNOWN_GP</x:v>
      </x:c>
      <x:c r="AF91" s="57" t="n">
        <x:f>AB91-T91</x:f>
        <x:v>0</x:v>
      </x:c>
      <x:c r="AG91" s="57" t="n">
        <x:f>AC91-U91</x:f>
        <x:v>0</x:v>
      </x:c>
    </x:row>
    <x:row r="92">
      <x:c r="A92" t="s">
        <x:v>1072</x:v>
      </x:c>
      <x:c r="B92" t="s">
        <x:v>584</x:v>
      </x:c>
      <x:c r="C92" t="s">
        <x:v>331</x:v>
      </x:c>
      <x:c r="D92">
        <x:v>8476988</x:v>
      </x:c>
      <x:c r="E92" t="s">
        <x:v>267</x:v>
      </x:c>
      <x:c r="F92">
        <x:v>1</x:v>
      </x:c>
      <x:c r="G92">
        <x:v>7</x:v>
      </x:c>
      <x:c r="J92" t="s">
        <x:v>2477</x:v>
      </x:c>
      <x:c r="K92">
        <x:v>73</x:v>
      </x:c>
      <x:c r="L92">
        <x:v>40</x:v>
      </x:c>
      <x:c r="M92">
        <x:v>82</x:v>
      </x:c>
      <x:c r="N92">
        <x:v>33</x:v>
      </x:c>
      <x:c r="O92">
        <x:v>81</x:v>
      </x:c>
      <x:c r="P92">
        <x:v>76</x:v>
      </x:c>
      <x:c r="Q92">
        <x:v>79</x:v>
      </x:c>
      <x:c r="R92">
        <x:v>33</x:v>
      </x:c>
      <x:c r="S92">
        <x:v>30</x:v>
      </x:c>
      <x:c r="T92" s="63" t="n">
        <x:f>MAX(30,MIN(AB92-VLOOKUP(AE92,'AHL_PA_SC_BALANCE'!$A$8:$E$18,2,FALSE),VLOOKUP(AE92,'AHL_PA_SC_BALANCE'!$A$8:$E$18,4,FALSE)))</x:f>
        <x:v>49</x:v>
      </x:c>
      <x:c r="U92" s="63" t="n">
        <x:f>MAX(30,MIN(AC92-VLOOKUP(AE92,'AHL_PA_SC_BALANCE'!$A$8:$E$18,3,FALSE),VLOOKUP(AE92,'AHL_PA_SC_BALANCE'!$A$8:$E$18,5,FALSE)))</x:f>
        <x:v>44</x:v>
      </x:c>
      <x:c r="V92">
        <x:v>75</x:v>
      </x:c>
      <x:c r="W92">
        <x:v>49</x:v>
      </x:c>
      <x:c r="X92">
        <x:v>76</x:v>
      </x:c>
      <x:c r="Y92">
        <x:v>76</x:v>
      </x:c>
      <x:c r="Z92">
        <x:v>51</x:v>
      </x:c>
      <x:c r="AA92">
        <x:v>54</x:v>
      </x:c>
      <x:c r="AB92" s="57" t="n">
        <x:v>49</x:v>
      </x:c>
      <x:c r="AC92" s="57" t="n">
        <x:v>44</x:v>
      </x:c>
      <x:c r="AD92" s="59"/>
      <x:c r="AE92" s="61" t="str">
        <x:f>IF(N(F92)&gt;=10,"NHL_LATEST_10",IF(AND(N(F92)&gt;0,N(G92)&gt;0),"NHL_BOTH_SEASONS",IF(N(G92)&gt;=10,"NHL_PREVIOUS_10",IF(AND(ISNUMBER(AD92),AD92=0,SUM(F92:G92)=0),"FARM_CAREER_0",IF(COUNT(F92:G92)&lt;2,"UNKNOWN_GP",IF(AND(F92=0,G92=0),IF(AD92&gt;=10,"FARM_LEGACY_10",IF(AND(ISNUMBER(AD92),AD92&gt;0),"FARM_CAREER_1_9","FARM_0_0")),IF(F92&gt;=1,IF(F92&lt;=3,"FARM_RECENT_1_3","FARM_RECENT_4_9"),"FARM_PREV_1_9_ONLY")))))))</x:f>
        <x:v>NHL_BOTH_SEASONS</x:v>
      </x:c>
      <x:c r="AF92" s="57" t="n">
        <x:f>AB92-T92</x:f>
        <x:v>0</x:v>
      </x:c>
      <x:c r="AG92" s="57" t="n">
        <x:f>AC92-U92</x:f>
        <x:v>0</x:v>
      </x:c>
    </x:row>
    <x:row r="93">
      <x:c r="A93" t="s">
        <x:v>1073</x:v>
      </x:c>
      <x:c r="C93" t="s">
        <x:v>331</x:v>
      </x:c>
      <x:c r="D93">
        <x:v>8482141</x:v>
      </x:c>
      <x:c r="E93" t="s">
        <x:v>267</x:v>
      </x:c>
      <x:c r="J93" t="s">
        <x:v>2474</x:v>
      </x:c>
      <x:c r="K93">
        <x:v>66</x:v>
      </x:c>
      <x:c r="L93">
        <x:v>34</x:v>
      </x:c>
      <x:c r="M93">
        <x:v>83</x:v>
      </x:c>
      <x:c r="N93">
        <x:v>37</x:v>
      </x:c>
      <x:c r="O93">
        <x:v>77</x:v>
      </x:c>
      <x:c r="P93">
        <x:v>80</x:v>
      </x:c>
      <x:c r="Q93">
        <x:v>82</x:v>
      </x:c>
      <x:c r="R93">
        <x:v>37</x:v>
      </x:c>
      <x:c r="S93">
        <x:v>30</x:v>
      </x:c>
      <x:c r="T93" s="63" t="n">
        <x:f>MAX(30,MIN(AB93-VLOOKUP(AE93,'AHL_PA_SC_BALANCE'!$A$8:$E$18,2,FALSE),VLOOKUP(AE93,'AHL_PA_SC_BALANCE'!$A$8:$E$18,4,FALSE)))</x:f>
        <x:v>52</x:v>
      </x:c>
      <x:c r="U93" s="63" t="n">
        <x:f>MAX(30,MIN(AC93-VLOOKUP(AE93,'AHL_PA_SC_BALANCE'!$A$8:$E$18,3,FALSE),VLOOKUP(AE93,'AHL_PA_SC_BALANCE'!$A$8:$E$18,5,FALSE)))</x:f>
        <x:v>43</x:v>
      </x:c>
      <x:c r="V93">
        <x:v>67</x:v>
      </x:c>
      <x:c r="W93">
        <x:v>54</x:v>
      </x:c>
      <x:c r="X93">
        <x:v>67</x:v>
      </x:c>
      <x:c r="Y93">
        <x:v>67</x:v>
      </x:c>
      <x:c r="Z93">
        <x:v>51</x:v>
      </x:c>
      <x:c r="AA93">
        <x:v>54</x:v>
      </x:c>
      <x:c r="AB93" s="57" t="n">
        <x:v>52</x:v>
      </x:c>
      <x:c r="AC93" s="57" t="n">
        <x:v>43</x:v>
      </x:c>
      <x:c r="AD93" s="59"/>
      <x:c r="AE93" s="61" t="str">
        <x:f>IF(N(F93)&gt;=10,"NHL_LATEST_10",IF(AND(N(F93)&gt;0,N(G93)&gt;0),"NHL_BOTH_SEASONS",IF(N(G93)&gt;=10,"NHL_PREVIOUS_10",IF(AND(ISNUMBER(AD93),AD93=0,SUM(F93:G93)=0),"FARM_CAREER_0",IF(COUNT(F93:G93)&lt;2,"UNKNOWN_GP",IF(AND(F93=0,G93=0),IF(AD93&gt;=10,"FARM_LEGACY_10",IF(AND(ISNUMBER(AD93),AD93&gt;0),"FARM_CAREER_1_9","FARM_0_0")),IF(F93&gt;=1,IF(F93&lt;=3,"FARM_RECENT_1_3","FARM_RECENT_4_9"),"FARM_PREV_1_9_ONLY")))))))</x:f>
        <x:v>UNKNOWN_GP</x:v>
      </x:c>
      <x:c r="AF93" s="57" t="n">
        <x:f>AB93-T93</x:f>
        <x:v>0</x:v>
      </x:c>
      <x:c r="AG93" s="57" t="n">
        <x:f>AC93-U93</x:f>
        <x:v>0</x:v>
      </x:c>
    </x:row>
    <x:row r="94">
      <x:c r="A94" t="s">
        <x:v>1075</x:v>
      </x:c>
      <x:c r="C94" t="s">
        <x:v>339</x:v>
      </x:c>
      <x:c r="D94">
        <x:v>8475461</x:v>
      </x:c>
      <x:c r="E94" t="s">
        <x:v>267</x:v>
      </x:c>
      <x:c r="J94" t="s">
        <x:v>2474</x:v>
      </x:c>
      <x:c r="K94">
        <x:v>75</x:v>
      </x:c>
      <x:c r="L94">
        <x:v>38</x:v>
      </x:c>
      <x:c r="M94">
        <x:v>84</x:v>
      </x:c>
      <x:c r="N94">
        <x:v>46</x:v>
      </x:c>
      <x:c r="O94">
        <x:v>76</x:v>
      </x:c>
      <x:c r="P94">
        <x:v>84</x:v>
      </x:c>
      <x:c r="Q94">
        <x:v>86</x:v>
      </x:c>
      <x:c r="R94">
        <x:v>47</x:v>
      </x:c>
      <x:c r="S94">
        <x:v>71</x:v>
      </x:c>
      <x:c r="T94" s="63" t="n">
        <x:f>MAX(30,MIN(AB94-VLOOKUP(AE94,'AHL_PA_SC_BALANCE'!$A$8:$E$18,2,FALSE),VLOOKUP(AE94,'AHL_PA_SC_BALANCE'!$A$8:$E$18,4,FALSE)))</x:f>
        <x:v>46</x:v>
      </x:c>
      <x:c r="U94" s="63" t="n">
        <x:f>MAX(30,MIN(AC94-VLOOKUP(AE94,'AHL_PA_SC_BALANCE'!$A$8:$E$18,3,FALSE),VLOOKUP(AE94,'AHL_PA_SC_BALANCE'!$A$8:$E$18,5,FALSE)))</x:f>
        <x:v>46</x:v>
      </x:c>
      <x:c r="V94">
        <x:v>61</x:v>
      </x:c>
      <x:c r="W94">
        <x:v>68</x:v>
      </x:c>
      <x:c r="X94">
        <x:v>82</x:v>
      </x:c>
      <x:c r="Y94">
        <x:v>78</x:v>
      </x:c>
      <x:c r="Z94">
        <x:v>51</x:v>
      </x:c>
      <x:c r="AA94">
        <x:v>54</x:v>
      </x:c>
      <x:c r="AB94" s="57" t="n">
        <x:v>46</x:v>
      </x:c>
      <x:c r="AC94" s="57" t="n">
        <x:v>46</x:v>
      </x:c>
      <x:c r="AD94" s="59"/>
      <x:c r="AE94" s="61" t="str">
        <x:f>IF(N(F94)&gt;=10,"NHL_LATEST_10",IF(AND(N(F94)&gt;0,N(G94)&gt;0),"NHL_BOTH_SEASONS",IF(N(G94)&gt;=10,"NHL_PREVIOUS_10",IF(AND(ISNUMBER(AD94),AD94=0,SUM(F94:G94)=0),"FARM_CAREER_0",IF(COUNT(F94:G94)&lt;2,"UNKNOWN_GP",IF(AND(F94=0,G94=0),IF(AD94&gt;=10,"FARM_LEGACY_10",IF(AND(ISNUMBER(AD94),AD94&gt;0),"FARM_CAREER_1_9","FARM_0_0")),IF(F94&gt;=1,IF(F94&lt;=3,"FARM_RECENT_1_3","FARM_RECENT_4_9"),"FARM_PREV_1_9_ONLY")))))))</x:f>
        <x:v>UNKNOWN_GP</x:v>
      </x:c>
      <x:c r="AF94" s="57" t="n">
        <x:f>AB94-T94</x:f>
        <x:v>0</x:v>
      </x:c>
      <x:c r="AG94" s="57" t="n">
        <x:f>AC94-U94</x:f>
        <x:v>0</x:v>
      </x:c>
    </x:row>
    <x:row r="95">
      <x:c r="A95" t="s">
        <x:v>1076</x:v>
      </x:c>
      <x:c r="C95" t="s">
        <x:v>331</x:v>
      </x:c>
      <x:c r="D95">
        <x:v>8482192</x:v>
      </x:c>
      <x:c r="E95" t="s">
        <x:v>267</x:v>
      </x:c>
      <x:c r="J95" t="s">
        <x:v>2474</x:v>
      </x:c>
      <x:c r="K95">
        <x:v>76</x:v>
      </x:c>
      <x:c r="L95">
        <x:v>41</x:v>
      </x:c>
      <x:c r="M95">
        <x:v>82</x:v>
      </x:c>
      <x:c r="N95">
        <x:v>34</x:v>
      </x:c>
      <x:c r="O95">
        <x:v>84</x:v>
      </x:c>
      <x:c r="P95">
        <x:v>91</x:v>
      </x:c>
      <x:c r="Q95">
        <x:v>95</x:v>
      </x:c>
      <x:c r="R95">
        <x:v>33</x:v>
      </x:c>
      <x:c r="S95">
        <x:v>30</x:v>
      </x:c>
      <x:c r="T95" s="63" t="n">
        <x:f>MAX(30,MIN(AB95-VLOOKUP(AE95,'AHL_PA_SC_BALANCE'!$A$8:$E$18,2,FALSE),VLOOKUP(AE95,'AHL_PA_SC_BALANCE'!$A$8:$E$18,4,FALSE)))</x:f>
        <x:v>49</x:v>
      </x:c>
      <x:c r="U95" s="63" t="n">
        <x:f>MAX(30,MIN(AC95-VLOOKUP(AE95,'AHL_PA_SC_BALANCE'!$A$8:$E$18,3,FALSE),VLOOKUP(AE95,'AHL_PA_SC_BALANCE'!$A$8:$E$18,5,FALSE)))</x:f>
        <x:v>45</x:v>
      </x:c>
      <x:c r="V95">
        <x:v>73</x:v>
      </x:c>
      <x:c r="W95">
        <x:v>48</x:v>
      </x:c>
      <x:c r="X95">
        <x:v>68</x:v>
      </x:c>
      <x:c r="Y95">
        <x:v>68</x:v>
      </x:c>
      <x:c r="Z95">
        <x:v>51</x:v>
      </x:c>
      <x:c r="AA95">
        <x:v>54</x:v>
      </x:c>
      <x:c r="AB95" s="57" t="n">
        <x:v>49</x:v>
      </x:c>
      <x:c r="AC95" s="57" t="n">
        <x:v>45</x:v>
      </x:c>
      <x:c r="AD95" s="59"/>
      <x:c r="AE95" s="61" t="str">
        <x:f>IF(N(F95)&gt;=10,"NHL_LATEST_10",IF(AND(N(F95)&gt;0,N(G95)&gt;0),"NHL_BOTH_SEASONS",IF(N(G95)&gt;=10,"NHL_PREVIOUS_10",IF(AND(ISNUMBER(AD95),AD95=0,SUM(F95:G95)=0),"FARM_CAREER_0",IF(COUNT(F95:G95)&lt;2,"UNKNOWN_GP",IF(AND(F95=0,G95=0),IF(AD95&gt;=10,"FARM_LEGACY_10",IF(AND(ISNUMBER(AD95),AD95&gt;0),"FARM_CAREER_1_9","FARM_0_0")),IF(F95&gt;=1,IF(F95&lt;=3,"FARM_RECENT_1_3","FARM_RECENT_4_9"),"FARM_PREV_1_9_ONLY")))))))</x:f>
        <x:v>UNKNOWN_GP</x:v>
      </x:c>
      <x:c r="AF95" s="57" t="n">
        <x:f>AB95-T95</x:f>
        <x:v>0</x:v>
      </x:c>
      <x:c r="AG95" s="57" t="n">
        <x:f>AC95-U95</x:f>
        <x:v>0</x:v>
      </x:c>
    </x:row>
    <x:row r="96">
      <x:c r="A96" t="s">
        <x:v>1077</x:v>
      </x:c>
      <x:c r="C96" t="s">
        <x:v>331</x:v>
      </x:c>
      <x:c r="D96">
        <x:v>8482072</x:v>
      </x:c>
      <x:c r="E96" t="s">
        <x:v>267</x:v>
      </x:c>
      <x:c r="J96" t="s">
        <x:v>2474</x:v>
      </x:c>
      <x:c r="K96">
        <x:v>67</x:v>
      </x:c>
      <x:c r="L96">
        <x:v>32</x:v>
      </x:c>
      <x:c r="M96">
        <x:v>91</x:v>
      </x:c>
      <x:c r="N96">
        <x:v>37</x:v>
      </x:c>
      <x:c r="O96">
        <x:v>74</x:v>
      </x:c>
      <x:c r="P96">
        <x:v>83</x:v>
      </x:c>
      <x:c r="Q96">
        <x:v>92</x:v>
      </x:c>
      <x:c r="R96">
        <x:v>36</x:v>
      </x:c>
      <x:c r="S96">
        <x:v>30</x:v>
      </x:c>
      <x:c r="T96" s="63" t="n">
        <x:f>MAX(30,MIN(AB96-VLOOKUP(AE96,'AHL_PA_SC_BALANCE'!$A$8:$E$18,2,FALSE),VLOOKUP(AE96,'AHL_PA_SC_BALANCE'!$A$8:$E$18,4,FALSE)))</x:f>
        <x:v>50</x:v>
      </x:c>
      <x:c r="U96" s="63" t="n">
        <x:f>MAX(30,MIN(AC96-VLOOKUP(AE96,'AHL_PA_SC_BALANCE'!$A$8:$E$18,3,FALSE),VLOOKUP(AE96,'AHL_PA_SC_BALANCE'!$A$8:$E$18,5,FALSE)))</x:f>
        <x:v>45</x:v>
      </x:c>
      <x:c r="V96">
        <x:v>71</x:v>
      </x:c>
      <x:c r="W96">
        <x:v>55</x:v>
      </x:c>
      <x:c r="X96">
        <x:v>71</x:v>
      </x:c>
      <x:c r="Y96">
        <x:v>70</x:v>
      </x:c>
      <x:c r="Z96">
        <x:v>51</x:v>
      </x:c>
      <x:c r="AA96">
        <x:v>54</x:v>
      </x:c>
      <x:c r="AB96" s="57" t="n">
        <x:v>50</x:v>
      </x:c>
      <x:c r="AC96" s="57" t="n">
        <x:v>45</x:v>
      </x:c>
      <x:c r="AD96" s="59"/>
      <x:c r="AE96" s="61" t="str">
        <x:f>IF(N(F96)&gt;=10,"NHL_LATEST_10",IF(AND(N(F96)&gt;0,N(G96)&gt;0),"NHL_BOTH_SEASONS",IF(N(G96)&gt;=10,"NHL_PREVIOUS_10",IF(AND(ISNUMBER(AD96),AD96=0,SUM(F96:G96)=0),"FARM_CAREER_0",IF(COUNT(F96:G96)&lt;2,"UNKNOWN_GP",IF(AND(F96=0,G96=0),IF(AD96&gt;=10,"FARM_LEGACY_10",IF(AND(ISNUMBER(AD96),AD96&gt;0),"FARM_CAREER_1_9","FARM_0_0")),IF(F96&gt;=1,IF(F96&lt;=3,"FARM_RECENT_1_3","FARM_RECENT_4_9"),"FARM_PREV_1_9_ONLY")))))))</x:f>
        <x:v>UNKNOWN_GP</x:v>
      </x:c>
      <x:c r="AF96" s="57" t="n">
        <x:f>AB96-T96</x:f>
        <x:v>0</x:v>
      </x:c>
      <x:c r="AG96" s="57" t="n">
        <x:f>AC96-U96</x:f>
        <x:v>0</x:v>
      </x:c>
    </x:row>
    <x:row r="97">
      <x:c r="A97" t="s">
        <x:v>1079</x:v>
      </x:c>
      <x:c r="C97" t="s">
        <x:v>323</x:v>
      </x:c>
      <x:c r="D97">
        <x:v>8478400</x:v>
      </x:c>
      <x:c r="E97" t="s">
        <x:v>267</x:v>
      </x:c>
      <x:c r="J97" t="s">
        <x:v>2474</x:v>
      </x:c>
      <x:c r="K97">
        <x:v>66</x:v>
      </x:c>
      <x:c r="L97">
        <x:v>33</x:v>
      </x:c>
      <x:c r="M97">
        <x:v>84</x:v>
      </x:c>
      <x:c r="N97">
        <x:v>48</x:v>
      </x:c>
      <x:c r="O97">
        <x:v>78</x:v>
      </x:c>
      <x:c r="P97">
        <x:v>80</x:v>
      </x:c>
      <x:c r="Q97">
        <x:v>83</x:v>
      </x:c>
      <x:c r="R97">
        <x:v>47</x:v>
      </x:c>
      <x:c r="S97">
        <x:v>80</x:v>
      </x:c>
      <x:c r="T97" s="63" t="n">
        <x:f>MAX(30,MIN(AB97-VLOOKUP(AE97,'AHL_PA_SC_BALANCE'!$A$8:$E$18,2,FALSE),VLOOKUP(AE97,'AHL_PA_SC_BALANCE'!$A$8:$E$18,4,FALSE)))</x:f>
        <x:v>51</x:v>
      </x:c>
      <x:c r="U97" s="63" t="n">
        <x:f>MAX(30,MIN(AC97-VLOOKUP(AE97,'AHL_PA_SC_BALANCE'!$A$8:$E$18,3,FALSE),VLOOKUP(AE97,'AHL_PA_SC_BALANCE'!$A$8:$E$18,5,FALSE)))</x:f>
        <x:v>51</x:v>
      </x:c>
      <x:c r="V97">
        <x:v>64</x:v>
      </x:c>
      <x:c r="W97">
        <x:v>72</x:v>
      </x:c>
      <x:c r="X97">
        <x:v>71</x:v>
      </x:c>
      <x:c r="Y97">
        <x:v>71</x:v>
      </x:c>
      <x:c r="Z97">
        <x:v>51</x:v>
      </x:c>
      <x:c r="AA97">
        <x:v>54</x:v>
      </x:c>
      <x:c r="AB97" s="57" t="n">
        <x:v>51</x:v>
      </x:c>
      <x:c r="AC97" s="57" t="n">
        <x:v>51</x:v>
      </x:c>
      <x:c r="AD97" s="59"/>
      <x:c r="AE97" s="61" t="str">
        <x:f>IF(N(F97)&gt;=10,"NHL_LATEST_10",IF(AND(N(F97)&gt;0,N(G97)&gt;0),"NHL_BOTH_SEASONS",IF(N(G97)&gt;=10,"NHL_PREVIOUS_10",IF(AND(ISNUMBER(AD97),AD97=0,SUM(F97:G97)=0),"FARM_CAREER_0",IF(COUNT(F97:G97)&lt;2,"UNKNOWN_GP",IF(AND(F97=0,G97=0),IF(AD97&gt;=10,"FARM_LEGACY_10",IF(AND(ISNUMBER(AD97),AD97&gt;0),"FARM_CAREER_1_9","FARM_0_0")),IF(F97&gt;=1,IF(F97&lt;=3,"FARM_RECENT_1_3","FARM_RECENT_4_9"),"FARM_PREV_1_9_ONLY")))))))</x:f>
        <x:v>UNKNOWN_GP</x:v>
      </x:c>
      <x:c r="AF97" s="57" t="n">
        <x:f>AB97-T97</x:f>
        <x:v>0</x:v>
      </x:c>
      <x:c r="AG97" s="57" t="n">
        <x:f>AC97-U97</x:f>
        <x:v>0</x:v>
      </x:c>
    </x:row>
    <x:row r="98">
      <x:c r="A98" t="s">
        <x:v>1080</x:v>
      </x:c>
      <x:c r="C98" t="s">
        <x:v>331</x:v>
      </x:c>
      <x:c r="D98">
        <x:v>8481562</x:v>
      </x:c>
      <x:c r="E98" t="s">
        <x:v>267</x:v>
      </x:c>
      <x:c r="J98" t="s">
        <x:v>2474</x:v>
      </x:c>
      <x:c r="K98">
        <x:v>69</x:v>
      </x:c>
      <x:c r="L98">
        <x:v>33</x:v>
      </x:c>
      <x:c r="M98">
        <x:v>83</x:v>
      </x:c>
      <x:c r="N98">
        <x:v>36</x:v>
      </x:c>
      <x:c r="O98">
        <x:v>74</x:v>
      </x:c>
      <x:c r="P98">
        <x:v>86</x:v>
      </x:c>
      <x:c r="Q98">
        <x:v>88</x:v>
      </x:c>
      <x:c r="R98">
        <x:v>37</x:v>
      </x:c>
      <x:c r="S98">
        <x:v>30</x:v>
      </x:c>
      <x:c r="T98" s="63" t="n">
        <x:f>MAX(30,MIN(AB98-VLOOKUP(AE98,'AHL_PA_SC_BALANCE'!$A$8:$E$18,2,FALSE),VLOOKUP(AE98,'AHL_PA_SC_BALANCE'!$A$8:$E$18,4,FALSE)))</x:f>
        <x:v>48</x:v>
      </x:c>
      <x:c r="U98" s="63" t="n">
        <x:f>MAX(30,MIN(AC98-VLOOKUP(AE98,'AHL_PA_SC_BALANCE'!$A$8:$E$18,3,FALSE),VLOOKUP(AE98,'AHL_PA_SC_BALANCE'!$A$8:$E$18,5,FALSE)))</x:f>
        <x:v>43</x:v>
      </x:c>
      <x:c r="V98">
        <x:v>70</x:v>
      </x:c>
      <x:c r="W98">
        <x:v>51</x:v>
      </x:c>
      <x:c r="X98">
        <x:v>68</x:v>
      </x:c>
      <x:c r="Y98">
        <x:v>68</x:v>
      </x:c>
      <x:c r="Z98">
        <x:v>51</x:v>
      </x:c>
      <x:c r="AA98">
        <x:v>54</x:v>
      </x:c>
      <x:c r="AB98" s="57" t="n">
        <x:v>48</x:v>
      </x:c>
      <x:c r="AC98" s="57" t="n">
        <x:v>43</x:v>
      </x:c>
      <x:c r="AD98" s="59"/>
      <x:c r="AE98" s="61" t="str">
        <x:f>IF(N(F98)&gt;=10,"NHL_LATEST_10",IF(AND(N(F98)&gt;0,N(G98)&gt;0),"NHL_BOTH_SEASONS",IF(N(G98)&gt;=10,"NHL_PREVIOUS_10",IF(AND(ISNUMBER(AD98),AD98=0,SUM(F98:G98)=0),"FARM_CAREER_0",IF(COUNT(F98:G98)&lt;2,"UNKNOWN_GP",IF(AND(F98=0,G98=0),IF(AD98&gt;=10,"FARM_LEGACY_10",IF(AND(ISNUMBER(AD98),AD98&gt;0),"FARM_CAREER_1_9","FARM_0_0")),IF(F98&gt;=1,IF(F98&lt;=3,"FARM_RECENT_1_3","FARM_RECENT_4_9"),"FARM_PREV_1_9_ONLY")))))))</x:f>
        <x:v>UNKNOWN_GP</x:v>
      </x:c>
      <x:c r="AF98" s="57" t="n">
        <x:f>AB98-T98</x:f>
        <x:v>0</x:v>
      </x:c>
      <x:c r="AG98" s="57" t="n">
        <x:f>AC98-U98</x:f>
        <x:v>0</x:v>
      </x:c>
    </x:row>
    <x:row r="99">
      <x:c r="A99" t="s">
        <x:v>1082</x:v>
      </x:c>
      <x:c r="B99" t="s">
        <x:v>345</x:v>
      </x:c>
      <x:c r="C99" t="s">
        <x:v>331</x:v>
      </x:c>
      <x:c r="D99">
        <x:v>8482641</x:v>
      </x:c>
      <x:c r="E99" t="s">
        <x:v>267</x:v>
      </x:c>
      <x:c r="F99">
        <x:v>6</x:v>
      </x:c>
      <x:c r="G99">
        <x:v>2</x:v>
      </x:c>
      <x:c r="J99" t="s">
        <x:v>2478</x:v>
      </x:c>
      <x:c r="K99">
        <x:v>67</x:v>
      </x:c>
      <x:c r="L99">
        <x:v>35</x:v>
      </x:c>
      <x:c r="M99">
        <x:v>81</x:v>
      </x:c>
      <x:c r="N99">
        <x:v>33</x:v>
      </x:c>
      <x:c r="O99">
        <x:v>77</x:v>
      </x:c>
      <x:c r="P99">
        <x:v>84</x:v>
      </x:c>
      <x:c r="Q99">
        <x:v>86</x:v>
      </x:c>
      <x:c r="R99">
        <x:v>32</x:v>
      </x:c>
      <x:c r="S99">
        <x:v>30</x:v>
      </x:c>
      <x:c r="T99" s="63" t="n">
        <x:f>MAX(30,MIN(AB99-VLOOKUP(AE99,'AHL_PA_SC_BALANCE'!$A$8:$E$18,2,FALSE),VLOOKUP(AE99,'AHL_PA_SC_BALANCE'!$A$8:$E$18,4,FALSE)))</x:f>
        <x:v>43</x:v>
      </x:c>
      <x:c r="U99" s="63" t="n">
        <x:f>MAX(30,MIN(AC99-VLOOKUP(AE99,'AHL_PA_SC_BALANCE'!$A$8:$E$18,3,FALSE),VLOOKUP(AE99,'AHL_PA_SC_BALANCE'!$A$8:$E$18,5,FALSE)))</x:f>
        <x:v>41</x:v>
      </x:c>
      <x:c r="V99">
        <x:v>70</x:v>
      </x:c>
      <x:c r="W99">
        <x:v>47</x:v>
      </x:c>
      <x:c r="X99">
        <x:v>70</x:v>
      </x:c>
      <x:c r="Y99">
        <x:v>71</x:v>
      </x:c>
      <x:c r="Z99">
        <x:v>51</x:v>
      </x:c>
      <x:c r="AA99">
        <x:v>54</x:v>
      </x:c>
      <x:c r="AB99" s="57" t="n">
        <x:v>43</x:v>
      </x:c>
      <x:c r="AC99" s="57" t="n">
        <x:v>41</x:v>
      </x:c>
      <x:c r="AD99" s="59"/>
      <x:c r="AE99" s="61" t="str">
        <x:f>IF(N(F99)&gt;=10,"NHL_LATEST_10",IF(AND(N(F99)&gt;0,N(G99)&gt;0),"NHL_BOTH_SEASONS",IF(N(G99)&gt;=10,"NHL_PREVIOUS_10",IF(AND(ISNUMBER(AD99),AD99=0,SUM(F99:G99)=0),"FARM_CAREER_0",IF(COUNT(F99:G99)&lt;2,"UNKNOWN_GP",IF(AND(F99=0,G99=0),IF(AD99&gt;=10,"FARM_LEGACY_10",IF(AND(ISNUMBER(AD99),AD99&gt;0),"FARM_CAREER_1_9","FARM_0_0")),IF(F99&gt;=1,IF(F99&lt;=3,"FARM_RECENT_1_3","FARM_RECENT_4_9"),"FARM_PREV_1_9_ONLY")))))))</x:f>
        <x:v>NHL_BOTH_SEASONS</x:v>
      </x:c>
      <x:c r="AF99" s="57" t="n">
        <x:f>AB99-T99</x:f>
        <x:v>0</x:v>
      </x:c>
      <x:c r="AG99" s="57" t="n">
        <x:f>AC99-U99</x:f>
        <x:v>0</x:v>
      </x:c>
    </x:row>
    <x:row r="100">
      <x:c r="A100" t="s">
        <x:v>1083</x:v>
      </x:c>
      <x:c r="C100" t="s">
        <x:v>331</x:v>
      </x:c>
      <x:c r="D100">
        <x:v>8478062</x:v>
      </x:c>
      <x:c r="E100" t="s">
        <x:v>267</x:v>
      </x:c>
      <x:c r="J100" t="s">
        <x:v>2474</x:v>
      </x:c>
      <x:c r="K100">
        <x:v>76</x:v>
      </x:c>
      <x:c r="L100">
        <x:v>62</x:v>
      </x:c>
      <x:c r="M100">
        <x:v>78</x:v>
      </x:c>
      <x:c r="N100">
        <x:v>35</x:v>
      </x:c>
      <x:c r="O100">
        <x:v>79</x:v>
      </x:c>
      <x:c r="P100">
        <x:v>85</x:v>
      </x:c>
      <x:c r="Q100">
        <x:v>88</x:v>
      </x:c>
      <x:c r="R100">
        <x:v>34</x:v>
      </x:c>
      <x:c r="S100">
        <x:v>30</x:v>
      </x:c>
      <x:c r="T100" s="63" t="n">
        <x:f>MAX(30,MIN(AB100-VLOOKUP(AE100,'AHL_PA_SC_BALANCE'!$A$8:$E$18,2,FALSE),VLOOKUP(AE100,'AHL_PA_SC_BALANCE'!$A$8:$E$18,4,FALSE)))</x:f>
        <x:v>48</x:v>
      </x:c>
      <x:c r="U100" s="63" t="n">
        <x:f>MAX(30,MIN(AC100-VLOOKUP(AE100,'AHL_PA_SC_BALANCE'!$A$8:$E$18,3,FALSE),VLOOKUP(AE100,'AHL_PA_SC_BALANCE'!$A$8:$E$18,5,FALSE)))</x:f>
        <x:v>40</x:v>
      </x:c>
      <x:c r="V100">
        <x:v>71</x:v>
      </x:c>
      <x:c r="W100">
        <x:v>49</x:v>
      </x:c>
      <x:c r="X100">
        <x:v>72</x:v>
      </x:c>
      <x:c r="Y100">
        <x:v>72</x:v>
      </x:c>
      <x:c r="Z100">
        <x:v>51</x:v>
      </x:c>
      <x:c r="AA100">
        <x:v>54</x:v>
      </x:c>
      <x:c r="AB100" s="57" t="n">
        <x:v>48</x:v>
      </x:c>
      <x:c r="AC100" s="57" t="n">
        <x:v>40</x:v>
      </x:c>
      <x:c r="AD100" s="59"/>
      <x:c r="AE100" s="61" t="str">
        <x:f>IF(N(F100)&gt;=10,"NHL_LATEST_10",IF(AND(N(F100)&gt;0,N(G100)&gt;0),"NHL_BOTH_SEASONS",IF(N(G100)&gt;=10,"NHL_PREVIOUS_10",IF(AND(ISNUMBER(AD100),AD100=0,SUM(F100:G100)=0),"FARM_CAREER_0",IF(COUNT(F100:G100)&lt;2,"UNKNOWN_GP",IF(AND(F100=0,G100=0),IF(AD100&gt;=10,"FARM_LEGACY_10",IF(AND(ISNUMBER(AD100),AD100&gt;0),"FARM_CAREER_1_9","FARM_0_0")),IF(F100&gt;=1,IF(F100&lt;=3,"FARM_RECENT_1_3","FARM_RECENT_4_9"),"FARM_PREV_1_9_ONLY")))))))</x:f>
        <x:v>UNKNOWN_GP</x:v>
      </x:c>
      <x:c r="AF100" s="57" t="n">
        <x:f>AB100-T100</x:f>
        <x:v>0</x:v>
      </x:c>
      <x:c r="AG100" s="57" t="n">
        <x:f>AC100-U100</x:f>
        <x:v>0</x:v>
      </x:c>
    </x:row>
    <x:row r="101">
      <x:c r="A101" t="s">
        <x:v>1084</x:v>
      </x:c>
      <x:c r="C101" t="s">
        <x:v>331</x:v>
      </x:c>
      <x:c r="D101">
        <x:v>8482911</x:v>
      </x:c>
      <x:c r="E101" t="s">
        <x:v>267</x:v>
      </x:c>
      <x:c r="J101" t="s">
        <x:v>2474</x:v>
      </x:c>
      <x:c r="K101">
        <x:v>63</x:v>
      </x:c>
      <x:c r="L101">
        <x:v>32</x:v>
      </x:c>
      <x:c r="M101">
        <x:v>92</x:v>
      </x:c>
      <x:c r="N101">
        <x:v>37</x:v>
      </x:c>
      <x:c r="O101">
        <x:v>76</x:v>
      </x:c>
      <x:c r="P101">
        <x:v>83</x:v>
      </x:c>
      <x:c r="Q101">
        <x:v>91</x:v>
      </x:c>
      <x:c r="R101">
        <x:v>36</x:v>
      </x:c>
      <x:c r="S101">
        <x:v>30</x:v>
      </x:c>
      <x:c r="T101" s="63" t="n">
        <x:f>MAX(30,MIN(AB101-VLOOKUP(AE101,'AHL_PA_SC_BALANCE'!$A$8:$E$18,2,FALSE),VLOOKUP(AE101,'AHL_PA_SC_BALANCE'!$A$8:$E$18,4,FALSE)))</x:f>
        <x:v>51</x:v>
      </x:c>
      <x:c r="U101" s="63" t="n">
        <x:f>MAX(30,MIN(AC101-VLOOKUP(AE101,'AHL_PA_SC_BALANCE'!$A$8:$E$18,3,FALSE),VLOOKUP(AE101,'AHL_PA_SC_BALANCE'!$A$8:$E$18,5,FALSE)))</x:f>
        <x:v>46</x:v>
      </x:c>
      <x:c r="V101">
        <x:v>72</x:v>
      </x:c>
      <x:c r="W101">
        <x:v>51</x:v>
      </x:c>
      <x:c r="X101">
        <x:v>69</x:v>
      </x:c>
      <x:c r="Y101">
        <x:v>70</x:v>
      </x:c>
      <x:c r="Z101">
        <x:v>51</x:v>
      </x:c>
      <x:c r="AA101">
        <x:v>54</x:v>
      </x:c>
      <x:c r="AB101" s="57" t="n">
        <x:v>51</x:v>
      </x:c>
      <x:c r="AC101" s="57" t="n">
        <x:v>46</x:v>
      </x:c>
      <x:c r="AD101" s="59"/>
      <x:c r="AE101" s="61" t="str">
        <x:f>IF(N(F101)&gt;=10,"NHL_LATEST_10",IF(AND(N(F101)&gt;0,N(G101)&gt;0),"NHL_BOTH_SEASONS",IF(N(G101)&gt;=10,"NHL_PREVIOUS_10",IF(AND(ISNUMBER(AD101),AD101=0,SUM(F101:G101)=0),"FARM_CAREER_0",IF(COUNT(F101:G101)&lt;2,"UNKNOWN_GP",IF(AND(F101=0,G101=0),IF(AD101&gt;=10,"FARM_LEGACY_10",IF(AND(ISNUMBER(AD101),AD101&gt;0),"FARM_CAREER_1_9","FARM_0_0")),IF(F101&gt;=1,IF(F101&lt;=3,"FARM_RECENT_1_3","FARM_RECENT_4_9"),"FARM_PREV_1_9_ONLY")))))))</x:f>
        <x:v>UNKNOWN_GP</x:v>
      </x:c>
      <x:c r="AF101" s="57" t="n">
        <x:f>AB101-T101</x:f>
        <x:v>0</x:v>
      </x:c>
      <x:c r="AG101" s="57" t="n">
        <x:f>AC101-U101</x:f>
        <x:v>0</x:v>
      </x:c>
    </x:row>
    <x:row r="102">
      <x:c r="A102" t="s">
        <x:v>1085</x:v>
      </x:c>
      <x:c r="C102" t="s">
        <x:v>333</x:v>
      </x:c>
      <x:c r="D102">
        <x:v>8483630</x:v>
      </x:c>
      <x:c r="E102" t="s">
        <x:v>267</x:v>
      </x:c>
      <x:c r="J102" t="s">
        <x:v>2474</x:v>
      </x:c>
      <x:c r="K102">
        <x:v>78</x:v>
      </x:c>
      <x:c r="L102">
        <x:v>41</x:v>
      </x:c>
      <x:c r="M102">
        <x:v>78</x:v>
      </x:c>
      <x:c r="N102">
        <x:v>48</x:v>
      </x:c>
      <x:c r="O102">
        <x:v>85</x:v>
      </x:c>
      <x:c r="P102">
        <x:v>84</x:v>
      </x:c>
      <x:c r="Q102">
        <x:v>80</x:v>
      </x:c>
      <x:c r="R102">
        <x:v>49</x:v>
      </x:c>
      <x:c r="S102">
        <x:v>71</x:v>
      </x:c>
      <x:c r="T102" s="63" t="n">
        <x:f>MAX(30,MIN(AB102-VLOOKUP(AE102,'AHL_PA_SC_BALANCE'!$A$8:$E$18,2,FALSE),VLOOKUP(AE102,'AHL_PA_SC_BALANCE'!$A$8:$E$18,4,FALSE)))</x:f>
        <x:v>48</x:v>
      </x:c>
      <x:c r="U102" s="63" t="n">
        <x:f>MAX(30,MIN(AC102-VLOOKUP(AE102,'AHL_PA_SC_BALANCE'!$A$8:$E$18,3,FALSE),VLOOKUP(AE102,'AHL_PA_SC_BALANCE'!$A$8:$E$18,5,FALSE)))</x:f>
        <x:v>59</x:v>
      </x:c>
      <x:c r="V102">
        <x:v>61</x:v>
      </x:c>
      <x:c r="W102">
        <x:v>55</x:v>
      </x:c>
      <x:c r="X102">
        <x:v>69</x:v>
      </x:c>
      <x:c r="Y102">
        <x:v>68</x:v>
      </x:c>
      <x:c r="Z102">
        <x:v>51</x:v>
      </x:c>
      <x:c r="AA102">
        <x:v>54</x:v>
      </x:c>
      <x:c r="AB102" s="57" t="n">
        <x:v>48</x:v>
      </x:c>
      <x:c r="AC102" s="57" t="n">
        <x:v>59</x:v>
      </x:c>
      <x:c r="AD102" s="59"/>
      <x:c r="AE102" s="61" t="str">
        <x:f>IF(N(F102)&gt;=10,"NHL_LATEST_10",IF(AND(N(F102)&gt;0,N(G102)&gt;0),"NHL_BOTH_SEASONS",IF(N(G102)&gt;=10,"NHL_PREVIOUS_10",IF(AND(ISNUMBER(AD102),AD102=0,SUM(F102:G102)=0),"FARM_CAREER_0",IF(COUNT(F102:G102)&lt;2,"UNKNOWN_GP",IF(AND(F102=0,G102=0),IF(AD102&gt;=10,"FARM_LEGACY_10",IF(AND(ISNUMBER(AD102),AD102&gt;0),"FARM_CAREER_1_9","FARM_0_0")),IF(F102&gt;=1,IF(F102&lt;=3,"FARM_RECENT_1_3","FARM_RECENT_4_9"),"FARM_PREV_1_9_ONLY")))))))</x:f>
        <x:v>UNKNOWN_GP</x:v>
      </x:c>
      <x:c r="AF102" s="57" t="n">
        <x:f>AB102-T102</x:f>
        <x:v>0</x:v>
      </x:c>
      <x:c r="AG102" s="57" t="n">
        <x:f>AC102-U102</x:f>
        <x:v>0</x:v>
      </x:c>
    </x:row>
    <x:row r="103">
      <x:c r="A103" t="s">
        <x:v>1086</x:v>
      </x:c>
      <x:c r="C103" t="s">
        <x:v>319</x:v>
      </x:c>
      <x:c r="D103">
        <x:v>8483432</x:v>
      </x:c>
      <x:c r="E103" t="s">
        <x:v>267</x:v>
      </x:c>
      <x:c r="J103" t="s">
        <x:v>2474</x:v>
      </x:c>
      <x:c r="K103">
        <x:v>59</x:v>
      </x:c>
      <x:c r="L103">
        <x:v>35</x:v>
      </x:c>
      <x:c r="M103">
        <x:v>88</x:v>
      </x:c>
      <x:c r="N103">
        <x:v>49</x:v>
      </x:c>
      <x:c r="O103">
        <x:v>78</x:v>
      </x:c>
      <x:c r="P103">
        <x:v>78</x:v>
      </x:c>
      <x:c r="Q103">
        <x:v>88</x:v>
      </x:c>
      <x:c r="R103">
        <x:v>49</x:v>
      </x:c>
      <x:c r="S103">
        <x:v>78</x:v>
      </x:c>
      <x:c r="T103" s="63" t="n">
        <x:f>MAX(30,MIN(AB103-VLOOKUP(AE103,'AHL_PA_SC_BALANCE'!$A$8:$E$18,2,FALSE),VLOOKUP(AE103,'AHL_PA_SC_BALANCE'!$A$8:$E$18,4,FALSE)))</x:f>
        <x:v>52</x:v>
      </x:c>
      <x:c r="U103" s="63" t="n">
        <x:f>MAX(30,MIN(AC103-VLOOKUP(AE103,'AHL_PA_SC_BALANCE'!$A$8:$E$18,3,FALSE),VLOOKUP(AE103,'AHL_PA_SC_BALANCE'!$A$8:$E$18,5,FALSE)))</x:f>
        <x:v>51</x:v>
      </x:c>
      <x:c r="V103">
        <x:v>62</x:v>
      </x:c>
      <x:c r="W103">
        <x:v>52</x:v>
      </x:c>
      <x:c r="X103">
        <x:v>67</x:v>
      </x:c>
      <x:c r="Y103">
        <x:v>64</x:v>
      </x:c>
      <x:c r="Z103">
        <x:v>51</x:v>
      </x:c>
      <x:c r="AA103">
        <x:v>54</x:v>
      </x:c>
      <x:c r="AB103" s="57" t="n">
        <x:v>52</x:v>
      </x:c>
      <x:c r="AC103" s="57" t="n">
        <x:v>51</x:v>
      </x:c>
      <x:c r="AD103" s="59"/>
      <x:c r="AE103" s="61" t="str">
        <x:f>IF(N(F103)&gt;=10,"NHL_LATEST_10",IF(AND(N(F103)&gt;0,N(G103)&gt;0),"NHL_BOTH_SEASONS",IF(N(G103)&gt;=10,"NHL_PREVIOUS_10",IF(AND(ISNUMBER(AD103),AD103=0,SUM(F103:G103)=0),"FARM_CAREER_0",IF(COUNT(F103:G103)&lt;2,"UNKNOWN_GP",IF(AND(F103=0,G103=0),IF(AD103&gt;=10,"FARM_LEGACY_10",IF(AND(ISNUMBER(AD103),AD103&gt;0),"FARM_CAREER_1_9","FARM_0_0")),IF(F103&gt;=1,IF(F103&lt;=3,"FARM_RECENT_1_3","FARM_RECENT_4_9"),"FARM_PREV_1_9_ONLY")))))))</x:f>
        <x:v>UNKNOWN_GP</x:v>
      </x:c>
      <x:c r="AF103" s="57" t="n">
        <x:f>AB103-T103</x:f>
        <x:v>0</x:v>
      </x:c>
      <x:c r="AG103" s="57" t="n">
        <x:f>AC103-U103</x:f>
        <x:v>0</x:v>
      </x:c>
    </x:row>
    <x:row r="104">
      <x:c r="A104" t="s">
        <x:v>1087</x:v>
      </x:c>
      <x:c r="C104" t="s">
        <x:v>331</x:v>
      </x:c>
      <x:c r="D104">
        <x:v>8478846</x:v>
      </x:c>
      <x:c r="E104" t="s">
        <x:v>267</x:v>
      </x:c>
      <x:c r="J104" t="s">
        <x:v>2474</x:v>
      </x:c>
      <x:c r="K104">
        <x:v>70</x:v>
      </x:c>
      <x:c r="L104">
        <x:v>35</x:v>
      </x:c>
      <x:c r="M104">
        <x:v>88</x:v>
      </x:c>
      <x:c r="N104">
        <x:v>35</x:v>
      </x:c>
      <x:c r="O104">
        <x:v>81</x:v>
      </x:c>
      <x:c r="P104">
        <x:v>83</x:v>
      </x:c>
      <x:c r="Q104">
        <x:v>85</x:v>
      </x:c>
      <x:c r="R104">
        <x:v>35</x:v>
      </x:c>
      <x:c r="S104">
        <x:v>30</x:v>
      </x:c>
      <x:c r="T104" s="63" t="n">
        <x:f>MAX(30,MIN(AB104-VLOOKUP(AE104,'AHL_PA_SC_BALANCE'!$A$8:$E$18,2,FALSE),VLOOKUP(AE104,'AHL_PA_SC_BALANCE'!$A$8:$E$18,4,FALSE)))</x:f>
        <x:v>50</x:v>
      </x:c>
      <x:c r="U104" s="63" t="n">
        <x:f>MAX(30,MIN(AC104-VLOOKUP(AE104,'AHL_PA_SC_BALANCE'!$A$8:$E$18,3,FALSE),VLOOKUP(AE104,'AHL_PA_SC_BALANCE'!$A$8:$E$18,5,FALSE)))</x:f>
        <x:v>42</x:v>
      </x:c>
      <x:c r="V104">
        <x:v>69</x:v>
      </x:c>
      <x:c r="W104">
        <x:v>52</x:v>
      </x:c>
      <x:c r="X104">
        <x:v>74</x:v>
      </x:c>
      <x:c r="Y104">
        <x:v>74</x:v>
      </x:c>
      <x:c r="Z104">
        <x:v>51</x:v>
      </x:c>
      <x:c r="AA104">
        <x:v>54</x:v>
      </x:c>
      <x:c r="AB104" s="57" t="n">
        <x:v>50</x:v>
      </x:c>
      <x:c r="AC104" s="57" t="n">
        <x:v>42</x:v>
      </x:c>
      <x:c r="AD104" s="59"/>
      <x:c r="AE104" s="61" t="str">
        <x:f>IF(N(F104)&gt;=10,"NHL_LATEST_10",IF(AND(N(F104)&gt;0,N(G104)&gt;0),"NHL_BOTH_SEASONS",IF(N(G104)&gt;=10,"NHL_PREVIOUS_10",IF(AND(ISNUMBER(AD104),AD104=0,SUM(F104:G104)=0),"FARM_CAREER_0",IF(COUNT(F104:G104)&lt;2,"UNKNOWN_GP",IF(AND(F104=0,G104=0),IF(AD104&gt;=10,"FARM_LEGACY_10",IF(AND(ISNUMBER(AD104),AD104&gt;0),"FARM_CAREER_1_9","FARM_0_0")),IF(F104&gt;=1,IF(F104&lt;=3,"FARM_RECENT_1_3","FARM_RECENT_4_9"),"FARM_PREV_1_9_ONLY")))))))</x:f>
        <x:v>UNKNOWN_GP</x:v>
      </x:c>
      <x:c r="AF104" s="57" t="n">
        <x:f>AB104-T104</x:f>
        <x:v>0</x:v>
      </x:c>
      <x:c r="AG104" s="57" t="n">
        <x:f>AC104-U104</x:f>
        <x:v>0</x:v>
      </x:c>
    </x:row>
    <x:row r="105">
      <x:c r="A105" t="s">
        <x:v>1088</x:v>
      </x:c>
      <x:c r="C105" t="s">
        <x:v>331</x:v>
      </x:c>
      <x:c r="D105">
        <x:v>8477981</x:v>
      </x:c>
      <x:c r="E105" t="s">
        <x:v>267</x:v>
      </x:c>
      <x:c r="J105" t="s">
        <x:v>2474</x:v>
      </x:c>
      <x:c r="K105">
        <x:v>64</x:v>
      </x:c>
      <x:c r="L105">
        <x:v>38</x:v>
      </x:c>
      <x:c r="M105">
        <x:v>82</x:v>
      </x:c>
      <x:c r="N105">
        <x:v>34</x:v>
      </x:c>
      <x:c r="O105">
        <x:v>81</x:v>
      </x:c>
      <x:c r="P105">
        <x:v>92</x:v>
      </x:c>
      <x:c r="Q105">
        <x:v>95</x:v>
      </x:c>
      <x:c r="R105">
        <x:v>35</x:v>
      </x:c>
      <x:c r="S105">
        <x:v>30</x:v>
      </x:c>
      <x:c r="T105" s="63" t="n">
        <x:f>MAX(30,MIN(AB105-VLOOKUP(AE105,'AHL_PA_SC_BALANCE'!$A$8:$E$18,2,FALSE),VLOOKUP(AE105,'AHL_PA_SC_BALANCE'!$A$8:$E$18,4,FALSE)))</x:f>
        <x:v>44</x:v>
      </x:c>
      <x:c r="U105" s="63" t="n">
        <x:f>MAX(30,MIN(AC105-VLOOKUP(AE105,'AHL_PA_SC_BALANCE'!$A$8:$E$18,3,FALSE),VLOOKUP(AE105,'AHL_PA_SC_BALANCE'!$A$8:$E$18,5,FALSE)))</x:f>
        <x:v>41</x:v>
      </x:c>
      <x:c r="V105">
        <x:v>69</x:v>
      </x:c>
      <x:c r="W105">
        <x:v>47</x:v>
      </x:c>
      <x:c r="X105">
        <x:v>72</x:v>
      </x:c>
      <x:c r="Y105">
        <x:v>71</x:v>
      </x:c>
      <x:c r="Z105">
        <x:v>51</x:v>
      </x:c>
      <x:c r="AA105">
        <x:v>54</x:v>
      </x:c>
      <x:c r="AB105" s="57" t="n">
        <x:v>44</x:v>
      </x:c>
      <x:c r="AC105" s="57" t="n">
        <x:v>41</x:v>
      </x:c>
      <x:c r="AD105" s="59"/>
      <x:c r="AE105" s="61" t="str">
        <x:f>IF(N(F105)&gt;=10,"NHL_LATEST_10",IF(AND(N(F105)&gt;0,N(G105)&gt;0),"NHL_BOTH_SEASONS",IF(N(G105)&gt;=10,"NHL_PREVIOUS_10",IF(AND(ISNUMBER(AD105),AD105=0,SUM(F105:G105)=0),"FARM_CAREER_0",IF(COUNT(F105:G105)&lt;2,"UNKNOWN_GP",IF(AND(F105=0,G105=0),IF(AD105&gt;=10,"FARM_LEGACY_10",IF(AND(ISNUMBER(AD105),AD105&gt;0),"FARM_CAREER_1_9","FARM_0_0")),IF(F105&gt;=1,IF(F105&lt;=3,"FARM_RECENT_1_3","FARM_RECENT_4_9"),"FARM_PREV_1_9_ONLY")))))))</x:f>
        <x:v>UNKNOWN_GP</x:v>
      </x:c>
      <x:c r="AF105" s="57" t="n">
        <x:f>AB105-T105</x:f>
        <x:v>0</x:v>
      </x:c>
      <x:c r="AG105" s="57" t="n">
        <x:f>AC105-U105</x:f>
        <x:v>0</x:v>
      </x:c>
    </x:row>
    <x:row r="106">
      <x:c r="A106" t="s">
        <x:v>1089</x:v>
      </x:c>
      <x:c r="C106" t="s">
        <x:v>331</x:v>
      </x:c>
      <x:c r="D106">
        <x:v>8476953</x:v>
      </x:c>
      <x:c r="E106" t="s">
        <x:v>267</x:v>
      </x:c>
      <x:c r="J106" t="s">
        <x:v>2474</x:v>
      </x:c>
      <x:c r="K106">
        <x:v>67</x:v>
      </x:c>
      <x:c r="L106">
        <x:v>41</x:v>
      </x:c>
      <x:c r="M106">
        <x:v>78</x:v>
      </x:c>
      <x:c r="N106">
        <x:v>35</x:v>
      </x:c>
      <x:c r="O106">
        <x:v>78</x:v>
      </x:c>
      <x:c r="P106">
        <x:v>86</x:v>
      </x:c>
      <x:c r="Q106">
        <x:v>87</x:v>
      </x:c>
      <x:c r="R106">
        <x:v>35</x:v>
      </x:c>
      <x:c r="S106">
        <x:v>30</x:v>
      </x:c>
      <x:c r="T106" s="63" t="n">
        <x:f>MAX(30,MIN(AB106-VLOOKUP(AE106,'AHL_PA_SC_BALANCE'!$A$8:$E$18,2,FALSE),VLOOKUP(AE106,'AHL_PA_SC_BALANCE'!$A$8:$E$18,4,FALSE)))</x:f>
        <x:v>46</x:v>
      </x:c>
      <x:c r="U106" s="63" t="n">
        <x:f>MAX(30,MIN(AC106-VLOOKUP(AE106,'AHL_PA_SC_BALANCE'!$A$8:$E$18,3,FALSE),VLOOKUP(AE106,'AHL_PA_SC_BALANCE'!$A$8:$E$18,5,FALSE)))</x:f>
        <x:v>42</x:v>
      </x:c>
      <x:c r="V106">
        <x:v>71</x:v>
      </x:c>
      <x:c r="W106">
        <x:v>49</x:v>
      </x:c>
      <x:c r="X106">
        <x:v>76</x:v>
      </x:c>
      <x:c r="Y106">
        <x:v>75</x:v>
      </x:c>
      <x:c r="Z106">
        <x:v>51</x:v>
      </x:c>
      <x:c r="AA106">
        <x:v>54</x:v>
      </x:c>
      <x:c r="AB106" s="57" t="n">
        <x:v>46</x:v>
      </x:c>
      <x:c r="AC106" s="57" t="n">
        <x:v>42</x:v>
      </x:c>
      <x:c r="AD106" s="59"/>
      <x:c r="AE106" s="61" t="str">
        <x:f>IF(N(F106)&gt;=10,"NHL_LATEST_10",IF(AND(N(F106)&gt;0,N(G106)&gt;0),"NHL_BOTH_SEASONS",IF(N(G106)&gt;=10,"NHL_PREVIOUS_10",IF(AND(ISNUMBER(AD106),AD106=0,SUM(F106:G106)=0),"FARM_CAREER_0",IF(COUNT(F106:G106)&lt;2,"UNKNOWN_GP",IF(AND(F106=0,G106=0),IF(AD106&gt;=10,"FARM_LEGACY_10",IF(AND(ISNUMBER(AD106),AD106&gt;0),"FARM_CAREER_1_9","FARM_0_0")),IF(F106&gt;=1,IF(F106&lt;=3,"FARM_RECENT_1_3","FARM_RECENT_4_9"),"FARM_PREV_1_9_ONLY")))))))</x:f>
        <x:v>UNKNOWN_GP</x:v>
      </x:c>
      <x:c r="AF106" s="57" t="n">
        <x:f>AB106-T106</x:f>
        <x:v>0</x:v>
      </x:c>
      <x:c r="AG106" s="57" t="n">
        <x:f>AC106-U106</x:f>
        <x:v>0</x:v>
      </x:c>
    </x:row>
    <x:row r="107">
      <x:c r="A107" t="s">
        <x:v>1090</x:v>
      </x:c>
      <x:c r="C107" t="s">
        <x:v>326</x:v>
      </x:c>
      <x:c r="D107">
        <x:v>8475968</x:v>
      </x:c>
      <x:c r="E107" t="s">
        <x:v>267</x:v>
      </x:c>
      <x:c r="J107" t="s">
        <x:v>2474</x:v>
      </x:c>
      <x:c r="K107">
        <x:v>67</x:v>
      </x:c>
      <x:c r="L107">
        <x:v>37</x:v>
      </x:c>
      <x:c r="M107">
        <x:v>75</x:v>
      </x:c>
      <x:c r="N107">
        <x:v>48</x:v>
      </x:c>
      <x:c r="O107">
        <x:v>81</x:v>
      </x:c>
      <x:c r="P107">
        <x:v>89</x:v>
      </x:c>
      <x:c r="Q107">
        <x:v>91</x:v>
      </x:c>
      <x:c r="R107">
        <x:v>48</x:v>
      </x:c>
      <x:c r="S107">
        <x:v>77</x:v>
      </x:c>
      <x:c r="T107" s="63" t="n">
        <x:f>MAX(30,MIN(AB107-VLOOKUP(AE107,'AHL_PA_SC_BALANCE'!$A$8:$E$18,2,FALSE),VLOOKUP(AE107,'AHL_PA_SC_BALANCE'!$A$8:$E$18,4,FALSE)))</x:f>
        <x:v>50</x:v>
      </x:c>
      <x:c r="U107" s="63" t="n">
        <x:f>MAX(30,MIN(AC107-VLOOKUP(AE107,'AHL_PA_SC_BALANCE'!$A$8:$E$18,3,FALSE),VLOOKUP(AE107,'AHL_PA_SC_BALANCE'!$A$8:$E$18,5,FALSE)))</x:f>
        <x:v>47</x:v>
      </x:c>
      <x:c r="V107">
        <x:v>66</x:v>
      </x:c>
      <x:c r="W107">
        <x:v>71</x:v>
      </x:c>
      <x:c r="X107">
        <x:v>82</x:v>
      </x:c>
      <x:c r="Y107">
        <x:v>78</x:v>
      </x:c>
      <x:c r="Z107">
        <x:v>51</x:v>
      </x:c>
      <x:c r="AA107">
        <x:v>54</x:v>
      </x:c>
      <x:c r="AB107" s="57" t="n">
        <x:v>50</x:v>
      </x:c>
      <x:c r="AC107" s="57" t="n">
        <x:v>47</x:v>
      </x:c>
      <x:c r="AD107" s="59"/>
      <x:c r="AE107" s="61" t="str">
        <x:f>IF(N(F107)&gt;=10,"NHL_LATEST_10",IF(AND(N(F107)&gt;0,N(G107)&gt;0),"NHL_BOTH_SEASONS",IF(N(G107)&gt;=10,"NHL_PREVIOUS_10",IF(AND(ISNUMBER(AD107),AD107=0,SUM(F107:G107)=0),"FARM_CAREER_0",IF(COUNT(F107:G107)&lt;2,"UNKNOWN_GP",IF(AND(F107=0,G107=0),IF(AD107&gt;=10,"FARM_LEGACY_10",IF(AND(ISNUMBER(AD107),AD107&gt;0),"FARM_CAREER_1_9","FARM_0_0")),IF(F107&gt;=1,IF(F107&lt;=3,"FARM_RECENT_1_3","FARM_RECENT_4_9"),"FARM_PREV_1_9_ONLY")))))))</x:f>
        <x:v>UNKNOWN_GP</x:v>
      </x:c>
      <x:c r="AF107" s="57" t="n">
        <x:f>AB107-T107</x:f>
        <x:v>0</x:v>
      </x:c>
      <x:c r="AG107" s="57" t="n">
        <x:f>AC107-U107</x:f>
        <x:v>0</x:v>
      </x:c>
    </x:row>
    <x:row r="108">
      <x:c r="A108" t="s">
        <x:v>1091</x:v>
      </x:c>
      <x:c r="C108" t="s">
        <x:v>358</x:v>
      </x:c>
      <x:c r="D108">
        <x:v>8481422</x:v>
      </x:c>
      <x:c r="E108" t="s">
        <x:v>267</x:v>
      </x:c>
      <x:c r="J108" t="s">
        <x:v>2474</x:v>
      </x:c>
      <x:c r="K108">
        <x:v>67</x:v>
      </x:c>
      <x:c r="L108">
        <x:v>36</x:v>
      </x:c>
      <x:c r="M108">
        <x:v>86</x:v>
      </x:c>
      <x:c r="N108">
        <x:v>46</x:v>
      </x:c>
      <x:c r="O108">
        <x:v>76</x:v>
      </x:c>
      <x:c r="P108">
        <x:v>87</x:v>
      </x:c>
      <x:c r="Q108">
        <x:v>90</x:v>
      </x:c>
      <x:c r="R108">
        <x:v>47</x:v>
      </x:c>
      <x:c r="S108">
        <x:v>53</x:v>
      </x:c>
      <x:c r="T108" s="63" t="n">
        <x:f>MAX(30,MIN(AB108-VLOOKUP(AE108,'AHL_PA_SC_BALANCE'!$A$8:$E$18,2,FALSE),VLOOKUP(AE108,'AHL_PA_SC_BALANCE'!$A$8:$E$18,4,FALSE)))</x:f>
        <x:v>51</x:v>
      </x:c>
      <x:c r="U108" s="63" t="n">
        <x:f>MAX(30,MIN(AC108-VLOOKUP(AE108,'AHL_PA_SC_BALANCE'!$A$8:$E$18,3,FALSE),VLOOKUP(AE108,'AHL_PA_SC_BALANCE'!$A$8:$E$18,5,FALSE)))</x:f>
        <x:v>51</x:v>
      </x:c>
      <x:c r="V108">
        <x:v>65</x:v>
      </x:c>
      <x:c r="W108">
        <x:v>69</x:v>
      </x:c>
      <x:c r="X108">
        <x:v>74</x:v>
      </x:c>
      <x:c r="Y108">
        <x:v>74</x:v>
      </x:c>
      <x:c r="Z108">
        <x:v>51</x:v>
      </x:c>
      <x:c r="AA108">
        <x:v>54</x:v>
      </x:c>
      <x:c r="AB108" s="57" t="n">
        <x:v>51</x:v>
      </x:c>
      <x:c r="AC108" s="57" t="n">
        <x:v>51</x:v>
      </x:c>
      <x:c r="AD108" s="59"/>
      <x:c r="AE108" s="61" t="str">
        <x:f>IF(N(F108)&gt;=10,"NHL_LATEST_10",IF(AND(N(F108)&gt;0,N(G108)&gt;0),"NHL_BOTH_SEASONS",IF(N(G108)&gt;=10,"NHL_PREVIOUS_10",IF(AND(ISNUMBER(AD108),AD108=0,SUM(F108:G108)=0),"FARM_CAREER_0",IF(COUNT(F108:G108)&lt;2,"UNKNOWN_GP",IF(AND(F108=0,G108=0),IF(AD108&gt;=10,"FARM_LEGACY_10",IF(AND(ISNUMBER(AD108),AD108&gt;0),"FARM_CAREER_1_9","FARM_0_0")),IF(F108&gt;=1,IF(F108&lt;=3,"FARM_RECENT_1_3","FARM_RECENT_4_9"),"FARM_PREV_1_9_ONLY")))))))</x:f>
        <x:v>UNKNOWN_GP</x:v>
      </x:c>
      <x:c r="AF108" s="57" t="n">
        <x:f>AB108-T108</x:f>
        <x:v>0</x:v>
      </x:c>
      <x:c r="AG108" s="57" t="n">
        <x:f>AC108-U108</x:f>
        <x:v>0</x:v>
      </x:c>
    </x:row>
    <x:row r="109">
      <x:c r="A109" t="s">
        <x:v>1092</x:v>
      </x:c>
      <x:c r="C109" t="s">
        <x:v>358</x:v>
      </x:c>
      <x:c r="D109">
        <x:v>8479533</x:v>
      </x:c>
      <x:c r="E109" t="s">
        <x:v>267</x:v>
      </x:c>
      <x:c r="J109" t="s">
        <x:v>2474</x:v>
      </x:c>
      <x:c r="K109">
        <x:v>68</x:v>
      </x:c>
      <x:c r="L109">
        <x:v>42</x:v>
      </x:c>
      <x:c r="M109">
        <x:v>92</x:v>
      </x:c>
      <x:c r="N109">
        <x:v>47</x:v>
      </x:c>
      <x:c r="O109">
        <x:v>86</x:v>
      </x:c>
      <x:c r="P109">
        <x:v>81</x:v>
      </x:c>
      <x:c r="Q109">
        <x:v>80</x:v>
      </x:c>
      <x:c r="R109">
        <x:v>48</x:v>
      </x:c>
      <x:c r="S109">
        <x:v>76</x:v>
      </x:c>
      <x:c r="T109" s="63" t="n">
        <x:f>MAX(30,MIN(AB109-VLOOKUP(AE109,'AHL_PA_SC_BALANCE'!$A$8:$E$18,2,FALSE),VLOOKUP(AE109,'AHL_PA_SC_BALANCE'!$A$8:$E$18,4,FALSE)))</x:f>
        <x:v>50</x:v>
      </x:c>
      <x:c r="U109" s="63" t="n">
        <x:f>MAX(30,MIN(AC109-VLOOKUP(AE109,'AHL_PA_SC_BALANCE'!$A$8:$E$18,3,FALSE),VLOOKUP(AE109,'AHL_PA_SC_BALANCE'!$A$8:$E$18,5,FALSE)))</x:f>
        <x:v>49</x:v>
      </x:c>
      <x:c r="V109">
        <x:v>64</x:v>
      </x:c>
      <x:c r="W109">
        <x:v>52</x:v>
      </x:c>
      <x:c r="X109">
        <x:v>70</x:v>
      </x:c>
      <x:c r="Y109">
        <x:v>70</x:v>
      </x:c>
      <x:c r="Z109">
        <x:v>51</x:v>
      </x:c>
      <x:c r="AA109">
        <x:v>54</x:v>
      </x:c>
      <x:c r="AB109" s="57" t="n">
        <x:v>50</x:v>
      </x:c>
      <x:c r="AC109" s="57" t="n">
        <x:v>49</x:v>
      </x:c>
      <x:c r="AD109" s="59"/>
      <x:c r="AE109" s="61" t="str">
        <x:f>IF(N(F109)&gt;=10,"NHL_LATEST_10",IF(AND(N(F109)&gt;0,N(G109)&gt;0),"NHL_BOTH_SEASONS",IF(N(G109)&gt;=10,"NHL_PREVIOUS_10",IF(AND(ISNUMBER(AD109),AD109=0,SUM(F109:G109)=0),"FARM_CAREER_0",IF(COUNT(F109:G109)&lt;2,"UNKNOWN_GP",IF(AND(F109=0,G109=0),IF(AD109&gt;=10,"FARM_LEGACY_10",IF(AND(ISNUMBER(AD109),AD109&gt;0),"FARM_CAREER_1_9","FARM_0_0")),IF(F109&gt;=1,IF(F109&lt;=3,"FARM_RECENT_1_3","FARM_RECENT_4_9"),"FARM_PREV_1_9_ONLY")))))))</x:f>
        <x:v>UNKNOWN_GP</x:v>
      </x:c>
      <x:c r="AF109" s="57" t="n">
        <x:f>AB109-T109</x:f>
        <x:v>0</x:v>
      </x:c>
      <x:c r="AG109" s="57" t="n">
        <x:f>AC109-U109</x:f>
        <x:v>0</x:v>
      </x:c>
    </x:row>
    <x:row r="110">
      <x:c r="A110" t="s">
        <x:v>1093</x:v>
      </x:c>
      <x:c r="C110" t="s">
        <x:v>331</x:v>
      </x:c>
      <x:c r="D110">
        <x:v>8482807</x:v>
      </x:c>
      <x:c r="E110" t="s">
        <x:v>267</x:v>
      </x:c>
      <x:c r="J110" t="s">
        <x:v>2474</x:v>
      </x:c>
      <x:c r="K110">
        <x:v>71</x:v>
      </x:c>
      <x:c r="L110">
        <x:v>41</x:v>
      </x:c>
      <x:c r="M110">
        <x:v>78</x:v>
      </x:c>
      <x:c r="N110">
        <x:v>36</x:v>
      </x:c>
      <x:c r="O110">
        <x:v>84</x:v>
      </x:c>
      <x:c r="P110">
        <x:v>82</x:v>
      </x:c>
      <x:c r="Q110">
        <x:v>86</x:v>
      </x:c>
      <x:c r="R110">
        <x:v>36</x:v>
      </x:c>
      <x:c r="S110">
        <x:v>30</x:v>
      </x:c>
      <x:c r="T110" s="63" t="n">
        <x:f>MAX(30,MIN(AB110-VLOOKUP(AE110,'AHL_PA_SC_BALANCE'!$A$8:$E$18,2,FALSE),VLOOKUP(AE110,'AHL_PA_SC_BALANCE'!$A$8:$E$18,4,FALSE)))</x:f>
        <x:v>45</x:v>
      </x:c>
      <x:c r="U110" s="63" t="n">
        <x:f>MAX(30,MIN(AC110-VLOOKUP(AE110,'AHL_PA_SC_BALANCE'!$A$8:$E$18,3,FALSE),VLOOKUP(AE110,'AHL_PA_SC_BALANCE'!$A$8:$E$18,5,FALSE)))</x:f>
        <x:v>45</x:v>
      </x:c>
      <x:c r="V110">
        <x:v>72</x:v>
      </x:c>
      <x:c r="W110">
        <x:v>52</x:v>
      </x:c>
      <x:c r="X110">
        <x:v>67</x:v>
      </x:c>
      <x:c r="Y110">
        <x:v>64</x:v>
      </x:c>
      <x:c r="Z110">
        <x:v>51</x:v>
      </x:c>
      <x:c r="AA110">
        <x:v>54</x:v>
      </x:c>
      <x:c r="AB110" s="57" t="n">
        <x:v>45</x:v>
      </x:c>
      <x:c r="AC110" s="57" t="n">
        <x:v>45</x:v>
      </x:c>
      <x:c r="AD110" s="59"/>
      <x:c r="AE110" s="61" t="str">
        <x:f>IF(N(F110)&gt;=10,"NHL_LATEST_10",IF(AND(N(F110)&gt;0,N(G110)&gt;0),"NHL_BOTH_SEASONS",IF(N(G110)&gt;=10,"NHL_PREVIOUS_10",IF(AND(ISNUMBER(AD110),AD110=0,SUM(F110:G110)=0),"FARM_CAREER_0",IF(COUNT(F110:G110)&lt;2,"UNKNOWN_GP",IF(AND(F110=0,G110=0),IF(AD110&gt;=10,"FARM_LEGACY_10",IF(AND(ISNUMBER(AD110),AD110&gt;0),"FARM_CAREER_1_9","FARM_0_0")),IF(F110&gt;=1,IF(F110&lt;=3,"FARM_RECENT_1_3","FARM_RECENT_4_9"),"FARM_PREV_1_9_ONLY")))))))</x:f>
        <x:v>UNKNOWN_GP</x:v>
      </x:c>
      <x:c r="AF110" s="57" t="n">
        <x:f>AB110-T110</x:f>
        <x:v>0</x:v>
      </x:c>
      <x:c r="AG110" s="57" t="n">
        <x:f>AC110-U110</x:f>
        <x:v>0</x:v>
      </x:c>
    </x:row>
    <x:row r="111">
      <x:c r="A111" t="s">
        <x:v>1094</x:v>
      </x:c>
      <x:c r="C111" t="s">
        <x:v>319</x:v>
      </x:c>
      <x:c r="D111">
        <x:v>8478967</x:v>
      </x:c>
      <x:c r="E111" t="s">
        <x:v>267</x:v>
      </x:c>
      <x:c r="J111" t="s">
        <x:v>2474</x:v>
      </x:c>
      <x:c r="K111">
        <x:v>84</x:v>
      </x:c>
      <x:c r="L111">
        <x:v>35</x:v>
      </x:c>
      <x:c r="M111">
        <x:v>82</x:v>
      </x:c>
      <x:c r="N111">
        <x:v>46</x:v>
      </x:c>
      <x:c r="O111">
        <x:v>79</x:v>
      </x:c>
      <x:c r="P111">
        <x:v>86</x:v>
      </x:c>
      <x:c r="Q111">
        <x:v>90</x:v>
      </x:c>
      <x:c r="R111">
        <x:v>47</x:v>
      </x:c>
      <x:c r="S111">
        <x:v>78</x:v>
      </x:c>
      <x:c r="T111" s="63" t="n">
        <x:f>MAX(30,MIN(AB111-VLOOKUP(AE111,'AHL_PA_SC_BALANCE'!$A$8:$E$18,2,FALSE),VLOOKUP(AE111,'AHL_PA_SC_BALANCE'!$A$8:$E$18,4,FALSE)))</x:f>
        <x:v>47</x:v>
      </x:c>
      <x:c r="U111" s="63" t="n">
        <x:f>MAX(30,MIN(AC111-VLOOKUP(AE111,'AHL_PA_SC_BALANCE'!$A$8:$E$18,3,FALSE),VLOOKUP(AE111,'AHL_PA_SC_BALANCE'!$A$8:$E$18,5,FALSE)))</x:f>
        <x:v>45</x:v>
      </x:c>
      <x:c r="V111">
        <x:v>64</x:v>
      </x:c>
      <x:c r="W111">
        <x:v>67</x:v>
      </x:c>
      <x:c r="X111">
        <x:v>71</x:v>
      </x:c>
      <x:c r="Y111">
        <x:v>71</x:v>
      </x:c>
      <x:c r="Z111">
        <x:v>51</x:v>
      </x:c>
      <x:c r="AA111">
        <x:v>54</x:v>
      </x:c>
      <x:c r="AB111" s="57" t="n">
        <x:v>47</x:v>
      </x:c>
      <x:c r="AC111" s="57" t="n">
        <x:v>45</x:v>
      </x:c>
      <x:c r="AD111" s="59"/>
      <x:c r="AE111" s="61" t="str">
        <x:f>IF(N(F111)&gt;=10,"NHL_LATEST_10",IF(AND(N(F111)&gt;0,N(G111)&gt;0),"NHL_BOTH_SEASONS",IF(N(G111)&gt;=10,"NHL_PREVIOUS_10",IF(AND(ISNUMBER(AD111),AD111=0,SUM(F111:G111)=0),"FARM_CAREER_0",IF(COUNT(F111:G111)&lt;2,"UNKNOWN_GP",IF(AND(F111=0,G111=0),IF(AD111&gt;=10,"FARM_LEGACY_10",IF(AND(ISNUMBER(AD111),AD111&gt;0),"FARM_CAREER_1_9","FARM_0_0")),IF(F111&gt;=1,IF(F111&lt;=3,"FARM_RECENT_1_3","FARM_RECENT_4_9"),"FARM_PREV_1_9_ONLY")))))))</x:f>
        <x:v>UNKNOWN_GP</x:v>
      </x:c>
      <x:c r="AF111" s="57" t="n">
        <x:f>AB111-T111</x:f>
        <x:v>0</x:v>
      </x:c>
      <x:c r="AG111" s="57" t="n">
        <x:f>AC111-U111</x:f>
        <x:v>0</x:v>
      </x:c>
    </x:row>
    <x:row r="112">
      <x:c r="A112" t="s">
        <x:v>1100</x:v>
      </x:c>
      <x:c r="C112" t="s">
        <x:v>331</x:v>
      </x:c>
      <x:c r="D112">
        <x:v>8480823</x:v>
      </x:c>
      <x:c r="E112" t="s">
        <x:v>267</x:v>
      </x:c>
      <x:c r="J112" t="s">
        <x:v>2474</x:v>
      </x:c>
      <x:c r="K112">
        <x:v>74</x:v>
      </x:c>
      <x:c r="L112">
        <x:v>41</x:v>
      </x:c>
      <x:c r="M112">
        <x:v>85</x:v>
      </x:c>
      <x:c r="N112">
        <x:v>34</x:v>
      </x:c>
      <x:c r="O112">
        <x:v>86</x:v>
      </x:c>
      <x:c r="P112">
        <x:v>72</x:v>
      </x:c>
      <x:c r="Q112">
        <x:v>72</x:v>
      </x:c>
      <x:c r="R112">
        <x:v>35</x:v>
      </x:c>
      <x:c r="S112">
        <x:v>30</x:v>
      </x:c>
      <x:c r="T112" s="63" t="n">
        <x:f>MAX(30,MIN(AB112-VLOOKUP(AE112,'AHL_PA_SC_BALANCE'!$A$8:$E$18,2,FALSE),VLOOKUP(AE112,'AHL_PA_SC_BALANCE'!$A$8:$E$18,4,FALSE)))</x:f>
        <x:v>48</x:v>
      </x:c>
      <x:c r="U112" s="63" t="n">
        <x:f>MAX(30,MIN(AC112-VLOOKUP(AE112,'AHL_PA_SC_BALANCE'!$A$8:$E$18,3,FALSE),VLOOKUP(AE112,'AHL_PA_SC_BALANCE'!$A$8:$E$18,5,FALSE)))</x:f>
        <x:v>45</x:v>
      </x:c>
      <x:c r="V112">
        <x:v>74</x:v>
      </x:c>
      <x:c r="W112">
        <x:v>48</x:v>
      </x:c>
      <x:c r="X112">
        <x:v>71</x:v>
      </x:c>
      <x:c r="Y112">
        <x:v>69</x:v>
      </x:c>
      <x:c r="Z112">
        <x:v>51</x:v>
      </x:c>
      <x:c r="AA112">
        <x:v>54</x:v>
      </x:c>
      <x:c r="AB112" s="57" t="n">
        <x:v>48</x:v>
      </x:c>
      <x:c r="AC112" s="57" t="n">
        <x:v>45</x:v>
      </x:c>
      <x:c r="AD112" s="59"/>
      <x:c r="AE112" s="61" t="str">
        <x:f>IF(N(F112)&gt;=10,"NHL_LATEST_10",IF(AND(N(F112)&gt;0,N(G112)&gt;0),"NHL_BOTH_SEASONS",IF(N(G112)&gt;=10,"NHL_PREVIOUS_10",IF(AND(ISNUMBER(AD112),AD112=0,SUM(F112:G112)=0),"FARM_CAREER_0",IF(COUNT(F112:G112)&lt;2,"UNKNOWN_GP",IF(AND(F112=0,G112=0),IF(AD112&gt;=10,"FARM_LEGACY_10",IF(AND(ISNUMBER(AD112),AD112&gt;0),"FARM_CAREER_1_9","FARM_0_0")),IF(F112&gt;=1,IF(F112&lt;=3,"FARM_RECENT_1_3","FARM_RECENT_4_9"),"FARM_PREV_1_9_ONLY")))))))</x:f>
        <x:v>UNKNOWN_GP</x:v>
      </x:c>
      <x:c r="AF112" s="57" t="n">
        <x:f>AB112-T112</x:f>
        <x:v>0</x:v>
      </x:c>
      <x:c r="AG112" s="57" t="n">
        <x:f>AC112-U112</x:f>
        <x:v>0</x:v>
      </x:c>
    </x:row>
    <x:row r="113">
      <x:c r="A113" t="s">
        <x:v>1101</x:v>
      </x:c>
      <x:c r="C113" t="s">
        <x:v>331</x:v>
      </x:c>
      <x:c r="D113">
        <x:v>8481743</x:v>
      </x:c>
      <x:c r="E113" t="s">
        <x:v>267</x:v>
      </x:c>
      <x:c r="J113" t="s">
        <x:v>2474</x:v>
      </x:c>
      <x:c r="K113">
        <x:v>77</x:v>
      </x:c>
      <x:c r="L113">
        <x:v>43</x:v>
      </x:c>
      <x:c r="M113">
        <x:v>83</x:v>
      </x:c>
      <x:c r="N113">
        <x:v>35</x:v>
      </x:c>
      <x:c r="O113">
        <x:v>77</x:v>
      </x:c>
      <x:c r="P113">
        <x:v>87</x:v>
      </x:c>
      <x:c r="Q113">
        <x:v>90</x:v>
      </x:c>
      <x:c r="R113">
        <x:v>35</x:v>
      </x:c>
      <x:c r="S113">
        <x:v>30</x:v>
      </x:c>
      <x:c r="T113" s="63" t="n">
        <x:f>MAX(30,MIN(AB113-VLOOKUP(AE113,'AHL_PA_SC_BALANCE'!$A$8:$E$18,2,FALSE),VLOOKUP(AE113,'AHL_PA_SC_BALANCE'!$A$8:$E$18,4,FALSE)))</x:f>
        <x:v>50</x:v>
      </x:c>
      <x:c r="U113" s="63" t="n">
        <x:f>MAX(30,MIN(AC113-VLOOKUP(AE113,'AHL_PA_SC_BALANCE'!$A$8:$E$18,3,FALSE),VLOOKUP(AE113,'AHL_PA_SC_BALANCE'!$A$8:$E$18,5,FALSE)))</x:f>
        <x:v>45</x:v>
      </x:c>
      <x:c r="V113">
        <x:v>73</x:v>
      </x:c>
      <x:c r="W113">
        <x:v>49</x:v>
      </x:c>
      <x:c r="X113">
        <x:v>70</x:v>
      </x:c>
      <x:c r="Y113">
        <x:v>69</x:v>
      </x:c>
      <x:c r="Z113">
        <x:v>51</x:v>
      </x:c>
      <x:c r="AA113">
        <x:v>54</x:v>
      </x:c>
      <x:c r="AB113" s="57" t="n">
        <x:v>50</x:v>
      </x:c>
      <x:c r="AC113" s="57" t="n">
        <x:v>45</x:v>
      </x:c>
      <x:c r="AD113" s="59"/>
      <x:c r="AE113" s="61" t="str">
        <x:f>IF(N(F113)&gt;=10,"NHL_LATEST_10",IF(AND(N(F113)&gt;0,N(G113)&gt;0),"NHL_BOTH_SEASONS",IF(N(G113)&gt;=10,"NHL_PREVIOUS_10",IF(AND(ISNUMBER(AD113),AD113=0,SUM(F113:G113)=0),"FARM_CAREER_0",IF(COUNT(F113:G113)&lt;2,"UNKNOWN_GP",IF(AND(F113=0,G113=0),IF(AD113&gt;=10,"FARM_LEGACY_10",IF(AND(ISNUMBER(AD113),AD113&gt;0),"FARM_CAREER_1_9","FARM_0_0")),IF(F113&gt;=1,IF(F113&lt;=3,"FARM_RECENT_1_3","FARM_RECENT_4_9"),"FARM_PREV_1_9_ONLY")))))))</x:f>
        <x:v>UNKNOWN_GP</x:v>
      </x:c>
      <x:c r="AF113" s="57" t="n">
        <x:f>AB113-T113</x:f>
        <x:v>0</x:v>
      </x:c>
      <x:c r="AG113" s="57" t="n">
        <x:f>AC113-U113</x:f>
        <x:v>0</x:v>
      </x:c>
    </x:row>
    <x:row r="114">
      <x:c r="A114" t="s">
        <x:v>1102</x:v>
      </x:c>
      <x:c r="C114" t="s">
        <x:v>331</x:v>
      </x:c>
      <x:c r="D114">
        <x:v>8478841</x:v>
      </x:c>
      <x:c r="E114" t="s">
        <x:v>267</x:v>
      </x:c>
      <x:c r="J114" t="s">
        <x:v>2474</x:v>
      </x:c>
      <x:c r="K114">
        <x:v>71</x:v>
      </x:c>
      <x:c r="L114">
        <x:v>34</x:v>
      </x:c>
      <x:c r="M114">
        <x:v>94</x:v>
      </x:c>
      <x:c r="N114">
        <x:v>37</x:v>
      </x:c>
      <x:c r="O114">
        <x:v>76</x:v>
      </x:c>
      <x:c r="P114">
        <x:v>82</x:v>
      </x:c>
      <x:c r="Q114">
        <x:v>81</x:v>
      </x:c>
      <x:c r="R114">
        <x:v>37</x:v>
      </x:c>
      <x:c r="S114">
        <x:v>30</x:v>
      </x:c>
      <x:c r="T114" s="63" t="n">
        <x:f>MAX(30,MIN(AB114-VLOOKUP(AE114,'AHL_PA_SC_BALANCE'!$A$8:$E$18,2,FALSE),VLOOKUP(AE114,'AHL_PA_SC_BALANCE'!$A$8:$E$18,4,FALSE)))</x:f>
        <x:v>50</x:v>
      </x:c>
      <x:c r="U114" s="63" t="n">
        <x:f>MAX(30,MIN(AC114-VLOOKUP(AE114,'AHL_PA_SC_BALANCE'!$A$8:$E$18,3,FALSE),VLOOKUP(AE114,'AHL_PA_SC_BALANCE'!$A$8:$E$18,5,FALSE)))</x:f>
        <x:v>45</x:v>
      </x:c>
      <x:c r="V114">
        <x:v>71</x:v>
      </x:c>
      <x:c r="W114">
        <x:v>54</x:v>
      </x:c>
      <x:c r="X114">
        <x:v>71</x:v>
      </x:c>
      <x:c r="Y114">
        <x:v>71</x:v>
      </x:c>
      <x:c r="Z114">
        <x:v>51</x:v>
      </x:c>
      <x:c r="AA114">
        <x:v>54</x:v>
      </x:c>
      <x:c r="AB114" s="57" t="n">
        <x:v>50</x:v>
      </x:c>
      <x:c r="AC114" s="57" t="n">
        <x:v>45</x:v>
      </x:c>
      <x:c r="AD114" s="59"/>
      <x:c r="AE114" s="61" t="str">
        <x:f>IF(N(F114)&gt;=10,"NHL_LATEST_10",IF(AND(N(F114)&gt;0,N(G114)&gt;0),"NHL_BOTH_SEASONS",IF(N(G114)&gt;=10,"NHL_PREVIOUS_10",IF(AND(ISNUMBER(AD114),AD114=0,SUM(F114:G114)=0),"FARM_CAREER_0",IF(COUNT(F114:G114)&lt;2,"UNKNOWN_GP",IF(AND(F114=0,G114=0),IF(AD114&gt;=10,"FARM_LEGACY_10",IF(AND(ISNUMBER(AD114),AD114&gt;0),"FARM_CAREER_1_9","FARM_0_0")),IF(F114&gt;=1,IF(F114&lt;=3,"FARM_RECENT_1_3","FARM_RECENT_4_9"),"FARM_PREV_1_9_ONLY")))))))</x:f>
        <x:v>UNKNOWN_GP</x:v>
      </x:c>
      <x:c r="AF114" s="57" t="n">
        <x:f>AB114-T114</x:f>
        <x:v>0</x:v>
      </x:c>
      <x:c r="AG114" s="57" t="n">
        <x:f>AC114-U114</x:f>
        <x:v>0</x:v>
      </x:c>
    </x:row>
    <x:row r="115">
      <x:c r="A115" t="s">
        <x:v>1103</x:v>
      </x:c>
      <x:c r="C115" t="s">
        <x:v>331</x:v>
      </x:c>
      <x:c r="D115">
        <x:v>8478452</x:v>
      </x:c>
      <x:c r="E115" t="s">
        <x:v>267</x:v>
      </x:c>
      <x:c r="J115" t="s">
        <x:v>2474</x:v>
      </x:c>
      <x:c r="K115">
        <x:v>75</x:v>
      </x:c>
      <x:c r="L115">
        <x:v>37</x:v>
      </x:c>
      <x:c r="M115">
        <x:v>88</x:v>
      </x:c>
      <x:c r="N115">
        <x:v>32</x:v>
      </x:c>
      <x:c r="O115">
        <x:v>79</x:v>
      </x:c>
      <x:c r="P115">
        <x:v>75</x:v>
      </x:c>
      <x:c r="Q115">
        <x:v>76</x:v>
      </x:c>
      <x:c r="R115">
        <x:v>33</x:v>
      </x:c>
      <x:c r="S115">
        <x:v>30</x:v>
      </x:c>
      <x:c r="T115" s="63" t="n">
        <x:f>MAX(30,MIN(AB115-VLOOKUP(AE115,'AHL_PA_SC_BALANCE'!$A$8:$E$18,2,FALSE),VLOOKUP(AE115,'AHL_PA_SC_BALANCE'!$A$8:$E$18,4,FALSE)))</x:f>
        <x:v>48</x:v>
      </x:c>
      <x:c r="U115" s="63" t="n">
        <x:f>MAX(30,MIN(AC115-VLOOKUP(AE115,'AHL_PA_SC_BALANCE'!$A$8:$E$18,3,FALSE),VLOOKUP(AE115,'AHL_PA_SC_BALANCE'!$A$8:$E$18,5,FALSE)))</x:f>
        <x:v>43</x:v>
      </x:c>
      <x:c r="V115">
        <x:v>73</x:v>
      </x:c>
      <x:c r="W115">
        <x:v>45</x:v>
      </x:c>
      <x:c r="X115">
        <x:v>71</x:v>
      </x:c>
      <x:c r="Y115">
        <x:v>72</x:v>
      </x:c>
      <x:c r="Z115">
        <x:v>51</x:v>
      </x:c>
      <x:c r="AA115">
        <x:v>54</x:v>
      </x:c>
      <x:c r="AB115" s="57" t="n">
        <x:v>48</x:v>
      </x:c>
      <x:c r="AC115" s="57" t="n">
        <x:v>43</x:v>
      </x:c>
      <x:c r="AD115" s="59"/>
      <x:c r="AE115" s="61" t="str">
        <x:f>IF(N(F115)&gt;=10,"NHL_LATEST_10",IF(AND(N(F115)&gt;0,N(G115)&gt;0),"NHL_BOTH_SEASONS",IF(N(G115)&gt;=10,"NHL_PREVIOUS_10",IF(AND(ISNUMBER(AD115),AD115=0,SUM(F115:G115)=0),"FARM_CAREER_0",IF(COUNT(F115:G115)&lt;2,"UNKNOWN_GP",IF(AND(F115=0,G115=0),IF(AD115&gt;=10,"FARM_LEGACY_10",IF(AND(ISNUMBER(AD115),AD115&gt;0),"FARM_CAREER_1_9","FARM_0_0")),IF(F115&gt;=1,IF(F115&lt;=3,"FARM_RECENT_1_3","FARM_RECENT_4_9"),"FARM_PREV_1_9_ONLY")))))))</x:f>
        <x:v>UNKNOWN_GP</x:v>
      </x:c>
      <x:c r="AF115" s="57" t="n">
        <x:f>AB115-T115</x:f>
        <x:v>0</x:v>
      </x:c>
      <x:c r="AG115" s="57" t="n">
        <x:f>AC115-U115</x:f>
        <x:v>0</x:v>
      </x:c>
    </x:row>
    <x:row r="116">
      <x:c r="A116" t="s">
        <x:v>1104</x:v>
      </x:c>
      <x:c r="C116" t="s">
        <x:v>331</x:v>
      </x:c>
      <x:c r="D116">
        <x:v>8482516</x:v>
      </x:c>
      <x:c r="E116" t="s">
        <x:v>267</x:v>
      </x:c>
      <x:c r="J116" t="s">
        <x:v>2474</x:v>
      </x:c>
      <x:c r="K116">
        <x:v>70</x:v>
      </x:c>
      <x:c r="L116">
        <x:v>40</x:v>
      </x:c>
      <x:c r="M116">
        <x:v>86</x:v>
      </x:c>
      <x:c r="N116">
        <x:v>36</x:v>
      </x:c>
      <x:c r="O116">
        <x:v>82</x:v>
      </x:c>
      <x:c r="P116">
        <x:v>82</x:v>
      </x:c>
      <x:c r="Q116">
        <x:v>61</x:v>
      </x:c>
      <x:c r="R116">
        <x:v>37</x:v>
      </x:c>
      <x:c r="S116">
        <x:v>30</x:v>
      </x:c>
      <x:c r="T116" s="63" t="n">
        <x:f>MAX(30,MIN(AB116-VLOOKUP(AE116,'AHL_PA_SC_BALANCE'!$A$8:$E$18,2,FALSE),VLOOKUP(AE116,'AHL_PA_SC_BALANCE'!$A$8:$E$18,4,FALSE)))</x:f>
        <x:v>48</x:v>
      </x:c>
      <x:c r="U116" s="63" t="n">
        <x:f>MAX(30,MIN(AC116-VLOOKUP(AE116,'AHL_PA_SC_BALANCE'!$A$8:$E$18,3,FALSE),VLOOKUP(AE116,'AHL_PA_SC_BALANCE'!$A$8:$E$18,5,FALSE)))</x:f>
        <x:v>47</x:v>
      </x:c>
      <x:c r="V116">
        <x:v>74</x:v>
      </x:c>
      <x:c r="W116">
        <x:v>52</x:v>
      </x:c>
      <x:c r="X116">
        <x:v>69</x:v>
      </x:c>
      <x:c r="Y116">
        <x:v>68</x:v>
      </x:c>
      <x:c r="Z116">
        <x:v>51</x:v>
      </x:c>
      <x:c r="AA116">
        <x:v>54</x:v>
      </x:c>
      <x:c r="AB116" s="57" t="n">
        <x:v>48</x:v>
      </x:c>
      <x:c r="AC116" s="57" t="n">
        <x:v>47</x:v>
      </x:c>
      <x:c r="AD116" s="59"/>
      <x:c r="AE116" s="61" t="str">
        <x:f>IF(N(F116)&gt;=10,"NHL_LATEST_10",IF(AND(N(F116)&gt;0,N(G116)&gt;0),"NHL_BOTH_SEASONS",IF(N(G116)&gt;=10,"NHL_PREVIOUS_10",IF(AND(ISNUMBER(AD116),AD116=0,SUM(F116:G116)=0),"FARM_CAREER_0",IF(COUNT(F116:G116)&lt;2,"UNKNOWN_GP",IF(AND(F116=0,G116=0),IF(AD116&gt;=10,"FARM_LEGACY_10",IF(AND(ISNUMBER(AD116),AD116&gt;0),"FARM_CAREER_1_9","FARM_0_0")),IF(F116&gt;=1,IF(F116&lt;=3,"FARM_RECENT_1_3","FARM_RECENT_4_9"),"FARM_PREV_1_9_ONLY")))))))</x:f>
        <x:v>UNKNOWN_GP</x:v>
      </x:c>
      <x:c r="AF116" s="57" t="n">
        <x:f>AB116-T116</x:f>
        <x:v>0</x:v>
      </x:c>
      <x:c r="AG116" s="57" t="n">
        <x:f>AC116-U116</x:f>
        <x:v>0</x:v>
      </x:c>
    </x:row>
    <x:row r="117">
      <x:c r="A117" t="s">
        <x:v>1105</x:v>
      </x:c>
      <x:c r="C117" t="s">
        <x:v>323</x:v>
      </x:c>
      <x:c r="D117">
        <x:v>8477846</x:v>
      </x:c>
      <x:c r="E117" t="s">
        <x:v>267</x:v>
      </x:c>
      <x:c r="J117" t="s">
        <x:v>2474</x:v>
      </x:c>
      <x:c r="K117">
        <x:v>64</x:v>
      </x:c>
      <x:c r="L117">
        <x:v>32</x:v>
      </x:c>
      <x:c r="M117">
        <x:v>89</x:v>
      </x:c>
      <x:c r="N117">
        <x:v>46</x:v>
      </x:c>
      <x:c r="O117">
        <x:v>79</x:v>
      </x:c>
      <x:c r="P117">
        <x:v>92</x:v>
      </x:c>
      <x:c r="Q117">
        <x:v>96</x:v>
      </x:c>
      <x:c r="R117">
        <x:v>47</x:v>
      </x:c>
      <x:c r="S117">
        <x:v>79</x:v>
      </x:c>
      <x:c r="T117" s="63" t="n">
        <x:f>MAX(30,MIN(AB117-VLOOKUP(AE117,'AHL_PA_SC_BALANCE'!$A$8:$E$18,2,FALSE),VLOOKUP(AE117,'AHL_PA_SC_BALANCE'!$A$8:$E$18,4,FALSE)))</x:f>
        <x:v>49</x:v>
      </x:c>
      <x:c r="U117" s="63" t="n">
        <x:f>MAX(30,MIN(AC117-VLOOKUP(AE117,'AHL_PA_SC_BALANCE'!$A$8:$E$18,3,FALSE),VLOOKUP(AE117,'AHL_PA_SC_BALANCE'!$A$8:$E$18,5,FALSE)))</x:f>
        <x:v>49</x:v>
      </x:c>
      <x:c r="V117">
        <x:v>68</x:v>
      </x:c>
      <x:c r="W117">
        <x:v>68</x:v>
      </x:c>
      <x:c r="X117">
        <x:v>82</x:v>
      </x:c>
      <x:c r="Y117">
        <x:v>81</x:v>
      </x:c>
      <x:c r="Z117">
        <x:v>51</x:v>
      </x:c>
      <x:c r="AA117">
        <x:v>54</x:v>
      </x:c>
      <x:c r="AB117" s="57" t="n">
        <x:v>49</x:v>
      </x:c>
      <x:c r="AC117" s="57" t="n">
        <x:v>49</x:v>
      </x:c>
      <x:c r="AD117" s="59"/>
      <x:c r="AE117" s="61" t="str">
        <x:f>IF(N(F117)&gt;=10,"NHL_LATEST_10",IF(AND(N(F117)&gt;0,N(G117)&gt;0),"NHL_BOTH_SEASONS",IF(N(G117)&gt;=10,"NHL_PREVIOUS_10",IF(AND(ISNUMBER(AD117),AD117=0,SUM(F117:G117)=0),"FARM_CAREER_0",IF(COUNT(F117:G117)&lt;2,"UNKNOWN_GP",IF(AND(F117=0,G117=0),IF(AD117&gt;=10,"FARM_LEGACY_10",IF(AND(ISNUMBER(AD117),AD117&gt;0),"FARM_CAREER_1_9","FARM_0_0")),IF(F117&gt;=1,IF(F117&lt;=3,"FARM_RECENT_1_3","FARM_RECENT_4_9"),"FARM_PREV_1_9_ONLY")))))))</x:f>
        <x:v>UNKNOWN_GP</x:v>
      </x:c>
      <x:c r="AF117" s="57" t="n">
        <x:f>AB117-T117</x:f>
        <x:v>0</x:v>
      </x:c>
      <x:c r="AG117" s="57" t="n">
        <x:f>AC117-U117</x:f>
        <x:v>0</x:v>
      </x:c>
    </x:row>
    <x:row r="118">
      <x:c r="A118" t="s">
        <x:v>1106</x:v>
      </x:c>
      <x:c r="C118" t="s">
        <x:v>339</x:v>
      </x:c>
      <x:c r="D118">
        <x:v>8482742</x:v>
      </x:c>
      <x:c r="E118" t="s">
        <x:v>267</x:v>
      </x:c>
      <x:c r="J118" t="s">
        <x:v>2474</x:v>
      </x:c>
      <x:c r="K118">
        <x:v>80</x:v>
      </x:c>
      <x:c r="L118">
        <x:v>78</x:v>
      </x:c>
      <x:c r="M118">
        <x:v>78</x:v>
      </x:c>
      <x:c r="N118">
        <x:v>49</x:v>
      </x:c>
      <x:c r="O118">
        <x:v>83</x:v>
      </x:c>
      <x:c r="P118">
        <x:v>83</x:v>
      </x:c>
      <x:c r="Q118">
        <x:v>80</x:v>
      </x:c>
      <x:c r="R118">
        <x:v>48</x:v>
      </x:c>
      <x:c r="S118">
        <x:v>68</x:v>
      </x:c>
      <x:c r="T118" s="63" t="n">
        <x:f>MAX(30,MIN(AB118-VLOOKUP(AE118,'AHL_PA_SC_BALANCE'!$A$8:$E$18,2,FALSE),VLOOKUP(AE118,'AHL_PA_SC_BALANCE'!$A$8:$E$18,4,FALSE)))</x:f>
        <x:v>50</x:v>
      </x:c>
      <x:c r="U118" s="63" t="n">
        <x:f>MAX(30,MIN(AC118-VLOOKUP(AE118,'AHL_PA_SC_BALANCE'!$A$8:$E$18,3,FALSE),VLOOKUP(AE118,'AHL_PA_SC_BALANCE'!$A$8:$E$18,5,FALSE)))</x:f>
        <x:v>54</x:v>
      </x:c>
      <x:c r="V118">
        <x:v>66</x:v>
      </x:c>
      <x:c r="W118">
        <x:v>52</x:v>
      </x:c>
      <x:c r="X118">
        <x:v>67</x:v>
      </x:c>
      <x:c r="Y118">
        <x:v>65</x:v>
      </x:c>
      <x:c r="Z118">
        <x:v>51</x:v>
      </x:c>
      <x:c r="AA118">
        <x:v>54</x:v>
      </x:c>
      <x:c r="AB118" s="57" t="n">
        <x:v>50</x:v>
      </x:c>
      <x:c r="AC118" s="57" t="n">
        <x:v>54</x:v>
      </x:c>
      <x:c r="AD118" s="59"/>
      <x:c r="AE118" s="61" t="str">
        <x:f>IF(N(F118)&gt;=10,"NHL_LATEST_10",IF(AND(N(F118)&gt;0,N(G118)&gt;0),"NHL_BOTH_SEASONS",IF(N(G118)&gt;=10,"NHL_PREVIOUS_10",IF(AND(ISNUMBER(AD118),AD118=0,SUM(F118:G118)=0),"FARM_CAREER_0",IF(COUNT(F118:G118)&lt;2,"UNKNOWN_GP",IF(AND(F118=0,G118=0),IF(AD118&gt;=10,"FARM_LEGACY_10",IF(AND(ISNUMBER(AD118),AD118&gt;0),"FARM_CAREER_1_9","FARM_0_0")),IF(F118&gt;=1,IF(F118&lt;=3,"FARM_RECENT_1_3","FARM_RECENT_4_9"),"FARM_PREV_1_9_ONLY")))))))</x:f>
        <x:v>UNKNOWN_GP</x:v>
      </x:c>
      <x:c r="AF118" s="57" t="n">
        <x:f>AB118-T118</x:f>
        <x:v>0</x:v>
      </x:c>
      <x:c r="AG118" s="57" t="n">
        <x:f>AC118-U118</x:f>
        <x:v>0</x:v>
      </x:c>
    </x:row>
    <x:row r="119">
      <x:c r="A119" t="s">
        <x:v>1107</x:v>
      </x:c>
      <x:c r="C119" t="s">
        <x:v>331</x:v>
      </x:c>
      <x:c r="D119">
        <x:v>8482107</x:v>
      </x:c>
      <x:c r="E119" t="s">
        <x:v>267</x:v>
      </x:c>
      <x:c r="J119" t="s">
        <x:v>2474</x:v>
      </x:c>
      <x:c r="K119">
        <x:v>62</x:v>
      </x:c>
      <x:c r="L119">
        <x:v>33</x:v>
      </x:c>
      <x:c r="M119">
        <x:v>92</x:v>
      </x:c>
      <x:c r="N119">
        <x:v>38</x:v>
      </x:c>
      <x:c r="O119">
        <x:v>74</x:v>
      </x:c>
      <x:c r="P119">
        <x:v>85</x:v>
      </x:c>
      <x:c r="Q119">
        <x:v>51</x:v>
      </x:c>
      <x:c r="R119">
        <x:v>37</x:v>
      </x:c>
      <x:c r="S119">
        <x:v>30</x:v>
      </x:c>
      <x:c r="T119" s="63" t="n">
        <x:f>MAX(30,MIN(AB119-VLOOKUP(AE119,'AHL_PA_SC_BALANCE'!$A$8:$E$18,2,FALSE),VLOOKUP(AE119,'AHL_PA_SC_BALANCE'!$A$8:$E$18,4,FALSE)))</x:f>
        <x:v>50</x:v>
      </x:c>
      <x:c r="U119" s="63" t="n">
        <x:f>MAX(30,MIN(AC119-VLOOKUP(AE119,'AHL_PA_SC_BALANCE'!$A$8:$E$18,3,FALSE),VLOOKUP(AE119,'AHL_PA_SC_BALANCE'!$A$8:$E$18,5,FALSE)))</x:f>
        <x:v>49</x:v>
      </x:c>
      <x:c r="V119">
        <x:v>70</x:v>
      </x:c>
      <x:c r="W119">
        <x:v>55</x:v>
      </x:c>
      <x:c r="X119">
        <x:v>67</x:v>
      </x:c>
      <x:c r="Y119">
        <x:v>67</x:v>
      </x:c>
      <x:c r="Z119">
        <x:v>51</x:v>
      </x:c>
      <x:c r="AA119">
        <x:v>54</x:v>
      </x:c>
      <x:c r="AB119" s="57" t="n">
        <x:v>50</x:v>
      </x:c>
      <x:c r="AC119" s="57" t="n">
        <x:v>49</x:v>
      </x:c>
      <x:c r="AD119" s="59"/>
      <x:c r="AE119" s="61" t="str">
        <x:f>IF(N(F119)&gt;=10,"NHL_LATEST_10",IF(AND(N(F119)&gt;0,N(G119)&gt;0),"NHL_BOTH_SEASONS",IF(N(G119)&gt;=10,"NHL_PREVIOUS_10",IF(AND(ISNUMBER(AD119),AD119=0,SUM(F119:G119)=0),"FARM_CAREER_0",IF(COUNT(F119:G119)&lt;2,"UNKNOWN_GP",IF(AND(F119=0,G119=0),IF(AD119&gt;=10,"FARM_LEGACY_10",IF(AND(ISNUMBER(AD119),AD119&gt;0),"FARM_CAREER_1_9","FARM_0_0")),IF(F119&gt;=1,IF(F119&lt;=3,"FARM_RECENT_1_3","FARM_RECENT_4_9"),"FARM_PREV_1_9_ONLY")))))))</x:f>
        <x:v>UNKNOWN_GP</x:v>
      </x:c>
      <x:c r="AF119" s="57" t="n">
        <x:f>AB119-T119</x:f>
        <x:v>0</x:v>
      </x:c>
      <x:c r="AG119" s="57" t="n">
        <x:f>AC119-U119</x:f>
        <x:v>0</x:v>
      </x:c>
    </x:row>
    <x:row r="120">
      <x:c r="A120" t="s">
        <x:v>1108</x:v>
      </x:c>
      <x:c r="C120" t="s">
        <x:v>331</x:v>
      </x:c>
      <x:c r="D120">
        <x:v>8481812</x:v>
      </x:c>
      <x:c r="E120" t="s">
        <x:v>267</x:v>
      </x:c>
      <x:c r="J120" t="s">
        <x:v>2474</x:v>
      </x:c>
      <x:c r="K120">
        <x:v>76</x:v>
      </x:c>
      <x:c r="L120">
        <x:v>41</x:v>
      </x:c>
      <x:c r="M120">
        <x:v>88</x:v>
      </x:c>
      <x:c r="N120">
        <x:v>32</x:v>
      </x:c>
      <x:c r="O120">
        <x:v>87</x:v>
      </x:c>
      <x:c r="P120">
        <x:v>81</x:v>
      </x:c>
      <x:c r="Q120">
        <x:v>85</x:v>
      </x:c>
      <x:c r="R120">
        <x:v>33</x:v>
      </x:c>
      <x:c r="S120">
        <x:v>30</x:v>
      </x:c>
      <x:c r="T120" s="63" t="n">
        <x:f>MAX(30,MIN(AB120-VLOOKUP(AE120,'AHL_PA_SC_BALANCE'!$A$8:$E$18,2,FALSE),VLOOKUP(AE120,'AHL_PA_SC_BALANCE'!$A$8:$E$18,4,FALSE)))</x:f>
        <x:v>44</x:v>
      </x:c>
      <x:c r="U120" s="63" t="n">
        <x:f>MAX(30,MIN(AC120-VLOOKUP(AE120,'AHL_PA_SC_BALANCE'!$A$8:$E$18,3,FALSE),VLOOKUP(AE120,'AHL_PA_SC_BALANCE'!$A$8:$E$18,5,FALSE)))</x:f>
        <x:v>40</x:v>
      </x:c>
      <x:c r="V120">
        <x:v>73</x:v>
      </x:c>
      <x:c r="W120">
        <x:v>45</x:v>
      </x:c>
      <x:c r="X120">
        <x:v>70</x:v>
      </x:c>
      <x:c r="Y120">
        <x:v>69</x:v>
      </x:c>
      <x:c r="Z120">
        <x:v>51</x:v>
      </x:c>
      <x:c r="AA120">
        <x:v>54</x:v>
      </x:c>
      <x:c r="AB120" s="57" t="n">
        <x:v>44</x:v>
      </x:c>
      <x:c r="AC120" s="57" t="n">
        <x:v>40</x:v>
      </x:c>
      <x:c r="AD120" s="59"/>
      <x:c r="AE120" s="61" t="str">
        <x:f>IF(N(F120)&gt;=10,"NHL_LATEST_10",IF(AND(N(F120)&gt;0,N(G120)&gt;0),"NHL_BOTH_SEASONS",IF(N(G120)&gt;=10,"NHL_PREVIOUS_10",IF(AND(ISNUMBER(AD120),AD120=0,SUM(F120:G120)=0),"FARM_CAREER_0",IF(COUNT(F120:G120)&lt;2,"UNKNOWN_GP",IF(AND(F120=0,G120=0),IF(AD120&gt;=10,"FARM_LEGACY_10",IF(AND(ISNUMBER(AD120),AD120&gt;0),"FARM_CAREER_1_9","FARM_0_0")),IF(F120&gt;=1,IF(F120&lt;=3,"FARM_RECENT_1_3","FARM_RECENT_4_9"),"FARM_PREV_1_9_ONLY")))))))</x:f>
        <x:v>UNKNOWN_GP</x:v>
      </x:c>
      <x:c r="AF120" s="57" t="n">
        <x:f>AB120-T120</x:f>
        <x:v>0</x:v>
      </x:c>
      <x:c r="AG120" s="57" t="n">
        <x:f>AC120-U120</x:f>
        <x:v>0</x:v>
      </x:c>
    </x:row>
    <x:row r="121">
      <x:c r="A121" t="s">
        <x:v>1109</x:v>
      </x:c>
      <x:c r="C121" t="s">
        <x:v>358</x:v>
      </x:c>
      <x:c r="D121">
        <x:v>8481725</x:v>
      </x:c>
      <x:c r="E121" t="s">
        <x:v>267</x:v>
      </x:c>
      <x:c r="J121" t="s">
        <x:v>2474</x:v>
      </x:c>
      <x:c r="K121">
        <x:v>71</x:v>
      </x:c>
      <x:c r="L121">
        <x:v>68</x:v>
      </x:c>
      <x:c r="M121">
        <x:v>89</x:v>
      </x:c>
      <x:c r="N121">
        <x:v>48</x:v>
      </x:c>
      <x:c r="O121">
        <x:v>98</x:v>
      </x:c>
      <x:c r="P121">
        <x:v>82</x:v>
      </x:c>
      <x:c r="Q121">
        <x:v>80</x:v>
      </x:c>
      <x:c r="R121">
        <x:v>51</x:v>
      </x:c>
      <x:c r="S121">
        <x:v>67</x:v>
      </x:c>
      <x:c r="T121" s="63" t="n">
        <x:f>MAX(30,MIN(AB121-VLOOKUP(AE121,'AHL_PA_SC_BALANCE'!$A$8:$E$18,2,FALSE),VLOOKUP(AE121,'AHL_PA_SC_BALANCE'!$A$8:$E$18,4,FALSE)))</x:f>
        <x:v>51</x:v>
      </x:c>
      <x:c r="U121" s="63" t="n">
        <x:f>MAX(30,MIN(AC121-VLOOKUP(AE121,'AHL_PA_SC_BALANCE'!$A$8:$E$18,3,FALSE),VLOOKUP(AE121,'AHL_PA_SC_BALANCE'!$A$8:$E$18,5,FALSE)))</x:f>
        <x:v>53</x:v>
      </x:c>
      <x:c r="V121">
        <x:v>61</x:v>
      </x:c>
      <x:c r="W121">
        <x:v>52</x:v>
      </x:c>
      <x:c r="X121">
        <x:v>69</x:v>
      </x:c>
      <x:c r="Y121">
        <x:v>69</x:v>
      </x:c>
      <x:c r="Z121">
        <x:v>51</x:v>
      </x:c>
      <x:c r="AA121">
        <x:v>54</x:v>
      </x:c>
      <x:c r="AB121" s="57" t="n">
        <x:v>51</x:v>
      </x:c>
      <x:c r="AC121" s="57" t="n">
        <x:v>53</x:v>
      </x:c>
      <x:c r="AD121" s="59"/>
      <x:c r="AE121" s="61" t="str">
        <x:f>IF(N(F121)&gt;=10,"NHL_LATEST_10",IF(AND(N(F121)&gt;0,N(G121)&gt;0),"NHL_BOTH_SEASONS",IF(N(G121)&gt;=10,"NHL_PREVIOUS_10",IF(AND(ISNUMBER(AD121),AD121=0,SUM(F121:G121)=0),"FARM_CAREER_0",IF(COUNT(F121:G121)&lt;2,"UNKNOWN_GP",IF(AND(F121=0,G121=0),IF(AD121&gt;=10,"FARM_LEGACY_10",IF(AND(ISNUMBER(AD121),AD121&gt;0),"FARM_CAREER_1_9","FARM_0_0")),IF(F121&gt;=1,IF(F121&lt;=3,"FARM_RECENT_1_3","FARM_RECENT_4_9"),"FARM_PREV_1_9_ONLY")))))))</x:f>
        <x:v>UNKNOWN_GP</x:v>
      </x:c>
      <x:c r="AF121" s="57" t="n">
        <x:f>AB121-T121</x:f>
        <x:v>0</x:v>
      </x:c>
      <x:c r="AG121" s="57" t="n">
        <x:f>AC121-U121</x:f>
        <x:v>0</x:v>
      </x:c>
    </x:row>
    <x:row r="122">
      <x:c r="A122" t="s">
        <x:v>1110</x:v>
      </x:c>
      <x:c r="C122" t="s">
        <x:v>331</x:v>
      </x:c>
      <x:c r="D122">
        <x:v>8483503</x:v>
      </x:c>
      <x:c r="E122" t="s">
        <x:v>267</x:v>
      </x:c>
      <x:c r="J122" t="s">
        <x:v>2474</x:v>
      </x:c>
      <x:c r="K122">
        <x:v>78</x:v>
      </x:c>
      <x:c r="L122">
        <x:v>36</x:v>
      </x:c>
      <x:c r="M122">
        <x:v>86</x:v>
      </x:c>
      <x:c r="N122">
        <x:v>35</x:v>
      </x:c>
      <x:c r="O122">
        <x:v>82</x:v>
      </x:c>
      <x:c r="P122">
        <x:v>90</x:v>
      </x:c>
      <x:c r="Q122">
        <x:v>95</x:v>
      </x:c>
      <x:c r="R122">
        <x:v>36</x:v>
      </x:c>
      <x:c r="S122">
        <x:v>30</x:v>
      </x:c>
      <x:c r="T122" s="63" t="n">
        <x:f>MAX(30,MIN(AB122-VLOOKUP(AE122,'AHL_PA_SC_BALANCE'!$A$8:$E$18,2,FALSE),VLOOKUP(AE122,'AHL_PA_SC_BALANCE'!$A$8:$E$18,4,FALSE)))</x:f>
        <x:v>45</x:v>
      </x:c>
      <x:c r="U122" s="63" t="n">
        <x:f>MAX(30,MIN(AC122-VLOOKUP(AE122,'AHL_PA_SC_BALANCE'!$A$8:$E$18,3,FALSE),VLOOKUP(AE122,'AHL_PA_SC_BALANCE'!$A$8:$E$18,5,FALSE)))</x:f>
        <x:v>42</x:v>
      </x:c>
      <x:c r="V122">
        <x:v>73</x:v>
      </x:c>
      <x:c r="W122">
        <x:v>49</x:v>
      </x:c>
      <x:c r="X122">
        <x:v>66</x:v>
      </x:c>
      <x:c r="Y122">
        <x:v>66</x:v>
      </x:c>
      <x:c r="Z122">
        <x:v>47</x:v>
      </x:c>
      <x:c r="AA122">
        <x:v>54</x:v>
      </x:c>
      <x:c r="AB122" s="57" t="n">
        <x:v>45</x:v>
      </x:c>
      <x:c r="AC122" s="57" t="n">
        <x:v>42</x:v>
      </x:c>
      <x:c r="AD122" s="59"/>
      <x:c r="AE122" s="61" t="str">
        <x:f>IF(N(F122)&gt;=10,"NHL_LATEST_10",IF(AND(N(F122)&gt;0,N(G122)&gt;0),"NHL_BOTH_SEASONS",IF(N(G122)&gt;=10,"NHL_PREVIOUS_10",IF(AND(ISNUMBER(AD122),AD122=0,SUM(F122:G122)=0),"FARM_CAREER_0",IF(COUNT(F122:G122)&lt;2,"UNKNOWN_GP",IF(AND(F122=0,G122=0),IF(AD122&gt;=10,"FARM_LEGACY_10",IF(AND(ISNUMBER(AD122),AD122&gt;0),"FARM_CAREER_1_9","FARM_0_0")),IF(F122&gt;=1,IF(F122&lt;=3,"FARM_RECENT_1_3","FARM_RECENT_4_9"),"FARM_PREV_1_9_ONLY")))))))</x:f>
        <x:v>UNKNOWN_GP</x:v>
      </x:c>
      <x:c r="AF122" s="57" t="n">
        <x:f>AB122-T122</x:f>
        <x:v>0</x:v>
      </x:c>
      <x:c r="AG122" s="57" t="n">
        <x:f>AC122-U122</x:f>
        <x:v>0</x:v>
      </x:c>
    </x:row>
    <x:row r="123">
      <x:c r="A123" t="s">
        <x:v>1111</x:v>
      </x:c>
      <x:c r="C123" t="s">
        <x:v>331</x:v>
      </x:c>
      <x:c r="D123">
        <x:v>8484309</x:v>
      </x:c>
      <x:c r="E123" t="s">
        <x:v>267</x:v>
      </x:c>
      <x:c r="J123" t="s">
        <x:v>2474</x:v>
      </x:c>
      <x:c r="K123">
        <x:v>86</x:v>
      </x:c>
      <x:c r="L123">
        <x:v>39</x:v>
      </x:c>
      <x:c r="M123">
        <x:v>88</x:v>
      </x:c>
      <x:c r="N123">
        <x:v>31</x:v>
      </x:c>
      <x:c r="O123">
        <x:v>85</x:v>
      </x:c>
      <x:c r="P123">
        <x:v>74</x:v>
      </x:c>
      <x:c r="Q123">
        <x:v>77</x:v>
      </x:c>
      <x:c r="R123">
        <x:v>31</x:v>
      </x:c>
      <x:c r="S123">
        <x:v>30</x:v>
      </x:c>
      <x:c r="T123" s="63" t="n">
        <x:f>MAX(30,MIN(AB123-VLOOKUP(AE123,'AHL_PA_SC_BALANCE'!$A$8:$E$18,2,FALSE),VLOOKUP(AE123,'AHL_PA_SC_BALANCE'!$A$8:$E$18,4,FALSE)))</x:f>
        <x:v>41</x:v>
      </x:c>
      <x:c r="U123" s="63" t="n">
        <x:f>MAX(30,MIN(AC123-VLOOKUP(AE123,'AHL_PA_SC_BALANCE'!$A$8:$E$18,3,FALSE),VLOOKUP(AE123,'AHL_PA_SC_BALANCE'!$A$8:$E$18,5,FALSE)))</x:f>
        <x:v>37</x:v>
      </x:c>
      <x:c r="V123">
        <x:v>66</x:v>
      </x:c>
      <x:c r="W123">
        <x:v>44</x:v>
      </x:c>
      <x:c r="X123">
        <x:v>72</x:v>
      </x:c>
      <x:c r="Y123">
        <x:v>73</x:v>
      </x:c>
      <x:c r="Z123">
        <x:v>51</x:v>
      </x:c>
      <x:c r="AA123">
        <x:v>54</x:v>
      </x:c>
      <x:c r="AB123" s="57" t="n">
        <x:v>41</x:v>
      </x:c>
      <x:c r="AC123" s="57" t="n">
        <x:v>37</x:v>
      </x:c>
      <x:c r="AD123" s="59"/>
      <x:c r="AE123" s="61" t="str">
        <x:f>IF(N(F123)&gt;=10,"NHL_LATEST_10",IF(AND(N(F123)&gt;0,N(G123)&gt;0),"NHL_BOTH_SEASONS",IF(N(G123)&gt;=10,"NHL_PREVIOUS_10",IF(AND(ISNUMBER(AD123),AD123=0,SUM(F123:G123)=0),"FARM_CAREER_0",IF(COUNT(F123:G123)&lt;2,"UNKNOWN_GP",IF(AND(F123=0,G123=0),IF(AD123&gt;=10,"FARM_LEGACY_10",IF(AND(ISNUMBER(AD123),AD123&gt;0),"FARM_CAREER_1_9","FARM_0_0")),IF(F123&gt;=1,IF(F123&lt;=3,"FARM_RECENT_1_3","FARM_RECENT_4_9"),"FARM_PREV_1_9_ONLY")))))))</x:f>
        <x:v>UNKNOWN_GP</x:v>
      </x:c>
      <x:c r="AF123" s="57" t="n">
        <x:f>AB123-T123</x:f>
        <x:v>0</x:v>
      </x:c>
      <x:c r="AG123" s="57" t="n">
        <x:f>AC123-U123</x:f>
        <x:v>0</x:v>
      </x:c>
    </x:row>
    <x:row r="124">
      <x:c r="A124" t="s">
        <x:v>1113</x:v>
      </x:c>
      <x:c r="C124" t="s">
        <x:v>331</x:v>
      </x:c>
      <x:c r="D124">
        <x:v>8482861</x:v>
      </x:c>
      <x:c r="E124" t="s">
        <x:v>267</x:v>
      </x:c>
      <x:c r="J124" t="s">
        <x:v>2474</x:v>
      </x:c>
      <x:c r="K124">
        <x:v>66</x:v>
      </x:c>
      <x:c r="L124">
        <x:v>41</x:v>
      </x:c>
      <x:c r="M124">
        <x:v>85</x:v>
      </x:c>
      <x:c r="N124">
        <x:v>36</x:v>
      </x:c>
      <x:c r="O124">
        <x:v>84</x:v>
      </x:c>
      <x:c r="P124">
        <x:v>85</x:v>
      </x:c>
      <x:c r="Q124">
        <x:v>70</x:v>
      </x:c>
      <x:c r="R124">
        <x:v>38</x:v>
      </x:c>
      <x:c r="S124">
        <x:v>30</x:v>
      </x:c>
      <x:c r="T124" s="63" t="n">
        <x:f>MAX(30,MIN(AB124-VLOOKUP(AE124,'AHL_PA_SC_BALANCE'!$A$8:$E$18,2,FALSE),VLOOKUP(AE124,'AHL_PA_SC_BALANCE'!$A$8:$E$18,4,FALSE)))</x:f>
        <x:v>47</x:v>
      </x:c>
      <x:c r="U124" s="63" t="n">
        <x:f>MAX(30,MIN(AC124-VLOOKUP(AE124,'AHL_PA_SC_BALANCE'!$A$8:$E$18,3,FALSE),VLOOKUP(AE124,'AHL_PA_SC_BALANCE'!$A$8:$E$18,5,FALSE)))</x:f>
        <x:v>45</x:v>
      </x:c>
      <x:c r="V124">
        <x:v>73</x:v>
      </x:c>
      <x:c r="W124">
        <x:v>54</x:v>
      </x:c>
      <x:c r="X124">
        <x:v>67</x:v>
      </x:c>
      <x:c r="Y124">
        <x:v>67</x:v>
      </x:c>
      <x:c r="Z124">
        <x:v>51</x:v>
      </x:c>
      <x:c r="AA124">
        <x:v>54</x:v>
      </x:c>
      <x:c r="AB124" s="57" t="n">
        <x:v>47</x:v>
      </x:c>
      <x:c r="AC124" s="57" t="n">
        <x:v>45</x:v>
      </x:c>
      <x:c r="AD124" s="59"/>
      <x:c r="AE124" s="61" t="str">
        <x:f>IF(N(F124)&gt;=10,"NHL_LATEST_10",IF(AND(N(F124)&gt;0,N(G124)&gt;0),"NHL_BOTH_SEASONS",IF(N(G124)&gt;=10,"NHL_PREVIOUS_10",IF(AND(ISNUMBER(AD124),AD124=0,SUM(F124:G124)=0),"FARM_CAREER_0",IF(COUNT(F124:G124)&lt;2,"UNKNOWN_GP",IF(AND(F124=0,G124=0),IF(AD124&gt;=10,"FARM_LEGACY_10",IF(AND(ISNUMBER(AD124),AD124&gt;0),"FARM_CAREER_1_9","FARM_0_0")),IF(F124&gt;=1,IF(F124&lt;=3,"FARM_RECENT_1_3","FARM_RECENT_4_9"),"FARM_PREV_1_9_ONLY")))))))</x:f>
        <x:v>UNKNOWN_GP</x:v>
      </x:c>
      <x:c r="AF124" s="57" t="n">
        <x:f>AB124-T124</x:f>
        <x:v>0</x:v>
      </x:c>
      <x:c r="AG124" s="57" t="n">
        <x:f>AC124-U124</x:f>
        <x:v>0</x:v>
      </x:c>
    </x:row>
    <x:row r="125">
      <x:c r="A125" t="s">
        <x:v>1115</x:v>
      </x:c>
      <x:c r="C125" t="s">
        <x:v>331</x:v>
      </x:c>
      <x:c r="D125">
        <x:v>8482981</x:v>
      </x:c>
      <x:c r="E125" t="s">
        <x:v>267</x:v>
      </x:c>
      <x:c r="J125" t="s">
        <x:v>2474</x:v>
      </x:c>
      <x:c r="K125">
        <x:v>81</x:v>
      </x:c>
      <x:c r="L125">
        <x:v>56</x:v>
      </x:c>
      <x:c r="M125">
        <x:v>71</x:v>
      </x:c>
      <x:c r="N125">
        <x:v>33</x:v>
      </x:c>
      <x:c r="O125">
        <x:v>88</x:v>
      </x:c>
      <x:c r="P125">
        <x:v>89</x:v>
      </x:c>
      <x:c r="Q125">
        <x:v>93</x:v>
      </x:c>
      <x:c r="R125">
        <x:v>32</x:v>
      </x:c>
      <x:c r="S125">
        <x:v>30</x:v>
      </x:c>
      <x:c r="T125" s="63" t="n">
        <x:f>MAX(30,MIN(AB125-VLOOKUP(AE125,'AHL_PA_SC_BALANCE'!$A$8:$E$18,2,FALSE),VLOOKUP(AE125,'AHL_PA_SC_BALANCE'!$A$8:$E$18,4,FALSE)))</x:f>
        <x:v>40</x:v>
      </x:c>
      <x:c r="U125" s="63" t="n">
        <x:f>MAX(30,MIN(AC125-VLOOKUP(AE125,'AHL_PA_SC_BALANCE'!$A$8:$E$18,3,FALSE),VLOOKUP(AE125,'AHL_PA_SC_BALANCE'!$A$8:$E$18,5,FALSE)))</x:f>
        <x:v>41</x:v>
      </x:c>
      <x:c r="V125">
        <x:v>68</x:v>
      </x:c>
      <x:c r="W125">
        <x:v>46</x:v>
      </x:c>
      <x:c r="X125">
        <x:v>74</x:v>
      </x:c>
      <x:c r="Y125">
        <x:v>73</x:v>
      </x:c>
      <x:c r="Z125">
        <x:v>51</x:v>
      </x:c>
      <x:c r="AA125">
        <x:v>54</x:v>
      </x:c>
      <x:c r="AB125" s="57" t="n">
        <x:v>40</x:v>
      </x:c>
      <x:c r="AC125" s="57" t="n">
        <x:v>41</x:v>
      </x:c>
      <x:c r="AD125" s="59"/>
      <x:c r="AE125" s="61" t="str">
        <x:f>IF(N(F125)&gt;=10,"NHL_LATEST_10",IF(AND(N(F125)&gt;0,N(G125)&gt;0),"NHL_BOTH_SEASONS",IF(N(G125)&gt;=10,"NHL_PREVIOUS_10",IF(AND(ISNUMBER(AD125),AD125=0,SUM(F125:G125)=0),"FARM_CAREER_0",IF(COUNT(F125:G125)&lt;2,"UNKNOWN_GP",IF(AND(F125=0,G125=0),IF(AD125&gt;=10,"FARM_LEGACY_10",IF(AND(ISNUMBER(AD125),AD125&gt;0),"FARM_CAREER_1_9","FARM_0_0")),IF(F125&gt;=1,IF(F125&lt;=3,"FARM_RECENT_1_3","FARM_RECENT_4_9"),"FARM_PREV_1_9_ONLY")))))))</x:f>
        <x:v>UNKNOWN_GP</x:v>
      </x:c>
      <x:c r="AF125" s="57" t="n">
        <x:f>AB125-T125</x:f>
        <x:v>0</x:v>
      </x:c>
      <x:c r="AG125" s="57" t="n">
        <x:f>AC125-U125</x:f>
        <x:v>0</x:v>
      </x:c>
    </x:row>
    <x:row r="126">
      <x:c r="A126" t="s">
        <x:v>1118</x:v>
      </x:c>
      <x:c r="B126" t="s">
        <x:v>393</x:v>
      </x:c>
      <x:c r="C126" t="s">
        <x:v>331</x:v>
      </x:c>
      <x:c r="D126">
        <x:v>8481461</x:v>
      </x:c>
      <x:c r="E126" t="s">
        <x:v>267</x:v>
      </x:c>
      <x:c r="G126">
        <x:v>4</x:v>
      </x:c>
      <x:c r="J126" t="s">
        <x:v>2479</x:v>
      </x:c>
      <x:c r="K126">
        <x:v>76</x:v>
      </x:c>
      <x:c r="L126">
        <x:v>42</x:v>
      </x:c>
      <x:c r="M126">
        <x:v>86</x:v>
      </x:c>
      <x:c r="N126">
        <x:v>35</x:v>
      </x:c>
      <x:c r="O126">
        <x:v>79</x:v>
      </x:c>
      <x:c r="P126">
        <x:v>91</x:v>
      </x:c>
      <x:c r="Q126">
        <x:v>95</x:v>
      </x:c>
      <x:c r="R126">
        <x:v>34</x:v>
      </x:c>
      <x:c r="S126">
        <x:v>30</x:v>
      </x:c>
      <x:c r="T126" s="63" t="n">
        <x:f>MAX(30,MIN(AB126-VLOOKUP(AE126,'AHL_PA_SC_BALANCE'!$A$8:$E$18,2,FALSE),VLOOKUP(AE126,'AHL_PA_SC_BALANCE'!$A$8:$E$18,4,FALSE)))</x:f>
        <x:v>46</x:v>
      </x:c>
      <x:c r="U126" s="63" t="n">
        <x:f>MAX(30,MIN(AC126-VLOOKUP(AE126,'AHL_PA_SC_BALANCE'!$A$8:$E$18,3,FALSE),VLOOKUP(AE126,'AHL_PA_SC_BALANCE'!$A$8:$E$18,5,FALSE)))</x:f>
        <x:v>41</x:v>
      </x:c>
      <x:c r="V126">
        <x:v>71</x:v>
      </x:c>
      <x:c r="W126">
        <x:v>48</x:v>
      </x:c>
      <x:c r="X126">
        <x:v>74</x:v>
      </x:c>
      <x:c r="Y126">
        <x:v>73</x:v>
      </x:c>
      <x:c r="Z126">
        <x:v>51</x:v>
      </x:c>
      <x:c r="AA126">
        <x:v>54</x:v>
      </x:c>
      <x:c r="AB126" s="57" t="n">
        <x:v>46</x:v>
      </x:c>
      <x:c r="AC126" s="57" t="n">
        <x:v>41</x:v>
      </x:c>
      <x:c r="AD126" s="59"/>
      <x:c r="AE126" s="61" t="str">
        <x:f>IF(N(F126)&gt;=10,"NHL_LATEST_10",IF(AND(N(F126)&gt;0,N(G126)&gt;0),"NHL_BOTH_SEASONS",IF(N(G126)&gt;=10,"NHL_PREVIOUS_10",IF(AND(ISNUMBER(AD126),AD126=0,SUM(F126:G126)=0),"FARM_CAREER_0",IF(COUNT(F126:G126)&lt;2,"UNKNOWN_GP",IF(AND(F126=0,G126=0),IF(AD126&gt;=10,"FARM_LEGACY_10",IF(AND(ISNUMBER(AD126),AD126&gt;0),"FARM_CAREER_1_9","FARM_0_0")),IF(F126&gt;=1,IF(F126&lt;=3,"FARM_RECENT_1_3","FARM_RECENT_4_9"),"FARM_PREV_1_9_ONLY")))))))</x:f>
        <x:v>UNKNOWN_GP</x:v>
      </x:c>
      <x:c r="AF126" s="57" t="n">
        <x:f>AB126-T126</x:f>
        <x:v>0</x:v>
      </x:c>
      <x:c r="AG126" s="57" t="n">
        <x:f>AC126-U126</x:f>
        <x:v>0</x:v>
      </x:c>
    </x:row>
    <x:row r="127">
      <x:c r="A127" t="s">
        <x:v>1119</x:v>
      </x:c>
      <x:c r="C127" t="s">
        <x:v>331</x:v>
      </x:c>
      <x:c r="D127">
        <x:v>8484188</x:v>
      </x:c>
      <x:c r="E127" t="s">
        <x:v>267</x:v>
      </x:c>
      <x:c r="J127" t="s">
        <x:v>2474</x:v>
      </x:c>
      <x:c r="K127">
        <x:v>64</x:v>
      </x:c>
      <x:c r="L127">
        <x:v>35</x:v>
      </x:c>
      <x:c r="M127">
        <x:v>84</x:v>
      </x:c>
      <x:c r="N127">
        <x:v>37</x:v>
      </x:c>
      <x:c r="O127">
        <x:v>78</x:v>
      </x:c>
      <x:c r="P127">
        <x:v>83</x:v>
      </x:c>
      <x:c r="Q127">
        <x:v>92</x:v>
      </x:c>
      <x:c r="R127">
        <x:v>35</x:v>
      </x:c>
      <x:c r="S127">
        <x:v>30</x:v>
      </x:c>
      <x:c r="T127" s="63" t="n">
        <x:f>MAX(30,MIN(AB127-VLOOKUP(AE127,'AHL_PA_SC_BALANCE'!$A$8:$E$18,2,FALSE),VLOOKUP(AE127,'AHL_PA_SC_BALANCE'!$A$8:$E$18,4,FALSE)))</x:f>
        <x:v>46</x:v>
      </x:c>
      <x:c r="U127" s="63" t="n">
        <x:f>MAX(30,MIN(AC127-VLOOKUP(AE127,'AHL_PA_SC_BALANCE'!$A$8:$E$18,3,FALSE),VLOOKUP(AE127,'AHL_PA_SC_BALANCE'!$A$8:$E$18,5,FALSE)))</x:f>
        <x:v>49</x:v>
      </x:c>
      <x:c r="V127">
        <x:v>70</x:v>
      </x:c>
      <x:c r="W127">
        <x:v>51</x:v>
      </x:c>
      <x:c r="X127">
        <x:v>66</x:v>
      </x:c>
      <x:c r="Y127">
        <x:v>67</x:v>
      </x:c>
      <x:c r="Z127">
        <x:v>51</x:v>
      </x:c>
      <x:c r="AA127">
        <x:v>54</x:v>
      </x:c>
      <x:c r="AB127" s="57" t="n">
        <x:v>46</x:v>
      </x:c>
      <x:c r="AC127" s="57" t="n">
        <x:v>49</x:v>
      </x:c>
      <x:c r="AD127" s="59"/>
      <x:c r="AE127" s="61" t="str">
        <x:f>IF(N(F127)&gt;=10,"NHL_LATEST_10",IF(AND(N(F127)&gt;0,N(G127)&gt;0),"NHL_BOTH_SEASONS",IF(N(G127)&gt;=10,"NHL_PREVIOUS_10",IF(AND(ISNUMBER(AD127),AD127=0,SUM(F127:G127)=0),"FARM_CAREER_0",IF(COUNT(F127:G127)&lt;2,"UNKNOWN_GP",IF(AND(F127=0,G127=0),IF(AD127&gt;=10,"FARM_LEGACY_10",IF(AND(ISNUMBER(AD127),AD127&gt;0),"FARM_CAREER_1_9","FARM_0_0")),IF(F127&gt;=1,IF(F127&lt;=3,"FARM_RECENT_1_3","FARM_RECENT_4_9"),"FARM_PREV_1_9_ONLY")))))))</x:f>
        <x:v>UNKNOWN_GP</x:v>
      </x:c>
      <x:c r="AF127" s="57" t="n">
        <x:f>AB127-T127</x:f>
        <x:v>0</x:v>
      </x:c>
      <x:c r="AG127" s="57" t="n">
        <x:f>AC127-U127</x:f>
        <x:v>0</x:v>
      </x:c>
    </x:row>
    <x:row r="128">
      <x:c r="A128" t="s">
        <x:v>1120</x:v>
      </x:c>
      <x:c r="C128" t="s">
        <x:v>331</x:v>
      </x:c>
      <x:c r="D128">
        <x:v>8477463</x:v>
      </x:c>
      <x:c r="E128" t="s">
        <x:v>267</x:v>
      </x:c>
      <x:c r="J128" t="s">
        <x:v>2474</x:v>
      </x:c>
      <x:c r="K128">
        <x:v>69</x:v>
      </x:c>
      <x:c r="L128">
        <x:v>41</x:v>
      </x:c>
      <x:c r="M128">
        <x:v>90</x:v>
      </x:c>
      <x:c r="N128">
        <x:v>35</x:v>
      </x:c>
      <x:c r="O128">
        <x:v>84</x:v>
      </x:c>
      <x:c r="P128">
        <x:v>80</x:v>
      </x:c>
      <x:c r="Q128">
        <x:v>78</x:v>
      </x:c>
      <x:c r="R128">
        <x:v>36</x:v>
      </x:c>
      <x:c r="S128">
        <x:v>30</x:v>
      </x:c>
      <x:c r="T128" s="63" t="n">
        <x:f>MAX(30,MIN(AB128-VLOOKUP(AE128,'AHL_PA_SC_BALANCE'!$A$8:$E$18,2,FALSE),VLOOKUP(AE128,'AHL_PA_SC_BALANCE'!$A$8:$E$18,4,FALSE)))</x:f>
        <x:v>48</x:v>
      </x:c>
      <x:c r="U128" s="63" t="n">
        <x:f>MAX(30,MIN(AC128-VLOOKUP(AE128,'AHL_PA_SC_BALANCE'!$A$8:$E$18,3,FALSE),VLOOKUP(AE128,'AHL_PA_SC_BALANCE'!$A$8:$E$18,5,FALSE)))</x:f>
        <x:v>45</x:v>
      </x:c>
      <x:c r="V128">
        <x:v>72</x:v>
      </x:c>
      <x:c r="W128">
        <x:v>54</x:v>
      </x:c>
      <x:c r="X128">
        <x:v>74</x:v>
      </x:c>
      <x:c r="Y128">
        <x:v>73</x:v>
      </x:c>
      <x:c r="Z128">
        <x:v>51</x:v>
      </x:c>
      <x:c r="AA128">
        <x:v>54</x:v>
      </x:c>
      <x:c r="AB128" s="57" t="n">
        <x:v>48</x:v>
      </x:c>
      <x:c r="AC128" s="57" t="n">
        <x:v>45</x:v>
      </x:c>
      <x:c r="AD128" s="59"/>
      <x:c r="AE128" s="61" t="str">
        <x:f>IF(N(F128)&gt;=10,"NHL_LATEST_10",IF(AND(N(F128)&gt;0,N(G128)&gt;0),"NHL_BOTH_SEASONS",IF(N(G128)&gt;=10,"NHL_PREVIOUS_10",IF(AND(ISNUMBER(AD128),AD128=0,SUM(F128:G128)=0),"FARM_CAREER_0",IF(COUNT(F128:G128)&lt;2,"UNKNOWN_GP",IF(AND(F128=0,G128=0),IF(AD128&gt;=10,"FARM_LEGACY_10",IF(AND(ISNUMBER(AD128),AD128&gt;0),"FARM_CAREER_1_9","FARM_0_0")),IF(F128&gt;=1,IF(F128&lt;=3,"FARM_RECENT_1_3","FARM_RECENT_4_9"),"FARM_PREV_1_9_ONLY")))))))</x:f>
        <x:v>UNKNOWN_GP</x:v>
      </x:c>
      <x:c r="AF128" s="57" t="n">
        <x:f>AB128-T128</x:f>
        <x:v>0</x:v>
      </x:c>
      <x:c r="AG128" s="57" t="n">
        <x:f>AC128-U128</x:f>
        <x:v>0</x:v>
      </x:c>
    </x:row>
    <x:row r="129">
      <x:c r="A129" t="s">
        <x:v>1124</x:v>
      </x:c>
      <x:c r="C129" t="s">
        <x:v>358</x:v>
      </x:c>
      <x:c r="D129">
        <x:v>8479362</x:v>
      </x:c>
      <x:c r="E129" t="s">
        <x:v>267</x:v>
      </x:c>
      <x:c r="J129" t="s">
        <x:v>2474</x:v>
      </x:c>
      <x:c r="K129">
        <x:v>76</x:v>
      </x:c>
      <x:c r="L129">
        <x:v>37</x:v>
      </x:c>
      <x:c r="M129">
        <x:v>77</x:v>
      </x:c>
      <x:c r="N129">
        <x:v>42</x:v>
      </x:c>
      <x:c r="O129">
        <x:v>90</x:v>
      </x:c>
      <x:c r="P129">
        <x:v>90</x:v>
      </x:c>
      <x:c r="Q129">
        <x:v>93</x:v>
      </x:c>
      <x:c r="R129">
        <x:v>42</x:v>
      </x:c>
      <x:c r="S129">
        <x:v>64</x:v>
      </x:c>
      <x:c r="T129" s="63" t="n">
        <x:f>MAX(30,MIN(AB129-VLOOKUP(AE129,'AHL_PA_SC_BALANCE'!$A$8:$E$18,2,FALSE),VLOOKUP(AE129,'AHL_PA_SC_BALANCE'!$A$8:$E$18,4,FALSE)))</x:f>
        <x:v>49</x:v>
      </x:c>
      <x:c r="U129" s="63" t="n">
        <x:f>MAX(30,MIN(AC129-VLOOKUP(AE129,'AHL_PA_SC_BALANCE'!$A$8:$E$18,3,FALSE),VLOOKUP(AE129,'AHL_PA_SC_BALANCE'!$A$8:$E$18,5,FALSE)))</x:f>
        <x:v>52</x:v>
      </x:c>
      <x:c r="V129">
        <x:v>61</x:v>
      </x:c>
      <x:c r="W129">
        <x:v>64</x:v>
      </x:c>
      <x:c r="X129">
        <x:v>70</x:v>
      </x:c>
      <x:c r="Y129">
        <x:v>71</x:v>
      </x:c>
      <x:c r="Z129">
        <x:v>51</x:v>
      </x:c>
      <x:c r="AA129">
        <x:v>54</x:v>
      </x:c>
      <x:c r="AB129" s="57" t="n">
        <x:v>49</x:v>
      </x:c>
      <x:c r="AC129" s="57" t="n">
        <x:v>52</x:v>
      </x:c>
      <x:c r="AD129" s="59"/>
      <x:c r="AE129" s="61" t="str">
        <x:f>IF(N(F129)&gt;=10,"NHL_LATEST_10",IF(AND(N(F129)&gt;0,N(G129)&gt;0),"NHL_BOTH_SEASONS",IF(N(G129)&gt;=10,"NHL_PREVIOUS_10",IF(AND(ISNUMBER(AD129),AD129=0,SUM(F129:G129)=0),"FARM_CAREER_0",IF(COUNT(F129:G129)&lt;2,"UNKNOWN_GP",IF(AND(F129=0,G129=0),IF(AD129&gt;=10,"FARM_LEGACY_10",IF(AND(ISNUMBER(AD129),AD129&gt;0),"FARM_CAREER_1_9","FARM_0_0")),IF(F129&gt;=1,IF(F129&lt;=3,"FARM_RECENT_1_3","FARM_RECENT_4_9"),"FARM_PREV_1_9_ONLY")))))))</x:f>
        <x:v>UNKNOWN_GP</x:v>
      </x:c>
      <x:c r="AF129" s="57" t="n">
        <x:f>AB129-T129</x:f>
        <x:v>0</x:v>
      </x:c>
      <x:c r="AG129" s="57" t="n">
        <x:f>AC129-U129</x:f>
        <x:v>0</x:v>
      </x:c>
    </x:row>
    <x:row r="130">
      <x:c r="A130" t="s">
        <x:v>1128</x:v>
      </x:c>
      <x:c r="C130" t="s">
        <x:v>358</x:v>
      </x:c>
      <x:c r="D130">
        <x:v>8479393</x:v>
      </x:c>
      <x:c r="E130" t="s">
        <x:v>267</x:v>
      </x:c>
      <x:c r="J130" t="s">
        <x:v>2474</x:v>
      </x:c>
      <x:c r="K130">
        <x:v>68</x:v>
      </x:c>
      <x:c r="L130">
        <x:v>75</x:v>
      </x:c>
      <x:c r="M130">
        <x:v>81</x:v>
      </x:c>
      <x:c r="N130">
        <x:v>48</x:v>
      </x:c>
      <x:c r="O130">
        <x:v>76</x:v>
      </x:c>
      <x:c r="P130">
        <x:v>80</x:v>
      </x:c>
      <x:c r="Q130">
        <x:v>81</x:v>
      </x:c>
      <x:c r="R130">
        <x:v>48</x:v>
      </x:c>
      <x:c r="S130">
        <x:v>71</x:v>
      </x:c>
      <x:c r="T130" s="63" t="n">
        <x:f>MAX(30,MIN(AB130-VLOOKUP(AE130,'AHL_PA_SC_BALANCE'!$A$8:$E$18,2,FALSE),VLOOKUP(AE130,'AHL_PA_SC_BALANCE'!$A$8:$E$18,4,FALSE)))</x:f>
        <x:v>51</x:v>
      </x:c>
      <x:c r="U130" s="63" t="n">
        <x:f>MAX(30,MIN(AC130-VLOOKUP(AE130,'AHL_PA_SC_BALANCE'!$A$8:$E$18,3,FALSE),VLOOKUP(AE130,'AHL_PA_SC_BALANCE'!$A$8:$E$18,5,FALSE)))</x:f>
        <x:v>52</x:v>
      </x:c>
      <x:c r="V130">
        <x:v>63</x:v>
      </x:c>
      <x:c r="W130">
        <x:v>63</x:v>
      </x:c>
      <x:c r="X130">
        <x:v>74</x:v>
      </x:c>
      <x:c r="Y130">
        <x:v>69</x:v>
      </x:c>
      <x:c r="Z130">
        <x:v>51</x:v>
      </x:c>
      <x:c r="AA130">
        <x:v>54</x:v>
      </x:c>
      <x:c r="AB130" s="57" t="n">
        <x:v>51</x:v>
      </x:c>
      <x:c r="AC130" s="57" t="n">
        <x:v>52</x:v>
      </x:c>
      <x:c r="AD130" s="59"/>
      <x:c r="AE130" s="61" t="str">
        <x:f>IF(N(F130)&gt;=10,"NHL_LATEST_10",IF(AND(N(F130)&gt;0,N(G130)&gt;0),"NHL_BOTH_SEASONS",IF(N(G130)&gt;=10,"NHL_PREVIOUS_10",IF(AND(ISNUMBER(AD130),AD130=0,SUM(F130:G130)=0),"FARM_CAREER_0",IF(COUNT(F130:G130)&lt;2,"UNKNOWN_GP",IF(AND(F130=0,G130=0),IF(AD130&gt;=10,"FARM_LEGACY_10",IF(AND(ISNUMBER(AD130),AD130&gt;0),"FARM_CAREER_1_9","FARM_0_0")),IF(F130&gt;=1,IF(F130&lt;=3,"FARM_RECENT_1_3","FARM_RECENT_4_9"),"FARM_PREV_1_9_ONLY")))))))</x:f>
        <x:v>UNKNOWN_GP</x:v>
      </x:c>
      <x:c r="AF130" s="57" t="n">
        <x:f>AB130-T130</x:f>
        <x:v>0</x:v>
      </x:c>
      <x:c r="AG130" s="57" t="n">
        <x:f>AC130-U130</x:f>
        <x:v>0</x:v>
      </x:c>
    </x:row>
    <x:row r="131">
      <x:c r="A131" t="s">
        <x:v>1130</x:v>
      </x:c>
      <x:c r="C131" t="s">
        <x:v>319</x:v>
      </x:c>
      <x:c r="D131">
        <x:v>8481237</x:v>
      </x:c>
      <x:c r="E131" t="s">
        <x:v>267</x:v>
      </x:c>
      <x:c r="J131" t="s">
        <x:v>2474</x:v>
      </x:c>
      <x:c r="K131">
        <x:v>73</x:v>
      </x:c>
      <x:c r="L131">
        <x:v>72</x:v>
      </x:c>
      <x:c r="M131">
        <x:v>84</x:v>
      </x:c>
      <x:c r="N131">
        <x:v>47</x:v>
      </x:c>
      <x:c r="O131">
        <x:v>76</x:v>
      </x:c>
      <x:c r="P131">
        <x:v>82</x:v>
      </x:c>
      <x:c r="Q131">
        <x:v>82</x:v>
      </x:c>
      <x:c r="R131">
        <x:v>48</x:v>
      </x:c>
      <x:c r="S131">
        <x:v>78</x:v>
      </x:c>
      <x:c r="T131" s="63" t="n">
        <x:f>MAX(30,MIN(AB131-VLOOKUP(AE131,'AHL_PA_SC_BALANCE'!$A$8:$E$18,2,FALSE),VLOOKUP(AE131,'AHL_PA_SC_BALANCE'!$A$8:$E$18,4,FALSE)))</x:f>
        <x:v>49</x:v>
      </x:c>
      <x:c r="U131" s="63" t="n">
        <x:f>MAX(30,MIN(AC131-VLOOKUP(AE131,'AHL_PA_SC_BALANCE'!$A$8:$E$18,3,FALSE),VLOOKUP(AE131,'AHL_PA_SC_BALANCE'!$A$8:$E$18,5,FALSE)))</x:f>
        <x:v>49</x:v>
      </x:c>
      <x:c r="V131">
        <x:v>62</x:v>
      </x:c>
      <x:c r="W131">
        <x:v>52</x:v>
      </x:c>
      <x:c r="X131">
        <x:v>71</x:v>
      </x:c>
      <x:c r="Y131">
        <x:v>69</x:v>
      </x:c>
      <x:c r="Z131">
        <x:v>51</x:v>
      </x:c>
      <x:c r="AA131">
        <x:v>54</x:v>
      </x:c>
      <x:c r="AB131" s="57" t="n">
        <x:v>49</x:v>
      </x:c>
      <x:c r="AC131" s="57" t="n">
        <x:v>49</x:v>
      </x:c>
      <x:c r="AD131" s="59"/>
      <x:c r="AE131" s="61" t="str">
        <x:f>IF(N(F131)&gt;=10,"NHL_LATEST_10",IF(AND(N(F131)&gt;0,N(G131)&gt;0),"NHL_BOTH_SEASONS",IF(N(G131)&gt;=10,"NHL_PREVIOUS_10",IF(AND(ISNUMBER(AD131),AD131=0,SUM(F131:G131)=0),"FARM_CAREER_0",IF(COUNT(F131:G131)&lt;2,"UNKNOWN_GP",IF(AND(F131=0,G131=0),IF(AD131&gt;=10,"FARM_LEGACY_10",IF(AND(ISNUMBER(AD131),AD131&gt;0),"FARM_CAREER_1_9","FARM_0_0")),IF(F131&gt;=1,IF(F131&lt;=3,"FARM_RECENT_1_3","FARM_RECENT_4_9"),"FARM_PREV_1_9_ONLY")))))))</x:f>
        <x:v>UNKNOWN_GP</x:v>
      </x:c>
      <x:c r="AF131" s="57" t="n">
        <x:f>AB131-T131</x:f>
        <x:v>0</x:v>
      </x:c>
      <x:c r="AG131" s="57" t="n">
        <x:f>AC131-U131</x:f>
        <x:v>0</x:v>
      </x:c>
    </x:row>
    <x:row r="132">
      <x:c r="A132" t="s">
        <x:v>1132</x:v>
      </x:c>
      <x:c r="C132" t="s">
        <x:v>331</x:v>
      </x:c>
      <x:c r="D132">
        <x:v>8482169</x:v>
      </x:c>
      <x:c r="E132" t="s">
        <x:v>267</x:v>
      </x:c>
      <x:c r="J132" t="s">
        <x:v>2474</x:v>
      </x:c>
      <x:c r="K132">
        <x:v>78</x:v>
      </x:c>
      <x:c r="L132">
        <x:v>39</x:v>
      </x:c>
      <x:c r="M132">
        <x:v>85</x:v>
      </x:c>
      <x:c r="N132">
        <x:v>34</x:v>
      </x:c>
      <x:c r="O132">
        <x:v>85</x:v>
      </x:c>
      <x:c r="P132">
        <x:v>87</x:v>
      </x:c>
      <x:c r="Q132">
        <x:v>89</x:v>
      </x:c>
      <x:c r="R132">
        <x:v>35</x:v>
      </x:c>
      <x:c r="S132">
        <x:v>30</x:v>
      </x:c>
      <x:c r="T132" s="63" t="n">
        <x:f>MAX(30,MIN(AB132-VLOOKUP(AE132,'AHL_PA_SC_BALANCE'!$A$8:$E$18,2,FALSE),VLOOKUP(AE132,'AHL_PA_SC_BALANCE'!$A$8:$E$18,4,FALSE)))</x:f>
        <x:v>42</x:v>
      </x:c>
      <x:c r="U132" s="63" t="n">
        <x:f>MAX(30,MIN(AC132-VLOOKUP(AE132,'AHL_PA_SC_BALANCE'!$A$8:$E$18,3,FALSE),VLOOKUP(AE132,'AHL_PA_SC_BALANCE'!$A$8:$E$18,5,FALSE)))</x:f>
        <x:v>40</x:v>
      </x:c>
      <x:c r="V132">
        <x:v>71</x:v>
      </x:c>
      <x:c r="W132">
        <x:v>46</x:v>
      </x:c>
      <x:c r="X132">
        <x:v>67</x:v>
      </x:c>
      <x:c r="Y132">
        <x:v>67</x:v>
      </x:c>
      <x:c r="Z132">
        <x:v>51</x:v>
      </x:c>
      <x:c r="AA132">
        <x:v>53</x:v>
      </x:c>
      <x:c r="AB132" s="57" t="n">
        <x:v>42</x:v>
      </x:c>
      <x:c r="AC132" s="57" t="n">
        <x:v>40</x:v>
      </x:c>
      <x:c r="AD132" s="59"/>
      <x:c r="AE132" s="61" t="str">
        <x:f>IF(N(F132)&gt;=10,"NHL_LATEST_10",IF(AND(N(F132)&gt;0,N(G132)&gt;0),"NHL_BOTH_SEASONS",IF(N(G132)&gt;=10,"NHL_PREVIOUS_10",IF(AND(ISNUMBER(AD132),AD132=0,SUM(F132:G132)=0),"FARM_CAREER_0",IF(COUNT(F132:G132)&lt;2,"UNKNOWN_GP",IF(AND(F132=0,G132=0),IF(AD132&gt;=10,"FARM_LEGACY_10",IF(AND(ISNUMBER(AD132),AD132&gt;0),"FARM_CAREER_1_9","FARM_0_0")),IF(F132&gt;=1,IF(F132&lt;=3,"FARM_RECENT_1_3","FARM_RECENT_4_9"),"FARM_PREV_1_9_ONLY")))))))</x:f>
        <x:v>UNKNOWN_GP</x:v>
      </x:c>
      <x:c r="AF132" s="57" t="n">
        <x:f>AB132-T132</x:f>
        <x:v>0</x:v>
      </x:c>
      <x:c r="AG132" s="57" t="n">
        <x:f>AC132-U132</x:f>
        <x:v>0</x:v>
      </x:c>
    </x:row>
    <x:row r="133">
      <x:c r="A133" t="s">
        <x:v>1133</x:v>
      </x:c>
      <x:c r="C133" t="s">
        <x:v>331</x:v>
      </x:c>
      <x:c r="D133">
        <x:v>8481820</x:v>
      </x:c>
      <x:c r="E133" t="s">
        <x:v>267</x:v>
      </x:c>
      <x:c r="J133" t="s">
        <x:v>2474</x:v>
      </x:c>
      <x:c r="K133">
        <x:v>90</x:v>
      </x:c>
      <x:c r="L133">
        <x:v>38</x:v>
      </x:c>
      <x:c r="M133">
        <x:v>84</x:v>
      </x:c>
      <x:c r="N133">
        <x:v>32</x:v>
      </x:c>
      <x:c r="O133">
        <x:v>96</x:v>
      </x:c>
      <x:c r="P133">
        <x:v>74</x:v>
      </x:c>
      <x:c r="Q133">
        <x:v>76</x:v>
      </x:c>
      <x:c r="R133">
        <x:v>32</x:v>
      </x:c>
      <x:c r="S133">
        <x:v>30</x:v>
      </x:c>
      <x:c r="T133" s="63" t="n">
        <x:f>MAX(30,MIN(AB133-VLOOKUP(AE133,'AHL_PA_SC_BALANCE'!$A$8:$E$18,2,FALSE),VLOOKUP(AE133,'AHL_PA_SC_BALANCE'!$A$8:$E$18,4,FALSE)))</x:f>
        <x:v>41</x:v>
      </x:c>
      <x:c r="U133" s="63" t="n">
        <x:f>MAX(30,MIN(AC133-VLOOKUP(AE133,'AHL_PA_SC_BALANCE'!$A$8:$E$18,3,FALSE),VLOOKUP(AE133,'AHL_PA_SC_BALANCE'!$A$8:$E$18,5,FALSE)))</x:f>
        <x:v>39</x:v>
      </x:c>
      <x:c r="V133">
        <x:v>68</x:v>
      </x:c>
      <x:c r="W133">
        <x:v>45</x:v>
      </x:c>
      <x:c r="X133">
        <x:v>68</x:v>
      </x:c>
      <x:c r="Y133">
        <x:v>69</x:v>
      </x:c>
      <x:c r="Z133">
        <x:v>51</x:v>
      </x:c>
      <x:c r="AA133">
        <x:v>53</x:v>
      </x:c>
      <x:c r="AB133" s="57" t="n">
        <x:v>41</x:v>
      </x:c>
      <x:c r="AC133" s="57" t="n">
        <x:v>39</x:v>
      </x:c>
      <x:c r="AD133" s="59"/>
      <x:c r="AE133" s="61" t="str">
        <x:f>IF(N(F133)&gt;=10,"NHL_LATEST_10",IF(AND(N(F133)&gt;0,N(G133)&gt;0),"NHL_BOTH_SEASONS",IF(N(G133)&gt;=10,"NHL_PREVIOUS_10",IF(AND(ISNUMBER(AD133),AD133=0,SUM(F133:G133)=0),"FARM_CAREER_0",IF(COUNT(F133:G133)&lt;2,"UNKNOWN_GP",IF(AND(F133=0,G133=0),IF(AD133&gt;=10,"FARM_LEGACY_10",IF(AND(ISNUMBER(AD133),AD133&gt;0),"FARM_CAREER_1_9","FARM_0_0")),IF(F133&gt;=1,IF(F133&lt;=3,"FARM_RECENT_1_3","FARM_RECENT_4_9"),"FARM_PREV_1_9_ONLY")))))))</x:f>
        <x:v>UNKNOWN_GP</x:v>
      </x:c>
      <x:c r="AF133" s="57" t="n">
        <x:f>AB133-T133</x:f>
        <x:v>0</x:v>
      </x:c>
      <x:c r="AG133" s="57" t="n">
        <x:f>AC133-U133</x:f>
        <x:v>0</x:v>
      </x:c>
    </x:row>
    <x:row r="134">
      <x:c r="A134" t="s">
        <x:v>1134</x:v>
      </x:c>
      <x:c r="C134" t="s">
        <x:v>331</x:v>
      </x:c>
      <x:c r="D134">
        <x:v>8481587</x:v>
      </x:c>
      <x:c r="E134" t="s">
        <x:v>267</x:v>
      </x:c>
      <x:c r="J134" t="s">
        <x:v>2474</x:v>
      </x:c>
      <x:c r="K134">
        <x:v>81</x:v>
      </x:c>
      <x:c r="L134">
        <x:v>33</x:v>
      </x:c>
      <x:c r="M134">
        <x:v>84</x:v>
      </x:c>
      <x:c r="N134">
        <x:v>33</x:v>
      </x:c>
      <x:c r="O134">
        <x:v>87</x:v>
      </x:c>
      <x:c r="P134">
        <x:v>89</x:v>
      </x:c>
      <x:c r="Q134">
        <x:v>92</x:v>
      </x:c>
      <x:c r="R134">
        <x:v>34</x:v>
      </x:c>
      <x:c r="S134">
        <x:v>30</x:v>
      </x:c>
      <x:c r="T134" s="63" t="n">
        <x:f>MAX(30,MIN(AB134-VLOOKUP(AE134,'AHL_PA_SC_BALANCE'!$A$8:$E$18,2,FALSE),VLOOKUP(AE134,'AHL_PA_SC_BALANCE'!$A$8:$E$18,4,FALSE)))</x:f>
        <x:v>45</x:v>
      </x:c>
      <x:c r="U134" s="63" t="n">
        <x:f>MAX(30,MIN(AC134-VLOOKUP(AE134,'AHL_PA_SC_BALANCE'!$A$8:$E$18,3,FALSE),VLOOKUP(AE134,'AHL_PA_SC_BALANCE'!$A$8:$E$18,5,FALSE)))</x:f>
        <x:v>41</x:v>
      </x:c>
      <x:c r="V134">
        <x:v>69</x:v>
      </x:c>
      <x:c r="W134">
        <x:v>48</x:v>
      </x:c>
      <x:c r="X134">
        <x:v>68</x:v>
      </x:c>
      <x:c r="Y134">
        <x:v>69</x:v>
      </x:c>
      <x:c r="Z134">
        <x:v>51</x:v>
      </x:c>
      <x:c r="AA134">
        <x:v>53</x:v>
      </x:c>
      <x:c r="AB134" s="57" t="n">
        <x:v>45</x:v>
      </x:c>
      <x:c r="AC134" s="57" t="n">
        <x:v>41</x:v>
      </x:c>
      <x:c r="AD134" s="59"/>
      <x:c r="AE134" s="61" t="str">
        <x:f>IF(N(F134)&gt;=10,"NHL_LATEST_10",IF(AND(N(F134)&gt;0,N(G134)&gt;0),"NHL_BOTH_SEASONS",IF(N(G134)&gt;=10,"NHL_PREVIOUS_10",IF(AND(ISNUMBER(AD134),AD134=0,SUM(F134:G134)=0),"FARM_CAREER_0",IF(COUNT(F134:G134)&lt;2,"UNKNOWN_GP",IF(AND(F134=0,G134=0),IF(AD134&gt;=10,"FARM_LEGACY_10",IF(AND(ISNUMBER(AD134),AD134&gt;0),"FARM_CAREER_1_9","FARM_0_0")),IF(F134&gt;=1,IF(F134&lt;=3,"FARM_RECENT_1_3","FARM_RECENT_4_9"),"FARM_PREV_1_9_ONLY")))))))</x:f>
        <x:v>UNKNOWN_GP</x:v>
      </x:c>
      <x:c r="AF134" s="57" t="n">
        <x:f>AB134-T134</x:f>
        <x:v>0</x:v>
      </x:c>
      <x:c r="AG134" s="57" t="n">
        <x:f>AC134-U134</x:f>
        <x:v>0</x:v>
      </x:c>
    </x:row>
    <x:row r="135">
      <x:c r="A135" t="s">
        <x:v>1135</x:v>
      </x:c>
      <x:c r="C135" t="s">
        <x:v>331</x:v>
      </x:c>
      <x:c r="D135">
        <x:v>8481599</x:v>
      </x:c>
      <x:c r="E135" t="s">
        <x:v>267</x:v>
      </x:c>
      <x:c r="J135" t="s">
        <x:v>2474</x:v>
      </x:c>
      <x:c r="K135">
        <x:v>68</x:v>
      </x:c>
      <x:c r="L135">
        <x:v>38</x:v>
      </x:c>
      <x:c r="M135">
        <x:v>83</x:v>
      </x:c>
      <x:c r="N135">
        <x:v>37</x:v>
      </x:c>
      <x:c r="O135">
        <x:v>80</x:v>
      </x:c>
      <x:c r="P135">
        <x:v>85</x:v>
      </x:c>
      <x:c r="Q135">
        <x:v>89</x:v>
      </x:c>
      <x:c r="R135">
        <x:v>35</x:v>
      </x:c>
      <x:c r="S135">
        <x:v>30</x:v>
      </x:c>
      <x:c r="T135" s="63" t="n">
        <x:f>MAX(30,MIN(AB135-VLOOKUP(AE135,'AHL_PA_SC_BALANCE'!$A$8:$E$18,2,FALSE),VLOOKUP(AE135,'AHL_PA_SC_BALANCE'!$A$8:$E$18,4,FALSE)))</x:f>
        <x:v>49</x:v>
      </x:c>
      <x:c r="U135" s="63" t="n">
        <x:f>MAX(30,MIN(AC135-VLOOKUP(AE135,'AHL_PA_SC_BALANCE'!$A$8:$E$18,3,FALSE),VLOOKUP(AE135,'AHL_PA_SC_BALANCE'!$A$8:$E$18,5,FALSE)))</x:f>
        <x:v>44</x:v>
      </x:c>
      <x:c r="V135">
        <x:v>72</x:v>
      </x:c>
      <x:c r="W135">
        <x:v>49</x:v>
      </x:c>
      <x:c r="X135">
        <x:v>67</x:v>
      </x:c>
      <x:c r="Y135">
        <x:v>67</x:v>
      </x:c>
      <x:c r="Z135">
        <x:v>51</x:v>
      </x:c>
      <x:c r="AA135">
        <x:v>53</x:v>
      </x:c>
      <x:c r="AB135" s="57" t="n">
        <x:v>49</x:v>
      </x:c>
      <x:c r="AC135" s="57" t="n">
        <x:v>44</x:v>
      </x:c>
      <x:c r="AD135" s="59"/>
      <x:c r="AE135" s="61" t="str">
        <x:f>IF(N(F135)&gt;=10,"NHL_LATEST_10",IF(AND(N(F135)&gt;0,N(G135)&gt;0),"NHL_BOTH_SEASONS",IF(N(G135)&gt;=10,"NHL_PREVIOUS_10",IF(AND(ISNUMBER(AD135),AD135=0,SUM(F135:G135)=0),"FARM_CAREER_0",IF(COUNT(F135:G135)&lt;2,"UNKNOWN_GP",IF(AND(F135=0,G135=0),IF(AD135&gt;=10,"FARM_LEGACY_10",IF(AND(ISNUMBER(AD135),AD135&gt;0),"FARM_CAREER_1_9","FARM_0_0")),IF(F135&gt;=1,IF(F135&lt;=3,"FARM_RECENT_1_3","FARM_RECENT_4_9"),"FARM_PREV_1_9_ONLY")))))))</x:f>
        <x:v>UNKNOWN_GP</x:v>
      </x:c>
      <x:c r="AF135" s="57" t="n">
        <x:f>AB135-T135</x:f>
        <x:v>0</x:v>
      </x:c>
      <x:c r="AG135" s="57" t="n">
        <x:f>AC135-U135</x:f>
        <x:v>0</x:v>
      </x:c>
    </x:row>
    <x:row r="136">
      <x:c r="A136" t="s">
        <x:v>1136</x:v>
      </x:c>
      <x:c r="C136" t="s">
        <x:v>331</x:v>
      </x:c>
      <x:c r="D136">
        <x:v>8483472</x:v>
      </x:c>
      <x:c r="E136" t="s">
        <x:v>267</x:v>
      </x:c>
      <x:c r="J136" t="s">
        <x:v>2474</x:v>
      </x:c>
      <x:c r="K136">
        <x:v>81</x:v>
      </x:c>
      <x:c r="L136">
        <x:v>88</x:v>
      </x:c>
      <x:c r="M136">
        <x:v>73</x:v>
      </x:c>
      <x:c r="N136">
        <x:v>34</x:v>
      </x:c>
      <x:c r="O136">
        <x:v>81</x:v>
      </x:c>
      <x:c r="P136">
        <x:v>88</x:v>
      </x:c>
      <x:c r="Q136">
        <x:v>92</x:v>
      </x:c>
      <x:c r="R136">
        <x:v>34</x:v>
      </x:c>
      <x:c r="S136">
        <x:v>30</x:v>
      </x:c>
      <x:c r="T136" s="63" t="n">
        <x:f>MAX(30,MIN(AB136-VLOOKUP(AE136,'AHL_PA_SC_BALANCE'!$A$8:$E$18,2,FALSE),VLOOKUP(AE136,'AHL_PA_SC_BALANCE'!$A$8:$E$18,4,FALSE)))</x:f>
        <x:v>44</x:v>
      </x:c>
      <x:c r="U136" s="63" t="n">
        <x:f>MAX(30,MIN(AC136-VLOOKUP(AE136,'AHL_PA_SC_BALANCE'!$A$8:$E$18,3,FALSE),VLOOKUP(AE136,'AHL_PA_SC_BALANCE'!$A$8:$E$18,5,FALSE)))</x:f>
        <x:v>42</x:v>
      </x:c>
      <x:c r="V136">
        <x:v>70</x:v>
      </x:c>
      <x:c r="W136">
        <x:v>48</x:v>
      </x:c>
      <x:c r="X136">
        <x:v>66</x:v>
      </x:c>
      <x:c r="Y136">
        <x:v>66</x:v>
      </x:c>
      <x:c r="Z136">
        <x:v>51</x:v>
      </x:c>
      <x:c r="AA136">
        <x:v>53</x:v>
      </x:c>
      <x:c r="AB136" s="57" t="n">
        <x:v>44</x:v>
      </x:c>
      <x:c r="AC136" s="57" t="n">
        <x:v>42</x:v>
      </x:c>
      <x:c r="AD136" s="59"/>
      <x:c r="AE136" s="61" t="str">
        <x:f>IF(N(F136)&gt;=10,"NHL_LATEST_10",IF(AND(N(F136)&gt;0,N(G136)&gt;0),"NHL_BOTH_SEASONS",IF(N(G136)&gt;=10,"NHL_PREVIOUS_10",IF(AND(ISNUMBER(AD136),AD136=0,SUM(F136:G136)=0),"FARM_CAREER_0",IF(COUNT(F136:G136)&lt;2,"UNKNOWN_GP",IF(AND(F136=0,G136=0),IF(AD136&gt;=10,"FARM_LEGACY_10",IF(AND(ISNUMBER(AD136),AD136&gt;0),"FARM_CAREER_1_9","FARM_0_0")),IF(F136&gt;=1,IF(F136&lt;=3,"FARM_RECENT_1_3","FARM_RECENT_4_9"),"FARM_PREV_1_9_ONLY")))))))</x:f>
        <x:v>UNKNOWN_GP</x:v>
      </x:c>
      <x:c r="AF136" s="57" t="n">
        <x:f>AB136-T136</x:f>
        <x:v>0</x:v>
      </x:c>
      <x:c r="AG136" s="57" t="n">
        <x:f>AC136-U136</x:f>
        <x:v>0</x:v>
      </x:c>
    </x:row>
    <x:row r="137">
      <x:c r="A137" t="s">
        <x:v>1137</x:v>
      </x:c>
      <x:c r="C137" t="s">
        <x:v>326</x:v>
      </x:c>
      <x:c r="D137">
        <x:v>8484794</x:v>
      </x:c>
      <x:c r="E137" t="s">
        <x:v>267</x:v>
      </x:c>
      <x:c r="J137" t="s">
        <x:v>2474</x:v>
      </x:c>
      <x:c r="K137">
        <x:v>83</x:v>
      </x:c>
      <x:c r="L137">
        <x:v>37</x:v>
      </x:c>
      <x:c r="M137">
        <x:v>92</x:v>
      </x:c>
      <x:c r="N137">
        <x:v>49</x:v>
      </x:c>
      <x:c r="O137">
        <x:v>79</x:v>
      </x:c>
      <x:c r="P137">
        <x:v>80</x:v>
      </x:c>
      <x:c r="Q137">
        <x:v>88</x:v>
      </x:c>
      <x:c r="R137">
        <x:v>48</x:v>
      </x:c>
      <x:c r="S137">
        <x:v>61</x:v>
      </x:c>
      <x:c r="T137" s="63" t="n">
        <x:f>MAX(30,MIN(AB137-VLOOKUP(AE137,'AHL_PA_SC_BALANCE'!$A$8:$E$18,2,FALSE),VLOOKUP(AE137,'AHL_PA_SC_BALANCE'!$A$8:$E$18,4,FALSE)))</x:f>
        <x:v>49</x:v>
      </x:c>
      <x:c r="U137" s="63" t="n">
        <x:f>MAX(30,MIN(AC137-VLOOKUP(AE137,'AHL_PA_SC_BALANCE'!$A$8:$E$18,3,FALSE),VLOOKUP(AE137,'AHL_PA_SC_BALANCE'!$A$8:$E$18,5,FALSE)))</x:f>
        <x:v>48</x:v>
      </x:c>
      <x:c r="V137">
        <x:v>60</x:v>
      </x:c>
      <x:c r="W137">
        <x:v>51</x:v>
      </x:c>
      <x:c r="X137">
        <x:v>65</x:v>
      </x:c>
      <x:c r="Y137">
        <x:v>67</x:v>
      </x:c>
      <x:c r="Z137">
        <x:v>51</x:v>
      </x:c>
      <x:c r="AA137">
        <x:v>53</x:v>
      </x:c>
      <x:c r="AB137" s="57" t="n">
        <x:v>49</x:v>
      </x:c>
      <x:c r="AC137" s="57" t="n">
        <x:v>48</x:v>
      </x:c>
      <x:c r="AD137" s="59"/>
      <x:c r="AE137" s="61" t="str">
        <x:f>IF(N(F137)&gt;=10,"NHL_LATEST_10",IF(AND(N(F137)&gt;0,N(G137)&gt;0),"NHL_BOTH_SEASONS",IF(N(G137)&gt;=10,"NHL_PREVIOUS_10",IF(AND(ISNUMBER(AD137),AD137=0,SUM(F137:G137)=0),"FARM_CAREER_0",IF(COUNT(F137:G137)&lt;2,"UNKNOWN_GP",IF(AND(F137=0,G137=0),IF(AD137&gt;=10,"FARM_LEGACY_10",IF(AND(ISNUMBER(AD137),AD137&gt;0),"FARM_CAREER_1_9","FARM_0_0")),IF(F137&gt;=1,IF(F137&lt;=3,"FARM_RECENT_1_3","FARM_RECENT_4_9"),"FARM_PREV_1_9_ONLY")))))))</x:f>
        <x:v>UNKNOWN_GP</x:v>
      </x:c>
      <x:c r="AF137" s="57" t="n">
        <x:f>AB137-T137</x:f>
        <x:v>0</x:v>
      </x:c>
      <x:c r="AG137" s="57" t="n">
        <x:f>AC137-U137</x:f>
        <x:v>0</x:v>
      </x:c>
    </x:row>
    <x:row r="138">
      <x:c r="A138" t="s">
        <x:v>1138</x:v>
      </x:c>
      <x:c r="C138" t="s">
        <x:v>331</x:v>
      </x:c>
      <x:c r="D138">
        <x:v>8482873</x:v>
      </x:c>
      <x:c r="E138" t="s">
        <x:v>267</x:v>
      </x:c>
      <x:c r="J138" t="s">
        <x:v>2474</x:v>
      </x:c>
      <x:c r="K138">
        <x:v>76</x:v>
      </x:c>
      <x:c r="L138">
        <x:v>33</x:v>
      </x:c>
      <x:c r="M138">
        <x:v>86</x:v>
      </x:c>
      <x:c r="N138">
        <x:v>35</x:v>
      </x:c>
      <x:c r="O138">
        <x:v>82</x:v>
      </x:c>
      <x:c r="P138">
        <x:v>85</x:v>
      </x:c>
      <x:c r="Q138">
        <x:v>88</x:v>
      </x:c>
      <x:c r="R138">
        <x:v>34</x:v>
      </x:c>
      <x:c r="S138">
        <x:v>30</x:v>
      </x:c>
      <x:c r="T138" s="63" t="n">
        <x:f>MAX(30,MIN(AB138-VLOOKUP(AE138,'AHL_PA_SC_BALANCE'!$A$8:$E$18,2,FALSE),VLOOKUP(AE138,'AHL_PA_SC_BALANCE'!$A$8:$E$18,4,FALSE)))</x:f>
        <x:v>47</x:v>
      </x:c>
      <x:c r="U138" s="63" t="n">
        <x:f>MAX(30,MIN(AC138-VLOOKUP(AE138,'AHL_PA_SC_BALANCE'!$A$8:$E$18,3,FALSE),VLOOKUP(AE138,'AHL_PA_SC_BALANCE'!$A$8:$E$18,5,FALSE)))</x:f>
        <x:v>40</x:v>
      </x:c>
      <x:c r="V138">
        <x:v>69</x:v>
      </x:c>
      <x:c r="W138">
        <x:v>49</x:v>
      </x:c>
      <x:c r="X138">
        <x:v>66</x:v>
      </x:c>
      <x:c r="Y138">
        <x:v>65</x:v>
      </x:c>
      <x:c r="Z138">
        <x:v>51</x:v>
      </x:c>
      <x:c r="AA138">
        <x:v>53</x:v>
      </x:c>
      <x:c r="AB138" s="57" t="n">
        <x:v>47</x:v>
      </x:c>
      <x:c r="AC138" s="57" t="n">
        <x:v>40</x:v>
      </x:c>
      <x:c r="AD138" s="59"/>
      <x:c r="AE138" s="61" t="str">
        <x:f>IF(N(F138)&gt;=10,"NHL_LATEST_10",IF(AND(N(F138)&gt;0,N(G138)&gt;0),"NHL_BOTH_SEASONS",IF(N(G138)&gt;=10,"NHL_PREVIOUS_10",IF(AND(ISNUMBER(AD138),AD138=0,SUM(F138:G138)=0),"FARM_CAREER_0",IF(COUNT(F138:G138)&lt;2,"UNKNOWN_GP",IF(AND(F138=0,G138=0),IF(AD138&gt;=10,"FARM_LEGACY_10",IF(AND(ISNUMBER(AD138),AD138&gt;0),"FARM_CAREER_1_9","FARM_0_0")),IF(F138&gt;=1,IF(F138&lt;=3,"FARM_RECENT_1_3","FARM_RECENT_4_9"),"FARM_PREV_1_9_ONLY")))))))</x:f>
        <x:v>UNKNOWN_GP</x:v>
      </x:c>
      <x:c r="AF138" s="57" t="n">
        <x:f>AB138-T138</x:f>
        <x:v>0</x:v>
      </x:c>
      <x:c r="AG138" s="57" t="n">
        <x:f>AC138-U138</x:f>
        <x:v>0</x:v>
      </x:c>
    </x:row>
    <x:row r="139">
      <x:c r="A139" t="s">
        <x:v>1139</x:v>
      </x:c>
      <x:c r="C139" t="s">
        <x:v>339</x:v>
      </x:c>
      <x:c r="D139">
        <x:v>8484197</x:v>
      </x:c>
      <x:c r="E139" t="s">
        <x:v>267</x:v>
      </x:c>
      <x:c r="J139" t="s">
        <x:v>2474</x:v>
      </x:c>
      <x:c r="K139">
        <x:v>58</x:v>
      </x:c>
      <x:c r="L139">
        <x:v>48</x:v>
      </x:c>
      <x:c r="M139">
        <x:v>89</x:v>
      </x:c>
      <x:c r="N139">
        <x:v>53</x:v>
      </x:c>
      <x:c r="O139">
        <x:v>76</x:v>
      </x:c>
      <x:c r="P139">
        <x:v>82</x:v>
      </x:c>
      <x:c r="Q139">
        <x:v>78</x:v>
      </x:c>
      <x:c r="R139">
        <x:v>51</x:v>
      </x:c>
      <x:c r="S139">
        <x:v>81</x:v>
      </x:c>
      <x:c r="T139" s="63" t="n">
        <x:f>MAX(30,MIN(AB139-VLOOKUP(AE139,'AHL_PA_SC_BALANCE'!$A$8:$E$18,2,FALSE),VLOOKUP(AE139,'AHL_PA_SC_BALANCE'!$A$8:$E$18,4,FALSE)))</x:f>
        <x:v>53</x:v>
      </x:c>
      <x:c r="U139" s="63" t="n">
        <x:f>MAX(30,MIN(AC139-VLOOKUP(AE139,'AHL_PA_SC_BALANCE'!$A$8:$E$18,3,FALSE),VLOOKUP(AE139,'AHL_PA_SC_BALANCE'!$A$8:$E$18,5,FALSE)))</x:f>
        <x:v>50</x:v>
      </x:c>
      <x:c r="V139">
        <x:v>61</x:v>
      </x:c>
      <x:c r="W139">
        <x:v>73</x:v>
      </x:c>
      <x:c r="X139">
        <x:v>66</x:v>
      </x:c>
      <x:c r="Y139">
        <x:v>67</x:v>
      </x:c>
      <x:c r="Z139">
        <x:v>51</x:v>
      </x:c>
      <x:c r="AA139">
        <x:v>53</x:v>
      </x:c>
      <x:c r="AB139" s="57" t="n">
        <x:v>53</x:v>
      </x:c>
      <x:c r="AC139" s="57" t="n">
        <x:v>50</x:v>
      </x:c>
      <x:c r="AD139" s="59"/>
      <x:c r="AE139" s="61" t="str">
        <x:f>IF(N(F139)&gt;=10,"NHL_LATEST_10",IF(AND(N(F139)&gt;0,N(G139)&gt;0),"NHL_BOTH_SEASONS",IF(N(G139)&gt;=10,"NHL_PREVIOUS_10",IF(AND(ISNUMBER(AD139),AD139=0,SUM(F139:G139)=0),"FARM_CAREER_0",IF(COUNT(F139:G139)&lt;2,"UNKNOWN_GP",IF(AND(F139=0,G139=0),IF(AD139&gt;=10,"FARM_LEGACY_10",IF(AND(ISNUMBER(AD139),AD139&gt;0),"FARM_CAREER_1_9","FARM_0_0")),IF(F139&gt;=1,IF(F139&lt;=3,"FARM_RECENT_1_3","FARM_RECENT_4_9"),"FARM_PREV_1_9_ONLY")))))))</x:f>
        <x:v>UNKNOWN_GP</x:v>
      </x:c>
      <x:c r="AF139" s="57" t="n">
        <x:f>AB139-T139</x:f>
        <x:v>0</x:v>
      </x:c>
      <x:c r="AG139" s="57" t="n">
        <x:f>AC139-U139</x:f>
        <x:v>0</x:v>
      </x:c>
    </x:row>
    <x:row r="140">
      <x:c r="A140" t="s">
        <x:v>1140</x:v>
      </x:c>
      <x:c r="B140" t="s">
        <x:v>320</x:v>
      </x:c>
      <x:c r="C140" t="s">
        <x:v>358</x:v>
      </x:c>
      <x:c r="D140">
        <x:v>8479383</x:v>
      </x:c>
      <x:c r="E140" t="s">
        <x:v>267</x:v>
      </x:c>
      <x:c r="F140">
        <x:v>3</x:v>
      </x:c>
      <x:c r="J140" t="s">
        <x:v>2480</x:v>
      </x:c>
      <x:c r="K140">
        <x:v>69</x:v>
      </x:c>
      <x:c r="L140">
        <x:v>35</x:v>
      </x:c>
      <x:c r="M140">
        <x:v>85</x:v>
      </x:c>
      <x:c r="N140">
        <x:v>46</x:v>
      </x:c>
      <x:c r="O140">
        <x:v>82</x:v>
      </x:c>
      <x:c r="P140">
        <x:v>82</x:v>
      </x:c>
      <x:c r="Q140">
        <x:v>84</x:v>
      </x:c>
      <x:c r="R140">
        <x:v>47</x:v>
      </x:c>
      <x:c r="S140">
        <x:v>71</x:v>
      </x:c>
      <x:c r="T140" s="63" t="n">
        <x:f>MAX(30,MIN(AB140-VLOOKUP(AE140,'AHL_PA_SC_BALANCE'!$A$8:$E$18,2,FALSE),VLOOKUP(AE140,'AHL_PA_SC_BALANCE'!$A$8:$E$18,4,FALSE)))</x:f>
        <x:v>51</x:v>
      </x:c>
      <x:c r="U140" s="63" t="n">
        <x:f>MAX(30,MIN(AC140-VLOOKUP(AE140,'AHL_PA_SC_BALANCE'!$A$8:$E$18,3,FALSE),VLOOKUP(AE140,'AHL_PA_SC_BALANCE'!$A$8:$E$18,5,FALSE)))</x:f>
        <x:v>51</x:v>
      </x:c>
      <x:c r="V140">
        <x:v>65</x:v>
      </x:c>
      <x:c r="W140">
        <x:v>66</x:v>
      </x:c>
      <x:c r="X140">
        <x:v>70</x:v>
      </x:c>
      <x:c r="Y140">
        <x:v>69</x:v>
      </x:c>
      <x:c r="Z140">
        <x:v>51</x:v>
      </x:c>
      <x:c r="AA140">
        <x:v>53</x:v>
      </x:c>
      <x:c r="AB140" s="57" t="n">
        <x:v>51</x:v>
      </x:c>
      <x:c r="AC140" s="57" t="n">
        <x:v>51</x:v>
      </x:c>
      <x:c r="AD140" s="59"/>
      <x:c r="AE140" s="61" t="str">
        <x:f>IF(N(F140)&gt;=10,"NHL_LATEST_10",IF(AND(N(F140)&gt;0,N(G140)&gt;0),"NHL_BOTH_SEASONS",IF(N(G140)&gt;=10,"NHL_PREVIOUS_10",IF(AND(ISNUMBER(AD140),AD140=0,SUM(F140:G140)=0),"FARM_CAREER_0",IF(COUNT(F140:G140)&lt;2,"UNKNOWN_GP",IF(AND(F140=0,G140=0),IF(AD140&gt;=10,"FARM_LEGACY_10",IF(AND(ISNUMBER(AD140),AD140&gt;0),"FARM_CAREER_1_9","FARM_0_0")),IF(F140&gt;=1,IF(F140&lt;=3,"FARM_RECENT_1_3","FARM_RECENT_4_9"),"FARM_PREV_1_9_ONLY")))))))</x:f>
        <x:v>UNKNOWN_GP</x:v>
      </x:c>
      <x:c r="AF140" s="57" t="n">
        <x:f>AB140-T140</x:f>
        <x:v>0</x:v>
      </x:c>
      <x:c r="AG140" s="57" t="n">
        <x:f>AC140-U140</x:f>
        <x:v>0</x:v>
      </x:c>
    </x:row>
    <x:row r="141">
      <x:c r="A141" t="s">
        <x:v>1141</x:v>
      </x:c>
      <x:c r="C141" t="s">
        <x:v>323</x:v>
      </x:c>
      <x:c r="D141">
        <x:v>8482993</x:v>
      </x:c>
      <x:c r="E141" t="s">
        <x:v>267</x:v>
      </x:c>
      <x:c r="J141" t="s">
        <x:v>2474</x:v>
      </x:c>
      <x:c r="K141">
        <x:v>67</x:v>
      </x:c>
      <x:c r="L141">
        <x:v>69</x:v>
      </x:c>
      <x:c r="M141">
        <x:v>91</x:v>
      </x:c>
      <x:c r="N141">
        <x:v>49</x:v>
      </x:c>
      <x:c r="O141">
        <x:v>74</x:v>
      </x:c>
      <x:c r="P141">
        <x:v>80</x:v>
      </x:c>
      <x:c r="Q141">
        <x:v>80</x:v>
      </x:c>
      <x:c r="R141">
        <x:v>48</x:v>
      </x:c>
      <x:c r="S141">
        <x:v>66</x:v>
      </x:c>
      <x:c r="T141" s="63" t="n">
        <x:f>MAX(30,MIN(AB141-VLOOKUP(AE141,'AHL_PA_SC_BALANCE'!$A$8:$E$18,2,FALSE),VLOOKUP(AE141,'AHL_PA_SC_BALANCE'!$A$8:$E$18,4,FALSE)))</x:f>
        <x:v>46</x:v>
      </x:c>
      <x:c r="U141" s="63" t="n">
        <x:f>MAX(30,MIN(AC141-VLOOKUP(AE141,'AHL_PA_SC_BALANCE'!$A$8:$E$18,3,FALSE),VLOOKUP(AE141,'AHL_PA_SC_BALANCE'!$A$8:$E$18,5,FALSE)))</x:f>
        <x:v>54</x:v>
      </x:c>
      <x:c r="V141">
        <x:v>60</x:v>
      </x:c>
      <x:c r="W141">
        <x:v>55</x:v>
      </x:c>
      <x:c r="X141">
        <x:v>67</x:v>
      </x:c>
      <x:c r="Y141">
        <x:v>67</x:v>
      </x:c>
      <x:c r="Z141">
        <x:v>51</x:v>
      </x:c>
      <x:c r="AA141">
        <x:v>53</x:v>
      </x:c>
      <x:c r="AB141" s="57" t="n">
        <x:v>46</x:v>
      </x:c>
      <x:c r="AC141" s="57" t="n">
        <x:v>54</x:v>
      </x:c>
      <x:c r="AD141" s="59"/>
      <x:c r="AE141" s="61" t="str">
        <x:f>IF(N(F141)&gt;=10,"NHL_LATEST_10",IF(AND(N(F141)&gt;0,N(G141)&gt;0),"NHL_BOTH_SEASONS",IF(N(G141)&gt;=10,"NHL_PREVIOUS_10",IF(AND(ISNUMBER(AD141),AD141=0,SUM(F141:G141)=0),"FARM_CAREER_0",IF(COUNT(F141:G141)&lt;2,"UNKNOWN_GP",IF(AND(F141=0,G141=0),IF(AD141&gt;=10,"FARM_LEGACY_10",IF(AND(ISNUMBER(AD141),AD141&gt;0),"FARM_CAREER_1_9","FARM_0_0")),IF(F141&gt;=1,IF(F141&lt;=3,"FARM_RECENT_1_3","FARM_RECENT_4_9"),"FARM_PREV_1_9_ONLY")))))))</x:f>
        <x:v>UNKNOWN_GP</x:v>
      </x:c>
      <x:c r="AF141" s="57" t="n">
        <x:f>AB141-T141</x:f>
        <x:v>0</x:v>
      </x:c>
      <x:c r="AG141" s="57" t="n">
        <x:f>AC141-U141</x:f>
        <x:v>0</x:v>
      </x:c>
    </x:row>
    <x:row r="142">
      <x:c r="A142" t="s">
        <x:v>1142</x:v>
      </x:c>
      <x:c r="C142" t="s">
        <x:v>319</x:v>
      </x:c>
      <x:c r="D142">
        <x:v>8480842</x:v>
      </x:c>
      <x:c r="E142" t="s">
        <x:v>267</x:v>
      </x:c>
      <x:c r="J142" t="s">
        <x:v>2474</x:v>
      </x:c>
      <x:c r="K142">
        <x:v>55</x:v>
      </x:c>
      <x:c r="L142">
        <x:v>36</x:v>
      </x:c>
      <x:c r="M142">
        <x:v>91</x:v>
      </x:c>
      <x:c r="N142">
        <x:v>49</x:v>
      </x:c>
      <x:c r="O142">
        <x:v>78</x:v>
      </x:c>
      <x:c r="P142">
        <x:v>81</x:v>
      </x:c>
      <x:c r="Q142">
        <x:v>35</x:v>
      </x:c>
      <x:c r="R142">
        <x:v>49</x:v>
      </x:c>
      <x:c r="S142">
        <x:v>62</x:v>
      </x:c>
      <x:c r="T142" s="63" t="n">
        <x:f>MAX(30,MIN(AB142-VLOOKUP(AE142,'AHL_PA_SC_BALANCE'!$A$8:$E$18,2,FALSE),VLOOKUP(AE142,'AHL_PA_SC_BALANCE'!$A$8:$E$18,4,FALSE)))</x:f>
        <x:v>51</x:v>
      </x:c>
      <x:c r="U142" s="63" t="n">
        <x:f>MAX(30,MIN(AC142-VLOOKUP(AE142,'AHL_PA_SC_BALANCE'!$A$8:$E$18,3,FALSE),VLOOKUP(AE142,'AHL_PA_SC_BALANCE'!$A$8:$E$18,5,FALSE)))</x:f>
        <x:v>48</x:v>
      </x:c>
      <x:c r="V142">
        <x:v>64</x:v>
      </x:c>
      <x:c r="W142">
        <x:v>51</x:v>
      </x:c>
      <x:c r="X142">
        <x:v>71</x:v>
      </x:c>
      <x:c r="Y142">
        <x:v>71</x:v>
      </x:c>
      <x:c r="Z142">
        <x:v>51</x:v>
      </x:c>
      <x:c r="AA142">
        <x:v>53</x:v>
      </x:c>
      <x:c r="AB142" s="57" t="n">
        <x:v>51</x:v>
      </x:c>
      <x:c r="AC142" s="57" t="n">
        <x:v>48</x:v>
      </x:c>
      <x:c r="AD142" s="59"/>
      <x:c r="AE142" s="61" t="str">
        <x:f>IF(N(F142)&gt;=10,"NHL_LATEST_10",IF(AND(N(F142)&gt;0,N(G142)&gt;0),"NHL_BOTH_SEASONS",IF(N(G142)&gt;=10,"NHL_PREVIOUS_10",IF(AND(ISNUMBER(AD142),AD142=0,SUM(F142:G142)=0),"FARM_CAREER_0",IF(COUNT(F142:G142)&lt;2,"UNKNOWN_GP",IF(AND(F142=0,G142=0),IF(AD142&gt;=10,"FARM_LEGACY_10",IF(AND(ISNUMBER(AD142),AD142&gt;0),"FARM_CAREER_1_9","FARM_0_0")),IF(F142&gt;=1,IF(F142&lt;=3,"FARM_RECENT_1_3","FARM_RECENT_4_9"),"FARM_PREV_1_9_ONLY")))))))</x:f>
        <x:v>UNKNOWN_GP</x:v>
      </x:c>
      <x:c r="AF142" s="57" t="n">
        <x:f>AB142-T142</x:f>
        <x:v>0</x:v>
      </x:c>
      <x:c r="AG142" s="57" t="n">
        <x:f>AC142-U142</x:f>
        <x:v>0</x:v>
      </x:c>
    </x:row>
    <x:row r="143">
      <x:c r="A143" t="s">
        <x:v>1143</x:v>
      </x:c>
      <x:c r="C143" t="s">
        <x:v>331</x:v>
      </x:c>
      <x:c r="D143">
        <x:v>8481003</x:v>
      </x:c>
      <x:c r="E143" t="s">
        <x:v>267</x:v>
      </x:c>
      <x:c r="J143" t="s">
        <x:v>2474</x:v>
      </x:c>
      <x:c r="K143">
        <x:v>87</x:v>
      </x:c>
      <x:c r="L143">
        <x:v>34</x:v>
      </x:c>
      <x:c r="M143">
        <x:v>71</x:v>
      </x:c>
      <x:c r="N143">
        <x:v>34</x:v>
      </x:c>
      <x:c r="O143">
        <x:v>80</x:v>
      </x:c>
      <x:c r="P143">
        <x:v>84</x:v>
      </x:c>
      <x:c r="Q143">
        <x:v>87</x:v>
      </x:c>
      <x:c r="R143">
        <x:v>34</x:v>
      </x:c>
      <x:c r="S143">
        <x:v>30</x:v>
      </x:c>
      <x:c r="T143" s="63" t="n">
        <x:f>MAX(30,MIN(AB143-VLOOKUP(AE143,'AHL_PA_SC_BALANCE'!$A$8:$E$18,2,FALSE),VLOOKUP(AE143,'AHL_PA_SC_BALANCE'!$A$8:$E$18,4,FALSE)))</x:f>
        <x:v>42</x:v>
      </x:c>
      <x:c r="U143" s="63" t="n">
        <x:f>MAX(30,MIN(AC143-VLOOKUP(AE143,'AHL_PA_SC_BALANCE'!$A$8:$E$18,3,FALSE),VLOOKUP(AE143,'AHL_PA_SC_BALANCE'!$A$8:$E$18,5,FALSE)))</x:f>
        <x:v>44</x:v>
      </x:c>
      <x:c r="V143">
        <x:v>62</x:v>
      </x:c>
      <x:c r="W143">
        <x:v>48</x:v>
      </x:c>
      <x:c r="X143">
        <x:v>70</x:v>
      </x:c>
      <x:c r="Y143">
        <x:v>69</x:v>
      </x:c>
      <x:c r="Z143">
        <x:v>46</x:v>
      </x:c>
      <x:c r="AA143">
        <x:v>53</x:v>
      </x:c>
      <x:c r="AB143" s="57" t="n">
        <x:v>42</x:v>
      </x:c>
      <x:c r="AC143" s="57" t="n">
        <x:v>44</x:v>
      </x:c>
      <x:c r="AD143" s="59"/>
      <x:c r="AE143" s="61" t="str">
        <x:f>IF(N(F143)&gt;=10,"NHL_LATEST_10",IF(AND(N(F143)&gt;0,N(G143)&gt;0),"NHL_BOTH_SEASONS",IF(N(G143)&gt;=10,"NHL_PREVIOUS_10",IF(AND(ISNUMBER(AD143),AD143=0,SUM(F143:G143)=0),"FARM_CAREER_0",IF(COUNT(F143:G143)&lt;2,"UNKNOWN_GP",IF(AND(F143=0,G143=0),IF(AD143&gt;=10,"FARM_LEGACY_10",IF(AND(ISNUMBER(AD143),AD143&gt;0),"FARM_CAREER_1_9","FARM_0_0")),IF(F143&gt;=1,IF(F143&lt;=3,"FARM_RECENT_1_3","FARM_RECENT_4_9"),"FARM_PREV_1_9_ONLY")))))))</x:f>
        <x:v>UNKNOWN_GP</x:v>
      </x:c>
      <x:c r="AF143" s="57" t="n">
        <x:f>AB143-T143</x:f>
        <x:v>0</x:v>
      </x:c>
      <x:c r="AG143" s="57" t="n">
        <x:f>AC143-U143</x:f>
        <x:v>0</x:v>
      </x:c>
    </x:row>
    <x:row r="144">
      <x:c r="A144" t="s">
        <x:v>1144</x:v>
      </x:c>
      <x:c r="C144" t="s">
        <x:v>331</x:v>
      </x:c>
      <x:c r="D144">
        <x:v>8482777</x:v>
      </x:c>
      <x:c r="E144" t="s">
        <x:v>267</x:v>
      </x:c>
      <x:c r="J144" t="s">
        <x:v>2474</x:v>
      </x:c>
      <x:c r="K144">
        <x:v>78</x:v>
      </x:c>
      <x:c r="L144">
        <x:v>37</x:v>
      </x:c>
      <x:c r="M144">
        <x:v>90</x:v>
      </x:c>
      <x:c r="N144">
        <x:v>34</x:v>
      </x:c>
      <x:c r="O144">
        <x:v>88</x:v>
      </x:c>
      <x:c r="P144">
        <x:v>80</x:v>
      </x:c>
      <x:c r="Q144">
        <x:v>81</x:v>
      </x:c>
      <x:c r="R144">
        <x:v>33</x:v>
      </x:c>
      <x:c r="S144">
        <x:v>30</x:v>
      </x:c>
      <x:c r="T144" s="63" t="n">
        <x:f>MAX(30,MIN(AB144-VLOOKUP(AE144,'AHL_PA_SC_BALANCE'!$A$8:$E$18,2,FALSE),VLOOKUP(AE144,'AHL_PA_SC_BALANCE'!$A$8:$E$18,4,FALSE)))</x:f>
        <x:v>45</x:v>
      </x:c>
      <x:c r="U144" s="63" t="n">
        <x:f>MAX(30,MIN(AC144-VLOOKUP(AE144,'AHL_PA_SC_BALANCE'!$A$8:$E$18,3,FALSE),VLOOKUP(AE144,'AHL_PA_SC_BALANCE'!$A$8:$E$18,5,FALSE)))</x:f>
        <x:v>41</x:v>
      </x:c>
      <x:c r="V144">
        <x:v>67</x:v>
      </x:c>
      <x:c r="W144">
        <x:v>48</x:v>
      </x:c>
      <x:c r="X144">
        <x:v>66</x:v>
      </x:c>
      <x:c r="Y144">
        <x:v>65</x:v>
      </x:c>
      <x:c r="Z144">
        <x:v>51</x:v>
      </x:c>
      <x:c r="AA144">
        <x:v>53</x:v>
      </x:c>
      <x:c r="AB144" s="57" t="n">
        <x:v>45</x:v>
      </x:c>
      <x:c r="AC144" s="57" t="n">
        <x:v>41</x:v>
      </x:c>
      <x:c r="AD144" s="59"/>
      <x:c r="AE144" s="61" t="str">
        <x:f>IF(N(F144)&gt;=10,"NHL_LATEST_10",IF(AND(N(F144)&gt;0,N(G144)&gt;0),"NHL_BOTH_SEASONS",IF(N(G144)&gt;=10,"NHL_PREVIOUS_10",IF(AND(ISNUMBER(AD144),AD144=0,SUM(F144:G144)=0),"FARM_CAREER_0",IF(COUNT(F144:G144)&lt;2,"UNKNOWN_GP",IF(AND(F144=0,G144=0),IF(AD144&gt;=10,"FARM_LEGACY_10",IF(AND(ISNUMBER(AD144),AD144&gt;0),"FARM_CAREER_1_9","FARM_0_0")),IF(F144&gt;=1,IF(F144&lt;=3,"FARM_RECENT_1_3","FARM_RECENT_4_9"),"FARM_PREV_1_9_ONLY")))))))</x:f>
        <x:v>UNKNOWN_GP</x:v>
      </x:c>
      <x:c r="AF144" s="57" t="n">
        <x:f>AB144-T144</x:f>
        <x:v>0</x:v>
      </x:c>
      <x:c r="AG144" s="57" t="n">
        <x:f>AC144-U144</x:f>
        <x:v>0</x:v>
      </x:c>
    </x:row>
    <x:row r="145">
      <x:c r="A145" t="s">
        <x:v>1145</x:v>
      </x:c>
      <x:c r="C145" t="s">
        <x:v>331</x:v>
      </x:c>
      <x:c r="D145">
        <x:v>8481521</x:v>
      </x:c>
      <x:c r="E145" t="s">
        <x:v>267</x:v>
      </x:c>
      <x:c r="J145" t="s">
        <x:v>2474</x:v>
      </x:c>
      <x:c r="K145">
        <x:v>78</x:v>
      </x:c>
      <x:c r="L145">
        <x:v>40</x:v>
      </x:c>
      <x:c r="M145">
        <x:v>80</x:v>
      </x:c>
      <x:c r="N145">
        <x:v>33</x:v>
      </x:c>
      <x:c r="O145">
        <x:v>83</x:v>
      </x:c>
      <x:c r="P145">
        <x:v>82</x:v>
      </x:c>
      <x:c r="Q145">
        <x:v>83</x:v>
      </x:c>
      <x:c r="R145">
        <x:v>34</x:v>
      </x:c>
      <x:c r="S145">
        <x:v>30</x:v>
      </x:c>
      <x:c r="T145" s="63" t="n">
        <x:f>MAX(30,MIN(AB145-VLOOKUP(AE145,'AHL_PA_SC_BALANCE'!$A$8:$E$18,2,FALSE),VLOOKUP(AE145,'AHL_PA_SC_BALANCE'!$A$8:$E$18,4,FALSE)))</x:f>
        <x:v>48</x:v>
      </x:c>
      <x:c r="U145" s="63" t="n">
        <x:f>MAX(30,MIN(AC145-VLOOKUP(AE145,'AHL_PA_SC_BALANCE'!$A$8:$E$18,3,FALSE),VLOOKUP(AE145,'AHL_PA_SC_BALANCE'!$A$8:$E$18,5,FALSE)))</x:f>
        <x:v>42</x:v>
      </x:c>
      <x:c r="V145">
        <x:v>73</x:v>
      </x:c>
      <x:c r="W145">
        <x:v>48</x:v>
      </x:c>
      <x:c r="X145">
        <x:v>69</x:v>
      </x:c>
      <x:c r="Y145">
        <x:v>68</x:v>
      </x:c>
      <x:c r="Z145">
        <x:v>51</x:v>
      </x:c>
      <x:c r="AA145">
        <x:v>53</x:v>
      </x:c>
      <x:c r="AB145" s="57" t="n">
        <x:v>48</x:v>
      </x:c>
      <x:c r="AC145" s="57" t="n">
        <x:v>42</x:v>
      </x:c>
      <x:c r="AD145" s="59"/>
      <x:c r="AE145" s="61" t="str">
        <x:f>IF(N(F145)&gt;=10,"NHL_LATEST_10",IF(AND(N(F145)&gt;0,N(G145)&gt;0),"NHL_BOTH_SEASONS",IF(N(G145)&gt;=10,"NHL_PREVIOUS_10",IF(AND(ISNUMBER(AD145),AD145=0,SUM(F145:G145)=0),"FARM_CAREER_0",IF(COUNT(F145:G145)&lt;2,"UNKNOWN_GP",IF(AND(F145=0,G145=0),IF(AD145&gt;=10,"FARM_LEGACY_10",IF(AND(ISNUMBER(AD145),AD145&gt;0),"FARM_CAREER_1_9","FARM_0_0")),IF(F145&gt;=1,IF(F145&lt;=3,"FARM_RECENT_1_3","FARM_RECENT_4_9"),"FARM_PREV_1_9_ONLY")))))))</x:f>
        <x:v>UNKNOWN_GP</x:v>
      </x:c>
      <x:c r="AF145" s="57" t="n">
        <x:f>AB145-T145</x:f>
        <x:v>0</x:v>
      </x:c>
      <x:c r="AG145" s="57" t="n">
        <x:f>AC145-U145</x:f>
        <x:v>0</x:v>
      </x:c>
    </x:row>
    <x:row r="146">
      <x:c r="A146" t="s">
        <x:v>1146</x:v>
      </x:c>
      <x:c r="C146" t="s">
        <x:v>331</x:v>
      </x:c>
      <x:c r="D146">
        <x:v>8483448</x:v>
      </x:c>
      <x:c r="E146" t="s">
        <x:v>267</x:v>
      </x:c>
      <x:c r="J146" t="s">
        <x:v>2474</x:v>
      </x:c>
      <x:c r="K146">
        <x:v>67</x:v>
      </x:c>
      <x:c r="L146">
        <x:v>35</x:v>
      </x:c>
      <x:c r="M146">
        <x:v>87</x:v>
      </x:c>
      <x:c r="N146">
        <x:v>35</x:v>
      </x:c>
      <x:c r="O146">
        <x:v>81</x:v>
      </x:c>
      <x:c r="P146">
        <x:v>82</x:v>
      </x:c>
      <x:c r="Q146">
        <x:v>84</x:v>
      </x:c>
      <x:c r="R146">
        <x:v>36</x:v>
      </x:c>
      <x:c r="S146">
        <x:v>30</x:v>
      </x:c>
      <x:c r="T146" s="63" t="n">
        <x:f>MAX(30,MIN(AB146-VLOOKUP(AE146,'AHL_PA_SC_BALANCE'!$A$8:$E$18,2,FALSE),VLOOKUP(AE146,'AHL_PA_SC_BALANCE'!$A$8:$E$18,4,FALSE)))</x:f>
        <x:v>46</x:v>
      </x:c>
      <x:c r="U146" s="63" t="n">
        <x:f>MAX(30,MIN(AC146-VLOOKUP(AE146,'AHL_PA_SC_BALANCE'!$A$8:$E$18,3,FALSE),VLOOKUP(AE146,'AHL_PA_SC_BALANCE'!$A$8:$E$18,5,FALSE)))</x:f>
        <x:v>40</x:v>
      </x:c>
      <x:c r="V146">
        <x:v>71</x:v>
      </x:c>
      <x:c r="W146">
        <x:v>48</x:v>
      </x:c>
      <x:c r="X146">
        <x:v>66</x:v>
      </x:c>
      <x:c r="Y146">
        <x:v>65</x:v>
      </x:c>
      <x:c r="Z146">
        <x:v>51</x:v>
      </x:c>
      <x:c r="AA146">
        <x:v>53</x:v>
      </x:c>
      <x:c r="AB146" s="57" t="n">
        <x:v>46</x:v>
      </x:c>
      <x:c r="AC146" s="57" t="n">
        <x:v>40</x:v>
      </x:c>
      <x:c r="AD146" s="59"/>
      <x:c r="AE146" s="61" t="str">
        <x:f>IF(N(F146)&gt;=10,"NHL_LATEST_10",IF(AND(N(F146)&gt;0,N(G146)&gt;0),"NHL_BOTH_SEASONS",IF(N(G146)&gt;=10,"NHL_PREVIOUS_10",IF(AND(ISNUMBER(AD146),AD146=0,SUM(F146:G146)=0),"FARM_CAREER_0",IF(COUNT(F146:G146)&lt;2,"UNKNOWN_GP",IF(AND(F146=0,G146=0),IF(AD146&gt;=10,"FARM_LEGACY_10",IF(AND(ISNUMBER(AD146),AD146&gt;0),"FARM_CAREER_1_9","FARM_0_0")),IF(F146&gt;=1,IF(F146&lt;=3,"FARM_RECENT_1_3","FARM_RECENT_4_9"),"FARM_PREV_1_9_ONLY")))))))</x:f>
        <x:v>UNKNOWN_GP</x:v>
      </x:c>
      <x:c r="AF146" s="57" t="n">
        <x:f>AB146-T146</x:f>
        <x:v>0</x:v>
      </x:c>
      <x:c r="AG146" s="57" t="n">
        <x:f>AC146-U146</x:f>
        <x:v>0</x:v>
      </x:c>
    </x:row>
    <x:row r="147">
      <x:c r="A147" t="s">
        <x:v>1147</x:v>
      </x:c>
      <x:c r="C147" t="s">
        <x:v>331</x:v>
      </x:c>
      <x:c r="D147">
        <x:v>8483686</x:v>
      </x:c>
      <x:c r="E147" t="s">
        <x:v>267</x:v>
      </x:c>
      <x:c r="J147" t="s">
        <x:v>2474</x:v>
      </x:c>
      <x:c r="K147">
        <x:v>64</x:v>
      </x:c>
      <x:c r="L147">
        <x:v>36</x:v>
      </x:c>
      <x:c r="M147">
        <x:v>82</x:v>
      </x:c>
      <x:c r="N147">
        <x:v>36</x:v>
      </x:c>
      <x:c r="O147">
        <x:v>79</x:v>
      </x:c>
      <x:c r="P147">
        <x:v>82</x:v>
      </x:c>
      <x:c r="Q147">
        <x:v>84</x:v>
      </x:c>
      <x:c r="R147">
        <x:v>36</x:v>
      </x:c>
      <x:c r="S147">
        <x:v>30</x:v>
      </x:c>
      <x:c r="T147" s="63" t="n">
        <x:f>MAX(30,MIN(AB147-VLOOKUP(AE147,'AHL_PA_SC_BALANCE'!$A$8:$E$18,2,FALSE),VLOOKUP(AE147,'AHL_PA_SC_BALANCE'!$A$8:$E$18,4,FALSE)))</x:f>
        <x:v>46</x:v>
      </x:c>
      <x:c r="U147" s="63" t="n">
        <x:f>MAX(30,MIN(AC147-VLOOKUP(AE147,'AHL_PA_SC_BALANCE'!$A$8:$E$18,3,FALSE),VLOOKUP(AE147,'AHL_PA_SC_BALANCE'!$A$8:$E$18,5,FALSE)))</x:f>
        <x:v>45</x:v>
      </x:c>
      <x:c r="V147">
        <x:v>71</x:v>
      </x:c>
      <x:c r="W147">
        <x:v>55</x:v>
      </x:c>
      <x:c r="X147">
        <x:v>66</x:v>
      </x:c>
      <x:c r="Y147">
        <x:v>67</x:v>
      </x:c>
      <x:c r="Z147">
        <x:v>51</x:v>
      </x:c>
      <x:c r="AA147">
        <x:v>53</x:v>
      </x:c>
      <x:c r="AB147" s="57" t="n">
        <x:v>46</x:v>
      </x:c>
      <x:c r="AC147" s="57" t="n">
        <x:v>45</x:v>
      </x:c>
      <x:c r="AD147" s="59"/>
      <x:c r="AE147" s="61" t="str">
        <x:f>IF(N(F147)&gt;=10,"NHL_LATEST_10",IF(AND(N(F147)&gt;0,N(G147)&gt;0),"NHL_BOTH_SEASONS",IF(N(G147)&gt;=10,"NHL_PREVIOUS_10",IF(AND(ISNUMBER(AD147),AD147=0,SUM(F147:G147)=0),"FARM_CAREER_0",IF(COUNT(F147:G147)&lt;2,"UNKNOWN_GP",IF(AND(F147=0,G147=0),IF(AD147&gt;=10,"FARM_LEGACY_10",IF(AND(ISNUMBER(AD147),AD147&gt;0),"FARM_CAREER_1_9","FARM_0_0")),IF(F147&gt;=1,IF(F147&lt;=3,"FARM_RECENT_1_3","FARM_RECENT_4_9"),"FARM_PREV_1_9_ONLY")))))))</x:f>
        <x:v>UNKNOWN_GP</x:v>
      </x:c>
      <x:c r="AF147" s="57" t="n">
        <x:f>AB147-T147</x:f>
        <x:v>0</x:v>
      </x:c>
      <x:c r="AG147" s="57" t="n">
        <x:f>AC147-U147</x:f>
        <x:v>0</x:v>
      </x:c>
    </x:row>
    <x:row r="148">
      <x:c r="A148" t="s">
        <x:v>1148</x:v>
      </x:c>
      <x:c r="C148" t="s">
        <x:v>331</x:v>
      </x:c>
      <x:c r="D148">
        <x:v>8484220</x:v>
      </x:c>
      <x:c r="E148" t="s">
        <x:v>267</x:v>
      </x:c>
      <x:c r="J148" t="s">
        <x:v>2474</x:v>
      </x:c>
      <x:c r="K148">
        <x:v>74</x:v>
      </x:c>
      <x:c r="L148">
        <x:v>43</x:v>
      </x:c>
      <x:c r="M148">
        <x:v>78</x:v>
      </x:c>
      <x:c r="N148">
        <x:v>34</x:v>
      </x:c>
      <x:c r="O148">
        <x:v>82</x:v>
      </x:c>
      <x:c r="P148">
        <x:v>81</x:v>
      </x:c>
      <x:c r="Q148">
        <x:v>85</x:v>
      </x:c>
      <x:c r="R148">
        <x:v>33</x:v>
      </x:c>
      <x:c r="S148">
        <x:v>30</x:v>
      </x:c>
      <x:c r="T148" s="63" t="n">
        <x:f>MAX(30,MIN(AB148-VLOOKUP(AE148,'AHL_PA_SC_BALANCE'!$A$8:$E$18,2,FALSE),VLOOKUP(AE148,'AHL_PA_SC_BALANCE'!$A$8:$E$18,4,FALSE)))</x:f>
        <x:v>45</x:v>
      </x:c>
      <x:c r="U148" s="63" t="n">
        <x:f>MAX(30,MIN(AC148-VLOOKUP(AE148,'AHL_PA_SC_BALANCE'!$A$8:$E$18,3,FALSE),VLOOKUP(AE148,'AHL_PA_SC_BALANCE'!$A$8:$E$18,5,FALSE)))</x:f>
        <x:v>41</x:v>
      </x:c>
      <x:c r="V148">
        <x:v>72</x:v>
      </x:c>
      <x:c r="W148">
        <x:v>48</x:v>
      </x:c>
      <x:c r="X148">
        <x:v>65</x:v>
      </x:c>
      <x:c r="Y148">
        <x:v>66</x:v>
      </x:c>
      <x:c r="Z148">
        <x:v>51</x:v>
      </x:c>
      <x:c r="AA148">
        <x:v>53</x:v>
      </x:c>
      <x:c r="AB148" s="57" t="n">
        <x:v>45</x:v>
      </x:c>
      <x:c r="AC148" s="57" t="n">
        <x:v>41</x:v>
      </x:c>
      <x:c r="AD148" s="59"/>
      <x:c r="AE148" s="61" t="str">
        <x:f>IF(N(F148)&gt;=10,"NHL_LATEST_10",IF(AND(N(F148)&gt;0,N(G148)&gt;0),"NHL_BOTH_SEASONS",IF(N(G148)&gt;=10,"NHL_PREVIOUS_10",IF(AND(ISNUMBER(AD148),AD148=0,SUM(F148:G148)=0),"FARM_CAREER_0",IF(COUNT(F148:G148)&lt;2,"UNKNOWN_GP",IF(AND(F148=0,G148=0),IF(AD148&gt;=10,"FARM_LEGACY_10",IF(AND(ISNUMBER(AD148),AD148&gt;0),"FARM_CAREER_1_9","FARM_0_0")),IF(F148&gt;=1,IF(F148&lt;=3,"FARM_RECENT_1_3","FARM_RECENT_4_9"),"FARM_PREV_1_9_ONLY")))))))</x:f>
        <x:v>UNKNOWN_GP</x:v>
      </x:c>
      <x:c r="AF148" s="57" t="n">
        <x:f>AB148-T148</x:f>
        <x:v>0</x:v>
      </x:c>
      <x:c r="AG148" s="57" t="n">
        <x:f>AC148-U148</x:f>
        <x:v>0</x:v>
      </x:c>
    </x:row>
    <x:row r="149">
      <x:c r="A149" t="s">
        <x:v>1149</x:v>
      </x:c>
      <x:c r="C149" t="s">
        <x:v>339</x:v>
      </x:c>
      <x:c r="D149">
        <x:v>8484180</x:v>
      </x:c>
      <x:c r="E149" t="s">
        <x:v>267</x:v>
      </x:c>
      <x:c r="J149" t="s">
        <x:v>2474</x:v>
      </x:c>
      <x:c r="K149">
        <x:v>71</x:v>
      </x:c>
      <x:c r="L149">
        <x:v>39</x:v>
      </x:c>
      <x:c r="M149">
        <x:v>93</x:v>
      </x:c>
      <x:c r="N149">
        <x:v>49</x:v>
      </x:c>
      <x:c r="O149">
        <x:v>83</x:v>
      </x:c>
      <x:c r="P149">
        <x:v>80</x:v>
      </x:c>
      <x:c r="Q149">
        <x:v>47</x:v>
      </x:c>
      <x:c r="R149">
        <x:v>49</x:v>
      </x:c>
      <x:c r="S149">
        <x:v>70</x:v>
      </x:c>
      <x:c r="T149" s="63" t="n">
        <x:f>MAX(30,MIN(AB149-VLOOKUP(AE149,'AHL_PA_SC_BALANCE'!$A$8:$E$18,2,FALSE),VLOOKUP(AE149,'AHL_PA_SC_BALANCE'!$A$8:$E$18,4,FALSE)))</x:f>
        <x:v>49</x:v>
      </x:c>
      <x:c r="U149" s="63" t="n">
        <x:f>MAX(30,MIN(AC149-VLOOKUP(AE149,'AHL_PA_SC_BALANCE'!$A$8:$E$18,3,FALSE),VLOOKUP(AE149,'AHL_PA_SC_BALANCE'!$A$8:$E$18,5,FALSE)))</x:f>
        <x:v>51</x:v>
      </x:c>
      <x:c r="V149">
        <x:v>63</x:v>
      </x:c>
      <x:c r="W149">
        <x:v>54</x:v>
      </x:c>
      <x:c r="X149">
        <x:v>65</x:v>
      </x:c>
      <x:c r="Y149">
        <x:v>66</x:v>
      </x:c>
      <x:c r="Z149">
        <x:v>51</x:v>
      </x:c>
      <x:c r="AA149">
        <x:v>53</x:v>
      </x:c>
      <x:c r="AB149" s="57" t="n">
        <x:v>49</x:v>
      </x:c>
      <x:c r="AC149" s="57" t="n">
        <x:v>51</x:v>
      </x:c>
      <x:c r="AD149" s="59"/>
      <x:c r="AE149" s="61" t="str">
        <x:f>IF(N(F149)&gt;=10,"NHL_LATEST_10",IF(AND(N(F149)&gt;0,N(G149)&gt;0),"NHL_BOTH_SEASONS",IF(N(G149)&gt;=10,"NHL_PREVIOUS_10",IF(AND(ISNUMBER(AD149),AD149=0,SUM(F149:G149)=0),"FARM_CAREER_0",IF(COUNT(F149:G149)&lt;2,"UNKNOWN_GP",IF(AND(F149=0,G149=0),IF(AD149&gt;=10,"FARM_LEGACY_10",IF(AND(ISNUMBER(AD149),AD149&gt;0),"FARM_CAREER_1_9","FARM_0_0")),IF(F149&gt;=1,IF(F149&lt;=3,"FARM_RECENT_1_3","FARM_RECENT_4_9"),"FARM_PREV_1_9_ONLY")))))))</x:f>
        <x:v>UNKNOWN_GP</x:v>
      </x:c>
      <x:c r="AF149" s="57" t="n">
        <x:f>AB149-T149</x:f>
        <x:v>0</x:v>
      </x:c>
      <x:c r="AG149" s="57" t="n">
        <x:f>AC149-U149</x:f>
        <x:v>0</x:v>
      </x:c>
    </x:row>
    <x:row r="150">
      <x:c r="A150" t="s">
        <x:v>1150</x:v>
      </x:c>
      <x:c r="C150" t="s">
        <x:v>331</x:v>
      </x:c>
      <x:c r="D150">
        <x:v>8479578</x:v>
      </x:c>
      <x:c r="E150" t="s">
        <x:v>267</x:v>
      </x:c>
      <x:c r="J150" t="s">
        <x:v>2474</x:v>
      </x:c>
      <x:c r="K150">
        <x:v>77</x:v>
      </x:c>
      <x:c r="L150">
        <x:v>81</x:v>
      </x:c>
      <x:c r="M150">
        <x:v>77</x:v>
      </x:c>
      <x:c r="N150">
        <x:v>33</x:v>
      </x:c>
      <x:c r="O150">
        <x:v>78</x:v>
      </x:c>
      <x:c r="P150">
        <x:v>91</x:v>
      </x:c>
      <x:c r="Q150">
        <x:v>95</x:v>
      </x:c>
      <x:c r="R150">
        <x:v>32</x:v>
      </x:c>
      <x:c r="S150">
        <x:v>30</x:v>
      </x:c>
      <x:c r="T150" s="63" t="n">
        <x:f>MAX(30,MIN(AB150-VLOOKUP(AE150,'AHL_PA_SC_BALANCE'!$A$8:$E$18,2,FALSE),VLOOKUP(AE150,'AHL_PA_SC_BALANCE'!$A$8:$E$18,4,FALSE)))</x:f>
        <x:v>44</x:v>
      </x:c>
      <x:c r="U150" s="63" t="n">
        <x:f>MAX(30,MIN(AC150-VLOOKUP(AE150,'AHL_PA_SC_BALANCE'!$A$8:$E$18,3,FALSE),VLOOKUP(AE150,'AHL_PA_SC_BALANCE'!$A$8:$E$18,5,FALSE)))</x:f>
        <x:v>40</x:v>
      </x:c>
      <x:c r="V150">
        <x:v>70</x:v>
      </x:c>
      <x:c r="W150">
        <x:v>47</x:v>
      </x:c>
      <x:c r="X150">
        <x:v>71</x:v>
      </x:c>
      <x:c r="Y150">
        <x:v>71</x:v>
      </x:c>
      <x:c r="Z150">
        <x:v>51</x:v>
      </x:c>
      <x:c r="AA150">
        <x:v>53</x:v>
      </x:c>
      <x:c r="AB150" s="57" t="n">
        <x:v>44</x:v>
      </x:c>
      <x:c r="AC150" s="57" t="n">
        <x:v>40</x:v>
      </x:c>
      <x:c r="AD150" s="59"/>
      <x:c r="AE150" s="61" t="str">
        <x:f>IF(N(F150)&gt;=10,"NHL_LATEST_10",IF(AND(N(F150)&gt;0,N(G150)&gt;0),"NHL_BOTH_SEASONS",IF(N(G150)&gt;=10,"NHL_PREVIOUS_10",IF(AND(ISNUMBER(AD150),AD150=0,SUM(F150:G150)=0),"FARM_CAREER_0",IF(COUNT(F150:G150)&lt;2,"UNKNOWN_GP",IF(AND(F150=0,G150=0),IF(AD150&gt;=10,"FARM_LEGACY_10",IF(AND(ISNUMBER(AD150),AD150&gt;0),"FARM_CAREER_1_9","FARM_0_0")),IF(F150&gt;=1,IF(F150&lt;=3,"FARM_RECENT_1_3","FARM_RECENT_4_9"),"FARM_PREV_1_9_ONLY")))))))</x:f>
        <x:v>UNKNOWN_GP</x:v>
      </x:c>
      <x:c r="AF150" s="57" t="n">
        <x:f>AB150-T150</x:f>
        <x:v>0</x:v>
      </x:c>
      <x:c r="AG150" s="57" t="n">
        <x:f>AC150-U150</x:f>
        <x:v>0</x:v>
      </x:c>
    </x:row>
    <x:row r="151">
      <x:c r="A151" t="s">
        <x:v>1151</x:v>
      </x:c>
      <x:c r="C151" t="s">
        <x:v>331</x:v>
      </x:c>
      <x:c r="D151">
        <x:v>8484256</x:v>
      </x:c>
      <x:c r="E151" t="s">
        <x:v>267</x:v>
      </x:c>
      <x:c r="J151" t="s">
        <x:v>2474</x:v>
      </x:c>
      <x:c r="K151">
        <x:v>70</x:v>
      </x:c>
      <x:c r="L151">
        <x:v>37</x:v>
      </x:c>
      <x:c r="M151">
        <x:v>84</x:v>
      </x:c>
      <x:c r="N151">
        <x:v>34</x:v>
      </x:c>
      <x:c r="O151">
        <x:v>83</x:v>
      </x:c>
      <x:c r="P151">
        <x:v>82</x:v>
      </x:c>
      <x:c r="Q151">
        <x:v>84</x:v>
      </x:c>
      <x:c r="R151">
        <x:v>33</x:v>
      </x:c>
      <x:c r="S151">
        <x:v>30</x:v>
      </x:c>
      <x:c r="T151" s="63" t="n">
        <x:f>MAX(30,MIN(AB151-VLOOKUP(AE151,'AHL_PA_SC_BALANCE'!$A$8:$E$18,2,FALSE),VLOOKUP(AE151,'AHL_PA_SC_BALANCE'!$A$8:$E$18,4,FALSE)))</x:f>
        <x:v>44</x:v>
      </x:c>
      <x:c r="U151" s="63" t="n">
        <x:f>MAX(30,MIN(AC151-VLOOKUP(AE151,'AHL_PA_SC_BALANCE'!$A$8:$E$18,3,FALSE),VLOOKUP(AE151,'AHL_PA_SC_BALANCE'!$A$8:$E$18,5,FALSE)))</x:f>
        <x:v>40</x:v>
      </x:c>
      <x:c r="V151">
        <x:v>66</x:v>
      </x:c>
      <x:c r="W151">
        <x:v>47</x:v>
      </x:c>
      <x:c r="X151">
        <x:v>69</x:v>
      </x:c>
      <x:c r="Y151">
        <x:v>68</x:v>
      </x:c>
      <x:c r="Z151">
        <x:v>51</x:v>
      </x:c>
      <x:c r="AA151">
        <x:v>53</x:v>
      </x:c>
      <x:c r="AB151" s="57" t="n">
        <x:v>44</x:v>
      </x:c>
      <x:c r="AC151" s="57" t="n">
        <x:v>40</x:v>
      </x:c>
      <x:c r="AD151" s="59"/>
      <x:c r="AE151" s="61" t="str">
        <x:f>IF(N(F151)&gt;=10,"NHL_LATEST_10",IF(AND(N(F151)&gt;0,N(G151)&gt;0),"NHL_BOTH_SEASONS",IF(N(G151)&gt;=10,"NHL_PREVIOUS_10",IF(AND(ISNUMBER(AD151),AD151=0,SUM(F151:G151)=0),"FARM_CAREER_0",IF(COUNT(F151:G151)&lt;2,"UNKNOWN_GP",IF(AND(F151=0,G151=0),IF(AD151&gt;=10,"FARM_LEGACY_10",IF(AND(ISNUMBER(AD151),AD151&gt;0),"FARM_CAREER_1_9","FARM_0_0")),IF(F151&gt;=1,IF(F151&lt;=3,"FARM_RECENT_1_3","FARM_RECENT_4_9"),"FARM_PREV_1_9_ONLY")))))))</x:f>
        <x:v>UNKNOWN_GP</x:v>
      </x:c>
      <x:c r="AF151" s="57" t="n">
        <x:f>AB151-T151</x:f>
        <x:v>0</x:v>
      </x:c>
      <x:c r="AG151" s="57" t="n">
        <x:f>AC151-U151</x:f>
        <x:v>0</x:v>
      </x:c>
    </x:row>
    <x:row r="152">
      <x:c r="A152" t="s">
        <x:v>1152</x:v>
      </x:c>
      <x:c r="C152" t="s">
        <x:v>331</x:v>
      </x:c>
      <x:c r="D152">
        <x:v>8477085</x:v>
      </x:c>
      <x:c r="E152" t="s">
        <x:v>267</x:v>
      </x:c>
      <x:c r="J152" t="s">
        <x:v>2474</x:v>
      </x:c>
      <x:c r="K152">
        <x:v>66</x:v>
      </x:c>
      <x:c r="L152">
        <x:v>39</x:v>
      </x:c>
      <x:c r="M152">
        <x:v>83</x:v>
      </x:c>
      <x:c r="N152">
        <x:v>32</x:v>
      </x:c>
      <x:c r="O152">
        <x:v>81</x:v>
      </x:c>
      <x:c r="P152">
        <x:v>89</x:v>
      </x:c>
      <x:c r="Q152">
        <x:v>92</x:v>
      </x:c>
      <x:c r="R152">
        <x:v>33</x:v>
      </x:c>
      <x:c r="S152">
        <x:v>30</x:v>
      </x:c>
      <x:c r="T152" s="63" t="n">
        <x:f>MAX(30,MIN(AB152-VLOOKUP(AE152,'AHL_PA_SC_BALANCE'!$A$8:$E$18,2,FALSE),VLOOKUP(AE152,'AHL_PA_SC_BALANCE'!$A$8:$E$18,4,FALSE)))</x:f>
        <x:v>42</x:v>
      </x:c>
      <x:c r="U152" s="63" t="n">
        <x:f>MAX(30,MIN(AC152-VLOOKUP(AE152,'AHL_PA_SC_BALANCE'!$A$8:$E$18,3,FALSE),VLOOKUP(AE152,'AHL_PA_SC_BALANCE'!$A$8:$E$18,5,FALSE)))</x:f>
        <x:v>39</x:v>
      </x:c>
      <x:c r="V152">
        <x:v>66</x:v>
      </x:c>
      <x:c r="W152">
        <x:v>45</x:v>
      </x:c>
      <x:c r="X152">
        <x:v>76</x:v>
      </x:c>
      <x:c r="Y152">
        <x:v>75</x:v>
      </x:c>
      <x:c r="Z152">
        <x:v>51</x:v>
      </x:c>
      <x:c r="AA152">
        <x:v>53</x:v>
      </x:c>
      <x:c r="AB152" s="57" t="n">
        <x:v>42</x:v>
      </x:c>
      <x:c r="AC152" s="57" t="n">
        <x:v>39</x:v>
      </x:c>
      <x:c r="AD152" s="59"/>
      <x:c r="AE152" s="61" t="str">
        <x:f>IF(N(F152)&gt;=10,"NHL_LATEST_10",IF(AND(N(F152)&gt;0,N(G152)&gt;0),"NHL_BOTH_SEASONS",IF(N(G152)&gt;=10,"NHL_PREVIOUS_10",IF(AND(ISNUMBER(AD152),AD152=0,SUM(F152:G152)=0),"FARM_CAREER_0",IF(COUNT(F152:G152)&lt;2,"UNKNOWN_GP",IF(AND(F152=0,G152=0),IF(AD152&gt;=10,"FARM_LEGACY_10",IF(AND(ISNUMBER(AD152),AD152&gt;0),"FARM_CAREER_1_9","FARM_0_0")),IF(F152&gt;=1,IF(F152&lt;=3,"FARM_RECENT_1_3","FARM_RECENT_4_9"),"FARM_PREV_1_9_ONLY")))))))</x:f>
        <x:v>UNKNOWN_GP</x:v>
      </x:c>
      <x:c r="AF152" s="57" t="n">
        <x:f>AB152-T152</x:f>
        <x:v>0</x:v>
      </x:c>
      <x:c r="AG152" s="57" t="n">
        <x:f>AC152-U152</x:f>
        <x:v>0</x:v>
      </x:c>
    </x:row>
    <x:row r="153">
      <x:c r="A153" t="s">
        <x:v>1153</x:v>
      </x:c>
      <x:c r="C153" t="s">
        <x:v>319</x:v>
      </x:c>
      <x:c r="D153">
        <x:v>8478888</x:v>
      </x:c>
      <x:c r="E153" t="s">
        <x:v>267</x:v>
      </x:c>
      <x:c r="J153" t="s">
        <x:v>2474</x:v>
      </x:c>
      <x:c r="K153">
        <x:v>72</x:v>
      </x:c>
      <x:c r="L153">
        <x:v>37</x:v>
      </x:c>
      <x:c r="M153">
        <x:v>81</x:v>
      </x:c>
      <x:c r="N153">
        <x:v>48</x:v>
      </x:c>
      <x:c r="O153">
        <x:v>77</x:v>
      </x:c>
      <x:c r="P153">
        <x:v>91</x:v>
      </x:c>
      <x:c r="Q153">
        <x:v>93</x:v>
      </x:c>
      <x:c r="R153">
        <x:v>49</x:v>
      </x:c>
      <x:c r="S153">
        <x:v>80</x:v>
      </x:c>
      <x:c r="T153" s="63" t="n">
        <x:f>MAX(30,MIN(AB153-VLOOKUP(AE153,'AHL_PA_SC_BALANCE'!$A$8:$E$18,2,FALSE),VLOOKUP(AE153,'AHL_PA_SC_BALANCE'!$A$8:$E$18,4,FALSE)))</x:f>
        <x:v>52</x:v>
      </x:c>
      <x:c r="U153" s="63" t="n">
        <x:f>MAX(30,MIN(AC153-VLOOKUP(AE153,'AHL_PA_SC_BALANCE'!$A$8:$E$18,3,FALSE),VLOOKUP(AE153,'AHL_PA_SC_BALANCE'!$A$8:$E$18,5,FALSE)))</x:f>
        <x:v>45</x:v>
      </x:c>
      <x:c r="V153">
        <x:v>62</x:v>
      </x:c>
      <x:c r="W153">
        <x:v>71</x:v>
      </x:c>
      <x:c r="X153">
        <x:v>72</x:v>
      </x:c>
      <x:c r="Y153">
        <x:v>72</x:v>
      </x:c>
      <x:c r="Z153">
        <x:v>51</x:v>
      </x:c>
      <x:c r="AA153">
        <x:v>53</x:v>
      </x:c>
      <x:c r="AB153" s="57" t="n">
        <x:v>52</x:v>
      </x:c>
      <x:c r="AC153" s="57" t="n">
        <x:v>45</x:v>
      </x:c>
      <x:c r="AD153" s="59"/>
      <x:c r="AE153" s="61" t="str">
        <x:f>IF(N(F153)&gt;=10,"NHL_LATEST_10",IF(AND(N(F153)&gt;0,N(G153)&gt;0),"NHL_BOTH_SEASONS",IF(N(G153)&gt;=10,"NHL_PREVIOUS_10",IF(AND(ISNUMBER(AD153),AD153=0,SUM(F153:G153)=0),"FARM_CAREER_0",IF(COUNT(F153:G153)&lt;2,"UNKNOWN_GP",IF(AND(F153=0,G153=0),IF(AD153&gt;=10,"FARM_LEGACY_10",IF(AND(ISNUMBER(AD153),AD153&gt;0),"FARM_CAREER_1_9","FARM_0_0")),IF(F153&gt;=1,IF(F153&lt;=3,"FARM_RECENT_1_3","FARM_RECENT_4_9"),"FARM_PREV_1_9_ONLY")))))))</x:f>
        <x:v>UNKNOWN_GP</x:v>
      </x:c>
      <x:c r="AF153" s="57" t="n">
        <x:f>AB153-T153</x:f>
        <x:v>0</x:v>
      </x:c>
      <x:c r="AG153" s="57" t="n">
        <x:f>AC153-U153</x:f>
        <x:v>0</x:v>
      </x:c>
    </x:row>
    <x:row r="154">
      <x:c r="A154" t="s">
        <x:v>1154</x:v>
      </x:c>
      <x:c r="B154" t="s">
        <x:v>584</x:v>
      </x:c>
      <x:c r="C154" t="s">
        <x:v>358</x:v>
      </x:c>
      <x:c r="D154">
        <x:v>8480083</x:v>
      </x:c>
      <x:c r="E154" t="s">
        <x:v>267</x:v>
      </x:c>
      <x:c r="J154" t="s">
        <x:v>2476</x:v>
      </x:c>
      <x:c r="K154">
        <x:v>70</x:v>
      </x:c>
      <x:c r="L154">
        <x:v>36</x:v>
      </x:c>
      <x:c r="M154">
        <x:v>85</x:v>
      </x:c>
      <x:c r="N154">
        <x:v>44</x:v>
      </x:c>
      <x:c r="O154">
        <x:v>76</x:v>
      </x:c>
      <x:c r="P154">
        <x:v>74</x:v>
      </x:c>
      <x:c r="Q154">
        <x:v>76</x:v>
      </x:c>
      <x:c r="R154">
        <x:v>44</x:v>
      </x:c>
      <x:c r="S154">
        <x:v>76</x:v>
      </x:c>
      <x:c r="T154" s="63" t="n">
        <x:f>MAX(30,MIN(AB154-VLOOKUP(AE154,'AHL_PA_SC_BALANCE'!$A$8:$E$18,2,FALSE),VLOOKUP(AE154,'AHL_PA_SC_BALANCE'!$A$8:$E$18,4,FALSE)))</x:f>
        <x:v>49</x:v>
      </x:c>
      <x:c r="U154" s="63" t="n">
        <x:f>MAX(30,MIN(AC154-VLOOKUP(AE154,'AHL_PA_SC_BALANCE'!$A$8:$E$18,3,FALSE),VLOOKUP(AE154,'AHL_PA_SC_BALANCE'!$A$8:$E$18,5,FALSE)))</x:f>
        <x:v>40</x:v>
      </x:c>
      <x:c r="V154">
        <x:v>64</x:v>
      </x:c>
      <x:c r="W154">
        <x:v>65</x:v>
      </x:c>
      <x:c r="X154">
        <x:v>76</x:v>
      </x:c>
      <x:c r="Y154">
        <x:v>75</x:v>
      </x:c>
      <x:c r="Z154">
        <x:v>51</x:v>
      </x:c>
      <x:c r="AA154">
        <x:v>53</x:v>
      </x:c>
      <x:c r="AB154" s="57" t="n">
        <x:v>49</x:v>
      </x:c>
      <x:c r="AC154" s="57" t="n">
        <x:v>40</x:v>
      </x:c>
      <x:c r="AD154" s="59"/>
      <x:c r="AE154" s="61" t="str">
        <x:f>IF(N(F154)&gt;=10,"NHL_LATEST_10",IF(AND(N(F154)&gt;0,N(G154)&gt;0),"NHL_BOTH_SEASONS",IF(N(G154)&gt;=10,"NHL_PREVIOUS_10",IF(AND(ISNUMBER(AD154),AD154=0,SUM(F154:G154)=0),"FARM_CAREER_0",IF(COUNT(F154:G154)&lt;2,"UNKNOWN_GP",IF(AND(F154=0,G154=0),IF(AD154&gt;=10,"FARM_LEGACY_10",IF(AND(ISNUMBER(AD154),AD154&gt;0),"FARM_CAREER_1_9","FARM_0_0")),IF(F154&gt;=1,IF(F154&lt;=3,"FARM_RECENT_1_3","FARM_RECENT_4_9"),"FARM_PREV_1_9_ONLY")))))))</x:f>
        <x:v>UNKNOWN_GP</x:v>
      </x:c>
      <x:c r="AF154" s="57" t="n">
        <x:f>AB154-T154</x:f>
        <x:v>0</x:v>
      </x:c>
      <x:c r="AG154" s="57" t="n">
        <x:f>AC154-U154</x:f>
        <x:v>0</x:v>
      </x:c>
    </x:row>
    <x:row r="155">
      <x:c r="A155" t="s">
        <x:v>1155</x:v>
      </x:c>
      <x:c r="C155" t="s">
        <x:v>319</x:v>
      </x:c>
      <x:c r="D155">
        <x:v>8480840</x:v>
      </x:c>
      <x:c r="E155" t="s">
        <x:v>267</x:v>
      </x:c>
      <x:c r="J155" t="s">
        <x:v>2474</x:v>
      </x:c>
      <x:c r="K155">
        <x:v>59</x:v>
      </x:c>
      <x:c r="L155">
        <x:v>40</x:v>
      </x:c>
      <x:c r="M155">
        <x:v>96</x:v>
      </x:c>
      <x:c r="N155">
        <x:v>48</x:v>
      </x:c>
      <x:c r="O155">
        <x:v>83</x:v>
      </x:c>
      <x:c r="P155">
        <x:v>83</x:v>
      </x:c>
      <x:c r="Q155">
        <x:v>89</x:v>
      </x:c>
      <x:c r="R155">
        <x:v>49</x:v>
      </x:c>
      <x:c r="S155">
        <x:v>73</x:v>
      </x:c>
      <x:c r="T155" s="63" t="n">
        <x:f>MAX(30,MIN(AB155-VLOOKUP(AE155,'AHL_PA_SC_BALANCE'!$A$8:$E$18,2,FALSE),VLOOKUP(AE155,'AHL_PA_SC_BALANCE'!$A$8:$E$18,4,FALSE)))</x:f>
        <x:v>50</x:v>
      </x:c>
      <x:c r="U155" s="63" t="n">
        <x:f>MAX(30,MIN(AC155-VLOOKUP(AE155,'AHL_PA_SC_BALANCE'!$A$8:$E$18,3,FALSE),VLOOKUP(AE155,'AHL_PA_SC_BALANCE'!$A$8:$E$18,5,FALSE)))</x:f>
        <x:v>50</x:v>
      </x:c>
      <x:c r="V155">
        <x:v>72</x:v>
      </x:c>
      <x:c r="W155">
        <x:v>52</x:v>
      </x:c>
      <x:c r="X155">
        <x:v>70</x:v>
      </x:c>
      <x:c r="Y155">
        <x:v>68</x:v>
      </x:c>
      <x:c r="Z155">
        <x:v>51</x:v>
      </x:c>
      <x:c r="AA155">
        <x:v>53</x:v>
      </x:c>
      <x:c r="AB155" s="57" t="n">
        <x:v>50</x:v>
      </x:c>
      <x:c r="AC155" s="57" t="n">
        <x:v>50</x:v>
      </x:c>
      <x:c r="AD155" s="59"/>
      <x:c r="AE155" s="61" t="str">
        <x:f>IF(N(F155)&gt;=10,"NHL_LATEST_10",IF(AND(N(F155)&gt;0,N(G155)&gt;0),"NHL_BOTH_SEASONS",IF(N(G155)&gt;=10,"NHL_PREVIOUS_10",IF(AND(ISNUMBER(AD155),AD155=0,SUM(F155:G155)=0),"FARM_CAREER_0",IF(COUNT(F155:G155)&lt;2,"UNKNOWN_GP",IF(AND(F155=0,G155=0),IF(AD155&gt;=10,"FARM_LEGACY_10",IF(AND(ISNUMBER(AD155),AD155&gt;0),"FARM_CAREER_1_9","FARM_0_0")),IF(F155&gt;=1,IF(F155&lt;=3,"FARM_RECENT_1_3","FARM_RECENT_4_9"),"FARM_PREV_1_9_ONLY")))))))</x:f>
        <x:v>UNKNOWN_GP</x:v>
      </x:c>
      <x:c r="AF155" s="57" t="n">
        <x:f>AB155-T155</x:f>
        <x:v>0</x:v>
      </x:c>
      <x:c r="AG155" s="57" t="n">
        <x:f>AC155-U155</x:f>
        <x:v>0</x:v>
      </x:c>
    </x:row>
    <x:row r="156">
      <x:c r="A156" t="s">
        <x:v>1156</x:v>
      </x:c>
      <x:c r="C156" t="s">
        <x:v>319</x:v>
      </x:c>
      <x:c r="D156">
        <x:v>8478446</x:v>
      </x:c>
      <x:c r="E156" t="s">
        <x:v>267</x:v>
      </x:c>
      <x:c r="J156" t="s">
        <x:v>2474</x:v>
      </x:c>
      <x:c r="K156">
        <x:v>67</x:v>
      </x:c>
      <x:c r="L156">
        <x:v>39</x:v>
      </x:c>
      <x:c r="M156">
        <x:v>78</x:v>
      </x:c>
      <x:c r="N156">
        <x:v>46</x:v>
      </x:c>
      <x:c r="O156">
        <x:v>81</x:v>
      </x:c>
      <x:c r="P156">
        <x:v>93</x:v>
      </x:c>
      <x:c r="Q156">
        <x:v>96</x:v>
      </x:c>
      <x:c r="R156">
        <x:v>45</x:v>
      </x:c>
      <x:c r="S156">
        <x:v>81</x:v>
      </x:c>
      <x:c r="T156" s="63" t="n">
        <x:f>MAX(30,MIN(AB156-VLOOKUP(AE156,'AHL_PA_SC_BALANCE'!$A$8:$E$18,2,FALSE),VLOOKUP(AE156,'AHL_PA_SC_BALANCE'!$A$8:$E$18,4,FALSE)))</x:f>
        <x:v>49</x:v>
      </x:c>
      <x:c r="U156" s="63" t="n">
        <x:f>MAX(30,MIN(AC156-VLOOKUP(AE156,'AHL_PA_SC_BALANCE'!$A$8:$E$18,3,FALSE),VLOOKUP(AE156,'AHL_PA_SC_BALANCE'!$A$8:$E$18,5,FALSE)))</x:f>
        <x:v>44</x:v>
      </x:c>
      <x:c r="V156">
        <x:v>67</x:v>
      </x:c>
      <x:c r="W156">
        <x:v>68</x:v>
      </x:c>
      <x:c r="X156">
        <x:v>71</x:v>
      </x:c>
      <x:c r="Y156">
        <x:v>72</x:v>
      </x:c>
      <x:c r="Z156">
        <x:v>51</x:v>
      </x:c>
      <x:c r="AA156">
        <x:v>53</x:v>
      </x:c>
      <x:c r="AB156" s="57" t="n">
        <x:v>49</x:v>
      </x:c>
      <x:c r="AC156" s="57" t="n">
        <x:v>44</x:v>
      </x:c>
      <x:c r="AD156" s="59"/>
      <x:c r="AE156" s="61" t="str">
        <x:f>IF(N(F156)&gt;=10,"NHL_LATEST_10",IF(AND(N(F156)&gt;0,N(G156)&gt;0),"NHL_BOTH_SEASONS",IF(N(G156)&gt;=10,"NHL_PREVIOUS_10",IF(AND(ISNUMBER(AD156),AD156=0,SUM(F156:G156)=0),"FARM_CAREER_0",IF(COUNT(F156:G156)&lt;2,"UNKNOWN_GP",IF(AND(F156=0,G156=0),IF(AD156&gt;=10,"FARM_LEGACY_10",IF(AND(ISNUMBER(AD156),AD156&gt;0),"FARM_CAREER_1_9","FARM_0_0")),IF(F156&gt;=1,IF(F156&lt;=3,"FARM_RECENT_1_3","FARM_RECENT_4_9"),"FARM_PREV_1_9_ONLY")))))))</x:f>
        <x:v>UNKNOWN_GP</x:v>
      </x:c>
      <x:c r="AF156" s="57" t="n">
        <x:f>AB156-T156</x:f>
        <x:v>0</x:v>
      </x:c>
      <x:c r="AG156" s="57" t="n">
        <x:f>AC156-U156</x:f>
        <x:v>0</x:v>
      </x:c>
    </x:row>
    <x:row r="157">
      <x:c r="A157" t="s">
        <x:v>1157</x:v>
      </x:c>
      <x:c r="C157" t="s">
        <x:v>319</x:v>
      </x:c>
      <x:c r="D157">
        <x:v>8480750</x:v>
      </x:c>
      <x:c r="E157" t="s">
        <x:v>267</x:v>
      </x:c>
      <x:c r="J157" t="s">
        <x:v>2474</x:v>
      </x:c>
      <x:c r="K157">
        <x:v>74</x:v>
      </x:c>
      <x:c r="L157">
        <x:v>37</x:v>
      </x:c>
      <x:c r="M157">
        <x:v>75</x:v>
      </x:c>
      <x:c r="N157">
        <x:v>43</x:v>
      </x:c>
      <x:c r="O157">
        <x:v>79</x:v>
      </x:c>
      <x:c r="P157">
        <x:v>90</x:v>
      </x:c>
      <x:c r="Q157">
        <x:v>94</x:v>
      </x:c>
      <x:c r="R157">
        <x:v>43</x:v>
      </x:c>
      <x:c r="S157">
        <x:v>74</x:v>
      </x:c>
      <x:c r="T157" s="63" t="n">
        <x:f>MAX(30,MIN(AB157-VLOOKUP(AE157,'AHL_PA_SC_BALANCE'!$A$8:$E$18,2,FALSE),VLOOKUP(AE157,'AHL_PA_SC_BALANCE'!$A$8:$E$18,4,FALSE)))</x:f>
        <x:v>43</x:v>
      </x:c>
      <x:c r="U157" s="63" t="n">
        <x:f>MAX(30,MIN(AC157-VLOOKUP(AE157,'AHL_PA_SC_BALANCE'!$A$8:$E$18,3,FALSE),VLOOKUP(AE157,'AHL_PA_SC_BALANCE'!$A$8:$E$18,5,FALSE)))</x:f>
        <x:v>45</x:v>
      </x:c>
      <x:c r="V157">
        <x:v>62</x:v>
      </x:c>
      <x:c r="W157">
        <x:v>64</x:v>
      </x:c>
      <x:c r="X157">
        <x:v>78</x:v>
      </x:c>
      <x:c r="Y157">
        <x:v>77</x:v>
      </x:c>
      <x:c r="Z157">
        <x:v>51</x:v>
      </x:c>
      <x:c r="AA157">
        <x:v>53</x:v>
      </x:c>
      <x:c r="AB157" s="57" t="n">
        <x:v>43</x:v>
      </x:c>
      <x:c r="AC157" s="57" t="n">
        <x:v>45</x:v>
      </x:c>
      <x:c r="AD157" s="59"/>
      <x:c r="AE157" s="61" t="str">
        <x:f>IF(N(F157)&gt;=10,"NHL_LATEST_10",IF(AND(N(F157)&gt;0,N(G157)&gt;0),"NHL_BOTH_SEASONS",IF(N(G157)&gt;=10,"NHL_PREVIOUS_10",IF(AND(ISNUMBER(AD157),AD157=0,SUM(F157:G157)=0),"FARM_CAREER_0",IF(COUNT(F157:G157)&lt;2,"UNKNOWN_GP",IF(AND(F157=0,G157=0),IF(AD157&gt;=10,"FARM_LEGACY_10",IF(AND(ISNUMBER(AD157),AD157&gt;0),"FARM_CAREER_1_9","FARM_0_0")),IF(F157&gt;=1,IF(F157&lt;=3,"FARM_RECENT_1_3","FARM_RECENT_4_9"),"FARM_PREV_1_9_ONLY")))))))</x:f>
        <x:v>UNKNOWN_GP</x:v>
      </x:c>
      <x:c r="AF157" s="57" t="n">
        <x:f>AB157-T157</x:f>
        <x:v>0</x:v>
      </x:c>
      <x:c r="AG157" s="57" t="n">
        <x:f>AC157-U157</x:f>
        <x:v>0</x:v>
      </x:c>
    </x:row>
    <x:row r="158">
      <x:c r="A158" t="s">
        <x:v>1158</x:v>
      </x:c>
      <x:c r="C158" t="s">
        <x:v>326</x:v>
      </x:c>
      <x:c r="D158">
        <x:v>8482874</x:v>
      </x:c>
      <x:c r="E158" t="s">
        <x:v>267</x:v>
      </x:c>
      <x:c r="J158" t="s">
        <x:v>2474</x:v>
      </x:c>
      <x:c r="K158">
        <x:v>97</x:v>
      </x:c>
      <x:c r="L158">
        <x:v>72</x:v>
      </x:c>
      <x:c r="M158">
        <x:v>80</x:v>
      </x:c>
      <x:c r="N158">
        <x:v>47</x:v>
      </x:c>
      <x:c r="O158">
        <x:v>80</x:v>
      </x:c>
      <x:c r="P158">
        <x:v>80</x:v>
      </x:c>
      <x:c r="Q158">
        <x:v>83</x:v>
      </x:c>
      <x:c r="R158">
        <x:v>48</x:v>
      </x:c>
      <x:c r="S158">
        <x:v>68</x:v>
      </x:c>
      <x:c r="T158" s="63" t="n">
        <x:f>MAX(30,MIN(AB158-VLOOKUP(AE158,'AHL_PA_SC_BALANCE'!$A$8:$E$18,2,FALSE),VLOOKUP(AE158,'AHL_PA_SC_BALANCE'!$A$8:$E$18,4,FALSE)))</x:f>
        <x:v>47</x:v>
      </x:c>
      <x:c r="U158" s="63" t="n">
        <x:f>MAX(30,MIN(AC158-VLOOKUP(AE158,'AHL_PA_SC_BALANCE'!$A$8:$E$18,3,FALSE),VLOOKUP(AE158,'AHL_PA_SC_BALANCE'!$A$8:$E$18,5,FALSE)))</x:f>
        <x:v>47</x:v>
      </x:c>
      <x:c r="V158">
        <x:v>59</x:v>
      </x:c>
      <x:c r="W158">
        <x:v>54</x:v>
      </x:c>
      <x:c r="X158">
        <x:v>66</x:v>
      </x:c>
      <x:c r="Y158">
        <x:v>67</x:v>
      </x:c>
      <x:c r="Z158">
        <x:v>51</x:v>
      </x:c>
      <x:c r="AA158">
        <x:v>53</x:v>
      </x:c>
      <x:c r="AB158" s="57" t="n">
        <x:v>47</x:v>
      </x:c>
      <x:c r="AC158" s="57" t="n">
        <x:v>47</x:v>
      </x:c>
      <x:c r="AD158" s="59"/>
      <x:c r="AE158" s="61" t="str">
        <x:f>IF(N(F158)&gt;=10,"NHL_LATEST_10",IF(AND(N(F158)&gt;0,N(G158)&gt;0),"NHL_BOTH_SEASONS",IF(N(G158)&gt;=10,"NHL_PREVIOUS_10",IF(AND(ISNUMBER(AD158),AD158=0,SUM(F158:G158)=0),"FARM_CAREER_0",IF(COUNT(F158:G158)&lt;2,"UNKNOWN_GP",IF(AND(F158=0,G158=0),IF(AD158&gt;=10,"FARM_LEGACY_10",IF(AND(ISNUMBER(AD158),AD158&gt;0),"FARM_CAREER_1_9","FARM_0_0")),IF(F158&gt;=1,IF(F158&lt;=3,"FARM_RECENT_1_3","FARM_RECENT_4_9"),"FARM_PREV_1_9_ONLY")))))))</x:f>
        <x:v>UNKNOWN_GP</x:v>
      </x:c>
      <x:c r="AF158" s="57" t="n">
        <x:f>AB158-T158</x:f>
        <x:v>0</x:v>
      </x:c>
      <x:c r="AG158" s="57" t="n">
        <x:f>AC158-U158</x:f>
        <x:v>0</x:v>
      </x:c>
    </x:row>
    <x:row r="159">
      <x:c r="A159" t="s">
        <x:v>1159</x:v>
      </x:c>
      <x:c r="C159" t="s">
        <x:v>339</x:v>
      </x:c>
      <x:c r="D159">
        <x:v>8483669</x:v>
      </x:c>
      <x:c r="E159" t="s">
        <x:v>267</x:v>
      </x:c>
      <x:c r="J159" t="s">
        <x:v>2474</x:v>
      </x:c>
      <x:c r="K159">
        <x:v>70</x:v>
      </x:c>
      <x:c r="L159">
        <x:v>70</x:v>
      </x:c>
      <x:c r="M159">
        <x:v>95</x:v>
      </x:c>
      <x:c r="N159">
        <x:v>52</x:v>
      </x:c>
      <x:c r="O159">
        <x:v>76</x:v>
      </x:c>
      <x:c r="P159">
        <x:v>81</x:v>
      </x:c>
      <x:c r="Q159">
        <x:v>91</x:v>
      </x:c>
      <x:c r="R159">
        <x:v>48</x:v>
      </x:c>
      <x:c r="S159">
        <x:v>68</x:v>
      </x:c>
      <x:c r="T159" s="63" t="n">
        <x:f>MAX(30,MIN(AB159-VLOOKUP(AE159,'AHL_PA_SC_BALANCE'!$A$8:$E$18,2,FALSE),VLOOKUP(AE159,'AHL_PA_SC_BALANCE'!$A$8:$E$18,4,FALSE)))</x:f>
        <x:v>48</x:v>
      </x:c>
      <x:c r="U159" s="63" t="n">
        <x:f>MAX(30,MIN(AC159-VLOOKUP(AE159,'AHL_PA_SC_BALANCE'!$A$8:$E$18,3,FALSE),VLOOKUP(AE159,'AHL_PA_SC_BALANCE'!$A$8:$E$18,5,FALSE)))</x:f>
        <x:v>52</x:v>
      </x:c>
      <x:c r="V159">
        <x:v>62</x:v>
      </x:c>
      <x:c r="W159">
        <x:v>55</x:v>
      </x:c>
      <x:c r="X159">
        <x:v>65</x:v>
      </x:c>
      <x:c r="Y159">
        <x:v>65</x:v>
      </x:c>
      <x:c r="Z159">
        <x:v>51</x:v>
      </x:c>
      <x:c r="AA159">
        <x:v>53</x:v>
      </x:c>
      <x:c r="AB159" s="57" t="n">
        <x:v>48</x:v>
      </x:c>
      <x:c r="AC159" s="57" t="n">
        <x:v>52</x:v>
      </x:c>
      <x:c r="AD159" s="59"/>
      <x:c r="AE159" s="61" t="str">
        <x:f>IF(N(F159)&gt;=10,"NHL_LATEST_10",IF(AND(N(F159)&gt;0,N(G159)&gt;0),"NHL_BOTH_SEASONS",IF(N(G159)&gt;=10,"NHL_PREVIOUS_10",IF(AND(ISNUMBER(AD159),AD159=0,SUM(F159:G159)=0),"FARM_CAREER_0",IF(COUNT(F159:G159)&lt;2,"UNKNOWN_GP",IF(AND(F159=0,G159=0),IF(AD159&gt;=10,"FARM_LEGACY_10",IF(AND(ISNUMBER(AD159),AD159&gt;0),"FARM_CAREER_1_9","FARM_0_0")),IF(F159&gt;=1,IF(F159&lt;=3,"FARM_RECENT_1_3","FARM_RECENT_4_9"),"FARM_PREV_1_9_ONLY")))))))</x:f>
        <x:v>UNKNOWN_GP</x:v>
      </x:c>
      <x:c r="AF159" s="57" t="n">
        <x:f>AB159-T159</x:f>
        <x:v>0</x:v>
      </x:c>
      <x:c r="AG159" s="57" t="n">
        <x:f>AC159-U159</x:f>
        <x:v>0</x:v>
      </x:c>
    </x:row>
    <x:row r="160">
      <x:c r="A160" t="s">
        <x:v>1160</x:v>
      </x:c>
      <x:c r="B160" t="s">
        <x:v>393</x:v>
      </x:c>
      <x:c r="C160" t="s">
        <x:v>326</x:v>
      </x:c>
      <x:c r="D160">
        <x:v>8477473</x:v>
      </x:c>
      <x:c r="E160" t="s">
        <x:v>267</x:v>
      </x:c>
      <x:c r="J160" t="s">
        <x:v>2476</x:v>
      </x:c>
      <x:c r="K160">
        <x:v>67</x:v>
      </x:c>
      <x:c r="L160">
        <x:v>32</x:v>
      </x:c>
      <x:c r="M160">
        <x:v>84</x:v>
      </x:c>
      <x:c r="N160">
        <x:v>44</x:v>
      </x:c>
      <x:c r="O160">
        <x:v>87</x:v>
      </x:c>
      <x:c r="P160">
        <x:v>91</x:v>
      </x:c>
      <x:c r="Q160">
        <x:v>95</x:v>
      </x:c>
      <x:c r="R160">
        <x:v>44</x:v>
      </x:c>
      <x:c r="S160">
        <x:v>72</x:v>
      </x:c>
      <x:c r="T160" s="63" t="n">
        <x:f>MAX(30,MIN(AB160-VLOOKUP(AE160,'AHL_PA_SC_BALANCE'!$A$8:$E$18,2,FALSE),VLOOKUP(AE160,'AHL_PA_SC_BALANCE'!$A$8:$E$18,4,FALSE)))</x:f>
        <x:v>49</x:v>
      </x:c>
      <x:c r="U160" s="63" t="n">
        <x:f>MAX(30,MIN(AC160-VLOOKUP(AE160,'AHL_PA_SC_BALANCE'!$A$8:$E$18,3,FALSE),VLOOKUP(AE160,'AHL_PA_SC_BALANCE'!$A$8:$E$18,5,FALSE)))</x:f>
        <x:v>50</x:v>
      </x:c>
      <x:c r="V160">
        <x:v>66</x:v>
      </x:c>
      <x:c r="W160">
        <x:v>65</x:v>
      </x:c>
      <x:c r="X160">
        <x:v>74</x:v>
      </x:c>
      <x:c r="Y160">
        <x:v>75</x:v>
      </x:c>
      <x:c r="Z160">
        <x:v>51</x:v>
      </x:c>
      <x:c r="AA160">
        <x:v>53</x:v>
      </x:c>
      <x:c r="AB160" s="57" t="n">
        <x:v>49</x:v>
      </x:c>
      <x:c r="AC160" s="57" t="n">
        <x:v>50</x:v>
      </x:c>
      <x:c r="AD160" s="59"/>
      <x:c r="AE160" s="61" t="str">
        <x:f>IF(N(F160)&gt;=10,"NHL_LATEST_10",IF(AND(N(F160)&gt;0,N(G160)&gt;0),"NHL_BOTH_SEASONS",IF(N(G160)&gt;=10,"NHL_PREVIOUS_10",IF(AND(ISNUMBER(AD160),AD160=0,SUM(F160:G160)=0),"FARM_CAREER_0",IF(COUNT(F160:G160)&lt;2,"UNKNOWN_GP",IF(AND(F160=0,G160=0),IF(AD160&gt;=10,"FARM_LEGACY_10",IF(AND(ISNUMBER(AD160),AD160&gt;0),"FARM_CAREER_1_9","FARM_0_0")),IF(F160&gt;=1,IF(F160&lt;=3,"FARM_RECENT_1_3","FARM_RECENT_4_9"),"FARM_PREV_1_9_ONLY")))))))</x:f>
        <x:v>UNKNOWN_GP</x:v>
      </x:c>
      <x:c r="AF160" s="57" t="n">
        <x:f>AB160-T160</x:f>
        <x:v>0</x:v>
      </x:c>
      <x:c r="AG160" s="57" t="n">
        <x:f>AC160-U160</x:f>
        <x:v>0</x:v>
      </x:c>
    </x:row>
    <x:row r="161">
      <x:c r="A161" t="s">
        <x:v>1161</x:v>
      </x:c>
      <x:c r="C161" t="s">
        <x:v>319</x:v>
      </x:c>
      <x:c r="D161">
        <x:v>8481704</x:v>
      </x:c>
      <x:c r="E161" t="s">
        <x:v>267</x:v>
      </x:c>
      <x:c r="J161" t="s">
        <x:v>2474</x:v>
      </x:c>
      <x:c r="K161">
        <x:v>70</x:v>
      </x:c>
      <x:c r="L161">
        <x:v>45</x:v>
      </x:c>
      <x:c r="M161">
        <x:v>83</x:v>
      </x:c>
      <x:c r="N161">
        <x:v>48</x:v>
      </x:c>
      <x:c r="O161">
        <x:v>83</x:v>
      </x:c>
      <x:c r="P161">
        <x:v>79</x:v>
      </x:c>
      <x:c r="Q161">
        <x:v>68</x:v>
      </x:c>
      <x:c r="R161">
        <x:v>49</x:v>
      </x:c>
      <x:c r="S161">
        <x:v>80</x:v>
      </x:c>
      <x:c r="T161" s="63" t="n">
        <x:f>MAX(30,MIN(AB161-VLOOKUP(AE161,'AHL_PA_SC_BALANCE'!$A$8:$E$18,2,FALSE),VLOOKUP(AE161,'AHL_PA_SC_BALANCE'!$A$8:$E$18,4,FALSE)))</x:f>
        <x:v>50</x:v>
      </x:c>
      <x:c r="U161" s="63" t="n">
        <x:f>MAX(30,MIN(AC161-VLOOKUP(AE161,'AHL_PA_SC_BALANCE'!$A$8:$E$18,3,FALSE),VLOOKUP(AE161,'AHL_PA_SC_BALANCE'!$A$8:$E$18,5,FALSE)))</x:f>
        <x:v>52</x:v>
      </x:c>
      <x:c r="V161">
        <x:v>63</x:v>
      </x:c>
      <x:c r="W161">
        <x:v>55</x:v>
      </x:c>
      <x:c r="X161">
        <x:v>69</x:v>
      </x:c>
      <x:c r="Y161">
        <x:v>68</x:v>
      </x:c>
      <x:c r="Z161">
        <x:v>51</x:v>
      </x:c>
      <x:c r="AA161">
        <x:v>53</x:v>
      </x:c>
      <x:c r="AB161" s="57" t="n">
        <x:v>50</x:v>
      </x:c>
      <x:c r="AC161" s="57" t="n">
        <x:v>52</x:v>
      </x:c>
      <x:c r="AD161" s="59"/>
      <x:c r="AE161" s="61" t="str">
        <x:f>IF(N(F161)&gt;=10,"NHL_LATEST_10",IF(AND(N(F161)&gt;0,N(G161)&gt;0),"NHL_BOTH_SEASONS",IF(N(G161)&gt;=10,"NHL_PREVIOUS_10",IF(AND(ISNUMBER(AD161),AD161=0,SUM(F161:G161)=0),"FARM_CAREER_0",IF(COUNT(F161:G161)&lt;2,"UNKNOWN_GP",IF(AND(F161=0,G161=0),IF(AD161&gt;=10,"FARM_LEGACY_10",IF(AND(ISNUMBER(AD161),AD161&gt;0),"FARM_CAREER_1_9","FARM_0_0")),IF(F161&gt;=1,IF(F161&lt;=3,"FARM_RECENT_1_3","FARM_RECENT_4_9"),"FARM_PREV_1_9_ONLY")))))))</x:f>
        <x:v>UNKNOWN_GP</x:v>
      </x:c>
      <x:c r="AF161" s="57" t="n">
        <x:f>AB161-T161</x:f>
        <x:v>0</x:v>
      </x:c>
      <x:c r="AG161" s="57" t="n">
        <x:f>AC161-U161</x:f>
        <x:v>0</x:v>
      </x:c>
    </x:row>
    <x:row r="162">
      <x:c r="A162" t="s">
        <x:v>1162</x:v>
      </x:c>
      <x:c r="C162" t="s">
        <x:v>333</x:v>
      </x:c>
      <x:c r="D162">
        <x:v>8476858</x:v>
      </x:c>
      <x:c r="E162" t="s">
        <x:v>267</x:v>
      </x:c>
      <x:c r="J162" t="s">
        <x:v>2474</x:v>
      </x:c>
      <x:c r="K162">
        <x:v>77</x:v>
      </x:c>
      <x:c r="L162">
        <x:v>39</x:v>
      </x:c>
      <x:c r="M162">
        <x:v>77</x:v>
      </x:c>
      <x:c r="N162">
        <x:v>42</x:v>
      </x:c>
      <x:c r="O162">
        <x:v>81</x:v>
      </x:c>
      <x:c r="P162">
        <x:v>92</x:v>
      </x:c>
      <x:c r="Q162">
        <x:v>96</x:v>
      </x:c>
      <x:c r="R162">
        <x:v>41</x:v>
      </x:c>
      <x:c r="S162">
        <x:v>73</x:v>
      </x:c>
      <x:c r="T162" s="63" t="n">
        <x:f>MAX(30,MIN(AB162-VLOOKUP(AE162,'AHL_PA_SC_BALANCE'!$A$8:$E$18,2,FALSE),VLOOKUP(AE162,'AHL_PA_SC_BALANCE'!$A$8:$E$18,4,FALSE)))</x:f>
        <x:v>51</x:v>
      </x:c>
      <x:c r="U162" s="63" t="n">
        <x:f>MAX(30,MIN(AC162-VLOOKUP(AE162,'AHL_PA_SC_BALANCE'!$A$8:$E$18,3,FALSE),VLOOKUP(AE162,'AHL_PA_SC_BALANCE'!$A$8:$E$18,5,FALSE)))</x:f>
        <x:v>49</x:v>
      </x:c>
      <x:c r="V162">
        <x:v>66</x:v>
      </x:c>
      <x:c r="W162">
        <x:v>64</x:v>
      </x:c>
      <x:c r="X162">
        <x:v>82</x:v>
      </x:c>
      <x:c r="Y162">
        <x:v>75</x:v>
      </x:c>
      <x:c r="Z162">
        <x:v>51</x:v>
      </x:c>
      <x:c r="AA162">
        <x:v>53</x:v>
      </x:c>
      <x:c r="AB162" s="57" t="n">
        <x:v>51</x:v>
      </x:c>
      <x:c r="AC162" s="57" t="n">
        <x:v>49</x:v>
      </x:c>
      <x:c r="AD162" s="59"/>
      <x:c r="AE162" s="61" t="str">
        <x:f>IF(N(F162)&gt;=10,"NHL_LATEST_10",IF(AND(N(F162)&gt;0,N(G162)&gt;0),"NHL_BOTH_SEASONS",IF(N(G162)&gt;=10,"NHL_PREVIOUS_10",IF(AND(ISNUMBER(AD162),AD162=0,SUM(F162:G162)=0),"FARM_CAREER_0",IF(COUNT(F162:G162)&lt;2,"UNKNOWN_GP",IF(AND(F162=0,G162=0),IF(AD162&gt;=10,"FARM_LEGACY_10",IF(AND(ISNUMBER(AD162),AD162&gt;0),"FARM_CAREER_1_9","FARM_0_0")),IF(F162&gt;=1,IF(F162&lt;=3,"FARM_RECENT_1_3","FARM_RECENT_4_9"),"FARM_PREV_1_9_ONLY")))))))</x:f>
        <x:v>UNKNOWN_GP</x:v>
      </x:c>
      <x:c r="AF162" s="57" t="n">
        <x:f>AB162-T162</x:f>
        <x:v>0</x:v>
      </x:c>
      <x:c r="AG162" s="57" t="n">
        <x:f>AC162-U162</x:f>
        <x:v>0</x:v>
      </x:c>
    </x:row>
    <x:row r="163">
      <x:c r="A163" t="s">
        <x:v>1163</x:v>
      </x:c>
      <x:c r="C163" t="s">
        <x:v>331</x:v>
      </x:c>
      <x:c r="D163">
        <x:v>8483482</x:v>
      </x:c>
      <x:c r="E163" t="s">
        <x:v>267</x:v>
      </x:c>
      <x:c r="J163" t="s">
        <x:v>2474</x:v>
      </x:c>
      <x:c r="K163">
        <x:v>72</x:v>
      </x:c>
      <x:c r="L163">
        <x:v>34</x:v>
      </x:c>
      <x:c r="M163">
        <x:v>86</x:v>
      </x:c>
      <x:c r="N163">
        <x:v>35</x:v>
      </x:c>
      <x:c r="O163">
        <x:v>80</x:v>
      </x:c>
      <x:c r="P163">
        <x:v>89</x:v>
      </x:c>
      <x:c r="Q163">
        <x:v>94</x:v>
      </x:c>
      <x:c r="R163">
        <x:v>34</x:v>
      </x:c>
      <x:c r="S163">
        <x:v>30</x:v>
      </x:c>
      <x:c r="T163" s="63" t="n">
        <x:f>MAX(30,MIN(AB163-VLOOKUP(AE163,'AHL_PA_SC_BALANCE'!$A$8:$E$18,2,FALSE),VLOOKUP(AE163,'AHL_PA_SC_BALANCE'!$A$8:$E$18,4,FALSE)))</x:f>
        <x:v>50</x:v>
      </x:c>
      <x:c r="U163" s="63" t="n">
        <x:f>MAX(30,MIN(AC163-VLOOKUP(AE163,'AHL_PA_SC_BALANCE'!$A$8:$E$18,3,FALSE),VLOOKUP(AE163,'AHL_PA_SC_BALANCE'!$A$8:$E$18,5,FALSE)))</x:f>
        <x:v>45</x:v>
      </x:c>
      <x:c r="V163">
        <x:v>72</x:v>
      </x:c>
      <x:c r="W163">
        <x:v>52</x:v>
      </x:c>
      <x:c r="X163">
        <x:v>65</x:v>
      </x:c>
      <x:c r="Y163">
        <x:v>66</x:v>
      </x:c>
      <x:c r="Z163">
        <x:v>51</x:v>
      </x:c>
      <x:c r="AA163">
        <x:v>53</x:v>
      </x:c>
      <x:c r="AB163" s="57" t="n">
        <x:v>50</x:v>
      </x:c>
      <x:c r="AC163" s="57" t="n">
        <x:v>45</x:v>
      </x:c>
      <x:c r="AD163" s="59"/>
      <x:c r="AE163" s="61" t="str">
        <x:f>IF(N(F163)&gt;=10,"NHL_LATEST_10",IF(AND(N(F163)&gt;0,N(G163)&gt;0),"NHL_BOTH_SEASONS",IF(N(G163)&gt;=10,"NHL_PREVIOUS_10",IF(AND(ISNUMBER(AD163),AD163=0,SUM(F163:G163)=0),"FARM_CAREER_0",IF(COUNT(F163:G163)&lt;2,"UNKNOWN_GP",IF(AND(F163=0,G163=0),IF(AD163&gt;=10,"FARM_LEGACY_10",IF(AND(ISNUMBER(AD163),AD163&gt;0),"FARM_CAREER_1_9","FARM_0_0")),IF(F163&gt;=1,IF(F163&lt;=3,"FARM_RECENT_1_3","FARM_RECENT_4_9"),"FARM_PREV_1_9_ONLY")))))))</x:f>
        <x:v>UNKNOWN_GP</x:v>
      </x:c>
      <x:c r="AF163" s="57" t="n">
        <x:f>AB163-T163</x:f>
        <x:v>0</x:v>
      </x:c>
      <x:c r="AG163" s="57" t="n">
        <x:f>AC163-U163</x:f>
        <x:v>0</x:v>
      </x:c>
    </x:row>
    <x:row r="164">
      <x:c r="A164" t="s">
        <x:v>1164</x:v>
      </x:c>
      <x:c r="C164" t="s">
        <x:v>326</x:v>
      </x:c>
      <x:c r="D164">
        <x:v>8482125</x:v>
      </x:c>
      <x:c r="E164" t="s">
        <x:v>267</x:v>
      </x:c>
      <x:c r="J164" t="s">
        <x:v>2474</x:v>
      </x:c>
      <x:c r="K164">
        <x:v>66</x:v>
      </x:c>
      <x:c r="L164">
        <x:v>32</x:v>
      </x:c>
      <x:c r="M164">
        <x:v>87</x:v>
      </x:c>
      <x:c r="N164">
        <x:v>52</x:v>
      </x:c>
      <x:c r="O164">
        <x:v>75</x:v>
      </x:c>
      <x:c r="P164">
        <x:v>81</x:v>
      </x:c>
      <x:c r="Q164">
        <x:v>75</x:v>
      </x:c>
      <x:c r="R164">
        <x:v>51</x:v>
      </x:c>
      <x:c r="S164">
        <x:v>65</x:v>
      </x:c>
      <x:c r="T164" s="63" t="n">
        <x:f>MAX(30,MIN(AB164-VLOOKUP(AE164,'AHL_PA_SC_BALANCE'!$A$8:$E$18,2,FALSE),VLOOKUP(AE164,'AHL_PA_SC_BALANCE'!$A$8:$E$18,4,FALSE)))</x:f>
        <x:v>53</x:v>
      </x:c>
      <x:c r="U164" s="63" t="n">
        <x:f>MAX(30,MIN(AC164-VLOOKUP(AE164,'AHL_PA_SC_BALANCE'!$A$8:$E$18,3,FALSE),VLOOKUP(AE164,'AHL_PA_SC_BALANCE'!$A$8:$E$18,5,FALSE)))</x:f>
        <x:v>53</x:v>
      </x:c>
      <x:c r="V164">
        <x:v>61</x:v>
      </x:c>
      <x:c r="W164">
        <x:v>67</x:v>
      </x:c>
      <x:c r="X164">
        <x:v>70</x:v>
      </x:c>
      <x:c r="Y164">
        <x:v>66</x:v>
      </x:c>
      <x:c r="Z164">
        <x:v>51</x:v>
      </x:c>
      <x:c r="AA164">
        <x:v>53</x:v>
      </x:c>
      <x:c r="AB164" s="57" t="n">
        <x:v>53</x:v>
      </x:c>
      <x:c r="AC164" s="57" t="n">
        <x:v>53</x:v>
      </x:c>
      <x:c r="AD164" s="59"/>
      <x:c r="AE164" s="61" t="str">
        <x:f>IF(N(F164)&gt;=10,"NHL_LATEST_10",IF(AND(N(F164)&gt;0,N(G164)&gt;0),"NHL_BOTH_SEASONS",IF(N(G164)&gt;=10,"NHL_PREVIOUS_10",IF(AND(ISNUMBER(AD164),AD164=0,SUM(F164:G164)=0),"FARM_CAREER_0",IF(COUNT(F164:G164)&lt;2,"UNKNOWN_GP",IF(AND(F164=0,G164=0),IF(AD164&gt;=10,"FARM_LEGACY_10",IF(AND(ISNUMBER(AD164),AD164&gt;0),"FARM_CAREER_1_9","FARM_0_0")),IF(F164&gt;=1,IF(F164&lt;=3,"FARM_RECENT_1_3","FARM_RECENT_4_9"),"FARM_PREV_1_9_ONLY")))))))</x:f>
        <x:v>UNKNOWN_GP</x:v>
      </x:c>
      <x:c r="AF164" s="57" t="n">
        <x:f>AB164-T164</x:f>
        <x:v>0</x:v>
      </x:c>
      <x:c r="AG164" s="57" t="n">
        <x:f>AC164-U164</x:f>
        <x:v>0</x:v>
      </x:c>
    </x:row>
    <x:row r="165">
      <x:c r="A165" t="s">
        <x:v>1166</x:v>
      </x:c>
      <x:c r="C165" t="s">
        <x:v>331</x:v>
      </x:c>
      <x:c r="D165">
        <x:v>8484859</x:v>
      </x:c>
      <x:c r="E165" t="s">
        <x:v>267</x:v>
      </x:c>
      <x:c r="J165" t="s">
        <x:v>2474</x:v>
      </x:c>
      <x:c r="K165">
        <x:v>84</x:v>
      </x:c>
      <x:c r="L165">
        <x:v>41</x:v>
      </x:c>
      <x:c r="M165">
        <x:v>74</x:v>
      </x:c>
      <x:c r="N165">
        <x:v>33</x:v>
      </x:c>
      <x:c r="O165">
        <x:v>81</x:v>
      </x:c>
      <x:c r="P165">
        <x:v>91</x:v>
      </x:c>
      <x:c r="Q165">
        <x:v>95</x:v>
      </x:c>
      <x:c r="R165">
        <x:v>33</x:v>
      </x:c>
      <x:c r="S165">
        <x:v>30</x:v>
      </x:c>
      <x:c r="T165" s="63" t="n">
        <x:f>MAX(30,MIN(AB165-VLOOKUP(AE165,'AHL_PA_SC_BALANCE'!$A$8:$E$18,2,FALSE),VLOOKUP(AE165,'AHL_PA_SC_BALANCE'!$A$8:$E$18,4,FALSE)))</x:f>
        <x:v>42</x:v>
      </x:c>
      <x:c r="U165" s="63" t="n">
        <x:f>MAX(30,MIN(AC165-VLOOKUP(AE165,'AHL_PA_SC_BALANCE'!$A$8:$E$18,3,FALSE),VLOOKUP(AE165,'AHL_PA_SC_BALANCE'!$A$8:$E$18,5,FALSE)))</x:f>
        <x:v>43</x:v>
      </x:c>
      <x:c r="V165">
        <x:v>69</x:v>
      </x:c>
      <x:c r="W165">
        <x:v>47</x:v>
      </x:c>
      <x:c r="X165">
        <x:v>64</x:v>
      </x:c>
      <x:c r="Y165">
        <x:v>65</x:v>
      </x:c>
      <x:c r="Z165">
        <x:v>51</x:v>
      </x:c>
      <x:c r="AA165">
        <x:v>53</x:v>
      </x:c>
      <x:c r="AB165" s="57" t="n">
        <x:v>42</x:v>
      </x:c>
      <x:c r="AC165" s="57" t="n">
        <x:v>43</x:v>
      </x:c>
      <x:c r="AD165" s="59"/>
      <x:c r="AE165" s="61" t="str">
        <x:f>IF(N(F165)&gt;=10,"NHL_LATEST_10",IF(AND(N(F165)&gt;0,N(G165)&gt;0),"NHL_BOTH_SEASONS",IF(N(G165)&gt;=10,"NHL_PREVIOUS_10",IF(AND(ISNUMBER(AD165),AD165=0,SUM(F165:G165)=0),"FARM_CAREER_0",IF(COUNT(F165:G165)&lt;2,"UNKNOWN_GP",IF(AND(F165=0,G165=0),IF(AD165&gt;=10,"FARM_LEGACY_10",IF(AND(ISNUMBER(AD165),AD165&gt;0),"FARM_CAREER_1_9","FARM_0_0")),IF(F165&gt;=1,IF(F165&lt;=3,"FARM_RECENT_1_3","FARM_RECENT_4_9"),"FARM_PREV_1_9_ONLY")))))))</x:f>
        <x:v>UNKNOWN_GP</x:v>
      </x:c>
      <x:c r="AF165" s="57" t="n">
        <x:f>AB165-T165</x:f>
        <x:v>0</x:v>
      </x:c>
      <x:c r="AG165" s="57" t="n">
        <x:f>AC165-U165</x:f>
        <x:v>0</x:v>
      </x:c>
    </x:row>
    <x:row r="166">
      <x:c r="A166" t="s">
        <x:v>1167</x:v>
      </x:c>
      <x:c r="C166" t="s">
        <x:v>339</x:v>
      </x:c>
      <x:c r="D166">
        <x:v>8477460</x:v>
      </x:c>
      <x:c r="E166" t="s">
        <x:v>267</x:v>
      </x:c>
      <x:c r="J166" t="s">
        <x:v>2474</x:v>
      </x:c>
      <x:c r="K166">
        <x:v>64</x:v>
      </x:c>
      <x:c r="L166">
        <x:v>35</x:v>
      </x:c>
      <x:c r="M166">
        <x:v>82</x:v>
      </x:c>
      <x:c r="N166">
        <x:v>49</x:v>
      </x:c>
      <x:c r="O166">
        <x:v>79</x:v>
      </x:c>
      <x:c r="P166">
        <x:v>83</x:v>
      </x:c>
      <x:c r="Q166">
        <x:v>85</x:v>
      </x:c>
      <x:c r="R166">
        <x:v>48</x:v>
      </x:c>
      <x:c r="S166">
        <x:v>85</x:v>
      </x:c>
      <x:c r="T166" s="63" t="n">
        <x:f>MAX(30,MIN(AB166-VLOOKUP(AE166,'AHL_PA_SC_BALANCE'!$A$8:$E$18,2,FALSE),VLOOKUP(AE166,'AHL_PA_SC_BALANCE'!$A$8:$E$18,4,FALSE)))</x:f>
        <x:v>53</x:v>
      </x:c>
      <x:c r="U166" s="63" t="n">
        <x:f>MAX(30,MIN(AC166-VLOOKUP(AE166,'AHL_PA_SC_BALANCE'!$A$8:$E$18,3,FALSE),VLOOKUP(AE166,'AHL_PA_SC_BALANCE'!$A$8:$E$18,5,FALSE)))</x:f>
        <x:v>46</x:v>
      </x:c>
      <x:c r="V166">
        <x:v>58</x:v>
      </x:c>
      <x:c r="W166">
        <x:v>72</x:v>
      </x:c>
      <x:c r="X166">
        <x:v>74</x:v>
      </x:c>
      <x:c r="Y166">
        <x:v>73</x:v>
      </x:c>
      <x:c r="Z166">
        <x:v>51</x:v>
      </x:c>
      <x:c r="AA166">
        <x:v>53</x:v>
      </x:c>
      <x:c r="AB166" s="57" t="n">
        <x:v>53</x:v>
      </x:c>
      <x:c r="AC166" s="57" t="n">
        <x:v>46</x:v>
      </x:c>
      <x:c r="AD166" s="59"/>
      <x:c r="AE166" s="61" t="str">
        <x:f>IF(N(F166)&gt;=10,"NHL_LATEST_10",IF(AND(N(F166)&gt;0,N(G166)&gt;0),"NHL_BOTH_SEASONS",IF(N(G166)&gt;=10,"NHL_PREVIOUS_10",IF(AND(ISNUMBER(AD166),AD166=0,SUM(F166:G166)=0),"FARM_CAREER_0",IF(COUNT(F166:G166)&lt;2,"UNKNOWN_GP",IF(AND(F166=0,G166=0),IF(AD166&gt;=10,"FARM_LEGACY_10",IF(AND(ISNUMBER(AD166),AD166&gt;0),"FARM_CAREER_1_9","FARM_0_0")),IF(F166&gt;=1,IF(F166&lt;=3,"FARM_RECENT_1_3","FARM_RECENT_4_9"),"FARM_PREV_1_9_ONLY")))))))</x:f>
        <x:v>UNKNOWN_GP</x:v>
      </x:c>
      <x:c r="AF166" s="57" t="n">
        <x:f>AB166-T166</x:f>
        <x:v>0</x:v>
      </x:c>
      <x:c r="AG166" s="57" t="n">
        <x:f>AC166-U166</x:f>
        <x:v>0</x:v>
      </x:c>
    </x:row>
    <x:row r="167">
      <x:c r="A167" t="s">
        <x:v>1168</x:v>
      </x:c>
      <x:c r="C167" t="s">
        <x:v>331</x:v>
      </x:c>
      <x:c r="D167">
        <x:v>8484140</x:v>
      </x:c>
      <x:c r="E167" t="s">
        <x:v>267</x:v>
      </x:c>
      <x:c r="J167" t="s">
        <x:v>2474</x:v>
      </x:c>
      <x:c r="K167">
        <x:v>79</x:v>
      </x:c>
      <x:c r="L167">
        <x:v>39</x:v>
      </x:c>
      <x:c r="M167">
        <x:v>76</x:v>
      </x:c>
      <x:c r="N167">
        <x:v>34</x:v>
      </x:c>
      <x:c r="O167">
        <x:v>81</x:v>
      </x:c>
      <x:c r="P167">
        <x:v>73</x:v>
      </x:c>
      <x:c r="Q167">
        <x:v>76</x:v>
      </x:c>
      <x:c r="R167">
        <x:v>33</x:v>
      </x:c>
      <x:c r="S167">
        <x:v>30</x:v>
      </x:c>
      <x:c r="T167" s="63" t="n">
        <x:f>MAX(30,MIN(AB167-VLOOKUP(AE167,'AHL_PA_SC_BALANCE'!$A$8:$E$18,2,FALSE),VLOOKUP(AE167,'AHL_PA_SC_BALANCE'!$A$8:$E$18,4,FALSE)))</x:f>
        <x:v>42</x:v>
      </x:c>
      <x:c r="U167" s="63" t="n">
        <x:f>MAX(30,MIN(AC167-VLOOKUP(AE167,'AHL_PA_SC_BALANCE'!$A$8:$E$18,3,FALSE),VLOOKUP(AE167,'AHL_PA_SC_BALANCE'!$A$8:$E$18,5,FALSE)))</x:f>
        <x:v>42</x:v>
      </x:c>
      <x:c r="V167">
        <x:v>69</x:v>
      </x:c>
      <x:c r="W167">
        <x:v>47</x:v>
      </x:c>
      <x:c r="X167">
        <x:v>65</x:v>
      </x:c>
      <x:c r="Y167">
        <x:v>66</x:v>
      </x:c>
      <x:c r="Z167">
        <x:v>51</x:v>
      </x:c>
      <x:c r="AA167">
        <x:v>53</x:v>
      </x:c>
      <x:c r="AB167" s="57" t="n">
        <x:v>42</x:v>
      </x:c>
      <x:c r="AC167" s="57" t="n">
        <x:v>42</x:v>
      </x:c>
      <x:c r="AD167" s="59"/>
      <x:c r="AE167" s="61" t="str">
        <x:f>IF(N(F167)&gt;=10,"NHL_LATEST_10",IF(AND(N(F167)&gt;0,N(G167)&gt;0),"NHL_BOTH_SEASONS",IF(N(G167)&gt;=10,"NHL_PREVIOUS_10",IF(AND(ISNUMBER(AD167),AD167=0,SUM(F167:G167)=0),"FARM_CAREER_0",IF(COUNT(F167:G167)&lt;2,"UNKNOWN_GP",IF(AND(F167=0,G167=0),IF(AD167&gt;=10,"FARM_LEGACY_10",IF(AND(ISNUMBER(AD167),AD167&gt;0),"FARM_CAREER_1_9","FARM_0_0")),IF(F167&gt;=1,IF(F167&lt;=3,"FARM_RECENT_1_3","FARM_RECENT_4_9"),"FARM_PREV_1_9_ONLY")))))))</x:f>
        <x:v>UNKNOWN_GP</x:v>
      </x:c>
      <x:c r="AF167" s="57" t="n">
        <x:f>AB167-T167</x:f>
        <x:v>0</x:v>
      </x:c>
      <x:c r="AG167" s="57" t="n">
        <x:f>AC167-U167</x:f>
        <x:v>0</x:v>
      </x:c>
    </x:row>
    <x:row r="168">
      <x:c r="A168" t="s">
        <x:v>1169</x:v>
      </x:c>
      <x:c r="C168" t="s">
        <x:v>331</x:v>
      </x:c>
      <x:c r="D168">
        <x:v>8477205</x:v>
      </x:c>
      <x:c r="E168" t="s">
        <x:v>267</x:v>
      </x:c>
      <x:c r="J168" t="s">
        <x:v>2474</x:v>
      </x:c>
      <x:c r="K168">
        <x:v>83</x:v>
      </x:c>
      <x:c r="L168">
        <x:v>49</x:v>
      </x:c>
      <x:c r="M168">
        <x:v>72</x:v>
      </x:c>
      <x:c r="N168">
        <x:v>30</x:v>
      </x:c>
      <x:c r="O168">
        <x:v>85</x:v>
      </x:c>
      <x:c r="P168">
        <x:v>71</x:v>
      </x:c>
      <x:c r="Q168">
        <x:v>74</x:v>
      </x:c>
      <x:c r="R168">
        <x:v>30</x:v>
      </x:c>
      <x:c r="S168">
        <x:v>30</x:v>
      </x:c>
      <x:c r="T168" s="63" t="n">
        <x:f>MAX(30,MIN(AB168-VLOOKUP(AE168,'AHL_PA_SC_BALANCE'!$A$8:$E$18,2,FALSE),VLOOKUP(AE168,'AHL_PA_SC_BALANCE'!$A$8:$E$18,4,FALSE)))</x:f>
        <x:v>40</x:v>
      </x:c>
      <x:c r="U168" s="63" t="n">
        <x:f>MAX(30,MIN(AC168-VLOOKUP(AE168,'AHL_PA_SC_BALANCE'!$A$8:$E$18,3,FALSE),VLOOKUP(AE168,'AHL_PA_SC_BALANCE'!$A$8:$E$18,5,FALSE)))</x:f>
        <x:v>37</x:v>
      </x:c>
      <x:c r="V168">
        <x:v>71</x:v>
      </x:c>
      <x:c r="W168">
        <x:v>43</x:v>
      </x:c>
      <x:c r="X168">
        <x:v>81</x:v>
      </x:c>
      <x:c r="Y168">
        <x:v>77</x:v>
      </x:c>
      <x:c r="Z168">
        <x:v>51</x:v>
      </x:c>
      <x:c r="AA168">
        <x:v>53</x:v>
      </x:c>
      <x:c r="AB168" s="57" t="n">
        <x:v>40</x:v>
      </x:c>
      <x:c r="AC168" s="57" t="n">
        <x:v>37</x:v>
      </x:c>
      <x:c r="AD168" s="59"/>
      <x:c r="AE168" s="61" t="str">
        <x:f>IF(N(F168)&gt;=10,"NHL_LATEST_10",IF(AND(N(F168)&gt;0,N(G168)&gt;0),"NHL_BOTH_SEASONS",IF(N(G168)&gt;=10,"NHL_PREVIOUS_10",IF(AND(ISNUMBER(AD168),AD168=0,SUM(F168:G168)=0),"FARM_CAREER_0",IF(COUNT(F168:G168)&lt;2,"UNKNOWN_GP",IF(AND(F168=0,G168=0),IF(AD168&gt;=10,"FARM_LEGACY_10",IF(AND(ISNUMBER(AD168),AD168&gt;0),"FARM_CAREER_1_9","FARM_0_0")),IF(F168&gt;=1,IF(F168&lt;=3,"FARM_RECENT_1_3","FARM_RECENT_4_9"),"FARM_PREV_1_9_ONLY")))))))</x:f>
        <x:v>UNKNOWN_GP</x:v>
      </x:c>
      <x:c r="AF168" s="57" t="n">
        <x:f>AB168-T168</x:f>
        <x:v>0</x:v>
      </x:c>
      <x:c r="AG168" s="57" t="n">
        <x:f>AC168-U168</x:f>
        <x:v>0</x:v>
      </x:c>
    </x:row>
    <x:row r="169">
      <x:c r="A169" t="s">
        <x:v>1171</x:v>
      </x:c>
      <x:c r="C169" t="s">
        <x:v>331</x:v>
      </x:c>
      <x:c r="D169">
        <x:v>8483684</x:v>
      </x:c>
      <x:c r="E169" t="s">
        <x:v>267</x:v>
      </x:c>
      <x:c r="J169" t="s">
        <x:v>2474</x:v>
      </x:c>
      <x:c r="K169">
        <x:v>63</x:v>
      </x:c>
      <x:c r="L169">
        <x:v>38</x:v>
      </x:c>
      <x:c r="M169">
        <x:v>83</x:v>
      </x:c>
      <x:c r="N169">
        <x:v>36</x:v>
      </x:c>
      <x:c r="O169">
        <x:v>79</x:v>
      </x:c>
      <x:c r="P169">
        <x:v>92</x:v>
      </x:c>
      <x:c r="Q169">
        <x:v>96</x:v>
      </x:c>
      <x:c r="R169">
        <x:v>37</x:v>
      </x:c>
      <x:c r="S169">
        <x:v>30</x:v>
      </x:c>
      <x:c r="T169" s="63" t="n">
        <x:f>MAX(30,MIN(AB169-VLOOKUP(AE169,'AHL_PA_SC_BALANCE'!$A$8:$E$18,2,FALSE),VLOOKUP(AE169,'AHL_PA_SC_BALANCE'!$A$8:$E$18,4,FALSE)))</x:f>
        <x:v>50</x:v>
      </x:c>
      <x:c r="U169" s="63" t="n">
        <x:f>MAX(30,MIN(AC169-VLOOKUP(AE169,'AHL_PA_SC_BALANCE'!$A$8:$E$18,3,FALSE),VLOOKUP(AE169,'AHL_PA_SC_BALANCE'!$A$8:$E$18,5,FALSE)))</x:f>
        <x:v>42</x:v>
      </x:c>
      <x:c r="V169">
        <x:v>66</x:v>
      </x:c>
      <x:c r="W169">
        <x:v>52</x:v>
      </x:c>
      <x:c r="X169">
        <x:v>66</x:v>
      </x:c>
      <x:c r="Y169">
        <x:v>65</x:v>
      </x:c>
      <x:c r="Z169">
        <x:v>51</x:v>
      </x:c>
      <x:c r="AA169">
        <x:v>53</x:v>
      </x:c>
      <x:c r="AB169" s="57" t="n">
        <x:v>50</x:v>
      </x:c>
      <x:c r="AC169" s="57" t="n">
        <x:v>42</x:v>
      </x:c>
      <x:c r="AD169" s="59"/>
      <x:c r="AE169" s="61" t="str">
        <x:f>IF(N(F169)&gt;=10,"NHL_LATEST_10",IF(AND(N(F169)&gt;0,N(G169)&gt;0),"NHL_BOTH_SEASONS",IF(N(G169)&gt;=10,"NHL_PREVIOUS_10",IF(AND(ISNUMBER(AD169),AD169=0,SUM(F169:G169)=0),"FARM_CAREER_0",IF(COUNT(F169:G169)&lt;2,"UNKNOWN_GP",IF(AND(F169=0,G169=0),IF(AD169&gt;=10,"FARM_LEGACY_10",IF(AND(ISNUMBER(AD169),AD169&gt;0),"FARM_CAREER_1_9","FARM_0_0")),IF(F169&gt;=1,IF(F169&lt;=3,"FARM_RECENT_1_3","FARM_RECENT_4_9"),"FARM_PREV_1_9_ONLY")))))))</x:f>
        <x:v>UNKNOWN_GP</x:v>
      </x:c>
      <x:c r="AF169" s="57" t="n">
        <x:f>AB169-T169</x:f>
        <x:v>0</x:v>
      </x:c>
      <x:c r="AG169" s="57" t="n">
        <x:f>AC169-U169</x:f>
        <x:v>0</x:v>
      </x:c>
    </x:row>
    <x:row r="170">
      <x:c r="A170" t="s">
        <x:v>1172</x:v>
      </x:c>
      <x:c r="C170" t="s">
        <x:v>319</x:v>
      </x:c>
      <x:c r="D170">
        <x:v>8479933</x:v>
      </x:c>
      <x:c r="E170" t="s">
        <x:v>267</x:v>
      </x:c>
      <x:c r="J170" t="s">
        <x:v>2474</x:v>
      </x:c>
      <x:c r="K170">
        <x:v>68</x:v>
      </x:c>
      <x:c r="L170">
        <x:v>37</x:v>
      </x:c>
      <x:c r="M170">
        <x:v>83</x:v>
      </x:c>
      <x:c r="N170">
        <x:v>44</x:v>
      </x:c>
      <x:c r="O170">
        <x:v>76</x:v>
      </x:c>
      <x:c r="P170">
        <x:v>82</x:v>
      </x:c>
      <x:c r="Q170">
        <x:v>86</x:v>
      </x:c>
      <x:c r="R170">
        <x:v>45</x:v>
      </x:c>
      <x:c r="S170">
        <x:v>75</x:v>
      </x:c>
      <x:c r="T170" s="63" t="n">
        <x:f>MAX(30,MIN(AB170-VLOOKUP(AE170,'AHL_PA_SC_BALANCE'!$A$8:$E$18,2,FALSE),VLOOKUP(AE170,'AHL_PA_SC_BALANCE'!$A$8:$E$18,4,FALSE)))</x:f>
        <x:v>46</x:v>
      </x:c>
      <x:c r="U170" s="63" t="n">
        <x:f>MAX(30,MIN(AC170-VLOOKUP(AE170,'AHL_PA_SC_BALANCE'!$A$8:$E$18,3,FALSE),VLOOKUP(AE170,'AHL_PA_SC_BALANCE'!$A$8:$E$18,5,FALSE)))</x:f>
        <x:v>46</x:v>
      </x:c>
      <x:c r="V170">
        <x:v>62</x:v>
      </x:c>
      <x:c r="W170">
        <x:v>67</x:v>
      </x:c>
      <x:c r="X170">
        <x:v>80</x:v>
      </x:c>
      <x:c r="Y170">
        <x:v>79</x:v>
      </x:c>
      <x:c r="Z170">
        <x:v>51</x:v>
      </x:c>
      <x:c r="AA170">
        <x:v>53</x:v>
      </x:c>
      <x:c r="AB170" s="57" t="n">
        <x:v>46</x:v>
      </x:c>
      <x:c r="AC170" s="57" t="n">
        <x:v>46</x:v>
      </x:c>
      <x:c r="AD170" s="59"/>
      <x:c r="AE170" s="61" t="str">
        <x:f>IF(N(F170)&gt;=10,"NHL_LATEST_10",IF(AND(N(F170)&gt;0,N(G170)&gt;0),"NHL_BOTH_SEASONS",IF(N(G170)&gt;=10,"NHL_PREVIOUS_10",IF(AND(ISNUMBER(AD170),AD170=0,SUM(F170:G170)=0),"FARM_CAREER_0",IF(COUNT(F170:G170)&lt;2,"UNKNOWN_GP",IF(AND(F170=0,G170=0),IF(AD170&gt;=10,"FARM_LEGACY_10",IF(AND(ISNUMBER(AD170),AD170&gt;0),"FARM_CAREER_1_9","FARM_0_0")),IF(F170&gt;=1,IF(F170&lt;=3,"FARM_RECENT_1_3","FARM_RECENT_4_9"),"FARM_PREV_1_9_ONLY")))))))</x:f>
        <x:v>UNKNOWN_GP</x:v>
      </x:c>
      <x:c r="AF170" s="57" t="n">
        <x:f>AB170-T170</x:f>
        <x:v>0</x:v>
      </x:c>
      <x:c r="AG170" s="57" t="n">
        <x:f>AC170-U170</x:f>
        <x:v>0</x:v>
      </x:c>
    </x:row>
    <x:row r="171">
      <x:c r="A171" t="s">
        <x:v>1173</x:v>
      </x:c>
      <x:c r="C171" t="s">
        <x:v>331</x:v>
      </x:c>
      <x:c r="D171">
        <x:v>8482174</x:v>
      </x:c>
      <x:c r="E171" t="s">
        <x:v>267</x:v>
      </x:c>
      <x:c r="J171" t="s">
        <x:v>2474</x:v>
      </x:c>
      <x:c r="K171">
        <x:v>74</x:v>
      </x:c>
      <x:c r="L171">
        <x:v>38</x:v>
      </x:c>
      <x:c r="M171">
        <x:v>79</x:v>
      </x:c>
      <x:c r="N171">
        <x:v>36</x:v>
      </x:c>
      <x:c r="O171">
        <x:v>78</x:v>
      </x:c>
      <x:c r="P171">
        <x:v>86</x:v>
      </x:c>
      <x:c r="Q171">
        <x:v>89</x:v>
      </x:c>
      <x:c r="R171">
        <x:v>37</x:v>
      </x:c>
      <x:c r="S171">
        <x:v>30</x:v>
      </x:c>
      <x:c r="T171" s="63" t="n">
        <x:f>MAX(30,MIN(AB171-VLOOKUP(AE171,'AHL_PA_SC_BALANCE'!$A$8:$E$18,2,FALSE),VLOOKUP(AE171,'AHL_PA_SC_BALANCE'!$A$8:$E$18,4,FALSE)))</x:f>
        <x:v>49</x:v>
      </x:c>
      <x:c r="U171" s="63" t="n">
        <x:f>MAX(30,MIN(AC171-VLOOKUP(AE171,'AHL_PA_SC_BALANCE'!$A$8:$E$18,3,FALSE),VLOOKUP(AE171,'AHL_PA_SC_BALANCE'!$A$8:$E$18,5,FALSE)))</x:f>
        <x:v>40</x:v>
      </x:c>
      <x:c r="V171">
        <x:v>66</x:v>
      </x:c>
      <x:c r="W171">
        <x:v>51</x:v>
      </x:c>
      <x:c r="X171">
        <x:v>67</x:v>
      </x:c>
      <x:c r="Y171">
        <x:v>68</x:v>
      </x:c>
      <x:c r="Z171">
        <x:v>51</x:v>
      </x:c>
      <x:c r="AA171">
        <x:v>53</x:v>
      </x:c>
      <x:c r="AB171" s="57" t="n">
        <x:v>49</x:v>
      </x:c>
      <x:c r="AC171" s="57" t="n">
        <x:v>40</x:v>
      </x:c>
      <x:c r="AD171" s="59"/>
      <x:c r="AE171" s="61" t="str">
        <x:f>IF(N(F171)&gt;=10,"NHL_LATEST_10",IF(AND(N(F171)&gt;0,N(G171)&gt;0),"NHL_BOTH_SEASONS",IF(N(G171)&gt;=10,"NHL_PREVIOUS_10",IF(AND(ISNUMBER(AD171),AD171=0,SUM(F171:G171)=0),"FARM_CAREER_0",IF(COUNT(F171:G171)&lt;2,"UNKNOWN_GP",IF(AND(F171=0,G171=0),IF(AD171&gt;=10,"FARM_LEGACY_10",IF(AND(ISNUMBER(AD171),AD171&gt;0),"FARM_CAREER_1_9","FARM_0_0")),IF(F171&gt;=1,IF(F171&lt;=3,"FARM_RECENT_1_3","FARM_RECENT_4_9"),"FARM_PREV_1_9_ONLY")))))))</x:f>
        <x:v>UNKNOWN_GP</x:v>
      </x:c>
      <x:c r="AF171" s="57" t="n">
        <x:f>AB171-T171</x:f>
        <x:v>0</x:v>
      </x:c>
      <x:c r="AG171" s="57" t="n">
        <x:f>AC171-U171</x:f>
        <x:v>0</x:v>
      </x:c>
    </x:row>
    <x:row r="172">
      <x:c r="A172" t="s">
        <x:v>1174</x:v>
      </x:c>
      <x:c r="C172" t="s">
        <x:v>331</x:v>
      </x:c>
      <x:c r="D172">
        <x:v>8478465</x:v>
      </x:c>
      <x:c r="E172" t="s">
        <x:v>267</x:v>
      </x:c>
      <x:c r="J172" t="s">
        <x:v>2474</x:v>
      </x:c>
      <x:c r="K172">
        <x:v>68</x:v>
      </x:c>
      <x:c r="L172">
        <x:v>38</x:v>
      </x:c>
      <x:c r="M172">
        <x:v>87</x:v>
      </x:c>
      <x:c r="N172">
        <x:v>32</x:v>
      </x:c>
      <x:c r="O172">
        <x:v>79</x:v>
      </x:c>
      <x:c r="P172">
        <x:v>75</x:v>
      </x:c>
      <x:c r="Q172">
        <x:v>77</x:v>
      </x:c>
      <x:c r="R172">
        <x:v>32</x:v>
      </x:c>
      <x:c r="S172">
        <x:v>30</x:v>
      </x:c>
      <x:c r="T172" s="63" t="n">
        <x:f>MAX(30,MIN(AB172-VLOOKUP(AE172,'AHL_PA_SC_BALANCE'!$A$8:$E$18,2,FALSE),VLOOKUP(AE172,'AHL_PA_SC_BALANCE'!$A$8:$E$18,4,FALSE)))</x:f>
        <x:v>40</x:v>
      </x:c>
      <x:c r="U172" s="63" t="n">
        <x:f>MAX(30,MIN(AC172-VLOOKUP(AE172,'AHL_PA_SC_BALANCE'!$A$8:$E$18,3,FALSE),VLOOKUP(AE172,'AHL_PA_SC_BALANCE'!$A$8:$E$18,5,FALSE)))</x:f>
        <x:v>40</x:v>
      </x:c>
      <x:c r="V172">
        <x:v>71</x:v>
      </x:c>
      <x:c r="W172">
        <x:v>45</x:v>
      </x:c>
      <x:c r="X172">
        <x:v>71</x:v>
      </x:c>
      <x:c r="Y172">
        <x:v>72</x:v>
      </x:c>
      <x:c r="Z172">
        <x:v>51</x:v>
      </x:c>
      <x:c r="AA172">
        <x:v>53</x:v>
      </x:c>
      <x:c r="AB172" s="57" t="n">
        <x:v>40</x:v>
      </x:c>
      <x:c r="AC172" s="57" t="n">
        <x:v>40</x:v>
      </x:c>
      <x:c r="AD172" s="59"/>
      <x:c r="AE172" s="61" t="str">
        <x:f>IF(N(F172)&gt;=10,"NHL_LATEST_10",IF(AND(N(F172)&gt;0,N(G172)&gt;0),"NHL_BOTH_SEASONS",IF(N(G172)&gt;=10,"NHL_PREVIOUS_10",IF(AND(ISNUMBER(AD172),AD172=0,SUM(F172:G172)=0),"FARM_CAREER_0",IF(COUNT(F172:G172)&lt;2,"UNKNOWN_GP",IF(AND(F172=0,G172=0),IF(AD172&gt;=10,"FARM_LEGACY_10",IF(AND(ISNUMBER(AD172),AD172&gt;0),"FARM_CAREER_1_9","FARM_0_0")),IF(F172&gt;=1,IF(F172&lt;=3,"FARM_RECENT_1_3","FARM_RECENT_4_9"),"FARM_PREV_1_9_ONLY")))))))</x:f>
        <x:v>UNKNOWN_GP</x:v>
      </x:c>
      <x:c r="AF172" s="57" t="n">
        <x:f>AB172-T172</x:f>
        <x:v>0</x:v>
      </x:c>
      <x:c r="AG172" s="57" t="n">
        <x:f>AC172-U172</x:f>
        <x:v>0</x:v>
      </x:c>
    </x:row>
    <x:row r="173">
      <x:c r="A173" t="s">
        <x:v>1175</x:v>
      </x:c>
      <x:c r="B173" t="s">
        <x:v>402</x:v>
      </x:c>
      <x:c r="C173" t="s">
        <x:v>339</x:v>
      </x:c>
      <x:c r="D173">
        <x:v>8484999</x:v>
      </x:c>
      <x:c r="E173" t="s">
        <x:v>267</x:v>
      </x:c>
      <x:c r="F173">
        <x:v>4</x:v>
      </x:c>
      <x:c r="J173" t="s">
        <x:v>2481</x:v>
      </x:c>
      <x:c r="K173">
        <x:v>68</x:v>
      </x:c>
      <x:c r="L173">
        <x:v>42</x:v>
      </x:c>
      <x:c r="M173">
        <x:v>82</x:v>
      </x:c>
      <x:c r="N173">
        <x:v>48</x:v>
      </x:c>
      <x:c r="O173">
        <x:v>87</x:v>
      </x:c>
      <x:c r="P173">
        <x:v>92</x:v>
      </x:c>
      <x:c r="Q173">
        <x:v>96</x:v>
      </x:c>
      <x:c r="R173">
        <x:v>47</x:v>
      </x:c>
      <x:c r="S173">
        <x:v>81</x:v>
      </x:c>
      <x:c r="T173" s="63" t="n">
        <x:f>MAX(30,MIN(AB173-VLOOKUP(AE173,'AHL_PA_SC_BALANCE'!$A$8:$E$18,2,FALSE),VLOOKUP(AE173,'AHL_PA_SC_BALANCE'!$A$8:$E$18,4,FALSE)))</x:f>
        <x:v>51</x:v>
      </x:c>
      <x:c r="U173" s="63" t="n">
        <x:f>MAX(30,MIN(AC173-VLOOKUP(AE173,'AHL_PA_SC_BALANCE'!$A$8:$E$18,3,FALSE),VLOOKUP(AE173,'AHL_PA_SC_BALANCE'!$A$8:$E$18,5,FALSE)))</x:f>
        <x:v>48</x:v>
      </x:c>
      <x:c r="V173">
        <x:v>62</x:v>
      </x:c>
      <x:c r="W173">
        <x:v>72</x:v>
      </x:c>
      <x:c r="X173">
        <x:v>64</x:v>
      </x:c>
      <x:c r="Y173">
        <x:v>65</x:v>
      </x:c>
      <x:c r="Z173">
        <x:v>51</x:v>
      </x:c>
      <x:c r="AA173">
        <x:v>53</x:v>
      </x:c>
      <x:c r="AB173" s="57" t="n">
        <x:v>51</x:v>
      </x:c>
      <x:c r="AC173" s="57" t="n">
        <x:v>48</x:v>
      </x:c>
      <x:c r="AD173" s="59"/>
      <x:c r="AE173" s="61" t="str">
        <x:f>IF(N(F173)&gt;=10,"NHL_LATEST_10",IF(AND(N(F173)&gt;0,N(G173)&gt;0),"NHL_BOTH_SEASONS",IF(N(G173)&gt;=10,"NHL_PREVIOUS_10",IF(AND(ISNUMBER(AD173),AD173=0,SUM(F173:G173)=0),"FARM_CAREER_0",IF(COUNT(F173:G173)&lt;2,"UNKNOWN_GP",IF(AND(F173=0,G173=0),IF(AD173&gt;=10,"FARM_LEGACY_10",IF(AND(ISNUMBER(AD173),AD173&gt;0),"FARM_CAREER_1_9","FARM_0_0")),IF(F173&gt;=1,IF(F173&lt;=3,"FARM_RECENT_1_3","FARM_RECENT_4_9"),"FARM_PREV_1_9_ONLY")))))))</x:f>
        <x:v>UNKNOWN_GP</x:v>
      </x:c>
      <x:c r="AF173" s="57" t="n">
        <x:f>AB173-T173</x:f>
        <x:v>0</x:v>
      </x:c>
      <x:c r="AG173" s="57" t="n">
        <x:f>AC173-U173</x:f>
        <x:v>0</x:v>
      </x:c>
    </x:row>
    <x:row r="174">
      <x:c r="A174" t="s">
        <x:v>1176</x:v>
      </x:c>
      <x:c r="C174" t="s">
        <x:v>319</x:v>
      </x:c>
      <x:c r="D174">
        <x:v>8479304</x:v>
      </x:c>
      <x:c r="E174" t="s">
        <x:v>267</x:v>
      </x:c>
      <x:c r="J174" t="s">
        <x:v>2474</x:v>
      </x:c>
      <x:c r="K174">
        <x:v>64</x:v>
      </x:c>
      <x:c r="L174">
        <x:v>35</x:v>
      </x:c>
      <x:c r="M174">
        <x:v>88</x:v>
      </x:c>
      <x:c r="N174">
        <x:v>45</x:v>
      </x:c>
      <x:c r="O174">
        <x:v>77</x:v>
      </x:c>
      <x:c r="P174">
        <x:v>87</x:v>
      </x:c>
      <x:c r="Q174">
        <x:v>89</x:v>
      </x:c>
      <x:c r="R174">
        <x:v>46</x:v>
      </x:c>
      <x:c r="S174">
        <x:v>78</x:v>
      </x:c>
      <x:c r="T174" s="63" t="n">
        <x:f>MAX(30,MIN(AB174-VLOOKUP(AE174,'AHL_PA_SC_BALANCE'!$A$8:$E$18,2,FALSE),VLOOKUP(AE174,'AHL_PA_SC_BALANCE'!$A$8:$E$18,4,FALSE)))</x:f>
        <x:v>46</x:v>
      </x:c>
      <x:c r="U174" s="63" t="n">
        <x:f>MAX(30,MIN(AC174-VLOOKUP(AE174,'AHL_PA_SC_BALANCE'!$A$8:$E$18,3,FALSE),VLOOKUP(AE174,'AHL_PA_SC_BALANCE'!$A$8:$E$18,5,FALSE)))</x:f>
        <x:v>44</x:v>
      </x:c>
      <x:c r="V174">
        <x:v>61</x:v>
      </x:c>
      <x:c r="W174">
        <x:v>66</x:v>
      </x:c>
      <x:c r="X174">
        <x:v>80</x:v>
      </x:c>
      <x:c r="Y174">
        <x:v>79</x:v>
      </x:c>
      <x:c r="Z174">
        <x:v>51</x:v>
      </x:c>
      <x:c r="AA174">
        <x:v>53</x:v>
      </x:c>
      <x:c r="AB174" s="57" t="n">
        <x:v>46</x:v>
      </x:c>
      <x:c r="AC174" s="57" t="n">
        <x:v>44</x:v>
      </x:c>
      <x:c r="AD174" s="59"/>
      <x:c r="AE174" s="61" t="str">
        <x:f>IF(N(F174)&gt;=10,"NHL_LATEST_10",IF(AND(N(F174)&gt;0,N(G174)&gt;0),"NHL_BOTH_SEASONS",IF(N(G174)&gt;=10,"NHL_PREVIOUS_10",IF(AND(ISNUMBER(AD174),AD174=0,SUM(F174:G174)=0),"FARM_CAREER_0",IF(COUNT(F174:G174)&lt;2,"UNKNOWN_GP",IF(AND(F174=0,G174=0),IF(AD174&gt;=10,"FARM_LEGACY_10",IF(AND(ISNUMBER(AD174),AD174&gt;0),"FARM_CAREER_1_9","FARM_0_0")),IF(F174&gt;=1,IF(F174&lt;=3,"FARM_RECENT_1_3","FARM_RECENT_4_9"),"FARM_PREV_1_9_ONLY")))))))</x:f>
        <x:v>UNKNOWN_GP</x:v>
      </x:c>
      <x:c r="AF174" s="57" t="n">
        <x:f>AB174-T174</x:f>
        <x:v>0</x:v>
      </x:c>
      <x:c r="AG174" s="57" t="n">
        <x:f>AC174-U174</x:f>
        <x:v>0</x:v>
      </x:c>
    </x:row>
    <x:row r="175">
      <x:c r="A175" t="s">
        <x:v>1177</x:v>
      </x:c>
      <x:c r="C175" t="s">
        <x:v>319</x:v>
      </x:c>
      <x:c r="D175">
        <x:v>8476495</x:v>
      </x:c>
      <x:c r="E175" t="s">
        <x:v>267</x:v>
      </x:c>
      <x:c r="J175" t="s">
        <x:v>2474</x:v>
      </x:c>
      <x:c r="K175">
        <x:v>62</x:v>
      </x:c>
      <x:c r="L175">
        <x:v>37</x:v>
      </x:c>
      <x:c r="M175">
        <x:v>83</x:v>
      </x:c>
      <x:c r="N175">
        <x:v>46</x:v>
      </x:c>
      <x:c r="O175">
        <x:v>76</x:v>
      </x:c>
      <x:c r="P175">
        <x:v>92</x:v>
      </x:c>
      <x:c r="Q175">
        <x:v>95</x:v>
      </x:c>
      <x:c r="R175">
        <x:v>47</x:v>
      </x:c>
      <x:c r="S175">
        <x:v>79</x:v>
      </x:c>
      <x:c r="T175" s="63" t="n">
        <x:f>MAX(30,MIN(AB175-VLOOKUP(AE175,'AHL_PA_SC_BALANCE'!$A$8:$E$18,2,FALSE),VLOOKUP(AE175,'AHL_PA_SC_BALANCE'!$A$8:$E$18,4,FALSE)))</x:f>
        <x:v>52</x:v>
      </x:c>
      <x:c r="U175" s="63" t="n">
        <x:f>MAX(30,MIN(AC175-VLOOKUP(AE175,'AHL_PA_SC_BALANCE'!$A$8:$E$18,3,FALSE),VLOOKUP(AE175,'AHL_PA_SC_BALANCE'!$A$8:$E$18,5,FALSE)))</x:f>
        <x:v>45</x:v>
      </x:c>
      <x:c r="V175">
        <x:v>65</x:v>
      </x:c>
      <x:c r="W175">
        <x:v>68</x:v>
      </x:c>
      <x:c r="X175">
        <x:v>78</x:v>
      </x:c>
      <x:c r="Y175">
        <x:v>77</x:v>
      </x:c>
      <x:c r="Z175">
        <x:v>51</x:v>
      </x:c>
      <x:c r="AA175">
        <x:v>53</x:v>
      </x:c>
      <x:c r="AB175" s="57" t="n">
        <x:v>52</x:v>
      </x:c>
      <x:c r="AC175" s="57" t="n">
        <x:v>45</x:v>
      </x:c>
      <x:c r="AD175" s="59"/>
      <x:c r="AE175" s="61" t="str">
        <x:f>IF(N(F175)&gt;=10,"NHL_LATEST_10",IF(AND(N(F175)&gt;0,N(G175)&gt;0),"NHL_BOTH_SEASONS",IF(N(G175)&gt;=10,"NHL_PREVIOUS_10",IF(AND(ISNUMBER(AD175),AD175=0,SUM(F175:G175)=0),"FARM_CAREER_0",IF(COUNT(F175:G175)&lt;2,"UNKNOWN_GP",IF(AND(F175=0,G175=0),IF(AD175&gt;=10,"FARM_LEGACY_10",IF(AND(ISNUMBER(AD175),AD175&gt;0),"FARM_CAREER_1_9","FARM_0_0")),IF(F175&gt;=1,IF(F175&lt;=3,"FARM_RECENT_1_3","FARM_RECENT_4_9"),"FARM_PREV_1_9_ONLY")))))))</x:f>
        <x:v>UNKNOWN_GP</x:v>
      </x:c>
      <x:c r="AF175" s="57" t="n">
        <x:f>AB175-T175</x:f>
        <x:v>0</x:v>
      </x:c>
      <x:c r="AG175" s="57" t="n">
        <x:f>AC175-U175</x:f>
        <x:v>0</x:v>
      </x:c>
    </x:row>
    <x:row r="176">
      <x:c r="A176" t="s">
        <x:v>1178</x:v>
      </x:c>
      <x:c r="C176" t="s">
        <x:v>326</x:v>
      </x:c>
      <x:c r="D176">
        <x:v>8481534</x:v>
      </x:c>
      <x:c r="E176" t="s">
        <x:v>267</x:v>
      </x:c>
      <x:c r="J176" t="s">
        <x:v>2474</x:v>
      </x:c>
      <x:c r="K176">
        <x:v>71</x:v>
      </x:c>
      <x:c r="L176">
        <x:v>34</x:v>
      </x:c>
      <x:c r="M176">
        <x:v>88</x:v>
      </x:c>
      <x:c r="N176">
        <x:v>49</x:v>
      </x:c>
      <x:c r="O176">
        <x:v>85</x:v>
      </x:c>
      <x:c r="P176">
        <x:v>82</x:v>
      </x:c>
      <x:c r="Q176">
        <x:v>84</x:v>
      </x:c>
      <x:c r="R176">
        <x:v>49</x:v>
      </x:c>
      <x:c r="S176">
        <x:v>63</x:v>
      </x:c>
      <x:c r="T176" s="63" t="n">
        <x:f>MAX(30,MIN(AB176-VLOOKUP(AE176,'AHL_PA_SC_BALANCE'!$A$8:$E$18,2,FALSE),VLOOKUP(AE176,'AHL_PA_SC_BALANCE'!$A$8:$E$18,4,FALSE)))</x:f>
        <x:v>51</x:v>
      </x:c>
      <x:c r="U176" s="63" t="n">
        <x:f>MAX(30,MIN(AC176-VLOOKUP(AE176,'AHL_PA_SC_BALANCE'!$A$8:$E$18,3,FALSE),VLOOKUP(AE176,'AHL_PA_SC_BALANCE'!$A$8:$E$18,5,FALSE)))</x:f>
        <x:v>53</x:v>
      </x:c>
      <x:c r="V176">
        <x:v>61</x:v>
      </x:c>
      <x:c r="W176">
        <x:v>73</x:v>
      </x:c>
      <x:c r="X176">
        <x:v>69</x:v>
      </x:c>
      <x:c r="Y176">
        <x:v>68</x:v>
      </x:c>
      <x:c r="Z176">
        <x:v>51</x:v>
      </x:c>
      <x:c r="AA176">
        <x:v>53</x:v>
      </x:c>
      <x:c r="AB176" s="57" t="n">
        <x:v>51</x:v>
      </x:c>
      <x:c r="AC176" s="57" t="n">
        <x:v>53</x:v>
      </x:c>
      <x:c r="AD176" s="59"/>
      <x:c r="AE176" s="61" t="str">
        <x:f>IF(N(F176)&gt;=10,"NHL_LATEST_10",IF(AND(N(F176)&gt;0,N(G176)&gt;0),"NHL_BOTH_SEASONS",IF(N(G176)&gt;=10,"NHL_PREVIOUS_10",IF(AND(ISNUMBER(AD176),AD176=0,SUM(F176:G176)=0),"FARM_CAREER_0",IF(COUNT(F176:G176)&lt;2,"UNKNOWN_GP",IF(AND(F176=0,G176=0),IF(AD176&gt;=10,"FARM_LEGACY_10",IF(AND(ISNUMBER(AD176),AD176&gt;0),"FARM_CAREER_1_9","FARM_0_0")),IF(F176&gt;=1,IF(F176&lt;=3,"FARM_RECENT_1_3","FARM_RECENT_4_9"),"FARM_PREV_1_9_ONLY")))))))</x:f>
        <x:v>UNKNOWN_GP</x:v>
      </x:c>
      <x:c r="AF176" s="57" t="n">
        <x:f>AB176-T176</x:f>
        <x:v>0</x:v>
      </x:c>
      <x:c r="AG176" s="57" t="n">
        <x:f>AC176-U176</x:f>
        <x:v>0</x:v>
      </x:c>
    </x:row>
    <x:row r="177">
      <x:c r="A177" t="s">
        <x:v>1179</x:v>
      </x:c>
      <x:c r="C177" t="s">
        <x:v>331</x:v>
      </x:c>
      <x:c r="D177">
        <x:v>8477034</x:v>
      </x:c>
      <x:c r="E177" t="s">
        <x:v>267</x:v>
      </x:c>
      <x:c r="J177" t="s">
        <x:v>2474</x:v>
      </x:c>
      <x:c r="K177">
        <x:v>74</x:v>
      </x:c>
      <x:c r="L177">
        <x:v>40</x:v>
      </x:c>
      <x:c r="M177">
        <x:v>84</x:v>
      </x:c>
      <x:c r="N177">
        <x:v>33</x:v>
      </x:c>
      <x:c r="O177">
        <x:v>89</x:v>
      </x:c>
      <x:c r="P177">
        <x:v>90</x:v>
      </x:c>
      <x:c r="Q177">
        <x:v>93</x:v>
      </x:c>
      <x:c r="R177">
        <x:v>33</x:v>
      </x:c>
      <x:c r="S177">
        <x:v>30</x:v>
      </x:c>
      <x:c r="T177" s="63" t="n">
        <x:f>MAX(30,MIN(AB177-VLOOKUP(AE177,'AHL_PA_SC_BALANCE'!$A$8:$E$18,2,FALSE),VLOOKUP(AE177,'AHL_PA_SC_BALANCE'!$A$8:$E$18,4,FALSE)))</x:f>
        <x:v>48</x:v>
      </x:c>
      <x:c r="U177" s="63" t="n">
        <x:f>MAX(30,MIN(AC177-VLOOKUP(AE177,'AHL_PA_SC_BALANCE'!$A$8:$E$18,3,FALSE),VLOOKUP(AE177,'AHL_PA_SC_BALANCE'!$A$8:$E$18,5,FALSE)))</x:f>
        <x:v>44</x:v>
      </x:c>
      <x:c r="V177">
        <x:v>73</x:v>
      </x:c>
      <x:c r="W177">
        <x:v>46</x:v>
      </x:c>
      <x:c r="X177">
        <x:v>80</x:v>
      </x:c>
      <x:c r="Y177">
        <x:v>75</x:v>
      </x:c>
      <x:c r="Z177">
        <x:v>51</x:v>
      </x:c>
      <x:c r="AA177">
        <x:v>53</x:v>
      </x:c>
      <x:c r="AB177" s="57" t="n">
        <x:v>48</x:v>
      </x:c>
      <x:c r="AC177" s="57" t="n">
        <x:v>44</x:v>
      </x:c>
      <x:c r="AD177" s="59"/>
      <x:c r="AE177" s="61" t="str">
        <x:f>IF(N(F177)&gt;=10,"NHL_LATEST_10",IF(AND(N(F177)&gt;0,N(G177)&gt;0),"NHL_BOTH_SEASONS",IF(N(G177)&gt;=10,"NHL_PREVIOUS_10",IF(AND(ISNUMBER(AD177),AD177=0,SUM(F177:G177)=0),"FARM_CAREER_0",IF(COUNT(F177:G177)&lt;2,"UNKNOWN_GP",IF(AND(F177=0,G177=0),IF(AD177&gt;=10,"FARM_LEGACY_10",IF(AND(ISNUMBER(AD177),AD177&gt;0),"FARM_CAREER_1_9","FARM_0_0")),IF(F177&gt;=1,IF(F177&lt;=3,"FARM_RECENT_1_3","FARM_RECENT_4_9"),"FARM_PREV_1_9_ONLY")))))))</x:f>
        <x:v>UNKNOWN_GP</x:v>
      </x:c>
      <x:c r="AF177" s="57" t="n">
        <x:f>AB177-T177</x:f>
        <x:v>0</x:v>
      </x:c>
      <x:c r="AG177" s="57" t="n">
        <x:f>AC177-U177</x:f>
        <x:v>0</x:v>
      </x:c>
    </x:row>
    <x:row r="178">
      <x:c r="A178" t="s">
        <x:v>1180</x:v>
      </x:c>
      <x:c r="C178" t="s">
        <x:v>331</x:v>
      </x:c>
      <x:c r="D178">
        <x:v>8478011</x:v>
      </x:c>
      <x:c r="E178" t="s">
        <x:v>267</x:v>
      </x:c>
      <x:c r="J178" t="s">
        <x:v>2474</x:v>
      </x:c>
      <x:c r="K178">
        <x:v>73</x:v>
      </x:c>
      <x:c r="L178">
        <x:v>31</x:v>
      </x:c>
      <x:c r="M178">
        <x:v>79</x:v>
      </x:c>
      <x:c r="N178">
        <x:v>34</x:v>
      </x:c>
      <x:c r="O178">
        <x:v>76</x:v>
      </x:c>
      <x:c r="P178">
        <x:v>88</x:v>
      </x:c>
      <x:c r="Q178">
        <x:v>92</x:v>
      </x:c>
      <x:c r="R178">
        <x:v>35</x:v>
      </x:c>
      <x:c r="S178">
        <x:v>30</x:v>
      </x:c>
      <x:c r="T178" s="63" t="n">
        <x:f>MAX(30,MIN(AB178-VLOOKUP(AE178,'AHL_PA_SC_BALANCE'!$A$8:$E$18,2,FALSE),VLOOKUP(AE178,'AHL_PA_SC_BALANCE'!$A$8:$E$18,4,FALSE)))</x:f>
        <x:v>48</x:v>
      </x:c>
      <x:c r="U178" s="63" t="n">
        <x:f>MAX(30,MIN(AC178-VLOOKUP(AE178,'AHL_PA_SC_BALANCE'!$A$8:$E$18,3,FALSE),VLOOKUP(AE178,'AHL_PA_SC_BALANCE'!$A$8:$E$18,5,FALSE)))</x:f>
        <x:v>44</x:v>
      </x:c>
      <x:c r="V178">
        <x:v>71</x:v>
      </x:c>
      <x:c r="W178">
        <x:v>49</x:v>
      </x:c>
      <x:c r="X178">
        <x:v>72</x:v>
      </x:c>
      <x:c r="Y178">
        <x:v>71</x:v>
      </x:c>
      <x:c r="Z178">
        <x:v>51</x:v>
      </x:c>
      <x:c r="AA178">
        <x:v>53</x:v>
      </x:c>
      <x:c r="AB178" s="57" t="n">
        <x:v>48</x:v>
      </x:c>
      <x:c r="AC178" s="57" t="n">
        <x:v>44</x:v>
      </x:c>
      <x:c r="AD178" s="59"/>
      <x:c r="AE178" s="61" t="str">
        <x:f>IF(N(F178)&gt;=10,"NHL_LATEST_10",IF(AND(N(F178)&gt;0,N(G178)&gt;0),"NHL_BOTH_SEASONS",IF(N(G178)&gt;=10,"NHL_PREVIOUS_10",IF(AND(ISNUMBER(AD178),AD178=0,SUM(F178:G178)=0),"FARM_CAREER_0",IF(COUNT(F178:G178)&lt;2,"UNKNOWN_GP",IF(AND(F178=0,G178=0),IF(AD178&gt;=10,"FARM_LEGACY_10",IF(AND(ISNUMBER(AD178),AD178&gt;0),"FARM_CAREER_1_9","FARM_0_0")),IF(F178&gt;=1,IF(F178&lt;=3,"FARM_RECENT_1_3","FARM_RECENT_4_9"),"FARM_PREV_1_9_ONLY")))))))</x:f>
        <x:v>UNKNOWN_GP</x:v>
      </x:c>
      <x:c r="AF178" s="57" t="n">
        <x:f>AB178-T178</x:f>
        <x:v>0</x:v>
      </x:c>
      <x:c r="AG178" s="57" t="n">
        <x:f>AC178-U178</x:f>
        <x:v>0</x:v>
      </x:c>
    </x:row>
    <x:row r="179">
      <x:c r="A179" t="s">
        <x:v>1182</x:v>
      </x:c>
      <x:c r="B179" t="s">
        <x:v>584</x:v>
      </x:c>
      <x:c r="C179" t="s">
        <x:v>331</x:v>
      </x:c>
      <x:c r="D179">
        <x:v>8484940</x:v>
      </x:c>
      <x:c r="E179" t="s">
        <x:v>267</x:v>
      </x:c>
      <x:c r="J179" t="s">
        <x:v>2476</x:v>
      </x:c>
      <x:c r="K179">
        <x:v>74</x:v>
      </x:c>
      <x:c r="L179">
        <x:v>33</x:v>
      </x:c>
      <x:c r="M179">
        <x:v>84</x:v>
      </x:c>
      <x:c r="N179">
        <x:v>32</x:v>
      </x:c>
      <x:c r="O179">
        <x:v>82</x:v>
      </x:c>
      <x:c r="P179">
        <x:v>78</x:v>
      </x:c>
      <x:c r="Q179">
        <x:v>81</x:v>
      </x:c>
      <x:c r="R179">
        <x:v>32</x:v>
      </x:c>
      <x:c r="S179">
        <x:v>30</x:v>
      </x:c>
      <x:c r="T179" s="63" t="n">
        <x:f>MAX(30,MIN(AB179-VLOOKUP(AE179,'AHL_PA_SC_BALANCE'!$A$8:$E$18,2,FALSE),VLOOKUP(AE179,'AHL_PA_SC_BALANCE'!$A$8:$E$18,4,FALSE)))</x:f>
        <x:v>41</x:v>
      </x:c>
      <x:c r="U179" s="63" t="n">
        <x:f>MAX(30,MIN(AC179-VLOOKUP(AE179,'AHL_PA_SC_BALANCE'!$A$8:$E$18,3,FALSE),VLOOKUP(AE179,'AHL_PA_SC_BALANCE'!$A$8:$E$18,5,FALSE)))</x:f>
        <x:v>41</x:v>
      </x:c>
      <x:c r="V179">
        <x:v>67</x:v>
      </x:c>
      <x:c r="W179">
        <x:v>46</x:v>
      </x:c>
      <x:c r="X179">
        <x:v>70</x:v>
      </x:c>
      <x:c r="Y179">
        <x:v>70</x:v>
      </x:c>
      <x:c r="Z179">
        <x:v>51</x:v>
      </x:c>
      <x:c r="AA179">
        <x:v>53</x:v>
      </x:c>
      <x:c r="AB179" s="57" t="n">
        <x:v>41</x:v>
      </x:c>
      <x:c r="AC179" s="57" t="n">
        <x:v>41</x:v>
      </x:c>
      <x:c r="AD179" s="59"/>
      <x:c r="AE179" s="61" t="str">
        <x:f>IF(N(F179)&gt;=10,"NHL_LATEST_10",IF(AND(N(F179)&gt;0,N(G179)&gt;0),"NHL_BOTH_SEASONS",IF(N(G179)&gt;=10,"NHL_PREVIOUS_10",IF(AND(ISNUMBER(AD179),AD179=0,SUM(F179:G179)=0),"FARM_CAREER_0",IF(COUNT(F179:G179)&lt;2,"UNKNOWN_GP",IF(AND(F179=0,G179=0),IF(AD179&gt;=10,"FARM_LEGACY_10",IF(AND(ISNUMBER(AD179),AD179&gt;0),"FARM_CAREER_1_9","FARM_0_0")),IF(F179&gt;=1,IF(F179&lt;=3,"FARM_RECENT_1_3","FARM_RECENT_4_9"),"FARM_PREV_1_9_ONLY")))))))</x:f>
        <x:v>UNKNOWN_GP</x:v>
      </x:c>
      <x:c r="AF179" s="57" t="n">
        <x:f>AB179-T179</x:f>
        <x:v>0</x:v>
      </x:c>
      <x:c r="AG179" s="57" t="n">
        <x:f>AC179-U179</x:f>
        <x:v>0</x:v>
      </x:c>
    </x:row>
    <x:row r="180">
      <x:c r="A180" t="s">
        <x:v>1183</x:v>
      </x:c>
      <x:c r="C180" t="s">
        <x:v>358</x:v>
      </x:c>
      <x:c r="D180">
        <x:v>8481077</x:v>
      </x:c>
      <x:c r="E180" t="s">
        <x:v>267</x:v>
      </x:c>
      <x:c r="J180" t="s">
        <x:v>2474</x:v>
      </x:c>
      <x:c r="K180">
        <x:v>65</x:v>
      </x:c>
      <x:c r="L180">
        <x:v>36</x:v>
      </x:c>
      <x:c r="M180">
        <x:v>94</x:v>
      </x:c>
      <x:c r="N180">
        <x:v>49</x:v>
      </x:c>
      <x:c r="O180">
        <x:v>78</x:v>
      </x:c>
      <x:c r="P180">
        <x:v>83</x:v>
      </x:c>
      <x:c r="Q180">
        <x:v>82</x:v>
      </x:c>
      <x:c r="R180">
        <x:v>48</x:v>
      </x:c>
      <x:c r="S180">
        <x:v>61</x:v>
      </x:c>
      <x:c r="T180" s="63" t="n">
        <x:f>MAX(30,MIN(AB180-VLOOKUP(AE180,'AHL_PA_SC_BALANCE'!$A$8:$E$18,2,FALSE),VLOOKUP(AE180,'AHL_PA_SC_BALANCE'!$A$8:$E$18,4,FALSE)))</x:f>
        <x:v>50</x:v>
      </x:c>
      <x:c r="U180" s="63" t="n">
        <x:f>MAX(30,MIN(AC180-VLOOKUP(AE180,'AHL_PA_SC_BALANCE'!$A$8:$E$18,3,FALSE),VLOOKUP(AE180,'AHL_PA_SC_BALANCE'!$A$8:$E$18,5,FALSE)))</x:f>
        <x:v>54</x:v>
      </x:c>
      <x:c r="V180">
        <x:v>62</x:v>
      </x:c>
      <x:c r="W180">
        <x:v>58</x:v>
      </x:c>
      <x:c r="X180">
        <x:v>70</x:v>
      </x:c>
      <x:c r="Y180">
        <x:v>71</x:v>
      </x:c>
      <x:c r="Z180">
        <x:v>51</x:v>
      </x:c>
      <x:c r="AA180">
        <x:v>53</x:v>
      </x:c>
      <x:c r="AB180" s="57" t="n">
        <x:v>50</x:v>
      </x:c>
      <x:c r="AC180" s="57" t="n">
        <x:v>54</x:v>
      </x:c>
      <x:c r="AD180" s="59"/>
      <x:c r="AE180" s="61" t="str">
        <x:f>IF(N(F180)&gt;=10,"NHL_LATEST_10",IF(AND(N(F180)&gt;0,N(G180)&gt;0),"NHL_BOTH_SEASONS",IF(N(G180)&gt;=10,"NHL_PREVIOUS_10",IF(AND(ISNUMBER(AD180),AD180=0,SUM(F180:G180)=0),"FARM_CAREER_0",IF(COUNT(F180:G180)&lt;2,"UNKNOWN_GP",IF(AND(F180=0,G180=0),IF(AD180&gt;=10,"FARM_LEGACY_10",IF(AND(ISNUMBER(AD180),AD180&gt;0),"FARM_CAREER_1_9","FARM_0_0")),IF(F180&gt;=1,IF(F180&lt;=3,"FARM_RECENT_1_3","FARM_RECENT_4_9"),"FARM_PREV_1_9_ONLY")))))))</x:f>
        <x:v>UNKNOWN_GP</x:v>
      </x:c>
      <x:c r="AF180" s="57" t="n">
        <x:f>AB180-T180</x:f>
        <x:v>0</x:v>
      </x:c>
      <x:c r="AG180" s="57" t="n">
        <x:f>AC180-U180</x:f>
        <x:v>0</x:v>
      </x:c>
    </x:row>
    <x:row r="181">
      <x:c r="A181" t="s">
        <x:v>1184</x:v>
      </x:c>
      <x:c r="C181" t="s">
        <x:v>358</x:v>
      </x:c>
      <x:c r="D181">
        <x:v>8481592</x:v>
      </x:c>
      <x:c r="E181" t="s">
        <x:v>267</x:v>
      </x:c>
      <x:c r="J181" t="s">
        <x:v>2474</x:v>
      </x:c>
      <x:c r="K181">
        <x:v>66</x:v>
      </x:c>
      <x:c r="L181">
        <x:v>35</x:v>
      </x:c>
      <x:c r="M181">
        <x:v>89</x:v>
      </x:c>
      <x:c r="N181">
        <x:v>51</x:v>
      </x:c>
      <x:c r="O181">
        <x:v>74</x:v>
      </x:c>
      <x:c r="P181">
        <x:v>87</x:v>
      </x:c>
      <x:c r="Q181">
        <x:v>91</x:v>
      </x:c>
      <x:c r="R181">
        <x:v>52</x:v>
      </x:c>
      <x:c r="S181">
        <x:v>72</x:v>
      </x:c>
      <x:c r="T181" s="63" t="n">
        <x:f>MAX(30,MIN(AB181-VLOOKUP(AE181,'AHL_PA_SC_BALANCE'!$A$8:$E$18,2,FALSE),VLOOKUP(AE181,'AHL_PA_SC_BALANCE'!$A$8:$E$18,4,FALSE)))</x:f>
        <x:v>52</x:v>
      </x:c>
      <x:c r="U181" s="63" t="n">
        <x:f>MAX(30,MIN(AC181-VLOOKUP(AE181,'AHL_PA_SC_BALANCE'!$A$8:$E$18,3,FALSE),VLOOKUP(AE181,'AHL_PA_SC_BALANCE'!$A$8:$E$18,5,FALSE)))</x:f>
        <x:v>52</x:v>
      </x:c>
      <x:c r="V181">
        <x:v>64</x:v>
      </x:c>
      <x:c r="W181">
        <x:v>74</x:v>
      </x:c>
      <x:c r="X181">
        <x:v>69</x:v>
      </x:c>
      <x:c r="Y181">
        <x:v>67</x:v>
      </x:c>
      <x:c r="Z181">
        <x:v>47</x:v>
      </x:c>
      <x:c r="AA181">
        <x:v>53</x:v>
      </x:c>
      <x:c r="AB181" s="57" t="n">
        <x:v>52</x:v>
      </x:c>
      <x:c r="AC181" s="57" t="n">
        <x:v>52</x:v>
      </x:c>
      <x:c r="AD181" s="59"/>
      <x:c r="AE181" s="61" t="str">
        <x:f>IF(N(F181)&gt;=10,"NHL_LATEST_10",IF(AND(N(F181)&gt;0,N(G181)&gt;0),"NHL_BOTH_SEASONS",IF(N(G181)&gt;=10,"NHL_PREVIOUS_10",IF(AND(ISNUMBER(AD181),AD181=0,SUM(F181:G181)=0),"FARM_CAREER_0",IF(COUNT(F181:G181)&lt;2,"UNKNOWN_GP",IF(AND(F181=0,G181=0),IF(AD181&gt;=10,"FARM_LEGACY_10",IF(AND(ISNUMBER(AD181),AD181&gt;0),"FARM_CAREER_1_9","FARM_0_0")),IF(F181&gt;=1,IF(F181&lt;=3,"FARM_RECENT_1_3","FARM_RECENT_4_9"),"FARM_PREV_1_9_ONLY")))))))</x:f>
        <x:v>UNKNOWN_GP</x:v>
      </x:c>
      <x:c r="AF181" s="57" t="n">
        <x:f>AB181-T181</x:f>
        <x:v>0</x:v>
      </x:c>
      <x:c r="AG181" s="57" t="n">
        <x:f>AC181-U181</x:f>
        <x:v>0</x:v>
      </x:c>
    </x:row>
    <x:row r="182">
      <x:c r="A182" t="s">
        <x:v>1185</x:v>
      </x:c>
      <x:c r="C182" t="s">
        <x:v>319</x:v>
      </x:c>
      <x:c r="D182">
        <x:v>8478146</x:v>
      </x:c>
      <x:c r="E182" t="s">
        <x:v>267</x:v>
      </x:c>
      <x:c r="J182" t="s">
        <x:v>2474</x:v>
      </x:c>
      <x:c r="K182">
        <x:v>66</x:v>
      </x:c>
      <x:c r="L182">
        <x:v>35</x:v>
      </x:c>
      <x:c r="M182">
        <x:v>88</x:v>
      </x:c>
      <x:c r="N182">
        <x:v>45</x:v>
      </x:c>
      <x:c r="O182">
        <x:v>77</x:v>
      </x:c>
      <x:c r="P182">
        <x:v>88</x:v>
      </x:c>
      <x:c r="Q182">
        <x:v>93</x:v>
      </x:c>
      <x:c r="R182">
        <x:v>46</x:v>
      </x:c>
      <x:c r="S182">
        <x:v>68</x:v>
      </x:c>
      <x:c r="T182" s="63" t="n">
        <x:f>MAX(30,MIN(AB182-VLOOKUP(AE182,'AHL_PA_SC_BALANCE'!$A$8:$E$18,2,FALSE),VLOOKUP(AE182,'AHL_PA_SC_BALANCE'!$A$8:$E$18,4,FALSE)))</x:f>
        <x:v>49</x:v>
      </x:c>
      <x:c r="U182" s="63" t="n">
        <x:f>MAX(30,MIN(AC182-VLOOKUP(AE182,'AHL_PA_SC_BALANCE'!$A$8:$E$18,3,FALSE),VLOOKUP(AE182,'AHL_PA_SC_BALANCE'!$A$8:$E$18,5,FALSE)))</x:f>
        <x:v>49</x:v>
      </x:c>
      <x:c r="V182">
        <x:v>67</x:v>
      </x:c>
      <x:c r="W182">
        <x:v>67</x:v>
      </x:c>
      <x:c r="X182">
        <x:v>72</x:v>
      </x:c>
      <x:c r="Y182">
        <x:v>71</x:v>
      </x:c>
      <x:c r="Z182">
        <x:v>51</x:v>
      </x:c>
      <x:c r="AA182">
        <x:v>53</x:v>
      </x:c>
      <x:c r="AB182" s="57" t="n">
        <x:v>49</x:v>
      </x:c>
      <x:c r="AC182" s="57" t="n">
        <x:v>49</x:v>
      </x:c>
      <x:c r="AD182" s="59"/>
      <x:c r="AE182" s="61" t="str">
        <x:f>IF(N(F182)&gt;=10,"NHL_LATEST_10",IF(AND(N(F182)&gt;0,N(G182)&gt;0),"NHL_BOTH_SEASONS",IF(N(G182)&gt;=10,"NHL_PREVIOUS_10",IF(AND(ISNUMBER(AD182),AD182=0,SUM(F182:G182)=0),"FARM_CAREER_0",IF(COUNT(F182:G182)&lt;2,"UNKNOWN_GP",IF(AND(F182=0,G182=0),IF(AD182&gt;=10,"FARM_LEGACY_10",IF(AND(ISNUMBER(AD182),AD182&gt;0),"FARM_CAREER_1_9","FARM_0_0")),IF(F182&gt;=1,IF(F182&lt;=3,"FARM_RECENT_1_3","FARM_RECENT_4_9"),"FARM_PREV_1_9_ONLY")))))))</x:f>
        <x:v>UNKNOWN_GP</x:v>
      </x:c>
      <x:c r="AF182" s="57" t="n">
        <x:f>AB182-T182</x:f>
        <x:v>0</x:v>
      </x:c>
      <x:c r="AG182" s="57" t="n">
        <x:f>AC182-U182</x:f>
        <x:v>0</x:v>
      </x:c>
    </x:row>
    <x:row r="183">
      <x:c r="A183" t="s">
        <x:v>1188</x:v>
      </x:c>
      <x:c r="C183" t="s">
        <x:v>331</x:v>
      </x:c>
      <x:c r="D183">
        <x:v>8483429</x:v>
      </x:c>
      <x:c r="E183" t="s">
        <x:v>267</x:v>
      </x:c>
      <x:c r="J183" t="s">
        <x:v>2474</x:v>
      </x:c>
      <x:c r="K183">
        <x:v>68</x:v>
      </x:c>
      <x:c r="L183">
        <x:v>37</x:v>
      </x:c>
      <x:c r="M183">
        <x:v>85</x:v>
      </x:c>
      <x:c r="N183">
        <x:v>33</x:v>
      </x:c>
      <x:c r="O183">
        <x:v>74</x:v>
      </x:c>
      <x:c r="P183">
        <x:v>76</x:v>
      </x:c>
      <x:c r="Q183">
        <x:v>78</x:v>
      </x:c>
      <x:c r="R183">
        <x:v>32</x:v>
      </x:c>
      <x:c r="S183">
        <x:v>30</x:v>
      </x:c>
      <x:c r="T183" s="63" t="n">
        <x:f>MAX(30,MIN(AB183-VLOOKUP(AE183,'AHL_PA_SC_BALANCE'!$A$8:$E$18,2,FALSE),VLOOKUP(AE183,'AHL_PA_SC_BALANCE'!$A$8:$E$18,4,FALSE)))</x:f>
        <x:v>52</x:v>
      </x:c>
      <x:c r="U183" s="63" t="n">
        <x:f>MAX(30,MIN(AC183-VLOOKUP(AE183,'AHL_PA_SC_BALANCE'!$A$8:$E$18,3,FALSE),VLOOKUP(AE183,'AHL_PA_SC_BALANCE'!$A$8:$E$18,5,FALSE)))</x:f>
        <x:v>41</x:v>
      </x:c>
      <x:c r="V183">
        <x:v>69</x:v>
      </x:c>
      <x:c r="W183">
        <x:v>53</x:v>
      </x:c>
      <x:c r="X183">
        <x:v>66</x:v>
      </x:c>
      <x:c r="Y183">
        <x:v>68</x:v>
      </x:c>
      <x:c r="Z183">
        <x:v>51</x:v>
      </x:c>
      <x:c r="AA183">
        <x:v>53</x:v>
      </x:c>
      <x:c r="AB183" s="57" t="n">
        <x:v>52</x:v>
      </x:c>
      <x:c r="AC183" s="57" t="n">
        <x:v>41</x:v>
      </x:c>
      <x:c r="AD183" s="59"/>
      <x:c r="AE183" s="61" t="str">
        <x:f>IF(N(F183)&gt;=10,"NHL_LATEST_10",IF(AND(N(F183)&gt;0,N(G183)&gt;0),"NHL_BOTH_SEASONS",IF(N(G183)&gt;=10,"NHL_PREVIOUS_10",IF(AND(ISNUMBER(AD183),AD183=0,SUM(F183:G183)=0),"FARM_CAREER_0",IF(COUNT(F183:G183)&lt;2,"UNKNOWN_GP",IF(AND(F183=0,G183=0),IF(AD183&gt;=10,"FARM_LEGACY_10",IF(AND(ISNUMBER(AD183),AD183&gt;0),"FARM_CAREER_1_9","FARM_0_0")),IF(F183&gt;=1,IF(F183&lt;=3,"FARM_RECENT_1_3","FARM_RECENT_4_9"),"FARM_PREV_1_9_ONLY")))))))</x:f>
        <x:v>UNKNOWN_GP</x:v>
      </x:c>
      <x:c r="AF183" s="57" t="n">
        <x:f>AB183-T183</x:f>
        <x:v>0</x:v>
      </x:c>
      <x:c r="AG183" s="57" t="n">
        <x:f>AC183-U183</x:f>
        <x:v>0</x:v>
      </x:c>
    </x:row>
    <x:row r="184">
      <x:c r="A184" t="s">
        <x:v>1189</x:v>
      </x:c>
      <x:c r="C184" t="s">
        <x:v>326</x:v>
      </x:c>
      <x:c r="D184">
        <x:v>8485493</x:v>
      </x:c>
      <x:c r="E184" t="s">
        <x:v>267</x:v>
      </x:c>
      <x:c r="J184" t="s">
        <x:v>2474</x:v>
      </x:c>
      <x:c r="K184">
        <x:v>63</x:v>
      </x:c>
      <x:c r="L184">
        <x:v>38</x:v>
      </x:c>
      <x:c r="M184">
        <x:v>84</x:v>
      </x:c>
      <x:c r="N184">
        <x:v>48</x:v>
      </x:c>
      <x:c r="O184">
        <x:v>80</x:v>
      </x:c>
      <x:c r="P184">
        <x:v>80</x:v>
      </x:c>
      <x:c r="Q184">
        <x:v>41</x:v>
      </x:c>
      <x:c r="R184">
        <x:v>48</x:v>
      </x:c>
      <x:c r="S184">
        <x:v>80</x:v>
      </x:c>
      <x:c r="T184" s="63" t="n">
        <x:f>MAX(30,MIN(AB184-VLOOKUP(AE184,'AHL_PA_SC_BALANCE'!$A$8:$E$18,2,FALSE),VLOOKUP(AE184,'AHL_PA_SC_BALANCE'!$A$8:$E$18,4,FALSE)))</x:f>
        <x:v>49</x:v>
      </x:c>
      <x:c r="U184" s="63" t="n">
        <x:f>MAX(30,MIN(AC184-VLOOKUP(AE184,'AHL_PA_SC_BALANCE'!$A$8:$E$18,3,FALSE),VLOOKUP(AE184,'AHL_PA_SC_BALANCE'!$A$8:$E$18,5,FALSE)))</x:f>
        <x:v>53</x:v>
      </x:c>
      <x:c r="V184">
        <x:v>58</x:v>
      </x:c>
      <x:c r="W184">
        <x:v>68</x:v>
      </x:c>
      <x:c r="X184">
        <x:v>78</x:v>
      </x:c>
      <x:c r="Y184">
        <x:v>76</x:v>
      </x:c>
      <x:c r="Z184">
        <x:v>51</x:v>
      </x:c>
      <x:c r="AA184">
        <x:v>53</x:v>
      </x:c>
      <x:c r="AB184" s="57" t="n">
        <x:v>49</x:v>
      </x:c>
      <x:c r="AC184" s="57" t="n">
        <x:v>53</x:v>
      </x:c>
      <x:c r="AD184" s="59"/>
      <x:c r="AE184" s="61" t="str">
        <x:f>IF(N(F184)&gt;=10,"NHL_LATEST_10",IF(AND(N(F184)&gt;0,N(G184)&gt;0),"NHL_BOTH_SEASONS",IF(N(G184)&gt;=10,"NHL_PREVIOUS_10",IF(AND(ISNUMBER(AD184),AD184=0,SUM(F184:G184)=0),"FARM_CAREER_0",IF(COUNT(F184:G184)&lt;2,"UNKNOWN_GP",IF(AND(F184=0,G184=0),IF(AD184&gt;=10,"FARM_LEGACY_10",IF(AND(ISNUMBER(AD184),AD184&gt;0),"FARM_CAREER_1_9","FARM_0_0")),IF(F184&gt;=1,IF(F184&lt;=3,"FARM_RECENT_1_3","FARM_RECENT_4_9"),"FARM_PREV_1_9_ONLY")))))))</x:f>
        <x:v>UNKNOWN_GP</x:v>
      </x:c>
      <x:c r="AF184" s="57" t="n">
        <x:f>AB184-T184</x:f>
        <x:v>0</x:v>
      </x:c>
      <x:c r="AG184" s="57" t="n">
        <x:f>AC184-U184</x:f>
        <x:v>0</x:v>
      </x:c>
    </x:row>
    <x:row r="185">
      <x:c r="A185" t="s">
        <x:v>1191</x:v>
      </x:c>
      <x:c r="C185" t="s">
        <x:v>331</x:v>
      </x:c>
      <x:c r="D185">
        <x:v>8482700</x:v>
      </x:c>
      <x:c r="E185" t="s">
        <x:v>267</x:v>
      </x:c>
      <x:c r="J185" t="s">
        <x:v>2474</x:v>
      </x:c>
      <x:c r="K185">
        <x:v>75</x:v>
      </x:c>
      <x:c r="L185">
        <x:v>39</x:v>
      </x:c>
      <x:c r="M185">
        <x:v>79</x:v>
      </x:c>
      <x:c r="N185">
        <x:v>35</x:v>
      </x:c>
      <x:c r="O185">
        <x:v>81</x:v>
      </x:c>
      <x:c r="P185">
        <x:v>86</x:v>
      </x:c>
      <x:c r="Q185">
        <x:v>89</x:v>
      </x:c>
      <x:c r="R185">
        <x:v>34</x:v>
      </x:c>
      <x:c r="S185">
        <x:v>30</x:v>
      </x:c>
      <x:c r="T185" s="63" t="n">
        <x:f>MAX(30,MIN(AB185-VLOOKUP(AE185,'AHL_PA_SC_BALANCE'!$A$8:$E$18,2,FALSE),VLOOKUP(AE185,'AHL_PA_SC_BALANCE'!$A$8:$E$18,4,FALSE)))</x:f>
        <x:v>49</x:v>
      </x:c>
      <x:c r="U185" s="63" t="n">
        <x:f>MAX(30,MIN(AC185-VLOOKUP(AE185,'AHL_PA_SC_BALANCE'!$A$8:$E$18,3,FALSE),VLOOKUP(AE185,'AHL_PA_SC_BALANCE'!$A$8:$E$18,5,FALSE)))</x:f>
        <x:v>44</x:v>
      </x:c>
      <x:c r="V185">
        <x:v>73</x:v>
      </x:c>
      <x:c r="W185">
        <x:v>48</x:v>
      </x:c>
      <x:c r="X185">
        <x:v>67</x:v>
      </x:c>
      <x:c r="Y185">
        <x:v>64</x:v>
      </x:c>
      <x:c r="Z185">
        <x:v>51</x:v>
      </x:c>
      <x:c r="AA185">
        <x:v>53</x:v>
      </x:c>
      <x:c r="AB185" s="57" t="n">
        <x:v>49</x:v>
      </x:c>
      <x:c r="AC185" s="57" t="n">
        <x:v>44</x:v>
      </x:c>
      <x:c r="AD185" s="59"/>
      <x:c r="AE185" s="61" t="str">
        <x:f>IF(N(F185)&gt;=10,"NHL_LATEST_10",IF(AND(N(F185)&gt;0,N(G185)&gt;0),"NHL_BOTH_SEASONS",IF(N(G185)&gt;=10,"NHL_PREVIOUS_10",IF(AND(ISNUMBER(AD185),AD185=0,SUM(F185:G185)=0),"FARM_CAREER_0",IF(COUNT(F185:G185)&lt;2,"UNKNOWN_GP",IF(AND(F185=0,G185=0),IF(AD185&gt;=10,"FARM_LEGACY_10",IF(AND(ISNUMBER(AD185),AD185&gt;0),"FARM_CAREER_1_9","FARM_0_0")),IF(F185&gt;=1,IF(F185&lt;=3,"FARM_RECENT_1_3","FARM_RECENT_4_9"),"FARM_PREV_1_9_ONLY")))))))</x:f>
        <x:v>UNKNOWN_GP</x:v>
      </x:c>
      <x:c r="AF185" s="57" t="n">
        <x:f>AB185-T185</x:f>
        <x:v>0</x:v>
      </x:c>
      <x:c r="AG185" s="57" t="n">
        <x:f>AC185-U185</x:f>
        <x:v>0</x:v>
      </x:c>
    </x:row>
    <x:row r="186">
      <x:c r="A186" t="s">
        <x:v>1192</x:v>
      </x:c>
      <x:c r="C186" t="s">
        <x:v>319</x:v>
      </x:c>
      <x:c r="D186">
        <x:v>8482896</x:v>
      </x:c>
      <x:c r="E186" t="s">
        <x:v>267</x:v>
      </x:c>
      <x:c r="J186" t="s">
        <x:v>2474</x:v>
      </x:c>
      <x:c r="K186">
        <x:v>78</x:v>
      </x:c>
      <x:c r="L186">
        <x:v>33</x:v>
      </x:c>
      <x:c r="M186">
        <x:v>96</x:v>
      </x:c>
      <x:c r="N186">
        <x:v>48</x:v>
      </x:c>
      <x:c r="O186">
        <x:v>76</x:v>
      </x:c>
      <x:c r="P186">
        <x:v>82</x:v>
      </x:c>
      <x:c r="Q186">
        <x:v>74</x:v>
      </x:c>
      <x:c r="R186">
        <x:v>47</x:v>
      </x:c>
      <x:c r="S186">
        <x:v>83</x:v>
      </x:c>
      <x:c r="T186" s="63" t="n">
        <x:f>MAX(30,MIN(AB186-VLOOKUP(AE186,'AHL_PA_SC_BALANCE'!$A$8:$E$18,2,FALSE),VLOOKUP(AE186,'AHL_PA_SC_BALANCE'!$A$8:$E$18,4,FALSE)))</x:f>
        <x:v>49</x:v>
      </x:c>
      <x:c r="U186" s="63" t="n">
        <x:f>MAX(30,MIN(AC186-VLOOKUP(AE186,'AHL_PA_SC_BALANCE'!$A$8:$E$18,3,FALSE),VLOOKUP(AE186,'AHL_PA_SC_BALANCE'!$A$8:$E$18,5,FALSE)))</x:f>
        <x:v>50</x:v>
      </x:c>
      <x:c r="V186">
        <x:v>66</x:v>
      </x:c>
      <x:c r="W186">
        <x:v>52</x:v>
      </x:c>
      <x:c r="X186">
        <x:v>67</x:v>
      </x:c>
      <x:c r="Y186">
        <x:v>67</x:v>
      </x:c>
      <x:c r="Z186">
        <x:v>51</x:v>
      </x:c>
      <x:c r="AA186">
        <x:v>53</x:v>
      </x:c>
      <x:c r="AB186" s="57" t="n">
        <x:v>49</x:v>
      </x:c>
      <x:c r="AC186" s="57" t="n">
        <x:v>50</x:v>
      </x:c>
      <x:c r="AD186" s="59"/>
      <x:c r="AE186" s="61" t="str">
        <x:f>IF(N(F186)&gt;=10,"NHL_LATEST_10",IF(AND(N(F186)&gt;0,N(G186)&gt;0),"NHL_BOTH_SEASONS",IF(N(G186)&gt;=10,"NHL_PREVIOUS_10",IF(AND(ISNUMBER(AD186),AD186=0,SUM(F186:G186)=0),"FARM_CAREER_0",IF(COUNT(F186:G186)&lt;2,"UNKNOWN_GP",IF(AND(F186=0,G186=0),IF(AD186&gt;=10,"FARM_LEGACY_10",IF(AND(ISNUMBER(AD186),AD186&gt;0),"FARM_CAREER_1_9","FARM_0_0")),IF(F186&gt;=1,IF(F186&lt;=3,"FARM_RECENT_1_3","FARM_RECENT_4_9"),"FARM_PREV_1_9_ONLY")))))))</x:f>
        <x:v>UNKNOWN_GP</x:v>
      </x:c>
      <x:c r="AF186" s="57" t="n">
        <x:f>AB186-T186</x:f>
        <x:v>0</x:v>
      </x:c>
      <x:c r="AG186" s="57" t="n">
        <x:f>AC186-U186</x:f>
        <x:v>0</x:v>
      </x:c>
    </x:row>
    <x:row r="187">
      <x:c r="A187" t="s">
        <x:v>1193</x:v>
      </x:c>
      <x:c r="C187" t="s">
        <x:v>331</x:v>
      </x:c>
      <x:c r="D187">
        <x:v>8479984</x:v>
      </x:c>
      <x:c r="E187" t="s">
        <x:v>267</x:v>
      </x:c>
      <x:c r="J187" t="s">
        <x:v>2474</x:v>
      </x:c>
      <x:c r="K187">
        <x:v>74</x:v>
      </x:c>
      <x:c r="L187">
        <x:v>40</x:v>
      </x:c>
      <x:c r="M187">
        <x:v>85</x:v>
      </x:c>
      <x:c r="N187">
        <x:v>33</x:v>
      </x:c>
      <x:c r="O187">
        <x:v>87</x:v>
      </x:c>
      <x:c r="P187">
        <x:v>78</x:v>
      </x:c>
      <x:c r="Q187">
        <x:v>82</x:v>
      </x:c>
      <x:c r="R187">
        <x:v>33</x:v>
      </x:c>
      <x:c r="S187">
        <x:v>30</x:v>
      </x:c>
      <x:c r="T187" s="63" t="n">
        <x:f>MAX(30,MIN(AB187-VLOOKUP(AE187,'AHL_PA_SC_BALANCE'!$A$8:$E$18,2,FALSE),VLOOKUP(AE187,'AHL_PA_SC_BALANCE'!$A$8:$E$18,4,FALSE)))</x:f>
        <x:v>44</x:v>
      </x:c>
      <x:c r="U187" s="63" t="n">
        <x:f>MAX(30,MIN(AC187-VLOOKUP(AE187,'AHL_PA_SC_BALANCE'!$A$8:$E$18,3,FALSE),VLOOKUP(AE187,'AHL_PA_SC_BALANCE'!$A$8:$E$18,5,FALSE)))</x:f>
        <x:v>41</x:v>
      </x:c>
      <x:c r="V187">
        <x:v>69</x:v>
      </x:c>
      <x:c r="W187">
        <x:v>47</x:v>
      </x:c>
      <x:c r="X187">
        <x:v>69</x:v>
      </x:c>
      <x:c r="Y187">
        <x:v>69</x:v>
      </x:c>
      <x:c r="Z187">
        <x:v>51</x:v>
      </x:c>
      <x:c r="AA187">
        <x:v>53</x:v>
      </x:c>
      <x:c r="AB187" s="57" t="n">
        <x:v>44</x:v>
      </x:c>
      <x:c r="AC187" s="57" t="n">
        <x:v>41</x:v>
      </x:c>
      <x:c r="AD187" s="59"/>
      <x:c r="AE187" s="61" t="str">
        <x:f>IF(N(F187)&gt;=10,"NHL_LATEST_10",IF(AND(N(F187)&gt;0,N(G187)&gt;0),"NHL_BOTH_SEASONS",IF(N(G187)&gt;=10,"NHL_PREVIOUS_10",IF(AND(ISNUMBER(AD187),AD187=0,SUM(F187:G187)=0),"FARM_CAREER_0",IF(COUNT(F187:G187)&lt;2,"UNKNOWN_GP",IF(AND(F187=0,G187=0),IF(AD187&gt;=10,"FARM_LEGACY_10",IF(AND(ISNUMBER(AD187),AD187&gt;0),"FARM_CAREER_1_9","FARM_0_0")),IF(F187&gt;=1,IF(F187&lt;=3,"FARM_RECENT_1_3","FARM_RECENT_4_9"),"FARM_PREV_1_9_ONLY")))))))</x:f>
        <x:v>UNKNOWN_GP</x:v>
      </x:c>
      <x:c r="AF187" s="57" t="n">
        <x:f>AB187-T187</x:f>
        <x:v>0</x:v>
      </x:c>
      <x:c r="AG187" s="57" t="n">
        <x:f>AC187-U187</x:f>
        <x:v>0</x:v>
      </x:c>
    </x:row>
    <x:row r="188">
      <x:c r="A188" t="s">
        <x:v>1194</x:v>
      </x:c>
      <x:c r="C188" t="s">
        <x:v>331</x:v>
      </x:c>
      <x:c r="D188">
        <x:v>8481567</x:v>
      </x:c>
      <x:c r="E188" t="s">
        <x:v>267</x:v>
      </x:c>
      <x:c r="J188" t="s">
        <x:v>2474</x:v>
      </x:c>
      <x:c r="K188">
        <x:v>71</x:v>
      </x:c>
      <x:c r="L188">
        <x:v>71</x:v>
      </x:c>
      <x:c r="M188">
        <x:v>82</x:v>
      </x:c>
      <x:c r="N188">
        <x:v>35</x:v>
      </x:c>
      <x:c r="O188">
        <x:v>79</x:v>
      </x:c>
      <x:c r="P188">
        <x:v>84</x:v>
      </x:c>
      <x:c r="Q188">
        <x:v>85</x:v>
      </x:c>
      <x:c r="R188">
        <x:v>35</x:v>
      </x:c>
      <x:c r="S188">
        <x:v>30</x:v>
      </x:c>
      <x:c r="T188" s="63" t="n">
        <x:f>MAX(30,MIN(AB188-VLOOKUP(AE188,'AHL_PA_SC_BALANCE'!$A$8:$E$18,2,FALSE),VLOOKUP(AE188,'AHL_PA_SC_BALANCE'!$A$8:$E$18,4,FALSE)))</x:f>
        <x:v>51</x:v>
      </x:c>
      <x:c r="U188" s="63" t="n">
        <x:f>MAX(30,MIN(AC188-VLOOKUP(AE188,'AHL_PA_SC_BALANCE'!$A$8:$E$18,3,FALSE),VLOOKUP(AE188,'AHL_PA_SC_BALANCE'!$A$8:$E$18,5,FALSE)))</x:f>
        <x:v>45</x:v>
      </x:c>
      <x:c r="V188">
        <x:v>73</x:v>
      </x:c>
      <x:c r="W188">
        <x:v>49</x:v>
      </x:c>
      <x:c r="X188">
        <x:v>69</x:v>
      </x:c>
      <x:c r="Y188">
        <x:v>65</x:v>
      </x:c>
      <x:c r="Z188">
        <x:v>51</x:v>
      </x:c>
      <x:c r="AA188">
        <x:v>53</x:v>
      </x:c>
      <x:c r="AB188" s="57" t="n">
        <x:v>51</x:v>
      </x:c>
      <x:c r="AC188" s="57" t="n">
        <x:v>45</x:v>
      </x:c>
      <x:c r="AD188" s="59"/>
      <x:c r="AE188" s="61" t="str">
        <x:f>IF(N(F188)&gt;=10,"NHL_LATEST_10",IF(AND(N(F188)&gt;0,N(G188)&gt;0),"NHL_BOTH_SEASONS",IF(N(G188)&gt;=10,"NHL_PREVIOUS_10",IF(AND(ISNUMBER(AD188),AD188=0,SUM(F188:G188)=0),"FARM_CAREER_0",IF(COUNT(F188:G188)&lt;2,"UNKNOWN_GP",IF(AND(F188=0,G188=0),IF(AD188&gt;=10,"FARM_LEGACY_10",IF(AND(ISNUMBER(AD188),AD188&gt;0),"FARM_CAREER_1_9","FARM_0_0")),IF(F188&gt;=1,IF(F188&lt;=3,"FARM_RECENT_1_3","FARM_RECENT_4_9"),"FARM_PREV_1_9_ONLY")))))))</x:f>
        <x:v>UNKNOWN_GP</x:v>
      </x:c>
      <x:c r="AF188" s="57" t="n">
        <x:f>AB188-T188</x:f>
        <x:v>0</x:v>
      </x:c>
      <x:c r="AG188" s="57" t="n">
        <x:f>AC188-U188</x:f>
        <x:v>0</x:v>
      </x:c>
    </x:row>
    <x:row r="189">
      <x:c r="A189" t="s">
        <x:v>1195</x:v>
      </x:c>
      <x:c r="C189" t="s">
        <x:v>331</x:v>
      </x:c>
      <x:c r="D189">
        <x:v>8485509</x:v>
      </x:c>
      <x:c r="E189" t="s">
        <x:v>267</x:v>
      </x:c>
      <x:c r="J189" t="s">
        <x:v>2474</x:v>
      </x:c>
      <x:c r="K189">
        <x:v>69</x:v>
      </x:c>
      <x:c r="L189">
        <x:v>38</x:v>
      </x:c>
      <x:c r="M189">
        <x:v>82</x:v>
      </x:c>
      <x:c r="N189">
        <x:v>35</x:v>
      </x:c>
      <x:c r="O189">
        <x:v>79</x:v>
      </x:c>
      <x:c r="P189">
        <x:v>80</x:v>
      </x:c>
      <x:c r="Q189">
        <x:v>84</x:v>
      </x:c>
      <x:c r="R189">
        <x:v>35</x:v>
      </x:c>
      <x:c r="S189">
        <x:v>30</x:v>
      </x:c>
      <x:c r="T189" s="63" t="n">
        <x:f>MAX(30,MIN(AB189-VLOOKUP(AE189,'AHL_PA_SC_BALANCE'!$A$8:$E$18,2,FALSE),VLOOKUP(AE189,'AHL_PA_SC_BALANCE'!$A$8:$E$18,4,FALSE)))</x:f>
        <x:v>50</x:v>
      </x:c>
      <x:c r="U189" s="63" t="n">
        <x:f>MAX(30,MIN(AC189-VLOOKUP(AE189,'AHL_PA_SC_BALANCE'!$A$8:$E$18,3,FALSE),VLOOKUP(AE189,'AHL_PA_SC_BALANCE'!$A$8:$E$18,5,FALSE)))</x:f>
        <x:v>44</x:v>
      </x:c>
      <x:c r="V189">
        <x:v>66</x:v>
      </x:c>
      <x:c r="W189">
        <x:v>53</x:v>
      </x:c>
      <x:c r="X189">
        <x:v>70</x:v>
      </x:c>
      <x:c r="Y189">
        <x:v>70</x:v>
      </x:c>
      <x:c r="Z189">
        <x:v>51</x:v>
      </x:c>
      <x:c r="AA189">
        <x:v>53</x:v>
      </x:c>
      <x:c r="AB189" s="57" t="n">
        <x:v>50</x:v>
      </x:c>
      <x:c r="AC189" s="57" t="n">
        <x:v>44</x:v>
      </x:c>
      <x:c r="AD189" s="59"/>
      <x:c r="AE189" s="61" t="str">
        <x:f>IF(N(F189)&gt;=10,"NHL_LATEST_10",IF(AND(N(F189)&gt;0,N(G189)&gt;0),"NHL_BOTH_SEASONS",IF(N(G189)&gt;=10,"NHL_PREVIOUS_10",IF(AND(ISNUMBER(AD189),AD189=0,SUM(F189:G189)=0),"FARM_CAREER_0",IF(COUNT(F189:G189)&lt;2,"UNKNOWN_GP",IF(AND(F189=0,G189=0),IF(AD189&gt;=10,"FARM_LEGACY_10",IF(AND(ISNUMBER(AD189),AD189&gt;0),"FARM_CAREER_1_9","FARM_0_0")),IF(F189&gt;=1,IF(F189&lt;=3,"FARM_RECENT_1_3","FARM_RECENT_4_9"),"FARM_PREV_1_9_ONLY")))))))</x:f>
        <x:v>UNKNOWN_GP</x:v>
      </x:c>
      <x:c r="AF189" s="57" t="n">
        <x:f>AB189-T189</x:f>
        <x:v>0</x:v>
      </x:c>
      <x:c r="AG189" s="57" t="n">
        <x:f>AC189-U189</x:f>
        <x:v>0</x:v>
      </x:c>
    </x:row>
    <x:row r="190">
      <x:c r="A190" t="s">
        <x:v>1196</x:v>
      </x:c>
      <x:c r="C190" t="s">
        <x:v>319</x:v>
      </x:c>
      <x:c r="D190">
        <x:v>8482726</x:v>
      </x:c>
      <x:c r="E190" t="s">
        <x:v>267</x:v>
      </x:c>
      <x:c r="J190" t="s">
        <x:v>2474</x:v>
      </x:c>
      <x:c r="K190">
        <x:v>82</x:v>
      </x:c>
      <x:c r="L190">
        <x:v>88</x:v>
      </x:c>
      <x:c r="M190">
        <x:v>85</x:v>
      </x:c>
      <x:c r="N190">
        <x:v>47</x:v>
      </x:c>
      <x:c r="O190">
        <x:v>91</x:v>
      </x:c>
      <x:c r="P190">
        <x:v>80</x:v>
      </x:c>
      <x:c r="Q190">
        <x:v>79</x:v>
      </x:c>
      <x:c r="R190">
        <x:v>48</x:v>
      </x:c>
      <x:c r="S190">
        <x:v>80</x:v>
      </x:c>
      <x:c r="T190" s="63" t="n">
        <x:f>MAX(30,MIN(AB190-VLOOKUP(AE190,'AHL_PA_SC_BALANCE'!$A$8:$E$18,2,FALSE),VLOOKUP(AE190,'AHL_PA_SC_BALANCE'!$A$8:$E$18,4,FALSE)))</x:f>
        <x:v>49</x:v>
      </x:c>
      <x:c r="U190" s="63" t="n">
        <x:f>MAX(30,MIN(AC190-VLOOKUP(AE190,'AHL_PA_SC_BALANCE'!$A$8:$E$18,3,FALSE),VLOOKUP(AE190,'AHL_PA_SC_BALANCE'!$A$8:$E$18,5,FALSE)))</x:f>
        <x:v>52</x:v>
      </x:c>
      <x:c r="V190">
        <x:v>61</x:v>
      </x:c>
      <x:c r="W190">
        <x:v>52</x:v>
      </x:c>
      <x:c r="X190">
        <x:v>67</x:v>
      </x:c>
      <x:c r="Y190">
        <x:v>67</x:v>
      </x:c>
      <x:c r="Z190">
        <x:v>51</x:v>
      </x:c>
      <x:c r="AA190">
        <x:v>53</x:v>
      </x:c>
      <x:c r="AB190" s="57" t="n">
        <x:v>49</x:v>
      </x:c>
      <x:c r="AC190" s="57" t="n">
        <x:v>52</x:v>
      </x:c>
      <x:c r="AD190" s="59"/>
      <x:c r="AE190" s="61" t="str">
        <x:f>IF(N(F190)&gt;=10,"NHL_LATEST_10",IF(AND(N(F190)&gt;0,N(G190)&gt;0),"NHL_BOTH_SEASONS",IF(N(G190)&gt;=10,"NHL_PREVIOUS_10",IF(AND(ISNUMBER(AD190),AD190=0,SUM(F190:G190)=0),"FARM_CAREER_0",IF(COUNT(F190:G190)&lt;2,"UNKNOWN_GP",IF(AND(F190=0,G190=0),IF(AD190&gt;=10,"FARM_LEGACY_10",IF(AND(ISNUMBER(AD190),AD190&gt;0),"FARM_CAREER_1_9","FARM_0_0")),IF(F190&gt;=1,IF(F190&lt;=3,"FARM_RECENT_1_3","FARM_RECENT_4_9"),"FARM_PREV_1_9_ONLY")))))))</x:f>
        <x:v>UNKNOWN_GP</x:v>
      </x:c>
      <x:c r="AF190" s="57" t="n">
        <x:f>AB190-T190</x:f>
        <x:v>0</x:v>
      </x:c>
      <x:c r="AG190" s="57" t="n">
        <x:f>AC190-U190</x:f>
        <x:v>0</x:v>
      </x:c>
    </x:row>
    <x:row r="191">
      <x:c r="A191" t="s">
        <x:v>1198</x:v>
      </x:c>
      <x:c r="C191" t="s">
        <x:v>319</x:v>
      </x:c>
      <x:c r="D191">
        <x:v>8477401</x:v>
      </x:c>
      <x:c r="E191" t="s">
        <x:v>267</x:v>
      </x:c>
      <x:c r="J191" t="s">
        <x:v>2474</x:v>
      </x:c>
      <x:c r="K191">
        <x:v>75</x:v>
      </x:c>
      <x:c r="L191">
        <x:v>83</x:v>
      </x:c>
      <x:c r="M191">
        <x:v>72</x:v>
      </x:c>
      <x:c r="N191">
        <x:v>43</x:v>
      </x:c>
      <x:c r="O191">
        <x:v>86</x:v>
      </x:c>
      <x:c r="P191">
        <x:v>88</x:v>
      </x:c>
      <x:c r="Q191">
        <x:v>93</x:v>
      </x:c>
      <x:c r="R191">
        <x:v>42</x:v>
      </x:c>
      <x:c r="S191">
        <x:v>76</x:v>
      </x:c>
      <x:c r="T191" s="63" t="n">
        <x:f>MAX(30,MIN(AB191-VLOOKUP(AE191,'AHL_PA_SC_BALANCE'!$A$8:$E$18,2,FALSE),VLOOKUP(AE191,'AHL_PA_SC_BALANCE'!$A$8:$E$18,4,FALSE)))</x:f>
        <x:v>48</x:v>
      </x:c>
      <x:c r="U191" s="63" t="n">
        <x:f>MAX(30,MIN(AC191-VLOOKUP(AE191,'AHL_PA_SC_BALANCE'!$A$8:$E$18,3,FALSE),VLOOKUP(AE191,'AHL_PA_SC_BALANCE'!$A$8:$E$18,5,FALSE)))</x:f>
        <x:v>50</x:v>
      </x:c>
      <x:c r="V191">
        <x:v>64</x:v>
      </x:c>
      <x:c r="W191">
        <x:v>64</x:v>
      </x:c>
      <x:c r="X191">
        <x:v>74</x:v>
      </x:c>
      <x:c r="Y191">
        <x:v>74</x:v>
      </x:c>
      <x:c r="Z191">
        <x:v>51</x:v>
      </x:c>
      <x:c r="AA191">
        <x:v>53</x:v>
      </x:c>
      <x:c r="AB191" s="57" t="n">
        <x:v>48</x:v>
      </x:c>
      <x:c r="AC191" s="57" t="n">
        <x:v>50</x:v>
      </x:c>
      <x:c r="AD191" s="59"/>
      <x:c r="AE191" s="61" t="str">
        <x:f>IF(N(F191)&gt;=10,"NHL_LATEST_10",IF(AND(N(F191)&gt;0,N(G191)&gt;0),"NHL_BOTH_SEASONS",IF(N(G191)&gt;=10,"NHL_PREVIOUS_10",IF(AND(ISNUMBER(AD191),AD191=0,SUM(F191:G191)=0),"FARM_CAREER_0",IF(COUNT(F191:G191)&lt;2,"UNKNOWN_GP",IF(AND(F191=0,G191=0),IF(AD191&gt;=10,"FARM_LEGACY_10",IF(AND(ISNUMBER(AD191),AD191&gt;0),"FARM_CAREER_1_9","FARM_0_0")),IF(F191&gt;=1,IF(F191&lt;=3,"FARM_RECENT_1_3","FARM_RECENT_4_9"),"FARM_PREV_1_9_ONLY")))))))</x:f>
        <x:v>UNKNOWN_GP</x:v>
      </x:c>
      <x:c r="AF191" s="57" t="n">
        <x:f>AB191-T191</x:f>
        <x:v>0</x:v>
      </x:c>
      <x:c r="AG191" s="57" t="n">
        <x:f>AC191-U191</x:f>
        <x:v>0</x:v>
      </x:c>
    </x:row>
    <x:row r="192">
      <x:c r="A192" t="s">
        <x:v>1200</x:v>
      </x:c>
      <x:c r="C192" t="s">
        <x:v>329</x:v>
      </x:c>
      <x:c r="D192">
        <x:v>8477406</x:v>
      </x:c>
      <x:c r="E192" t="s">
        <x:v>267</x:v>
      </x:c>
      <x:c r="J192" t="s">
        <x:v>2474</x:v>
      </x:c>
      <x:c r="K192">
        <x:v>59</x:v>
      </x:c>
      <x:c r="L192">
        <x:v>40</x:v>
      </x:c>
      <x:c r="M192">
        <x:v>83</x:v>
      </x:c>
      <x:c r="N192">
        <x:v>51</x:v>
      </x:c>
      <x:c r="O192">
        <x:v>81</x:v>
      </x:c>
      <x:c r="P192">
        <x:v>83</x:v>
      </x:c>
      <x:c r="Q192">
        <x:v>77</x:v>
      </x:c>
      <x:c r="R192">
        <x:v>47</x:v>
      </x:c>
      <x:c r="S192">
        <x:v>70</x:v>
      </x:c>
      <x:c r="T192" s="63" t="n">
        <x:f>MAX(30,MIN(AB192-VLOOKUP(AE192,'AHL_PA_SC_BALANCE'!$A$8:$E$18,2,FALSE),VLOOKUP(AE192,'AHL_PA_SC_BALANCE'!$A$8:$E$18,4,FALSE)))</x:f>
        <x:v>52</x:v>
      </x:c>
      <x:c r="U192" s="63" t="n">
        <x:f>MAX(30,MIN(AC192-VLOOKUP(AE192,'AHL_PA_SC_BALANCE'!$A$8:$E$18,3,FALSE),VLOOKUP(AE192,'AHL_PA_SC_BALANCE'!$A$8:$E$18,5,FALSE)))</x:f>
        <x:v>49</x:v>
      </x:c>
      <x:c r="V192">
        <x:v>67</x:v>
      </x:c>
      <x:c r="W192">
        <x:v>53</x:v>
      </x:c>
      <x:c r="X192">
        <x:v>85</x:v>
      </x:c>
      <x:c r="Y192">
        <x:v>73</x:v>
      </x:c>
      <x:c r="Z192">
        <x:v>47</x:v>
      </x:c>
      <x:c r="AA192">
        <x:v>53</x:v>
      </x:c>
      <x:c r="AB192" s="57" t="n">
        <x:v>52</x:v>
      </x:c>
      <x:c r="AC192" s="57" t="n">
        <x:v>49</x:v>
      </x:c>
      <x:c r="AD192" s="59"/>
      <x:c r="AE192" s="61" t="str">
        <x:f>IF(N(F192)&gt;=10,"NHL_LATEST_10",IF(AND(N(F192)&gt;0,N(G192)&gt;0),"NHL_BOTH_SEASONS",IF(N(G192)&gt;=10,"NHL_PREVIOUS_10",IF(AND(ISNUMBER(AD192),AD192=0,SUM(F192:G192)=0),"FARM_CAREER_0",IF(COUNT(F192:G192)&lt;2,"UNKNOWN_GP",IF(AND(F192=0,G192=0),IF(AD192&gt;=10,"FARM_LEGACY_10",IF(AND(ISNUMBER(AD192),AD192&gt;0),"FARM_CAREER_1_9","FARM_0_0")),IF(F192&gt;=1,IF(F192&lt;=3,"FARM_RECENT_1_3","FARM_RECENT_4_9"),"FARM_PREV_1_9_ONLY")))))))</x:f>
        <x:v>UNKNOWN_GP</x:v>
      </x:c>
      <x:c r="AF192" s="57" t="n">
        <x:f>AB192-T192</x:f>
        <x:v>0</x:v>
      </x:c>
      <x:c r="AG192" s="57" t="n">
        <x:f>AC192-U192</x:f>
        <x:v>0</x:v>
      </x:c>
    </x:row>
    <x:row r="193">
      <x:c r="A193" t="s">
        <x:v>1202</x:v>
      </x:c>
      <x:c r="C193" t="s">
        <x:v>323</x:v>
      </x:c>
      <x:c r="D193">
        <x:v>8484938</x:v>
      </x:c>
      <x:c r="E193" t="s">
        <x:v>267</x:v>
      </x:c>
      <x:c r="J193" t="s">
        <x:v>2474</x:v>
      </x:c>
      <x:c r="K193">
        <x:v>69</x:v>
      </x:c>
      <x:c r="L193">
        <x:v>41</x:v>
      </x:c>
      <x:c r="M193">
        <x:v>95</x:v>
      </x:c>
      <x:c r="N193">
        <x:v>48</x:v>
      </x:c>
      <x:c r="O193">
        <x:v>83</x:v>
      </x:c>
      <x:c r="P193">
        <x:v>84</x:v>
      </x:c>
      <x:c r="Q193">
        <x:v>78</x:v>
      </x:c>
      <x:c r="R193">
        <x:v>48</x:v>
      </x:c>
      <x:c r="S193">
        <x:v>86</x:v>
      </x:c>
      <x:c r="T193" s="63" t="n">
        <x:f>MAX(30,MIN(AB193-VLOOKUP(AE193,'AHL_PA_SC_BALANCE'!$A$8:$E$18,2,FALSE),VLOOKUP(AE193,'AHL_PA_SC_BALANCE'!$A$8:$E$18,4,FALSE)))</x:f>
        <x:v>47</x:v>
      </x:c>
      <x:c r="U193" s="63" t="n">
        <x:f>MAX(30,MIN(AC193-VLOOKUP(AE193,'AHL_PA_SC_BALANCE'!$A$8:$E$18,3,FALSE),VLOOKUP(AE193,'AHL_PA_SC_BALANCE'!$A$8:$E$18,5,FALSE)))</x:f>
        <x:v>50</x:v>
      </x:c>
      <x:c r="V193">
        <x:v>66</x:v>
      </x:c>
      <x:c r="W193">
        <x:v>56</x:v>
      </x:c>
      <x:c r="X193">
        <x:v>68</x:v>
      </x:c>
      <x:c r="Y193">
        <x:v>68</x:v>
      </x:c>
      <x:c r="Z193">
        <x:v>51</x:v>
      </x:c>
      <x:c r="AA193">
        <x:v>53</x:v>
      </x:c>
      <x:c r="AB193" s="57" t="n">
        <x:v>47</x:v>
      </x:c>
      <x:c r="AC193" s="57" t="n">
        <x:v>50</x:v>
      </x:c>
      <x:c r="AD193" s="59"/>
      <x:c r="AE193" s="61" t="str">
        <x:f>IF(N(F193)&gt;=10,"NHL_LATEST_10",IF(AND(N(F193)&gt;0,N(G193)&gt;0),"NHL_BOTH_SEASONS",IF(N(G193)&gt;=10,"NHL_PREVIOUS_10",IF(AND(ISNUMBER(AD193),AD193=0,SUM(F193:G193)=0),"FARM_CAREER_0",IF(COUNT(F193:G193)&lt;2,"UNKNOWN_GP",IF(AND(F193=0,G193=0),IF(AD193&gt;=10,"FARM_LEGACY_10",IF(AND(ISNUMBER(AD193),AD193&gt;0),"FARM_CAREER_1_9","FARM_0_0")),IF(F193&gt;=1,IF(F193&lt;=3,"FARM_RECENT_1_3","FARM_RECENT_4_9"),"FARM_PREV_1_9_ONLY")))))))</x:f>
        <x:v>UNKNOWN_GP</x:v>
      </x:c>
      <x:c r="AF193" s="57" t="n">
        <x:f>AB193-T193</x:f>
        <x:v>0</x:v>
      </x:c>
      <x:c r="AG193" s="57" t="n">
        <x:f>AC193-U193</x:f>
        <x:v>0</x:v>
      </x:c>
    </x:row>
    <x:row r="194">
      <x:c r="A194" t="s">
        <x:v>1203</x:v>
      </x:c>
      <x:c r="C194" t="s">
        <x:v>331</x:v>
      </x:c>
      <x:c r="D194">
        <x:v>8481541</x:v>
      </x:c>
      <x:c r="E194" t="s">
        <x:v>267</x:v>
      </x:c>
      <x:c r="J194" t="s">
        <x:v>2474</x:v>
      </x:c>
      <x:c r="K194">
        <x:v>72</x:v>
      </x:c>
      <x:c r="L194">
        <x:v>35</x:v>
      </x:c>
      <x:c r="M194">
        <x:v>89</x:v>
      </x:c>
      <x:c r="N194">
        <x:v>35</x:v>
      </x:c>
      <x:c r="O194">
        <x:v>87</x:v>
      </x:c>
      <x:c r="P194">
        <x:v>89</x:v>
      </x:c>
      <x:c r="Q194">
        <x:v>93</x:v>
      </x:c>
      <x:c r="R194">
        <x:v>35</x:v>
      </x:c>
      <x:c r="S194">
        <x:v>30</x:v>
      </x:c>
      <x:c r="T194" s="63" t="n">
        <x:f>MAX(30,MIN(AB194-VLOOKUP(AE194,'AHL_PA_SC_BALANCE'!$A$8:$E$18,2,FALSE),VLOOKUP(AE194,'AHL_PA_SC_BALANCE'!$A$8:$E$18,4,FALSE)))</x:f>
        <x:v>50</x:v>
      </x:c>
      <x:c r="U194" s="63" t="n">
        <x:f>MAX(30,MIN(AC194-VLOOKUP(AE194,'AHL_PA_SC_BALANCE'!$A$8:$E$18,3,FALSE),VLOOKUP(AE194,'AHL_PA_SC_BALANCE'!$A$8:$E$18,5,FALSE)))</x:f>
        <x:v>45</x:v>
      </x:c>
      <x:c r="V194">
        <x:v>73</x:v>
      </x:c>
      <x:c r="W194">
        <x:v>49</x:v>
      </x:c>
      <x:c r="X194">
        <x:v>69</x:v>
      </x:c>
      <x:c r="Y194">
        <x:v>68</x:v>
      </x:c>
      <x:c r="Z194">
        <x:v>51</x:v>
      </x:c>
      <x:c r="AA194">
        <x:v>53</x:v>
      </x:c>
      <x:c r="AB194" s="57" t="n">
        <x:v>50</x:v>
      </x:c>
      <x:c r="AC194" s="57" t="n">
        <x:v>45</x:v>
      </x:c>
      <x:c r="AD194" s="59"/>
      <x:c r="AE194" s="61" t="str">
        <x:f>IF(N(F194)&gt;=10,"NHL_LATEST_10",IF(AND(N(F194)&gt;0,N(G194)&gt;0),"NHL_BOTH_SEASONS",IF(N(G194)&gt;=10,"NHL_PREVIOUS_10",IF(AND(ISNUMBER(AD194),AD194=0,SUM(F194:G194)=0),"FARM_CAREER_0",IF(COUNT(F194:G194)&lt;2,"UNKNOWN_GP",IF(AND(F194=0,G194=0),IF(AD194&gt;=10,"FARM_LEGACY_10",IF(AND(ISNUMBER(AD194),AD194&gt;0),"FARM_CAREER_1_9","FARM_0_0")),IF(F194&gt;=1,IF(F194&lt;=3,"FARM_RECENT_1_3","FARM_RECENT_4_9"),"FARM_PREV_1_9_ONLY")))))))</x:f>
        <x:v>UNKNOWN_GP</x:v>
      </x:c>
      <x:c r="AF194" s="57" t="n">
        <x:f>AB194-T194</x:f>
        <x:v>0</x:v>
      </x:c>
      <x:c r="AG194" s="57" t="n">
        <x:f>AC194-U194</x:f>
        <x:v>0</x:v>
      </x:c>
    </x:row>
    <x:row r="195">
      <x:c r="A195" t="s">
        <x:v>1205</x:v>
      </x:c>
      <x:c r="C195" t="s">
        <x:v>331</x:v>
      </x:c>
      <x:c r="D195">
        <x:v>8481367</x:v>
      </x:c>
      <x:c r="E195" t="s">
        <x:v>267</x:v>
      </x:c>
      <x:c r="J195" t="s">
        <x:v>2474</x:v>
      </x:c>
      <x:c r="K195">
        <x:v>75</x:v>
      </x:c>
      <x:c r="L195">
        <x:v>35</x:v>
      </x:c>
      <x:c r="M195">
        <x:v>66</x:v>
      </x:c>
      <x:c r="N195">
        <x:v>30</x:v>
      </x:c>
      <x:c r="O195">
        <x:v>82</x:v>
      </x:c>
      <x:c r="P195">
        <x:v>76</x:v>
      </x:c>
      <x:c r="Q195">
        <x:v>78</x:v>
      </x:c>
      <x:c r="R195">
        <x:v>31</x:v>
      </x:c>
      <x:c r="S195">
        <x:v>30</x:v>
      </x:c>
      <x:c r="T195" s="63" t="n">
        <x:f>MAX(30,MIN(AB195-VLOOKUP(AE195,'AHL_PA_SC_BALANCE'!$A$8:$E$18,2,FALSE),VLOOKUP(AE195,'AHL_PA_SC_BALANCE'!$A$8:$E$18,4,FALSE)))</x:f>
        <x:v>39</x:v>
      </x:c>
      <x:c r="U195" s="63" t="n">
        <x:f>MAX(30,MIN(AC195-VLOOKUP(AE195,'AHL_PA_SC_BALANCE'!$A$8:$E$18,3,FALSE),VLOOKUP(AE195,'AHL_PA_SC_BALANCE'!$A$8:$E$18,5,FALSE)))</x:f>
        <x:v>37</x:v>
      </x:c>
      <x:c r="V195">
        <x:v>66</x:v>
      </x:c>
      <x:c r="W195">
        <x:v>43</x:v>
      </x:c>
      <x:c r="X195">
        <x:v>76</x:v>
      </x:c>
      <x:c r="Y195">
        <x:v>75</x:v>
      </x:c>
      <x:c r="Z195">
        <x:v>51</x:v>
      </x:c>
      <x:c r="AA195">
        <x:v>53</x:v>
      </x:c>
      <x:c r="AB195" s="57" t="n">
        <x:v>39</x:v>
      </x:c>
      <x:c r="AC195" s="57" t="n">
        <x:v>37</x:v>
      </x:c>
      <x:c r="AD195" s="59"/>
      <x:c r="AE195" s="61" t="str">
        <x:f>IF(N(F195)&gt;=10,"NHL_LATEST_10",IF(AND(N(F195)&gt;0,N(G195)&gt;0),"NHL_BOTH_SEASONS",IF(N(G195)&gt;=10,"NHL_PREVIOUS_10",IF(AND(ISNUMBER(AD195),AD195=0,SUM(F195:G195)=0),"FARM_CAREER_0",IF(COUNT(F195:G195)&lt;2,"UNKNOWN_GP",IF(AND(F195=0,G195=0),IF(AD195&gt;=10,"FARM_LEGACY_10",IF(AND(ISNUMBER(AD195),AD195&gt;0),"FARM_CAREER_1_9","FARM_0_0")),IF(F195&gt;=1,IF(F195&lt;=3,"FARM_RECENT_1_3","FARM_RECENT_4_9"),"FARM_PREV_1_9_ONLY")))))))</x:f>
        <x:v>UNKNOWN_GP</x:v>
      </x:c>
      <x:c r="AF195" s="57" t="n">
        <x:f>AB195-T195</x:f>
        <x:v>0</x:v>
      </x:c>
      <x:c r="AG195" s="57" t="n">
        <x:f>AC195-U195</x:f>
        <x:v>0</x:v>
      </x:c>
    </x:row>
    <x:row r="196">
      <x:c r="A196" t="s">
        <x:v>1206</x:v>
      </x:c>
      <x:c r="C196" t="s">
        <x:v>331</x:v>
      </x:c>
      <x:c r="D196">
        <x:v>8482824</x:v>
      </x:c>
      <x:c r="E196" t="s">
        <x:v>267</x:v>
      </x:c>
      <x:c r="J196" t="s">
        <x:v>2474</x:v>
      </x:c>
      <x:c r="K196">
        <x:v>74</x:v>
      </x:c>
      <x:c r="L196">
        <x:v>57</x:v>
      </x:c>
      <x:c r="M196">
        <x:v>73</x:v>
      </x:c>
      <x:c r="N196">
        <x:v>33</x:v>
      </x:c>
      <x:c r="O196">
        <x:v>83</x:v>
      </x:c>
      <x:c r="P196">
        <x:v>90</x:v>
      </x:c>
      <x:c r="Q196">
        <x:v>94</x:v>
      </x:c>
      <x:c r="R196">
        <x:v>34</x:v>
      </x:c>
      <x:c r="S196">
        <x:v>30</x:v>
      </x:c>
      <x:c r="T196" s="63" t="n">
        <x:f>MAX(30,MIN(AB196-VLOOKUP(AE196,'AHL_PA_SC_BALANCE'!$A$8:$E$18,2,FALSE),VLOOKUP(AE196,'AHL_PA_SC_BALANCE'!$A$8:$E$18,4,FALSE)))</x:f>
        <x:v>44</x:v>
      </x:c>
      <x:c r="U196" s="63" t="n">
        <x:f>MAX(30,MIN(AC196-VLOOKUP(AE196,'AHL_PA_SC_BALANCE'!$A$8:$E$18,3,FALSE),VLOOKUP(AE196,'AHL_PA_SC_BALANCE'!$A$8:$E$18,5,FALSE)))</x:f>
        <x:v>41</x:v>
      </x:c>
      <x:c r="V196">
        <x:v>69</x:v>
      </x:c>
      <x:c r="W196">
        <x:v>47</x:v>
      </x:c>
      <x:c r="X196">
        <x:v>68</x:v>
      </x:c>
      <x:c r="Y196">
        <x:v>67</x:v>
      </x:c>
      <x:c r="Z196">
        <x:v>51</x:v>
      </x:c>
      <x:c r="AA196">
        <x:v>53</x:v>
      </x:c>
      <x:c r="AB196" s="57" t="n">
        <x:v>44</x:v>
      </x:c>
      <x:c r="AC196" s="57" t="n">
        <x:v>41</x:v>
      </x:c>
      <x:c r="AD196" s="59"/>
      <x:c r="AE196" s="61" t="str">
        <x:f>IF(N(F196)&gt;=10,"NHL_LATEST_10",IF(AND(N(F196)&gt;0,N(G196)&gt;0),"NHL_BOTH_SEASONS",IF(N(G196)&gt;=10,"NHL_PREVIOUS_10",IF(AND(ISNUMBER(AD196),AD196=0,SUM(F196:G196)=0),"FARM_CAREER_0",IF(COUNT(F196:G196)&lt;2,"UNKNOWN_GP",IF(AND(F196=0,G196=0),IF(AD196&gt;=10,"FARM_LEGACY_10",IF(AND(ISNUMBER(AD196),AD196&gt;0),"FARM_CAREER_1_9","FARM_0_0")),IF(F196&gt;=1,IF(F196&lt;=3,"FARM_RECENT_1_3","FARM_RECENT_4_9"),"FARM_PREV_1_9_ONLY")))))))</x:f>
        <x:v>UNKNOWN_GP</x:v>
      </x:c>
      <x:c r="AF196" s="57" t="n">
        <x:f>AB196-T196</x:f>
        <x:v>0</x:v>
      </x:c>
      <x:c r="AG196" s="57" t="n">
        <x:f>AC196-U196</x:f>
        <x:v>0</x:v>
      </x:c>
    </x:row>
    <x:row r="197">
      <x:c r="A197" t="s">
        <x:v>1207</x:v>
      </x:c>
      <x:c r="C197" t="s">
        <x:v>358</x:v>
      </x:c>
      <x:c r="D197">
        <x:v>8481133</x:v>
      </x:c>
      <x:c r="E197" t="s">
        <x:v>267</x:v>
      </x:c>
      <x:c r="J197" t="s">
        <x:v>2474</x:v>
      </x:c>
      <x:c r="K197">
        <x:v>76</x:v>
      </x:c>
      <x:c r="L197">
        <x:v>61</x:v>
      </x:c>
      <x:c r="M197">
        <x:v>87</x:v>
      </x:c>
      <x:c r="N197">
        <x:v>48</x:v>
      </x:c>
      <x:c r="O197">
        <x:v>81</x:v>
      </x:c>
      <x:c r="P197">
        <x:v>81</x:v>
      </x:c>
      <x:c r="Q197">
        <x:v>80</x:v>
      </x:c>
      <x:c r="R197">
        <x:v>48</x:v>
      </x:c>
      <x:c r="S197">
        <x:v>69</x:v>
      </x:c>
      <x:c r="T197" s="63" t="n">
        <x:f>MAX(30,MIN(AB197-VLOOKUP(AE197,'AHL_PA_SC_BALANCE'!$A$8:$E$18,2,FALSE),VLOOKUP(AE197,'AHL_PA_SC_BALANCE'!$A$8:$E$18,4,FALSE)))</x:f>
        <x:v>50</x:v>
      </x:c>
      <x:c r="U197" s="63" t="n">
        <x:f>MAX(30,MIN(AC197-VLOOKUP(AE197,'AHL_PA_SC_BALANCE'!$A$8:$E$18,3,FALSE),VLOOKUP(AE197,'AHL_PA_SC_BALANCE'!$A$8:$E$18,5,FALSE)))</x:f>
        <x:v>54</x:v>
      </x:c>
      <x:c r="V197">
        <x:v>61</x:v>
      </x:c>
      <x:c r="W197">
        <x:v>52</x:v>
      </x:c>
      <x:c r="X197">
        <x:v>70</x:v>
      </x:c>
      <x:c r="Y197">
        <x:v>68</x:v>
      </x:c>
      <x:c r="Z197">
        <x:v>47</x:v>
      </x:c>
      <x:c r="AA197">
        <x:v>53</x:v>
      </x:c>
      <x:c r="AB197" s="57" t="n">
        <x:v>50</x:v>
      </x:c>
      <x:c r="AC197" s="57" t="n">
        <x:v>54</x:v>
      </x:c>
      <x:c r="AD197" s="59"/>
      <x:c r="AE197" s="61" t="str">
        <x:f>IF(N(F197)&gt;=10,"NHL_LATEST_10",IF(AND(N(F197)&gt;0,N(G197)&gt;0),"NHL_BOTH_SEASONS",IF(N(G197)&gt;=10,"NHL_PREVIOUS_10",IF(AND(ISNUMBER(AD197),AD197=0,SUM(F197:G197)=0),"FARM_CAREER_0",IF(COUNT(F197:G197)&lt;2,"UNKNOWN_GP",IF(AND(F197=0,G197=0),IF(AD197&gt;=10,"FARM_LEGACY_10",IF(AND(ISNUMBER(AD197),AD197&gt;0),"FARM_CAREER_1_9","FARM_0_0")),IF(F197&gt;=1,IF(F197&lt;=3,"FARM_RECENT_1_3","FARM_RECENT_4_9"),"FARM_PREV_1_9_ONLY")))))))</x:f>
        <x:v>UNKNOWN_GP</x:v>
      </x:c>
      <x:c r="AF197" s="57" t="n">
        <x:f>AB197-T197</x:f>
        <x:v>0</x:v>
      </x:c>
      <x:c r="AG197" s="57" t="n">
        <x:f>AC197-U197</x:f>
        <x:v>0</x:v>
      </x:c>
    </x:row>
    <x:row r="198">
      <x:c r="A198" t="s">
        <x:v>1208</x:v>
      </x:c>
      <x:c r="C198" t="s">
        <x:v>326</x:v>
      </x:c>
      <x:c r="D198">
        <x:v>8479423</x:v>
      </x:c>
      <x:c r="E198" t="s">
        <x:v>267</x:v>
      </x:c>
      <x:c r="J198" t="s">
        <x:v>2474</x:v>
      </x:c>
      <x:c r="K198">
        <x:v>62</x:v>
      </x:c>
      <x:c r="L198">
        <x:v>35</x:v>
      </x:c>
      <x:c r="M198">
        <x:v>92</x:v>
      </x:c>
      <x:c r="N198">
        <x:v>47</x:v>
      </x:c>
      <x:c r="O198">
        <x:v>78</x:v>
      </x:c>
      <x:c r="P198">
        <x:v>88</x:v>
      </x:c>
      <x:c r="Q198">
        <x:v>90</x:v>
      </x:c>
      <x:c r="R198">
        <x:v>48</x:v>
      </x:c>
      <x:c r="S198">
        <x:v>70</x:v>
      </x:c>
      <x:c r="T198" s="63" t="n">
        <x:f>MAX(30,MIN(AB198-VLOOKUP(AE198,'AHL_PA_SC_BALANCE'!$A$8:$E$18,2,FALSE),VLOOKUP(AE198,'AHL_PA_SC_BALANCE'!$A$8:$E$18,4,FALSE)))</x:f>
        <x:v>50</x:v>
      </x:c>
      <x:c r="U198" s="63" t="n">
        <x:f>MAX(30,MIN(AC198-VLOOKUP(AE198,'AHL_PA_SC_BALANCE'!$A$8:$E$18,3,FALSE),VLOOKUP(AE198,'AHL_PA_SC_BALANCE'!$A$8:$E$18,5,FALSE)))</x:f>
        <x:v>52</x:v>
      </x:c>
      <x:c r="V198">
        <x:v>61</x:v>
      </x:c>
      <x:c r="W198">
        <x:v>69</x:v>
      </x:c>
      <x:c r="X198">
        <x:v>70</x:v>
      </x:c>
      <x:c r="Y198">
        <x:v>71</x:v>
      </x:c>
      <x:c r="Z198">
        <x:v>51</x:v>
      </x:c>
      <x:c r="AA198">
        <x:v>53</x:v>
      </x:c>
      <x:c r="AB198" s="57" t="n">
        <x:v>50</x:v>
      </x:c>
      <x:c r="AC198" s="57" t="n">
        <x:v>52</x:v>
      </x:c>
      <x:c r="AD198" s="59"/>
      <x:c r="AE198" s="61" t="str">
        <x:f>IF(N(F198)&gt;=10,"NHL_LATEST_10",IF(AND(N(F198)&gt;0,N(G198)&gt;0),"NHL_BOTH_SEASONS",IF(N(G198)&gt;=10,"NHL_PREVIOUS_10",IF(AND(ISNUMBER(AD198),AD198=0,SUM(F198:G198)=0),"FARM_CAREER_0",IF(COUNT(F198:G198)&lt;2,"UNKNOWN_GP",IF(AND(F198=0,G198=0),IF(AD198&gt;=10,"FARM_LEGACY_10",IF(AND(ISNUMBER(AD198),AD198&gt;0),"FARM_CAREER_1_9","FARM_0_0")),IF(F198&gt;=1,IF(F198&lt;=3,"FARM_RECENT_1_3","FARM_RECENT_4_9"),"FARM_PREV_1_9_ONLY")))))))</x:f>
        <x:v>UNKNOWN_GP</x:v>
      </x:c>
      <x:c r="AF198" s="57" t="n">
        <x:f>AB198-T198</x:f>
        <x:v>0</x:v>
      </x:c>
      <x:c r="AG198" s="57" t="n">
        <x:f>AC198-U198</x:f>
        <x:v>0</x:v>
      </x:c>
    </x:row>
    <x:row r="199">
      <x:c r="A199" t="s">
        <x:v>1209</x:v>
      </x:c>
      <x:c r="C199" t="s">
        <x:v>331</x:v>
      </x:c>
      <x:c r="D199">
        <x:v>8484906</x:v>
      </x:c>
      <x:c r="E199" t="s">
        <x:v>267</x:v>
      </x:c>
      <x:c r="J199" t="s">
        <x:v>2474</x:v>
      </x:c>
      <x:c r="K199">
        <x:v>77</x:v>
      </x:c>
      <x:c r="L199">
        <x:v>38</x:v>
      </x:c>
      <x:c r="M199">
        <x:v>85</x:v>
      </x:c>
      <x:c r="N199">
        <x:v>34</x:v>
      </x:c>
      <x:c r="O199">
        <x:v>79</x:v>
      </x:c>
      <x:c r="P199">
        <x:v>80</x:v>
      </x:c>
      <x:c r="Q199">
        <x:v>83</x:v>
      </x:c>
      <x:c r="R199">
        <x:v>35</x:v>
      </x:c>
      <x:c r="S199">
        <x:v>30</x:v>
      </x:c>
      <x:c r="T199" s="63" t="n">
        <x:f>MAX(30,MIN(AB199-VLOOKUP(AE199,'AHL_PA_SC_BALANCE'!$A$8:$E$18,2,FALSE),VLOOKUP(AE199,'AHL_PA_SC_BALANCE'!$A$8:$E$18,4,FALSE)))</x:f>
        <x:v>45</x:v>
      </x:c>
      <x:c r="U199" s="63" t="n">
        <x:f>MAX(30,MIN(AC199-VLOOKUP(AE199,'AHL_PA_SC_BALANCE'!$A$8:$E$18,3,FALSE),VLOOKUP(AE199,'AHL_PA_SC_BALANCE'!$A$8:$E$18,5,FALSE)))</x:f>
        <x:v>40</x:v>
      </x:c>
      <x:c r="V199">
        <x:v>67</x:v>
      </x:c>
      <x:c r="W199">
        <x:v>47</x:v>
      </x:c>
      <x:c r="X199">
        <x:v>69</x:v>
      </x:c>
      <x:c r="Y199">
        <x:v>70</x:v>
      </x:c>
      <x:c r="Z199">
        <x:v>51</x:v>
      </x:c>
      <x:c r="AA199">
        <x:v>53</x:v>
      </x:c>
      <x:c r="AB199" s="57" t="n">
        <x:v>45</x:v>
      </x:c>
      <x:c r="AC199" s="57" t="n">
        <x:v>40</x:v>
      </x:c>
      <x:c r="AD199" s="59"/>
      <x:c r="AE199" s="61" t="str">
        <x:f>IF(N(F199)&gt;=10,"NHL_LATEST_10",IF(AND(N(F199)&gt;0,N(G199)&gt;0),"NHL_BOTH_SEASONS",IF(N(G199)&gt;=10,"NHL_PREVIOUS_10",IF(AND(ISNUMBER(AD199),AD199=0,SUM(F199:G199)=0),"FARM_CAREER_0",IF(COUNT(F199:G199)&lt;2,"UNKNOWN_GP",IF(AND(F199=0,G199=0),IF(AD199&gt;=10,"FARM_LEGACY_10",IF(AND(ISNUMBER(AD199),AD199&gt;0),"FARM_CAREER_1_9","FARM_0_0")),IF(F199&gt;=1,IF(F199&lt;=3,"FARM_RECENT_1_3","FARM_RECENT_4_9"),"FARM_PREV_1_9_ONLY")))))))</x:f>
        <x:v>UNKNOWN_GP</x:v>
      </x:c>
      <x:c r="AF199" s="57" t="n">
        <x:f>AB199-T199</x:f>
        <x:v>0</x:v>
      </x:c>
      <x:c r="AG199" s="57" t="n">
        <x:f>AC199-U199</x:f>
        <x:v>0</x:v>
      </x:c>
    </x:row>
    <x:row r="200">
      <x:c r="A200" t="s">
        <x:v>1210</x:v>
      </x:c>
      <x:c r="C200" t="s">
        <x:v>326</x:v>
      </x:c>
      <x:c r="D200">
        <x:v>8479942</x:v>
      </x:c>
      <x:c r="E200" t="s">
        <x:v>267</x:v>
      </x:c>
      <x:c r="J200" t="s">
        <x:v>2474</x:v>
      </x:c>
      <x:c r="K200">
        <x:v>63</x:v>
      </x:c>
      <x:c r="L200">
        <x:v>71</x:v>
      </x:c>
      <x:c r="M200">
        <x:v>91</x:v>
      </x:c>
      <x:c r="N200">
        <x:v>47</x:v>
      </x:c>
      <x:c r="O200">
        <x:v>74</x:v>
      </x:c>
      <x:c r="P200">
        <x:v>77</x:v>
      </x:c>
      <x:c r="Q200">
        <x:v>82</x:v>
      </x:c>
      <x:c r="R200">
        <x:v>48</x:v>
      </x:c>
      <x:c r="S200">
        <x:v>67</x:v>
      </x:c>
      <x:c r="T200" s="63" t="n">
        <x:f>MAX(30,MIN(AB200-VLOOKUP(AE200,'AHL_PA_SC_BALANCE'!$A$8:$E$18,2,FALSE),VLOOKUP(AE200,'AHL_PA_SC_BALANCE'!$A$8:$E$18,4,FALSE)))</x:f>
        <x:v>48</x:v>
      </x:c>
      <x:c r="U200" s="63" t="n">
        <x:f>MAX(30,MIN(AC200-VLOOKUP(AE200,'AHL_PA_SC_BALANCE'!$A$8:$E$18,3,FALSE),VLOOKUP(AE200,'AHL_PA_SC_BALANCE'!$A$8:$E$18,5,FALSE)))</x:f>
        <x:v>54</x:v>
      </x:c>
      <x:c r="V200">
        <x:v>61</x:v>
      </x:c>
      <x:c r="W200">
        <x:v>56</x:v>
      </x:c>
      <x:c r="X200">
        <x:v>78</x:v>
      </x:c>
      <x:c r="Y200">
        <x:v>79</x:v>
      </x:c>
      <x:c r="Z200">
        <x:v>51</x:v>
      </x:c>
      <x:c r="AA200">
        <x:v>53</x:v>
      </x:c>
      <x:c r="AB200" s="57" t="n">
        <x:v>48</x:v>
      </x:c>
      <x:c r="AC200" s="57" t="n">
        <x:v>54</x:v>
      </x:c>
      <x:c r="AD200" s="59"/>
      <x:c r="AE200" s="61" t="str">
        <x:f>IF(N(F200)&gt;=10,"NHL_LATEST_10",IF(AND(N(F200)&gt;0,N(G200)&gt;0),"NHL_BOTH_SEASONS",IF(N(G200)&gt;=10,"NHL_PREVIOUS_10",IF(AND(ISNUMBER(AD200),AD200=0,SUM(F200:G200)=0),"FARM_CAREER_0",IF(COUNT(F200:G200)&lt;2,"UNKNOWN_GP",IF(AND(F200=0,G200=0),IF(AD200&gt;=10,"FARM_LEGACY_10",IF(AND(ISNUMBER(AD200),AD200&gt;0),"FARM_CAREER_1_9","FARM_0_0")),IF(F200&gt;=1,IF(F200&lt;=3,"FARM_RECENT_1_3","FARM_RECENT_4_9"),"FARM_PREV_1_9_ONLY")))))))</x:f>
        <x:v>UNKNOWN_GP</x:v>
      </x:c>
      <x:c r="AF200" s="57" t="n">
        <x:f>AB200-T200</x:f>
        <x:v>0</x:v>
      </x:c>
      <x:c r="AG200" s="57" t="n">
        <x:f>AC200-U200</x:f>
        <x:v>0</x:v>
      </x:c>
    </x:row>
    <x:row r="201">
      <x:c r="A201" t="s">
        <x:v>1211</x:v>
      </x:c>
      <x:c r="C201" t="s">
        <x:v>331</x:v>
      </x:c>
      <x:c r="D201">
        <x:v>8482091</x:v>
      </x:c>
      <x:c r="E201" t="s">
        <x:v>267</x:v>
      </x:c>
      <x:c r="J201" t="s">
        <x:v>2474</x:v>
      </x:c>
      <x:c r="K201">
        <x:v>85</x:v>
      </x:c>
      <x:c r="L201">
        <x:v>35</x:v>
      </x:c>
      <x:c r="M201">
        <x:v>85</x:v>
      </x:c>
      <x:c r="N201">
        <x:v>33</x:v>
      </x:c>
      <x:c r="O201">
        <x:v>90</x:v>
      </x:c>
      <x:c r="P201">
        <x:v>77</x:v>
      </x:c>
      <x:c r="Q201">
        <x:v>80</x:v>
      </x:c>
      <x:c r="R201">
        <x:v>34</x:v>
      </x:c>
      <x:c r="S201">
        <x:v>30</x:v>
      </x:c>
      <x:c r="T201" s="63" t="n">
        <x:f>MAX(30,MIN(AB201-VLOOKUP(AE201,'AHL_PA_SC_BALANCE'!$A$8:$E$18,2,FALSE),VLOOKUP(AE201,'AHL_PA_SC_BALANCE'!$A$8:$E$18,4,FALSE)))</x:f>
        <x:v>42</x:v>
      </x:c>
      <x:c r="U201" s="63" t="n">
        <x:f>MAX(30,MIN(AC201-VLOOKUP(AE201,'AHL_PA_SC_BALANCE'!$A$8:$E$18,3,FALSE),VLOOKUP(AE201,'AHL_PA_SC_BALANCE'!$A$8:$E$18,5,FALSE)))</x:f>
        <x:v>40</x:v>
      </x:c>
      <x:c r="V201">
        <x:v>69</x:v>
      </x:c>
      <x:c r="W201">
        <x:v>46</x:v>
      </x:c>
      <x:c r="X201">
        <x:v>67</x:v>
      </x:c>
      <x:c r="Y201">
        <x:v>68</x:v>
      </x:c>
      <x:c r="Z201">
        <x:v>51</x:v>
      </x:c>
      <x:c r="AA201">
        <x:v>53</x:v>
      </x:c>
      <x:c r="AB201" s="57" t="n">
        <x:v>42</x:v>
      </x:c>
      <x:c r="AC201" s="57" t="n">
        <x:v>40</x:v>
      </x:c>
      <x:c r="AD201" s="59"/>
      <x:c r="AE201" s="61" t="str">
        <x:f>IF(N(F201)&gt;=10,"NHL_LATEST_10",IF(AND(N(F201)&gt;0,N(G201)&gt;0),"NHL_BOTH_SEASONS",IF(N(G201)&gt;=10,"NHL_PREVIOUS_10",IF(AND(ISNUMBER(AD201),AD201=0,SUM(F201:G201)=0),"FARM_CAREER_0",IF(COUNT(F201:G201)&lt;2,"UNKNOWN_GP",IF(AND(F201=0,G201=0),IF(AD201&gt;=10,"FARM_LEGACY_10",IF(AND(ISNUMBER(AD201),AD201&gt;0),"FARM_CAREER_1_9","FARM_0_0")),IF(F201&gt;=1,IF(F201&lt;=3,"FARM_RECENT_1_3","FARM_RECENT_4_9"),"FARM_PREV_1_9_ONLY")))))))</x:f>
        <x:v>UNKNOWN_GP</x:v>
      </x:c>
      <x:c r="AF201" s="57" t="n">
        <x:f>AB201-T201</x:f>
        <x:v>0</x:v>
      </x:c>
      <x:c r="AG201" s="57" t="n">
        <x:f>AC201-U201</x:f>
        <x:v>0</x:v>
      </x:c>
    </x:row>
    <x:row r="202">
      <x:c r="A202" t="s">
        <x:v>1212</x:v>
      </x:c>
      <x:c r="C202" t="s">
        <x:v>331</x:v>
      </x:c>
      <x:c r="D202">
        <x:v>8475857</x:v>
      </x:c>
      <x:c r="E202" t="s">
        <x:v>267</x:v>
      </x:c>
      <x:c r="J202" t="s">
        <x:v>2474</x:v>
      </x:c>
      <x:c r="K202">
        <x:v>72</x:v>
      </x:c>
      <x:c r="L202">
        <x:v>39</x:v>
      </x:c>
      <x:c r="M202">
        <x:v>84</x:v>
      </x:c>
      <x:c r="N202">
        <x:v>31</x:v>
      </x:c>
      <x:c r="O202">
        <x:v>85</x:v>
      </x:c>
      <x:c r="P202">
        <x:v>89</x:v>
      </x:c>
      <x:c r="Q202">
        <x:v>92</x:v>
      </x:c>
      <x:c r="R202">
        <x:v>32</x:v>
      </x:c>
      <x:c r="S202">
        <x:v>30</x:v>
      </x:c>
      <x:c r="T202" s="63" t="n">
        <x:f>MAX(30,MIN(AB202-VLOOKUP(AE202,'AHL_PA_SC_BALANCE'!$A$8:$E$18,2,FALSE),VLOOKUP(AE202,'AHL_PA_SC_BALANCE'!$A$8:$E$18,4,FALSE)))</x:f>
        <x:v>41</x:v>
      </x:c>
      <x:c r="U202" s="63" t="n">
        <x:f>MAX(30,MIN(AC202-VLOOKUP(AE202,'AHL_PA_SC_BALANCE'!$A$8:$E$18,3,FALSE),VLOOKUP(AE202,'AHL_PA_SC_BALANCE'!$A$8:$E$18,5,FALSE)))</x:f>
        <x:v>39</x:v>
      </x:c>
      <x:c r="V202">
        <x:v>71</x:v>
      </x:c>
      <x:c r="W202">
        <x:v>45</x:v>
      </x:c>
      <x:c r="X202">
        <x:v>80</x:v>
      </x:c>
      <x:c r="Y202">
        <x:v>79</x:v>
      </x:c>
      <x:c r="Z202">
        <x:v>51</x:v>
      </x:c>
      <x:c r="AA202">
        <x:v>53</x:v>
      </x:c>
      <x:c r="AB202" s="57" t="n">
        <x:v>41</x:v>
      </x:c>
      <x:c r="AC202" s="57" t="n">
        <x:v>39</x:v>
      </x:c>
      <x:c r="AD202" s="59"/>
      <x:c r="AE202" s="61" t="str">
        <x:f>IF(N(F202)&gt;=10,"NHL_LATEST_10",IF(AND(N(F202)&gt;0,N(G202)&gt;0),"NHL_BOTH_SEASONS",IF(N(G202)&gt;=10,"NHL_PREVIOUS_10",IF(AND(ISNUMBER(AD202),AD202=0,SUM(F202:G202)=0),"FARM_CAREER_0",IF(COUNT(F202:G202)&lt;2,"UNKNOWN_GP",IF(AND(F202=0,G202=0),IF(AD202&gt;=10,"FARM_LEGACY_10",IF(AND(ISNUMBER(AD202),AD202&gt;0),"FARM_CAREER_1_9","FARM_0_0")),IF(F202&gt;=1,IF(F202&lt;=3,"FARM_RECENT_1_3","FARM_RECENT_4_9"),"FARM_PREV_1_9_ONLY")))))))</x:f>
        <x:v>UNKNOWN_GP</x:v>
      </x:c>
      <x:c r="AF202" s="57" t="n">
        <x:f>AB202-T202</x:f>
        <x:v>0</x:v>
      </x:c>
      <x:c r="AG202" s="57" t="n">
        <x:f>AC202-U202</x:f>
        <x:v>0</x:v>
      </x:c>
    </x:row>
    <x:row r="203">
      <x:c r="A203" t="s">
        <x:v>1214</x:v>
      </x:c>
      <x:c r="C203" t="s">
        <x:v>319</x:v>
      </x:c>
      <x:c r="D203">
        <x:v>8479944</x:v>
      </x:c>
      <x:c r="E203" t="s">
        <x:v>267</x:v>
      </x:c>
      <x:c r="J203" t="s">
        <x:v>2474</x:v>
      </x:c>
      <x:c r="K203">
        <x:v>80</x:v>
      </x:c>
      <x:c r="L203">
        <x:v>45</x:v>
      </x:c>
      <x:c r="M203">
        <x:v>85</x:v>
      </x:c>
      <x:c r="N203">
        <x:v>48</x:v>
      </x:c>
      <x:c r="O203">
        <x:v>81</x:v>
      </x:c>
      <x:c r="P203">
        <x:v>81</x:v>
      </x:c>
      <x:c r="Q203">
        <x:v>80</x:v>
      </x:c>
      <x:c r="R203">
        <x:v>46</x:v>
      </x:c>
      <x:c r="S203">
        <x:v>68</x:v>
      </x:c>
      <x:c r="T203" s="63" t="n">
        <x:f>MAX(30,MIN(AB203-VLOOKUP(AE203,'AHL_PA_SC_BALANCE'!$A$8:$E$18,2,FALSE),VLOOKUP(AE203,'AHL_PA_SC_BALANCE'!$A$8:$E$18,4,FALSE)))</x:f>
        <x:v>51</x:v>
      </x:c>
      <x:c r="U203" s="63" t="n">
        <x:f>MAX(30,MIN(AC203-VLOOKUP(AE203,'AHL_PA_SC_BALANCE'!$A$8:$E$18,3,FALSE),VLOOKUP(AE203,'AHL_PA_SC_BALANCE'!$A$8:$E$18,5,FALSE)))</x:f>
        <x:v>50</x:v>
      </x:c>
      <x:c r="V203">
        <x:v>64</x:v>
      </x:c>
      <x:c r="W203">
        <x:v>52</x:v>
      </x:c>
      <x:c r="X203">
        <x:v>82</x:v>
      </x:c>
      <x:c r="Y203">
        <x:v>72</x:v>
      </x:c>
      <x:c r="Z203">
        <x:v>51</x:v>
      </x:c>
      <x:c r="AA203">
        <x:v>53</x:v>
      </x:c>
      <x:c r="AB203" s="57" t="n">
        <x:v>51</x:v>
      </x:c>
      <x:c r="AC203" s="57" t="n">
        <x:v>50</x:v>
      </x:c>
      <x:c r="AD203" s="59"/>
      <x:c r="AE203" s="61" t="str">
        <x:f>IF(N(F203)&gt;=10,"NHL_LATEST_10",IF(AND(N(F203)&gt;0,N(G203)&gt;0),"NHL_BOTH_SEASONS",IF(N(G203)&gt;=10,"NHL_PREVIOUS_10",IF(AND(ISNUMBER(AD203),AD203=0,SUM(F203:G203)=0),"FARM_CAREER_0",IF(COUNT(F203:G203)&lt;2,"UNKNOWN_GP",IF(AND(F203=0,G203=0),IF(AD203&gt;=10,"FARM_LEGACY_10",IF(AND(ISNUMBER(AD203),AD203&gt;0),"FARM_CAREER_1_9","FARM_0_0")),IF(F203&gt;=1,IF(F203&lt;=3,"FARM_RECENT_1_3","FARM_RECENT_4_9"),"FARM_PREV_1_9_ONLY")))))))</x:f>
        <x:v>UNKNOWN_GP</x:v>
      </x:c>
      <x:c r="AF203" s="57" t="n">
        <x:f>AB203-T203</x:f>
        <x:v>0</x:v>
      </x:c>
      <x:c r="AG203" s="57" t="n">
        <x:f>AC203-U203</x:f>
        <x:v>0</x:v>
      </x:c>
    </x:row>
    <x:row r="204">
      <x:c r="A204" t="s">
        <x:v>1215</x:v>
      </x:c>
      <x:c r="B204" t="s">
        <x:v>584</x:v>
      </x:c>
      <x:c r="C204" t="s">
        <x:v>323</x:v>
      </x:c>
      <x:c r="D204">
        <x:v>8476329</x:v>
      </x:c>
      <x:c r="E204" t="s">
        <x:v>267</x:v>
      </x:c>
      <x:c r="G204">
        <x:v>3</x:v>
      </x:c>
      <x:c r="J204" t="s">
        <x:v>2482</x:v>
      </x:c>
      <x:c r="K204">
        <x:v>60</x:v>
      </x:c>
      <x:c r="L204">
        <x:v>33</x:v>
      </x:c>
      <x:c r="M204">
        <x:v>91</x:v>
      </x:c>
      <x:c r="N204">
        <x:v>48</x:v>
      </x:c>
      <x:c r="O204">
        <x:v>77</x:v>
      </x:c>
      <x:c r="P204">
        <x:v>79</x:v>
      </x:c>
      <x:c r="Q204">
        <x:v>81</x:v>
      </x:c>
      <x:c r="R204">
        <x:v>49</x:v>
      </x:c>
      <x:c r="S204">
        <x:v>76</x:v>
      </x:c>
      <x:c r="T204" s="63" t="n">
        <x:f>MAX(30,MIN(AB204-VLOOKUP(AE204,'AHL_PA_SC_BALANCE'!$A$8:$E$18,2,FALSE),VLOOKUP(AE204,'AHL_PA_SC_BALANCE'!$A$8:$E$18,4,FALSE)))</x:f>
        <x:v>52</x:v>
      </x:c>
      <x:c r="U204" s="63" t="n">
        <x:f>MAX(30,MIN(AC204-VLOOKUP(AE204,'AHL_PA_SC_BALANCE'!$A$8:$E$18,3,FALSE),VLOOKUP(AE204,'AHL_PA_SC_BALANCE'!$A$8:$E$18,5,FALSE)))</x:f>
        <x:v>49</x:v>
      </x:c>
      <x:c r="V204">
        <x:v>63</x:v>
      </x:c>
      <x:c r="W204">
        <x:v>70</x:v>
      </x:c>
      <x:c r="X204">
        <x:v>78</x:v>
      </x:c>
      <x:c r="Y204">
        <x:v>79</x:v>
      </x:c>
      <x:c r="Z204">
        <x:v>51</x:v>
      </x:c>
      <x:c r="AA204">
        <x:v>53</x:v>
      </x:c>
      <x:c r="AB204" s="57" t="n">
        <x:v>52</x:v>
      </x:c>
      <x:c r="AC204" s="57" t="n">
        <x:v>49</x:v>
      </x:c>
      <x:c r="AD204" s="59"/>
      <x:c r="AE204" s="61" t="str">
        <x:f>IF(N(F204)&gt;=10,"NHL_LATEST_10",IF(AND(N(F204)&gt;0,N(G204)&gt;0),"NHL_BOTH_SEASONS",IF(N(G204)&gt;=10,"NHL_PREVIOUS_10",IF(AND(ISNUMBER(AD204),AD204=0,SUM(F204:G204)=0),"FARM_CAREER_0",IF(COUNT(F204:G204)&lt;2,"UNKNOWN_GP",IF(AND(F204=0,G204=0),IF(AD204&gt;=10,"FARM_LEGACY_10",IF(AND(ISNUMBER(AD204),AD204&gt;0),"FARM_CAREER_1_9","FARM_0_0")),IF(F204&gt;=1,IF(F204&lt;=3,"FARM_RECENT_1_3","FARM_RECENT_4_9"),"FARM_PREV_1_9_ONLY")))))))</x:f>
        <x:v>UNKNOWN_GP</x:v>
      </x:c>
      <x:c r="AF204" s="57" t="n">
        <x:f>AB204-T204</x:f>
        <x:v>0</x:v>
      </x:c>
      <x:c r="AG204" s="57" t="n">
        <x:f>AC204-U204</x:f>
        <x:v>0</x:v>
      </x:c>
    </x:row>
    <x:row r="205">
      <x:c r="A205" t="s">
        <x:v>1216</x:v>
      </x:c>
      <x:c r="C205" t="s">
        <x:v>331</x:v>
      </x:c>
      <x:c r="D205">
        <x:v>8480467</x:v>
      </x:c>
      <x:c r="E205" t="s">
        <x:v>267</x:v>
      </x:c>
      <x:c r="J205" t="s">
        <x:v>2474</x:v>
      </x:c>
      <x:c r="K205">
        <x:v>76</x:v>
      </x:c>
      <x:c r="L205">
        <x:v>39</x:v>
      </x:c>
      <x:c r="M205">
        <x:v>79</x:v>
      </x:c>
      <x:c r="N205">
        <x:v>33</x:v>
      </x:c>
      <x:c r="O205">
        <x:v>86</x:v>
      </x:c>
      <x:c r="P205">
        <x:v>81</x:v>
      </x:c>
      <x:c r="Q205">
        <x:v>84</x:v>
      </x:c>
      <x:c r="R205">
        <x:v>32</x:v>
      </x:c>
      <x:c r="S205">
        <x:v>30</x:v>
      </x:c>
      <x:c r="T205" s="63" t="n">
        <x:f>MAX(30,MIN(AB205-VLOOKUP(AE205,'AHL_PA_SC_BALANCE'!$A$8:$E$18,2,FALSE),VLOOKUP(AE205,'AHL_PA_SC_BALANCE'!$A$8:$E$18,4,FALSE)))</x:f>
        <x:v>43</x:v>
      </x:c>
      <x:c r="U205" s="63" t="n">
        <x:f>MAX(30,MIN(AC205-VLOOKUP(AE205,'AHL_PA_SC_BALANCE'!$A$8:$E$18,3,FALSE),VLOOKUP(AE205,'AHL_PA_SC_BALANCE'!$A$8:$E$18,5,FALSE)))</x:f>
        <x:v>41</x:v>
      </x:c>
      <x:c r="V205">
        <x:v>64</x:v>
      </x:c>
      <x:c r="W205">
        <x:v>47</x:v>
      </x:c>
      <x:c r="X205">
        <x:v>71</x:v>
      </x:c>
      <x:c r="Y205">
        <x:v>72</x:v>
      </x:c>
      <x:c r="Z205">
        <x:v>51</x:v>
      </x:c>
      <x:c r="AA205">
        <x:v>53</x:v>
      </x:c>
      <x:c r="AB205" s="57" t="n">
        <x:v>43</x:v>
      </x:c>
      <x:c r="AC205" s="57" t="n">
        <x:v>41</x:v>
      </x:c>
      <x:c r="AD205" s="59"/>
      <x:c r="AE205" s="61" t="str">
        <x:f>IF(N(F205)&gt;=10,"NHL_LATEST_10",IF(AND(N(F205)&gt;0,N(G205)&gt;0),"NHL_BOTH_SEASONS",IF(N(G205)&gt;=10,"NHL_PREVIOUS_10",IF(AND(ISNUMBER(AD205),AD205=0,SUM(F205:G205)=0),"FARM_CAREER_0",IF(COUNT(F205:G205)&lt;2,"UNKNOWN_GP",IF(AND(F205=0,G205=0),IF(AD205&gt;=10,"FARM_LEGACY_10",IF(AND(ISNUMBER(AD205),AD205&gt;0),"FARM_CAREER_1_9","FARM_0_0")),IF(F205&gt;=1,IF(F205&lt;=3,"FARM_RECENT_1_3","FARM_RECENT_4_9"),"FARM_PREV_1_9_ONLY")))))))</x:f>
        <x:v>UNKNOWN_GP</x:v>
      </x:c>
      <x:c r="AF205" s="57" t="n">
        <x:f>AB205-T205</x:f>
        <x:v>0</x:v>
      </x:c>
      <x:c r="AG205" s="57" t="n">
        <x:f>AC205-U205</x:f>
        <x:v>0</x:v>
      </x:c>
    </x:row>
    <x:row r="206">
      <x:c r="A206" t="s">
        <x:v>1217</x:v>
      </x:c>
      <x:c r="C206" t="s">
        <x:v>331</x:v>
      </x:c>
      <x:c r="D206">
        <x:v>8483494</x:v>
      </x:c>
      <x:c r="E206" t="s">
        <x:v>267</x:v>
      </x:c>
      <x:c r="J206" t="s">
        <x:v>2474</x:v>
      </x:c>
      <x:c r="K206">
        <x:v>72</x:v>
      </x:c>
      <x:c r="L206">
        <x:v>41</x:v>
      </x:c>
      <x:c r="M206">
        <x:v>85</x:v>
      </x:c>
      <x:c r="N206">
        <x:v>35</x:v>
      </x:c>
      <x:c r="O206">
        <x:v>76</x:v>
      </x:c>
      <x:c r="P206">
        <x:v>88</x:v>
      </x:c>
      <x:c r="Q206">
        <x:v>90</x:v>
      </x:c>
      <x:c r="R206">
        <x:v>34</x:v>
      </x:c>
      <x:c r="S206">
        <x:v>30</x:v>
      </x:c>
      <x:c r="T206" s="63" t="n">
        <x:f>MAX(30,MIN(AB206-VLOOKUP(AE206,'AHL_PA_SC_BALANCE'!$A$8:$E$18,2,FALSE),VLOOKUP(AE206,'AHL_PA_SC_BALANCE'!$A$8:$E$18,4,FALSE)))</x:f>
        <x:v>47</x:v>
      </x:c>
      <x:c r="U206" s="63" t="n">
        <x:f>MAX(30,MIN(AC206-VLOOKUP(AE206,'AHL_PA_SC_BALANCE'!$A$8:$E$18,3,FALSE),VLOOKUP(AE206,'AHL_PA_SC_BALANCE'!$A$8:$E$18,5,FALSE)))</x:f>
        <x:v>43</x:v>
      </x:c>
      <x:c r="V206">
        <x:v>67</x:v>
      </x:c>
      <x:c r="W206">
        <x:v>51</x:v>
      </x:c>
      <x:c r="X206">
        <x:v>65</x:v>
      </x:c>
      <x:c r="Y206">
        <x:v>65</x:v>
      </x:c>
      <x:c r="Z206">
        <x:v>51</x:v>
      </x:c>
      <x:c r="AA206">
        <x:v>53</x:v>
      </x:c>
      <x:c r="AB206" s="57" t="n">
        <x:v>47</x:v>
      </x:c>
      <x:c r="AC206" s="57" t="n">
        <x:v>43</x:v>
      </x:c>
      <x:c r="AD206" s="59"/>
      <x:c r="AE206" s="61" t="str">
        <x:f>IF(N(F206)&gt;=10,"NHL_LATEST_10",IF(AND(N(F206)&gt;0,N(G206)&gt;0),"NHL_BOTH_SEASONS",IF(N(G206)&gt;=10,"NHL_PREVIOUS_10",IF(AND(ISNUMBER(AD206),AD206=0,SUM(F206:G206)=0),"FARM_CAREER_0",IF(COUNT(F206:G206)&lt;2,"UNKNOWN_GP",IF(AND(F206=0,G206=0),IF(AD206&gt;=10,"FARM_LEGACY_10",IF(AND(ISNUMBER(AD206),AD206&gt;0),"FARM_CAREER_1_9","FARM_0_0")),IF(F206&gt;=1,IF(F206&lt;=3,"FARM_RECENT_1_3","FARM_RECENT_4_9"),"FARM_PREV_1_9_ONLY")))))))</x:f>
        <x:v>UNKNOWN_GP</x:v>
      </x:c>
      <x:c r="AF206" s="57" t="n">
        <x:f>AB206-T206</x:f>
        <x:v>0</x:v>
      </x:c>
      <x:c r="AG206" s="57" t="n">
        <x:f>AC206-U206</x:f>
        <x:v>0</x:v>
      </x:c>
    </x:row>
    <x:row r="207">
      <x:c r="A207" t="s">
        <x:v>1218</x:v>
      </x:c>
      <x:c r="C207" t="s">
        <x:v>319</x:v>
      </x:c>
      <x:c r="D207">
        <x:v>8483676</x:v>
      </x:c>
      <x:c r="E207" t="s">
        <x:v>267</x:v>
      </x:c>
      <x:c r="J207" t="s">
        <x:v>2474</x:v>
      </x:c>
      <x:c r="K207">
        <x:v>63</x:v>
      </x:c>
      <x:c r="L207">
        <x:v>41</x:v>
      </x:c>
      <x:c r="M207">
        <x:v>94</x:v>
      </x:c>
      <x:c r="N207">
        <x:v>48</x:v>
      </x:c>
      <x:c r="O207">
        <x:v>85</x:v>
      </x:c>
      <x:c r="P207">
        <x:v>80</x:v>
      </x:c>
      <x:c r="Q207">
        <x:v>82</x:v>
      </x:c>
      <x:c r="R207">
        <x:v>51</x:v>
      </x:c>
      <x:c r="S207">
        <x:v>76</x:v>
      </x:c>
      <x:c r="T207" s="63" t="n">
        <x:f>MAX(30,MIN(AB207-VLOOKUP(AE207,'AHL_PA_SC_BALANCE'!$A$8:$E$18,2,FALSE),VLOOKUP(AE207,'AHL_PA_SC_BALANCE'!$A$8:$E$18,4,FALSE)))</x:f>
        <x:v>51</x:v>
      </x:c>
      <x:c r="U207" s="63" t="n">
        <x:f>MAX(30,MIN(AC207-VLOOKUP(AE207,'AHL_PA_SC_BALANCE'!$A$8:$E$18,3,FALSE),VLOOKUP(AE207,'AHL_PA_SC_BALANCE'!$A$8:$E$18,5,FALSE)))</x:f>
        <x:v>51</x:v>
      </x:c>
      <x:c r="V207">
        <x:v>58</x:v>
      </x:c>
      <x:c r="W207">
        <x:v>56</x:v>
      </x:c>
      <x:c r="X207">
        <x:v>67</x:v>
      </x:c>
      <x:c r="Y207">
        <x:v>67</x:v>
      </x:c>
      <x:c r="Z207">
        <x:v>51</x:v>
      </x:c>
      <x:c r="AA207">
        <x:v>53</x:v>
      </x:c>
      <x:c r="AB207" s="57" t="n">
        <x:v>51</x:v>
      </x:c>
      <x:c r="AC207" s="57" t="n">
        <x:v>51</x:v>
      </x:c>
      <x:c r="AD207" s="59"/>
      <x:c r="AE207" s="61" t="str">
        <x:f>IF(N(F207)&gt;=10,"NHL_LATEST_10",IF(AND(N(F207)&gt;0,N(G207)&gt;0),"NHL_BOTH_SEASONS",IF(N(G207)&gt;=10,"NHL_PREVIOUS_10",IF(AND(ISNUMBER(AD207),AD207=0,SUM(F207:G207)=0),"FARM_CAREER_0",IF(COUNT(F207:G207)&lt;2,"UNKNOWN_GP",IF(AND(F207=0,G207=0),IF(AD207&gt;=10,"FARM_LEGACY_10",IF(AND(ISNUMBER(AD207),AD207&gt;0),"FARM_CAREER_1_9","FARM_0_0")),IF(F207&gt;=1,IF(F207&lt;=3,"FARM_RECENT_1_3","FARM_RECENT_4_9"),"FARM_PREV_1_9_ONLY")))))))</x:f>
        <x:v>UNKNOWN_GP</x:v>
      </x:c>
      <x:c r="AF207" s="57" t="n">
        <x:f>AB207-T207</x:f>
        <x:v>0</x:v>
      </x:c>
      <x:c r="AG207" s="57" t="n">
        <x:f>AC207-U207</x:f>
        <x:v>0</x:v>
      </x:c>
    </x:row>
    <x:row r="208">
      <x:c r="A208" t="s">
        <x:v>1219</x:v>
      </x:c>
      <x:c r="B208" t="s">
        <x:v>584</x:v>
      </x:c>
      <x:c r="C208" t="s">
        <x:v>358</x:v>
      </x:c>
      <x:c r="D208">
        <x:v>8475310</x:v>
      </x:c>
      <x:c r="E208" t="s">
        <x:v>267</x:v>
      </x:c>
      <x:c r="J208" t="s">
        <x:v>2476</x:v>
      </x:c>
      <x:c r="K208">
        <x:v>77</x:v>
      </x:c>
      <x:c r="L208">
        <x:v>43</x:v>
      </x:c>
      <x:c r="M208">
        <x:v>78</x:v>
      </x:c>
      <x:c r="N208">
        <x:v>42</x:v>
      </x:c>
      <x:c r="O208">
        <x:v>83</x:v>
      </x:c>
      <x:c r="P208">
        <x:v>92</x:v>
      </x:c>
      <x:c r="Q208">
        <x:v>96</x:v>
      </x:c>
      <x:c r="R208">
        <x:v>43</x:v>
      </x:c>
      <x:c r="S208">
        <x:v>53</x:v>
      </x:c>
      <x:c r="T208" s="63" t="n">
        <x:f>MAX(30,MIN(AB208-VLOOKUP(AE208,'AHL_PA_SC_BALANCE'!$A$8:$E$18,2,FALSE),VLOOKUP(AE208,'AHL_PA_SC_BALANCE'!$A$8:$E$18,4,FALSE)))</x:f>
        <x:v>43</x:v>
      </x:c>
      <x:c r="U208" s="63" t="n">
        <x:f>MAX(30,MIN(AC208-VLOOKUP(AE208,'AHL_PA_SC_BALANCE'!$A$8:$E$18,3,FALSE),VLOOKUP(AE208,'AHL_PA_SC_BALANCE'!$A$8:$E$18,5,FALSE)))</x:f>
        <x:v>43</x:v>
      </x:c>
      <x:c r="V208">
        <x:v>64</x:v>
      </x:c>
      <x:c r="W208">
        <x:v>63</x:v>
      </x:c>
      <x:c r="X208">
        <x:v>82</x:v>
      </x:c>
      <x:c r="Y208">
        <x:v>76</x:v>
      </x:c>
      <x:c r="Z208">
        <x:v>51</x:v>
      </x:c>
      <x:c r="AA208">
        <x:v>53</x:v>
      </x:c>
      <x:c r="AB208" s="57" t="n">
        <x:v>43</x:v>
      </x:c>
      <x:c r="AC208" s="57" t="n">
        <x:v>43</x:v>
      </x:c>
      <x:c r="AD208" s="59"/>
      <x:c r="AE208" s="61" t="str">
        <x:f>IF(N(F208)&gt;=10,"NHL_LATEST_10",IF(AND(N(F208)&gt;0,N(G208)&gt;0),"NHL_BOTH_SEASONS",IF(N(G208)&gt;=10,"NHL_PREVIOUS_10",IF(AND(ISNUMBER(AD208),AD208=0,SUM(F208:G208)=0),"FARM_CAREER_0",IF(COUNT(F208:G208)&lt;2,"UNKNOWN_GP",IF(AND(F208=0,G208=0),IF(AD208&gt;=10,"FARM_LEGACY_10",IF(AND(ISNUMBER(AD208),AD208&gt;0),"FARM_CAREER_1_9","FARM_0_0")),IF(F208&gt;=1,IF(F208&lt;=3,"FARM_RECENT_1_3","FARM_RECENT_4_9"),"FARM_PREV_1_9_ONLY")))))))</x:f>
        <x:v>UNKNOWN_GP</x:v>
      </x:c>
      <x:c r="AF208" s="57" t="n">
        <x:f>AB208-T208</x:f>
        <x:v>0</x:v>
      </x:c>
      <x:c r="AG208" s="57" t="n">
        <x:f>AC208-U208</x:f>
        <x:v>0</x:v>
      </x:c>
    </x:row>
    <x:row r="209">
      <x:c r="A209" t="s">
        <x:v>1220</x:v>
      </x:c>
      <x:c r="C209" t="s">
        <x:v>358</x:v>
      </x:c>
      <x:c r="D209">
        <x:v>8479368</x:v>
      </x:c>
      <x:c r="E209" t="s">
        <x:v>267</x:v>
      </x:c>
      <x:c r="J209" t="s">
        <x:v>2474</x:v>
      </x:c>
      <x:c r="K209">
        <x:v>79</x:v>
      </x:c>
      <x:c r="L209">
        <x:v>72</x:v>
      </x:c>
      <x:c r="M209">
        <x:v>89</x:v>
      </x:c>
      <x:c r="N209">
        <x:v>47</x:v>
      </x:c>
      <x:c r="O209">
        <x:v>88</x:v>
      </x:c>
      <x:c r="P209">
        <x:v>79</x:v>
      </x:c>
      <x:c r="Q209">
        <x:v>80</x:v>
      </x:c>
      <x:c r="R209">
        <x:v>47</x:v>
      </x:c>
      <x:c r="S209">
        <x:v>62</x:v>
      </x:c>
      <x:c r="T209" s="63" t="n">
        <x:f>MAX(30,MIN(AB209-VLOOKUP(AE209,'AHL_PA_SC_BALANCE'!$A$8:$E$18,2,FALSE),VLOOKUP(AE209,'AHL_PA_SC_BALANCE'!$A$8:$E$18,4,FALSE)))</x:f>
        <x:v>50</x:v>
      </x:c>
      <x:c r="U209" s="63" t="n">
        <x:f>MAX(30,MIN(AC209-VLOOKUP(AE209,'AHL_PA_SC_BALANCE'!$A$8:$E$18,3,FALSE),VLOOKUP(AE209,'AHL_PA_SC_BALANCE'!$A$8:$E$18,5,FALSE)))</x:f>
        <x:v>53</x:v>
      </x:c>
      <x:c r="V209">
        <x:v>60</x:v>
      </x:c>
      <x:c r="W209">
        <x:v>52</x:v>
      </x:c>
      <x:c r="X209">
        <x:v>73</x:v>
      </x:c>
      <x:c r="Y209">
        <x:v>68</x:v>
      </x:c>
      <x:c r="Z209">
        <x:v>51</x:v>
      </x:c>
      <x:c r="AA209">
        <x:v>53</x:v>
      </x:c>
      <x:c r="AB209" s="57" t="n">
        <x:v>50</x:v>
      </x:c>
      <x:c r="AC209" s="57" t="n">
        <x:v>53</x:v>
      </x:c>
      <x:c r="AD209" s="59"/>
      <x:c r="AE209" s="61" t="str">
        <x:f>IF(N(F209)&gt;=10,"NHL_LATEST_10",IF(AND(N(F209)&gt;0,N(G209)&gt;0),"NHL_BOTH_SEASONS",IF(N(G209)&gt;=10,"NHL_PREVIOUS_10",IF(AND(ISNUMBER(AD209),AD209=0,SUM(F209:G209)=0),"FARM_CAREER_0",IF(COUNT(F209:G209)&lt;2,"UNKNOWN_GP",IF(AND(F209=0,G209=0),IF(AD209&gt;=10,"FARM_LEGACY_10",IF(AND(ISNUMBER(AD209),AD209&gt;0),"FARM_CAREER_1_9","FARM_0_0")),IF(F209&gt;=1,IF(F209&lt;=3,"FARM_RECENT_1_3","FARM_RECENT_4_9"),"FARM_PREV_1_9_ONLY")))))))</x:f>
        <x:v>UNKNOWN_GP</x:v>
      </x:c>
      <x:c r="AF209" s="57" t="n">
        <x:f>AB209-T209</x:f>
        <x:v>0</x:v>
      </x:c>
      <x:c r="AG209" s="57" t="n">
        <x:f>AC209-U209</x:f>
        <x:v>0</x:v>
      </x:c>
    </x:row>
    <x:row r="210">
      <x:c r="A210" t="s">
        <x:v>1221</x:v>
      </x:c>
      <x:c r="C210" t="s">
        <x:v>331</x:v>
      </x:c>
      <x:c r="D210">
        <x:v>8484152</x:v>
      </x:c>
      <x:c r="E210" t="s">
        <x:v>267</x:v>
      </x:c>
      <x:c r="J210" t="s">
        <x:v>2474</x:v>
      </x:c>
      <x:c r="K210">
        <x:v>71</x:v>
      </x:c>
      <x:c r="L210">
        <x:v>38</x:v>
      </x:c>
      <x:c r="M210">
        <x:v>87</x:v>
      </x:c>
      <x:c r="N210">
        <x:v>36</x:v>
      </x:c>
      <x:c r="O210">
        <x:v>75</x:v>
      </x:c>
      <x:c r="P210">
        <x:v>91</x:v>
      </x:c>
      <x:c r="Q210">
        <x:v>95</x:v>
      </x:c>
      <x:c r="R210">
        <x:v>35</x:v>
      </x:c>
      <x:c r="S210">
        <x:v>30</x:v>
      </x:c>
      <x:c r="T210" s="63" t="n">
        <x:f>MAX(30,MIN(AB210-VLOOKUP(AE210,'AHL_PA_SC_BALANCE'!$A$8:$E$18,2,FALSE),VLOOKUP(AE210,'AHL_PA_SC_BALANCE'!$A$8:$E$18,4,FALSE)))</x:f>
        <x:v>50</x:v>
      </x:c>
      <x:c r="U210" s="63" t="n">
        <x:f>MAX(30,MIN(AC210-VLOOKUP(AE210,'AHL_PA_SC_BALANCE'!$A$8:$E$18,3,FALSE),VLOOKUP(AE210,'AHL_PA_SC_BALANCE'!$A$8:$E$18,5,FALSE)))</x:f>
        <x:v>43</x:v>
      </x:c>
      <x:c r="V210">
        <x:v>69</x:v>
      </x:c>
      <x:c r="W210">
        <x:v>52</x:v>
      </x:c>
      <x:c r="X210">
        <x:v>65</x:v>
      </x:c>
      <x:c r="Y210">
        <x:v>65</x:v>
      </x:c>
      <x:c r="Z210">
        <x:v>51</x:v>
      </x:c>
      <x:c r="AA210">
        <x:v>53</x:v>
      </x:c>
      <x:c r="AB210" s="57" t="n">
        <x:v>50</x:v>
      </x:c>
      <x:c r="AC210" s="57" t="n">
        <x:v>43</x:v>
      </x:c>
      <x:c r="AD210" s="59"/>
      <x:c r="AE210" s="61" t="str">
        <x:f>IF(N(F210)&gt;=10,"NHL_LATEST_10",IF(AND(N(F210)&gt;0,N(G210)&gt;0),"NHL_BOTH_SEASONS",IF(N(G210)&gt;=10,"NHL_PREVIOUS_10",IF(AND(ISNUMBER(AD210),AD210=0,SUM(F210:G210)=0),"FARM_CAREER_0",IF(COUNT(F210:G210)&lt;2,"UNKNOWN_GP",IF(AND(F210=0,G210=0),IF(AD210&gt;=10,"FARM_LEGACY_10",IF(AND(ISNUMBER(AD210),AD210&gt;0),"FARM_CAREER_1_9","FARM_0_0")),IF(F210&gt;=1,IF(F210&lt;=3,"FARM_RECENT_1_3","FARM_RECENT_4_9"),"FARM_PREV_1_9_ONLY")))))))</x:f>
        <x:v>UNKNOWN_GP</x:v>
      </x:c>
      <x:c r="AF210" s="57" t="n">
        <x:f>AB210-T210</x:f>
        <x:v>0</x:v>
      </x:c>
      <x:c r="AG210" s="57" t="n">
        <x:f>AC210-U210</x:f>
        <x:v>0</x:v>
      </x:c>
    </x:row>
    <x:row r="211">
      <x:c r="A211" t="s">
        <x:v>1222</x:v>
      </x:c>
      <x:c r="B211" t="s">
        <x:v>320</x:v>
      </x:c>
      <x:c r="C211" t="s">
        <x:v>331</x:v>
      </x:c>
      <x:c r="D211">
        <x:v>8477522</x:v>
      </x:c>
      <x:c r="E211" t="s">
        <x:v>267</x:v>
      </x:c>
      <x:c r="J211" t="s">
        <x:v>2476</x:v>
      </x:c>
      <x:c r="K211">
        <x:v>69</x:v>
      </x:c>
      <x:c r="L211">
        <x:v>43</x:v>
      </x:c>
      <x:c r="M211">
        <x:v>80</x:v>
      </x:c>
      <x:c r="N211">
        <x:v>34</x:v>
      </x:c>
      <x:c r="O211">
        <x:v>76</x:v>
      </x:c>
      <x:c r="P211">
        <x:v>90</x:v>
      </x:c>
      <x:c r="Q211">
        <x:v>92</x:v>
      </x:c>
      <x:c r="R211">
        <x:v>33</x:v>
      </x:c>
      <x:c r="S211">
        <x:v>30</x:v>
      </x:c>
      <x:c r="T211" s="63" t="n">
        <x:f>MAX(30,MIN(AB211-VLOOKUP(AE211,'AHL_PA_SC_BALANCE'!$A$8:$E$18,2,FALSE),VLOOKUP(AE211,'AHL_PA_SC_BALANCE'!$A$8:$E$18,4,FALSE)))</x:f>
        <x:v>46</x:v>
      </x:c>
      <x:c r="U211" s="63" t="n">
        <x:f>MAX(30,MIN(AC211-VLOOKUP(AE211,'AHL_PA_SC_BALANCE'!$A$8:$E$18,3,FALSE),VLOOKUP(AE211,'AHL_PA_SC_BALANCE'!$A$8:$E$18,5,FALSE)))</x:f>
        <x:v>40</x:v>
      </x:c>
      <x:c r="V211">
        <x:v>69</x:v>
      </x:c>
      <x:c r="W211">
        <x:v>48</x:v>
      </x:c>
      <x:c r="X211">
        <x:v>74</x:v>
      </x:c>
      <x:c r="Y211">
        <x:v>74</x:v>
      </x:c>
      <x:c r="Z211">
        <x:v>51</x:v>
      </x:c>
      <x:c r="AA211">
        <x:v>53</x:v>
      </x:c>
      <x:c r="AB211" s="57" t="n">
        <x:v>46</x:v>
      </x:c>
      <x:c r="AC211" s="57" t="n">
        <x:v>40</x:v>
      </x:c>
      <x:c r="AD211" s="59"/>
      <x:c r="AE211" s="61" t="str">
        <x:f>IF(N(F211)&gt;=10,"NHL_LATEST_10",IF(AND(N(F211)&gt;0,N(G211)&gt;0),"NHL_BOTH_SEASONS",IF(N(G211)&gt;=10,"NHL_PREVIOUS_10",IF(AND(ISNUMBER(AD211),AD211=0,SUM(F211:G211)=0),"FARM_CAREER_0",IF(COUNT(F211:G211)&lt;2,"UNKNOWN_GP",IF(AND(F211=0,G211=0),IF(AD211&gt;=10,"FARM_LEGACY_10",IF(AND(ISNUMBER(AD211),AD211&gt;0),"FARM_CAREER_1_9","FARM_0_0")),IF(F211&gt;=1,IF(F211&lt;=3,"FARM_RECENT_1_3","FARM_RECENT_4_9"),"FARM_PREV_1_9_ONLY")))))))</x:f>
        <x:v>UNKNOWN_GP</x:v>
      </x:c>
      <x:c r="AF211" s="57" t="n">
        <x:f>AB211-T211</x:f>
        <x:v>0</x:v>
      </x:c>
      <x:c r="AG211" s="57" t="n">
        <x:f>AC211-U211</x:f>
        <x:v>0</x:v>
      </x:c>
    </x:row>
    <x:row r="212">
      <x:c r="A212" t="s">
        <x:v>1223</x:v>
      </x:c>
      <x:c r="C212" t="s">
        <x:v>331</x:v>
      </x:c>
      <x:c r="D212">
        <x:v>8483470</x:v>
      </x:c>
      <x:c r="E212" t="s">
        <x:v>267</x:v>
      </x:c>
      <x:c r="J212" t="s">
        <x:v>2474</x:v>
      </x:c>
      <x:c r="K212">
        <x:v>71</x:v>
      </x:c>
      <x:c r="L212">
        <x:v>36</x:v>
      </x:c>
      <x:c r="M212">
        <x:v>89</x:v>
      </x:c>
      <x:c r="N212">
        <x:v>36</x:v>
      </x:c>
      <x:c r="O212">
        <x:v>76</x:v>
      </x:c>
      <x:c r="P212">
        <x:v>82</x:v>
      </x:c>
      <x:c r="Q212">
        <x:v>85</x:v>
      </x:c>
      <x:c r="R212">
        <x:v>37</x:v>
      </x:c>
      <x:c r="S212">
        <x:v>30</x:v>
      </x:c>
      <x:c r="T212" s="63" t="n">
        <x:f>MAX(30,MIN(AB212-VLOOKUP(AE212,'AHL_PA_SC_BALANCE'!$A$8:$E$18,2,FALSE),VLOOKUP(AE212,'AHL_PA_SC_BALANCE'!$A$8:$E$18,4,FALSE)))</x:f>
        <x:v>47</x:v>
      </x:c>
      <x:c r="U212" s="63" t="n">
        <x:f>MAX(30,MIN(AC212-VLOOKUP(AE212,'AHL_PA_SC_BALANCE'!$A$8:$E$18,3,FALSE),VLOOKUP(AE212,'AHL_PA_SC_BALANCE'!$A$8:$E$18,5,FALSE)))</x:f>
        <x:v>43</x:v>
      </x:c>
      <x:c r="V212">
        <x:v>68</x:v>
      </x:c>
      <x:c r="W212">
        <x:v>51</x:v>
      </x:c>
      <x:c r="X212">
        <x:v>66</x:v>
      </x:c>
      <x:c r="Y212">
        <x:v>67</x:v>
      </x:c>
      <x:c r="Z212">
        <x:v>51</x:v>
      </x:c>
      <x:c r="AA212">
        <x:v>53</x:v>
      </x:c>
      <x:c r="AB212" s="57" t="n">
        <x:v>47</x:v>
      </x:c>
      <x:c r="AC212" s="57" t="n">
        <x:v>43</x:v>
      </x:c>
      <x:c r="AD212" s="59"/>
      <x:c r="AE212" s="61" t="str">
        <x:f>IF(N(F212)&gt;=10,"NHL_LATEST_10",IF(AND(N(F212)&gt;0,N(G212)&gt;0),"NHL_BOTH_SEASONS",IF(N(G212)&gt;=10,"NHL_PREVIOUS_10",IF(AND(ISNUMBER(AD212),AD212=0,SUM(F212:G212)=0),"FARM_CAREER_0",IF(COUNT(F212:G212)&lt;2,"UNKNOWN_GP",IF(AND(F212=0,G212=0),IF(AD212&gt;=10,"FARM_LEGACY_10",IF(AND(ISNUMBER(AD212),AD212&gt;0),"FARM_CAREER_1_9","FARM_0_0")),IF(F212&gt;=1,IF(F212&lt;=3,"FARM_RECENT_1_3","FARM_RECENT_4_9"),"FARM_PREV_1_9_ONLY")))))))</x:f>
        <x:v>UNKNOWN_GP</x:v>
      </x:c>
      <x:c r="AF212" s="57" t="n">
        <x:f>AB212-T212</x:f>
        <x:v>0</x:v>
      </x:c>
      <x:c r="AG212" s="57" t="n">
        <x:f>AC212-U212</x:f>
        <x:v>0</x:v>
      </x:c>
    </x:row>
    <x:row r="213">
      <x:c r="A213" t="s">
        <x:v>1224</x:v>
      </x:c>
      <x:c r="C213" t="s">
        <x:v>331</x:v>
      </x:c>
      <x:c r="D213">
        <x:v>8482251</x:v>
      </x:c>
      <x:c r="E213" t="s">
        <x:v>267</x:v>
      </x:c>
      <x:c r="J213" t="s">
        <x:v>2474</x:v>
      </x:c>
      <x:c r="K213">
        <x:v>74</x:v>
      </x:c>
      <x:c r="L213">
        <x:v>34</x:v>
      </x:c>
      <x:c r="M213">
        <x:v>78</x:v>
      </x:c>
      <x:c r="N213">
        <x:v>31</x:v>
      </x:c>
      <x:c r="O213">
        <x:v>82</x:v>
      </x:c>
      <x:c r="P213">
        <x:v>81</x:v>
      </x:c>
      <x:c r="Q213">
        <x:v>84</x:v>
      </x:c>
      <x:c r="R213">
        <x:v>32</x:v>
      </x:c>
      <x:c r="S213">
        <x:v>30</x:v>
      </x:c>
      <x:c r="T213" s="63" t="n">
        <x:f>MAX(30,MIN(AB213-VLOOKUP(AE213,'AHL_PA_SC_BALANCE'!$A$8:$E$18,2,FALSE),VLOOKUP(AE213,'AHL_PA_SC_BALANCE'!$A$8:$E$18,4,FALSE)))</x:f>
        <x:v>40</x:v>
      </x:c>
      <x:c r="U213" s="63" t="n">
        <x:f>MAX(30,MIN(AC213-VLOOKUP(AE213,'AHL_PA_SC_BALANCE'!$A$8:$E$18,3,FALSE),VLOOKUP(AE213,'AHL_PA_SC_BALANCE'!$A$8:$E$18,5,FALSE)))</x:f>
        <x:v>39</x:v>
      </x:c>
      <x:c r="V213">
        <x:v>68</x:v>
      </x:c>
      <x:c r="W213">
        <x:v>45</x:v>
      </x:c>
      <x:c r="X213">
        <x:v>71</x:v>
      </x:c>
      <x:c r="Y213">
        <x:v>71</x:v>
      </x:c>
      <x:c r="Z213">
        <x:v>51</x:v>
      </x:c>
      <x:c r="AA213">
        <x:v>53</x:v>
      </x:c>
      <x:c r="AB213" s="57" t="n">
        <x:v>40</x:v>
      </x:c>
      <x:c r="AC213" s="57" t="n">
        <x:v>39</x:v>
      </x:c>
      <x:c r="AD213" s="59"/>
      <x:c r="AE213" s="61" t="str">
        <x:f>IF(N(F213)&gt;=10,"NHL_LATEST_10",IF(AND(N(F213)&gt;0,N(G213)&gt;0),"NHL_BOTH_SEASONS",IF(N(G213)&gt;=10,"NHL_PREVIOUS_10",IF(AND(ISNUMBER(AD213),AD213=0,SUM(F213:G213)=0),"FARM_CAREER_0",IF(COUNT(F213:G213)&lt;2,"UNKNOWN_GP",IF(AND(F213=0,G213=0),IF(AD213&gt;=10,"FARM_LEGACY_10",IF(AND(ISNUMBER(AD213),AD213&gt;0),"FARM_CAREER_1_9","FARM_0_0")),IF(F213&gt;=1,IF(F213&lt;=3,"FARM_RECENT_1_3","FARM_RECENT_4_9"),"FARM_PREV_1_9_ONLY")))))))</x:f>
        <x:v>UNKNOWN_GP</x:v>
      </x:c>
      <x:c r="AF213" s="57" t="n">
        <x:f>AB213-T213</x:f>
        <x:v>0</x:v>
      </x:c>
      <x:c r="AG213" s="57" t="n">
        <x:f>AC213-U213</x:f>
        <x:v>0</x:v>
      </x:c>
    </x:row>
    <x:row r="214">
      <x:c r="A214" t="s">
        <x:v>1225</x:v>
      </x:c>
      <x:c r="C214" t="s">
        <x:v>331</x:v>
      </x:c>
      <x:c r="E214" t="s">
        <x:v>267</x:v>
      </x:c>
      <x:c r="J214" t="s">
        <x:v>2474</x:v>
      </x:c>
      <x:c r="K214">
        <x:v>81</x:v>
      </x:c>
      <x:c r="L214">
        <x:v>36</x:v>
      </x:c>
      <x:c r="M214">
        <x:v>82</x:v>
      </x:c>
      <x:c r="N214">
        <x:v>35</x:v>
      </x:c>
      <x:c r="O214">
        <x:v>78</x:v>
      </x:c>
      <x:c r="P214">
        <x:v>81</x:v>
      </x:c>
      <x:c r="Q214">
        <x:v>81</x:v>
      </x:c>
      <x:c r="R214">
        <x:v>36</x:v>
      </x:c>
      <x:c r="S214">
        <x:v>30</x:v>
      </x:c>
      <x:c r="T214" s="63" t="n">
        <x:f>MAX(30,MIN(AB214-VLOOKUP(AE214,'AHL_PA_SC_BALANCE'!$A$8:$E$18,2,FALSE),VLOOKUP(AE214,'AHL_PA_SC_BALANCE'!$A$8:$E$18,4,FALSE)))</x:f>
        <x:v>47</x:v>
      </x:c>
      <x:c r="U214" s="63" t="n">
        <x:f>MAX(30,MIN(AC214-VLOOKUP(AE214,'AHL_PA_SC_BALANCE'!$A$8:$E$18,3,FALSE),VLOOKUP(AE214,'AHL_PA_SC_BALANCE'!$A$8:$E$18,5,FALSE)))</x:f>
        <x:v>40</x:v>
      </x:c>
      <x:c r="V214">
        <x:v>65</x:v>
      </x:c>
      <x:c r="W214">
        <x:v>49</x:v>
      </x:c>
      <x:c r="X214">
        <x:v>65</x:v>
      </x:c>
      <x:c r="Y214">
        <x:v>65</x:v>
      </x:c>
      <x:c r="Z214">
        <x:v>51</x:v>
      </x:c>
      <x:c r="AA214">
        <x:v>53</x:v>
      </x:c>
      <x:c r="AB214" s="57" t="n">
        <x:v>47</x:v>
      </x:c>
      <x:c r="AC214" s="57" t="n">
        <x:v>40</x:v>
      </x:c>
      <x:c r="AD214" s="59"/>
      <x:c r="AE214" s="61" t="str">
        <x:f>IF(N(F214)&gt;=10,"NHL_LATEST_10",IF(AND(N(F214)&gt;0,N(G214)&gt;0),"NHL_BOTH_SEASONS",IF(N(G214)&gt;=10,"NHL_PREVIOUS_10",IF(AND(ISNUMBER(AD214),AD214=0,SUM(F214:G214)=0),"FARM_CAREER_0",IF(COUNT(F214:G214)&lt;2,"UNKNOWN_GP",IF(AND(F214=0,G214=0),IF(AD214&gt;=10,"FARM_LEGACY_10",IF(AND(ISNUMBER(AD214),AD214&gt;0),"FARM_CAREER_1_9","FARM_0_0")),IF(F214&gt;=1,IF(F214&lt;=3,"FARM_RECENT_1_3","FARM_RECENT_4_9"),"FARM_PREV_1_9_ONLY")))))))</x:f>
        <x:v>UNKNOWN_GP</x:v>
      </x:c>
      <x:c r="AF214" s="57" t="n">
        <x:f>AB214-T214</x:f>
        <x:v>0</x:v>
      </x:c>
      <x:c r="AG214" s="57" t="n">
        <x:f>AC214-U214</x:f>
        <x:v>0</x:v>
      </x:c>
    </x:row>
    <x:row r="215">
      <x:c r="A215" t="s">
        <x:v>1226</x:v>
      </x:c>
      <x:c r="C215" t="s">
        <x:v>319</x:v>
      </x:c>
      <x:c r="D215">
        <x:v>8478424</x:v>
      </x:c>
      <x:c r="E215" t="s">
        <x:v>267</x:v>
      </x:c>
      <x:c r="J215" t="s">
        <x:v>2474</x:v>
      </x:c>
      <x:c r="K215">
        <x:v>79</x:v>
      </x:c>
      <x:c r="L215">
        <x:v>76</x:v>
      </x:c>
      <x:c r="M215">
        <x:v>86</x:v>
      </x:c>
      <x:c r="N215">
        <x:v>48</x:v>
      </x:c>
      <x:c r="O215">
        <x:v>79</x:v>
      </x:c>
      <x:c r="P215">
        <x:v>81</x:v>
      </x:c>
      <x:c r="Q215">
        <x:v>75</x:v>
      </x:c>
      <x:c r="R215">
        <x:v>47</x:v>
      </x:c>
      <x:c r="S215">
        <x:v>82</x:v>
      </x:c>
      <x:c r="T215" s="63" t="n">
        <x:f>MAX(30,MIN(AB215-VLOOKUP(AE215,'AHL_PA_SC_BALANCE'!$A$8:$E$18,2,FALSE),VLOOKUP(AE215,'AHL_PA_SC_BALANCE'!$A$8:$E$18,4,FALSE)))</x:f>
        <x:v>50</x:v>
      </x:c>
      <x:c r="U215" s="63" t="n">
        <x:f>MAX(30,MIN(AC215-VLOOKUP(AE215,'AHL_PA_SC_BALANCE'!$A$8:$E$18,3,FALSE),VLOOKUP(AE215,'AHL_PA_SC_BALANCE'!$A$8:$E$18,5,FALSE)))</x:f>
        <x:v>50</x:v>
      </x:c>
      <x:c r="V215">
        <x:v>64</x:v>
      </x:c>
      <x:c r="W215">
        <x:v>63</x:v>
      </x:c>
      <x:c r="X215">
        <x:v>75</x:v>
      </x:c>
      <x:c r="Y215">
        <x:v>71</x:v>
      </x:c>
      <x:c r="Z215">
        <x:v>51</x:v>
      </x:c>
      <x:c r="AA215">
        <x:v>53</x:v>
      </x:c>
      <x:c r="AB215" s="57" t="n">
        <x:v>50</x:v>
      </x:c>
      <x:c r="AC215" s="57" t="n">
        <x:v>50</x:v>
      </x:c>
      <x:c r="AD215" s="59"/>
      <x:c r="AE215" s="61" t="str">
        <x:f>IF(N(F215)&gt;=10,"NHL_LATEST_10",IF(AND(N(F215)&gt;0,N(G215)&gt;0),"NHL_BOTH_SEASONS",IF(N(G215)&gt;=10,"NHL_PREVIOUS_10",IF(AND(ISNUMBER(AD215),AD215=0,SUM(F215:G215)=0),"FARM_CAREER_0",IF(COUNT(F215:G215)&lt;2,"UNKNOWN_GP",IF(AND(F215=0,G215=0),IF(AD215&gt;=10,"FARM_LEGACY_10",IF(AND(ISNUMBER(AD215),AD215&gt;0),"FARM_CAREER_1_9","FARM_0_0")),IF(F215&gt;=1,IF(F215&lt;=3,"FARM_RECENT_1_3","FARM_RECENT_4_9"),"FARM_PREV_1_9_ONLY")))))))</x:f>
        <x:v>UNKNOWN_GP</x:v>
      </x:c>
      <x:c r="AF215" s="57" t="n">
        <x:f>AB215-T215</x:f>
        <x:v>0</x:v>
      </x:c>
      <x:c r="AG215" s="57" t="n">
        <x:f>AC215-U215</x:f>
        <x:v>0</x:v>
      </x:c>
    </x:row>
    <x:row r="216">
      <x:c r="A216" t="s">
        <x:v>1227</x:v>
      </x:c>
      <x:c r="C216" t="s">
        <x:v>331</x:v>
      </x:c>
      <x:c r="D216">
        <x:v>8483467</x:v>
      </x:c>
      <x:c r="E216" t="s">
        <x:v>267</x:v>
      </x:c>
      <x:c r="J216" t="s">
        <x:v>2474</x:v>
      </x:c>
      <x:c r="K216">
        <x:v>79</x:v>
      </x:c>
      <x:c r="L216">
        <x:v>34</x:v>
      </x:c>
      <x:c r="M216">
        <x:v>92</x:v>
      </x:c>
      <x:c r="N216">
        <x:v>35</x:v>
      </x:c>
      <x:c r="O216">
        <x:v>78</x:v>
      </x:c>
      <x:c r="P216">
        <x:v>83</x:v>
      </x:c>
      <x:c r="Q216">
        <x:v>84</x:v>
      </x:c>
      <x:c r="R216">
        <x:v>36</x:v>
      </x:c>
      <x:c r="S216">
        <x:v>30</x:v>
      </x:c>
      <x:c r="T216" s="63" t="n">
        <x:f>MAX(30,MIN(AB216-VLOOKUP(AE216,'AHL_PA_SC_BALANCE'!$A$8:$E$18,2,FALSE),VLOOKUP(AE216,'AHL_PA_SC_BALANCE'!$A$8:$E$18,4,FALSE)))</x:f>
        <x:v>47</x:v>
      </x:c>
      <x:c r="U216" s="63" t="n">
        <x:f>MAX(30,MIN(AC216-VLOOKUP(AE216,'AHL_PA_SC_BALANCE'!$A$8:$E$18,3,FALSE),VLOOKUP(AE216,'AHL_PA_SC_BALANCE'!$A$8:$E$18,5,FALSE)))</x:f>
        <x:v>40</x:v>
      </x:c>
      <x:c r="V216">
        <x:v>64</x:v>
      </x:c>
      <x:c r="W216">
        <x:v>49</x:v>
      </x:c>
      <x:c r="X216">
        <x:v>65</x:v>
      </x:c>
      <x:c r="Y216">
        <x:v>66</x:v>
      </x:c>
      <x:c r="Z216">
        <x:v>51</x:v>
      </x:c>
      <x:c r="AA216">
        <x:v>53</x:v>
      </x:c>
      <x:c r="AB216" s="57" t="n">
        <x:v>47</x:v>
      </x:c>
      <x:c r="AC216" s="57" t="n">
        <x:v>40</x:v>
      </x:c>
      <x:c r="AD216" s="59"/>
      <x:c r="AE216" s="61" t="str">
        <x:f>IF(N(F216)&gt;=10,"NHL_LATEST_10",IF(AND(N(F216)&gt;0,N(G216)&gt;0),"NHL_BOTH_SEASONS",IF(N(G216)&gt;=10,"NHL_PREVIOUS_10",IF(AND(ISNUMBER(AD216),AD216=0,SUM(F216:G216)=0),"FARM_CAREER_0",IF(COUNT(F216:G216)&lt;2,"UNKNOWN_GP",IF(AND(F216=0,G216=0),IF(AD216&gt;=10,"FARM_LEGACY_10",IF(AND(ISNUMBER(AD216),AD216&gt;0),"FARM_CAREER_1_9","FARM_0_0")),IF(F216&gt;=1,IF(F216&lt;=3,"FARM_RECENT_1_3","FARM_RECENT_4_9"),"FARM_PREV_1_9_ONLY")))))))</x:f>
        <x:v>UNKNOWN_GP</x:v>
      </x:c>
      <x:c r="AF216" s="57" t="n">
        <x:f>AB216-T216</x:f>
        <x:v>0</x:v>
      </x:c>
      <x:c r="AG216" s="57" t="n">
        <x:f>AC216-U216</x:f>
        <x:v>0</x:v>
      </x:c>
    </x:row>
    <x:row r="217">
      <x:c r="A217" t="s">
        <x:v>1228</x:v>
      </x:c>
      <x:c r="C217" t="s">
        <x:v>329</x:v>
      </x:c>
      <x:c r="D217">
        <x:v>8483487</x:v>
      </x:c>
      <x:c r="E217" t="s">
        <x:v>267</x:v>
      </x:c>
      <x:c r="J217" t="s">
        <x:v>2474</x:v>
      </x:c>
      <x:c r="K217">
        <x:v>64</x:v>
      </x:c>
      <x:c r="L217">
        <x:v>37</x:v>
      </x:c>
      <x:c r="M217">
        <x:v>91</x:v>
      </x:c>
      <x:c r="N217">
        <x:v>51</x:v>
      </x:c>
      <x:c r="O217">
        <x:v>79</x:v>
      </x:c>
      <x:c r="P217">
        <x:v>83</x:v>
      </x:c>
      <x:c r="Q217">
        <x:v>80</x:v>
      </x:c>
      <x:c r="R217">
        <x:v>51</x:v>
      </x:c>
      <x:c r="S217">
        <x:v>72</x:v>
      </x:c>
      <x:c r="T217" s="63" t="n">
        <x:f>MAX(30,MIN(AB217-VLOOKUP(AE217,'AHL_PA_SC_BALANCE'!$A$8:$E$18,2,FALSE),VLOOKUP(AE217,'AHL_PA_SC_BALANCE'!$A$8:$E$18,4,FALSE)))</x:f>
        <x:v>49</x:v>
      </x:c>
      <x:c r="U217" s="63" t="n">
        <x:f>MAX(30,MIN(AC217-VLOOKUP(AE217,'AHL_PA_SC_BALANCE'!$A$8:$E$18,3,FALSE),VLOOKUP(AE217,'AHL_PA_SC_BALANCE'!$A$8:$E$18,5,FALSE)))</x:f>
        <x:v>51</x:v>
      </x:c>
      <x:c r="V217">
        <x:v>60</x:v>
      </x:c>
      <x:c r="W217">
        <x:v>56</x:v>
      </x:c>
      <x:c r="X217">
        <x:v>65</x:v>
      </x:c>
      <x:c r="Y217">
        <x:v>66</x:v>
      </x:c>
      <x:c r="Z217">
        <x:v>51</x:v>
      </x:c>
      <x:c r="AA217">
        <x:v>53</x:v>
      </x:c>
      <x:c r="AB217" s="57" t="n">
        <x:v>49</x:v>
      </x:c>
      <x:c r="AC217" s="57" t="n">
        <x:v>51</x:v>
      </x:c>
      <x:c r="AD217" s="59"/>
      <x:c r="AE217" s="61" t="str">
        <x:f>IF(N(F217)&gt;=10,"NHL_LATEST_10",IF(AND(N(F217)&gt;0,N(G217)&gt;0),"NHL_BOTH_SEASONS",IF(N(G217)&gt;=10,"NHL_PREVIOUS_10",IF(AND(ISNUMBER(AD217),AD217=0,SUM(F217:G217)=0),"FARM_CAREER_0",IF(COUNT(F217:G217)&lt;2,"UNKNOWN_GP",IF(AND(F217=0,G217=0),IF(AD217&gt;=10,"FARM_LEGACY_10",IF(AND(ISNUMBER(AD217),AD217&gt;0),"FARM_CAREER_1_9","FARM_0_0")),IF(F217&gt;=1,IF(F217&lt;=3,"FARM_RECENT_1_3","FARM_RECENT_4_9"),"FARM_PREV_1_9_ONLY")))))))</x:f>
        <x:v>UNKNOWN_GP</x:v>
      </x:c>
      <x:c r="AF217" s="57" t="n">
        <x:f>AB217-T217</x:f>
        <x:v>0</x:v>
      </x:c>
      <x:c r="AG217" s="57" t="n">
        <x:f>AC217-U217</x:f>
        <x:v>0</x:v>
      </x:c>
    </x:row>
    <x:row r="218">
      <x:c r="A218" t="s">
        <x:v>1229</x:v>
      </x:c>
      <x:c r="B218" t="s">
        <x:v>584</x:v>
      </x:c>
      <x:c r="C218" t="s">
        <x:v>331</x:v>
      </x:c>
      <x:c r="D218">
        <x:v>8480222</x:v>
      </x:c>
      <x:c r="E218" t="s">
        <x:v>267</x:v>
      </x:c>
      <x:c r="J218" t="s">
        <x:v>2476</x:v>
      </x:c>
      <x:c r="K218">
        <x:v>65</x:v>
      </x:c>
      <x:c r="L218">
        <x:v>35</x:v>
      </x:c>
      <x:c r="M218">
        <x:v>90</x:v>
      </x:c>
      <x:c r="N218">
        <x:v>35</x:v>
      </x:c>
      <x:c r="O218">
        <x:v>76</x:v>
      </x:c>
      <x:c r="P218">
        <x:v>85</x:v>
      </x:c>
      <x:c r="Q218">
        <x:v>76</x:v>
      </x:c>
      <x:c r="R218">
        <x:v>35</x:v>
      </x:c>
      <x:c r="S218">
        <x:v>30</x:v>
      </x:c>
      <x:c r="T218" s="63" t="n">
        <x:f>MAX(30,MIN(AB218-VLOOKUP(AE218,'AHL_PA_SC_BALANCE'!$A$8:$E$18,2,FALSE),VLOOKUP(AE218,'AHL_PA_SC_BALANCE'!$A$8:$E$18,4,FALSE)))</x:f>
        <x:v>44</x:v>
      </x:c>
      <x:c r="U218" s="63" t="n">
        <x:f>MAX(30,MIN(AC218-VLOOKUP(AE218,'AHL_PA_SC_BALANCE'!$A$8:$E$18,3,FALSE),VLOOKUP(AE218,'AHL_PA_SC_BALANCE'!$A$8:$E$18,5,FALSE)))</x:f>
        <x:v>42</x:v>
      </x:c>
      <x:c r="V218">
        <x:v>69</x:v>
      </x:c>
      <x:c r="W218">
        <x:v>45</x:v>
      </x:c>
      <x:c r="X218">
        <x:v>75</x:v>
      </x:c>
      <x:c r="Y218">
        <x:v>70</x:v>
      </x:c>
      <x:c r="Z218">
        <x:v>51</x:v>
      </x:c>
      <x:c r="AA218">
        <x:v>53</x:v>
      </x:c>
      <x:c r="AB218" s="57" t="n">
        <x:v>44</x:v>
      </x:c>
      <x:c r="AC218" s="57" t="n">
        <x:v>42</x:v>
      </x:c>
      <x:c r="AD218" s="59"/>
      <x:c r="AE218" s="61" t="str">
        <x:f>IF(N(F218)&gt;=10,"NHL_LATEST_10",IF(AND(N(F218)&gt;0,N(G218)&gt;0),"NHL_BOTH_SEASONS",IF(N(G218)&gt;=10,"NHL_PREVIOUS_10",IF(AND(ISNUMBER(AD218),AD218=0,SUM(F218:G218)=0),"FARM_CAREER_0",IF(COUNT(F218:G218)&lt;2,"UNKNOWN_GP",IF(AND(F218=0,G218=0),IF(AD218&gt;=10,"FARM_LEGACY_10",IF(AND(ISNUMBER(AD218),AD218&gt;0),"FARM_CAREER_1_9","FARM_0_0")),IF(F218&gt;=1,IF(F218&lt;=3,"FARM_RECENT_1_3","FARM_RECENT_4_9"),"FARM_PREV_1_9_ONLY")))))))</x:f>
        <x:v>UNKNOWN_GP</x:v>
      </x:c>
      <x:c r="AF218" s="57" t="n">
        <x:f>AB218-T218</x:f>
        <x:v>0</x:v>
      </x:c>
      <x:c r="AG218" s="57" t="n">
        <x:f>AC218-U218</x:f>
        <x:v>0</x:v>
      </x:c>
    </x:row>
    <x:row r="219">
      <x:c r="A219" t="s">
        <x:v>1230</x:v>
      </x:c>
      <x:c r="C219" t="s">
        <x:v>323</x:v>
      </x:c>
      <x:c r="D219">
        <x:v>8482751</x:v>
      </x:c>
      <x:c r="E219" t="s">
        <x:v>267</x:v>
      </x:c>
      <x:c r="J219" t="s">
        <x:v>2474</x:v>
      </x:c>
      <x:c r="K219">
        <x:v>67</x:v>
      </x:c>
      <x:c r="L219">
        <x:v>45</x:v>
      </x:c>
      <x:c r="M219">
        <x:v>95</x:v>
      </x:c>
      <x:c r="N219">
        <x:v>49</x:v>
      </x:c>
      <x:c r="O219">
        <x:v>76</x:v>
      </x:c>
      <x:c r="P219">
        <x:v>82</x:v>
      </x:c>
      <x:c r="Q219">
        <x:v>87</x:v>
      </x:c>
      <x:c r="R219">
        <x:v>49</x:v>
      </x:c>
      <x:c r="S219">
        <x:v>62</x:v>
      </x:c>
      <x:c r="T219" s="63" t="n">
        <x:f>MAX(30,MIN(AB219-VLOOKUP(AE219,'AHL_PA_SC_BALANCE'!$A$8:$E$18,2,FALSE),VLOOKUP(AE219,'AHL_PA_SC_BALANCE'!$A$8:$E$18,4,FALSE)))</x:f>
        <x:v>53</x:v>
      </x:c>
      <x:c r="U219" s="63" t="n">
        <x:f>MAX(30,MIN(AC219-VLOOKUP(AE219,'AHL_PA_SC_BALANCE'!$A$8:$E$18,3,FALSE),VLOOKUP(AE219,'AHL_PA_SC_BALANCE'!$A$8:$E$18,5,FALSE)))</x:f>
        <x:v>50</x:v>
      </x:c>
      <x:c r="V219">
        <x:v>67</x:v>
      </x:c>
      <x:c r="W219">
        <x:v>52</x:v>
      </x:c>
      <x:c r="X219">
        <x:v>67</x:v>
      </x:c>
      <x:c r="Y219">
        <x:v>65</x:v>
      </x:c>
      <x:c r="Z219">
        <x:v>51</x:v>
      </x:c>
      <x:c r="AA219">
        <x:v>53</x:v>
      </x:c>
      <x:c r="AB219" s="57" t="n">
        <x:v>53</x:v>
      </x:c>
      <x:c r="AC219" s="57" t="n">
        <x:v>50</x:v>
      </x:c>
      <x:c r="AD219" s="59"/>
      <x:c r="AE219" s="61" t="str">
        <x:f>IF(N(F219)&gt;=10,"NHL_LATEST_10",IF(AND(N(F219)&gt;0,N(G219)&gt;0),"NHL_BOTH_SEASONS",IF(N(G219)&gt;=10,"NHL_PREVIOUS_10",IF(AND(ISNUMBER(AD219),AD219=0,SUM(F219:G219)=0),"FARM_CAREER_0",IF(COUNT(F219:G219)&lt;2,"UNKNOWN_GP",IF(AND(F219=0,G219=0),IF(AD219&gt;=10,"FARM_LEGACY_10",IF(AND(ISNUMBER(AD219),AD219&gt;0),"FARM_CAREER_1_9","FARM_0_0")),IF(F219&gt;=1,IF(F219&lt;=3,"FARM_RECENT_1_3","FARM_RECENT_4_9"),"FARM_PREV_1_9_ONLY")))))))</x:f>
        <x:v>UNKNOWN_GP</x:v>
      </x:c>
      <x:c r="AF219" s="57" t="n">
        <x:f>AB219-T219</x:f>
        <x:v>0</x:v>
      </x:c>
      <x:c r="AG219" s="57" t="n">
        <x:f>AC219-U219</x:f>
        <x:v>0</x:v>
      </x:c>
    </x:row>
    <x:row r="220">
      <x:c r="A220" t="s">
        <x:v>1231</x:v>
      </x:c>
      <x:c r="C220" t="s">
        <x:v>331</x:v>
      </x:c>
      <x:c r="D220">
        <x:v>8481110</x:v>
      </x:c>
      <x:c r="E220" t="s">
        <x:v>267</x:v>
      </x:c>
      <x:c r="J220" t="s">
        <x:v>2474</x:v>
      </x:c>
      <x:c r="K220">
        <x:v>76</x:v>
      </x:c>
      <x:c r="L220">
        <x:v>37</x:v>
      </x:c>
      <x:c r="M220">
        <x:v>88</x:v>
      </x:c>
      <x:c r="N220">
        <x:v>34</x:v>
      </x:c>
      <x:c r="O220">
        <x:v>82</x:v>
      </x:c>
      <x:c r="P220">
        <x:v>83</x:v>
      </x:c>
      <x:c r="Q220">
        <x:v>84</x:v>
      </x:c>
      <x:c r="R220">
        <x:v>33</x:v>
      </x:c>
      <x:c r="S220">
        <x:v>30</x:v>
      </x:c>
      <x:c r="T220" s="63" t="n">
        <x:f>MAX(30,MIN(AB220-VLOOKUP(AE220,'AHL_PA_SC_BALANCE'!$A$8:$E$18,2,FALSE),VLOOKUP(AE220,'AHL_PA_SC_BALANCE'!$A$8:$E$18,4,FALSE)))</x:f>
        <x:v>42</x:v>
      </x:c>
      <x:c r="U220" s="63" t="n">
        <x:f>MAX(30,MIN(AC220-VLOOKUP(AE220,'AHL_PA_SC_BALANCE'!$A$8:$E$18,3,FALSE),VLOOKUP(AE220,'AHL_PA_SC_BALANCE'!$A$8:$E$18,5,FALSE)))</x:f>
        <x:v>40</x:v>
      </x:c>
      <x:c r="V220">
        <x:v>64</x:v>
      </x:c>
      <x:c r="W220">
        <x:v>46</x:v>
      </x:c>
      <x:c r="X220">
        <x:v>71</x:v>
      </x:c>
      <x:c r="Y220">
        <x:v>72</x:v>
      </x:c>
      <x:c r="Z220">
        <x:v>51</x:v>
      </x:c>
      <x:c r="AA220">
        <x:v>53</x:v>
      </x:c>
      <x:c r="AB220" s="57" t="n">
        <x:v>42</x:v>
      </x:c>
      <x:c r="AC220" s="57" t="n">
        <x:v>40</x:v>
      </x:c>
      <x:c r="AD220" s="59"/>
      <x:c r="AE220" s="61" t="str">
        <x:f>IF(N(F220)&gt;=10,"NHL_LATEST_10",IF(AND(N(F220)&gt;0,N(G220)&gt;0),"NHL_BOTH_SEASONS",IF(N(G220)&gt;=10,"NHL_PREVIOUS_10",IF(AND(ISNUMBER(AD220),AD220=0,SUM(F220:G220)=0),"FARM_CAREER_0",IF(COUNT(F220:G220)&lt;2,"UNKNOWN_GP",IF(AND(F220=0,G220=0),IF(AD220&gt;=10,"FARM_LEGACY_10",IF(AND(ISNUMBER(AD220),AD220&gt;0),"FARM_CAREER_1_9","FARM_0_0")),IF(F220&gt;=1,IF(F220&lt;=3,"FARM_RECENT_1_3","FARM_RECENT_4_9"),"FARM_PREV_1_9_ONLY")))))))</x:f>
        <x:v>UNKNOWN_GP</x:v>
      </x:c>
      <x:c r="AF220" s="57" t="n">
        <x:f>AB220-T220</x:f>
        <x:v>0</x:v>
      </x:c>
      <x:c r="AG220" s="57" t="n">
        <x:f>AC220-U220</x:f>
        <x:v>0</x:v>
      </x:c>
    </x:row>
    <x:row r="221">
      <x:c r="A221" t="s">
        <x:v>1232</x:v>
      </x:c>
      <x:c r="C221" t="s">
        <x:v>323</x:v>
      </x:c>
      <x:c r="D221">
        <x:v>8477887</x:v>
      </x:c>
      <x:c r="E221" t="s">
        <x:v>267</x:v>
      </x:c>
      <x:c r="J221" t="s">
        <x:v>2474</x:v>
      </x:c>
      <x:c r="K221">
        <x:v>79</x:v>
      </x:c>
      <x:c r="L221">
        <x:v>39</x:v>
      </x:c>
      <x:c r="M221">
        <x:v>81</x:v>
      </x:c>
      <x:c r="N221">
        <x:v>46</x:v>
      </x:c>
      <x:c r="O221">
        <x:v>83</x:v>
      </x:c>
      <x:c r="P221">
        <x:v>89</x:v>
      </x:c>
      <x:c r="Q221">
        <x:v>94</x:v>
      </x:c>
      <x:c r="R221">
        <x:v>47</x:v>
      </x:c>
      <x:c r="S221">
        <x:v>69</x:v>
      </x:c>
      <x:c r="T221" s="63" t="n">
        <x:f>MAX(30,MIN(AB221-VLOOKUP(AE221,'AHL_PA_SC_BALANCE'!$A$8:$E$18,2,FALSE),VLOOKUP(AE221,'AHL_PA_SC_BALANCE'!$A$8:$E$18,4,FALSE)))</x:f>
        <x:v>50</x:v>
      </x:c>
      <x:c r="U221" s="63" t="n">
        <x:f>MAX(30,MIN(AC221-VLOOKUP(AE221,'AHL_PA_SC_BALANCE'!$A$8:$E$18,3,FALSE),VLOOKUP(AE221,'AHL_PA_SC_BALANCE'!$A$8:$E$18,5,FALSE)))</x:f>
        <x:v>48</x:v>
      </x:c>
      <x:c r="V221">
        <x:v>65</x:v>
      </x:c>
      <x:c r="W221">
        <x:v>69</x:v>
      </x:c>
      <x:c r="X221">
        <x:v>82</x:v>
      </x:c>
      <x:c r="Y221">
        <x:v>74</x:v>
      </x:c>
      <x:c r="Z221">
        <x:v>51</x:v>
      </x:c>
      <x:c r="AA221">
        <x:v>53</x:v>
      </x:c>
      <x:c r="AB221" s="57" t="n">
        <x:v>50</x:v>
      </x:c>
      <x:c r="AC221" s="57" t="n">
        <x:v>48</x:v>
      </x:c>
      <x:c r="AD221" s="59"/>
      <x:c r="AE221" s="61" t="str">
        <x:f>IF(N(F221)&gt;=10,"NHL_LATEST_10",IF(AND(N(F221)&gt;0,N(G221)&gt;0),"NHL_BOTH_SEASONS",IF(N(G221)&gt;=10,"NHL_PREVIOUS_10",IF(AND(ISNUMBER(AD221),AD221=0,SUM(F221:G221)=0),"FARM_CAREER_0",IF(COUNT(F221:G221)&lt;2,"UNKNOWN_GP",IF(AND(F221=0,G221=0),IF(AD221&gt;=10,"FARM_LEGACY_10",IF(AND(ISNUMBER(AD221),AD221&gt;0),"FARM_CAREER_1_9","FARM_0_0")),IF(F221&gt;=1,IF(F221&lt;=3,"FARM_RECENT_1_3","FARM_RECENT_4_9"),"FARM_PREV_1_9_ONLY")))))))</x:f>
        <x:v>UNKNOWN_GP</x:v>
      </x:c>
      <x:c r="AF221" s="57" t="n">
        <x:f>AB221-T221</x:f>
        <x:v>0</x:v>
      </x:c>
      <x:c r="AG221" s="57" t="n">
        <x:f>AC221-U221</x:f>
        <x:v>0</x:v>
      </x:c>
    </x:row>
    <x:row r="222">
      <x:c r="A222" t="s">
        <x:v>1233</x:v>
      </x:c>
      <x:c r="C222" t="s">
        <x:v>331</x:v>
      </x:c>
      <x:c r="D222">
        <x:v>8482860</x:v>
      </x:c>
      <x:c r="E222" t="s">
        <x:v>267</x:v>
      </x:c>
      <x:c r="J222" t="s">
        <x:v>2474</x:v>
      </x:c>
      <x:c r="K222">
        <x:v>75</x:v>
      </x:c>
      <x:c r="L222">
        <x:v>38</x:v>
      </x:c>
      <x:c r="M222">
        <x:v>82</x:v>
      </x:c>
      <x:c r="N222">
        <x:v>34</x:v>
      </x:c>
      <x:c r="O222">
        <x:v>76</x:v>
      </x:c>
      <x:c r="P222">
        <x:v>81</x:v>
      </x:c>
      <x:c r="Q222">
        <x:v>84</x:v>
      </x:c>
      <x:c r="R222">
        <x:v>35</x:v>
      </x:c>
      <x:c r="S222">
        <x:v>30</x:v>
      </x:c>
      <x:c r="T222" s="63" t="n">
        <x:f>MAX(30,MIN(AB222-VLOOKUP(AE222,'AHL_PA_SC_BALANCE'!$A$8:$E$18,2,FALSE),VLOOKUP(AE222,'AHL_PA_SC_BALANCE'!$A$8:$E$18,4,FALSE)))</x:f>
        <x:v>44</x:v>
      </x:c>
      <x:c r="U222" s="63" t="n">
        <x:f>MAX(30,MIN(AC222-VLOOKUP(AE222,'AHL_PA_SC_BALANCE'!$A$8:$E$18,3,FALSE),VLOOKUP(AE222,'AHL_PA_SC_BALANCE'!$A$8:$E$18,5,FALSE)))</x:f>
        <x:v>41</x:v>
      </x:c>
      <x:c r="V222">
        <x:v>69</x:v>
      </x:c>
      <x:c r="W222">
        <x:v>47</x:v>
      </x:c>
      <x:c r="X222">
        <x:v>66</x:v>
      </x:c>
      <x:c r="Y222">
        <x:v>67</x:v>
      </x:c>
      <x:c r="Z222">
        <x:v>51</x:v>
      </x:c>
      <x:c r="AA222">
        <x:v>53</x:v>
      </x:c>
      <x:c r="AB222" s="57" t="n">
        <x:v>44</x:v>
      </x:c>
      <x:c r="AC222" s="57" t="n">
        <x:v>41</x:v>
      </x:c>
      <x:c r="AD222" s="59"/>
      <x:c r="AE222" s="61" t="str">
        <x:f>IF(N(F222)&gt;=10,"NHL_LATEST_10",IF(AND(N(F222)&gt;0,N(G222)&gt;0),"NHL_BOTH_SEASONS",IF(N(G222)&gt;=10,"NHL_PREVIOUS_10",IF(AND(ISNUMBER(AD222),AD222=0,SUM(F222:G222)=0),"FARM_CAREER_0",IF(COUNT(F222:G222)&lt;2,"UNKNOWN_GP",IF(AND(F222=0,G222=0),IF(AD222&gt;=10,"FARM_LEGACY_10",IF(AND(ISNUMBER(AD222),AD222&gt;0),"FARM_CAREER_1_9","FARM_0_0")),IF(F222&gt;=1,IF(F222&lt;=3,"FARM_RECENT_1_3","FARM_RECENT_4_9"),"FARM_PREV_1_9_ONLY")))))))</x:f>
        <x:v>UNKNOWN_GP</x:v>
      </x:c>
      <x:c r="AF222" s="57" t="n">
        <x:f>AB222-T222</x:f>
        <x:v>0</x:v>
      </x:c>
      <x:c r="AG222" s="57" t="n">
        <x:f>AC222-U222</x:f>
        <x:v>0</x:v>
      </x:c>
    </x:row>
    <x:row r="223">
      <x:c r="A223" t="s">
        <x:v>1235</x:v>
      </x:c>
      <x:c r="C223" t="s">
        <x:v>326</x:v>
      </x:c>
      <x:c r="D223">
        <x:v>8481560</x:v>
      </x:c>
      <x:c r="E223" t="s">
        <x:v>267</x:v>
      </x:c>
      <x:c r="J223" t="s">
        <x:v>2474</x:v>
      </x:c>
      <x:c r="K223">
        <x:v>63</x:v>
      </x:c>
      <x:c r="L223">
        <x:v>37</x:v>
      </x:c>
      <x:c r="M223">
        <x:v>86</x:v>
      </x:c>
      <x:c r="N223">
        <x:v>49</x:v>
      </x:c>
      <x:c r="O223">
        <x:v>82</x:v>
      </x:c>
      <x:c r="P223">
        <x:v>83</x:v>
      </x:c>
      <x:c r="Q223">
        <x:v>87</x:v>
      </x:c>
      <x:c r="R223">
        <x:v>51</x:v>
      </x:c>
      <x:c r="S223">
        <x:v>65</x:v>
      </x:c>
      <x:c r="T223" s="63" t="n">
        <x:f>MAX(30,MIN(AB223-VLOOKUP(AE223,'AHL_PA_SC_BALANCE'!$A$8:$E$18,2,FALSE),VLOOKUP(AE223,'AHL_PA_SC_BALANCE'!$A$8:$E$18,4,FALSE)))</x:f>
        <x:v>54</x:v>
      </x:c>
      <x:c r="U223" s="63" t="n">
        <x:f>MAX(30,MIN(AC223-VLOOKUP(AE223,'AHL_PA_SC_BALANCE'!$A$8:$E$18,3,FALSE),VLOOKUP(AE223,'AHL_PA_SC_BALANCE'!$A$8:$E$18,5,FALSE)))</x:f>
        <x:v>55</x:v>
      </x:c>
      <x:c r="V223">
        <x:v>61</x:v>
      </x:c>
      <x:c r="W223">
        <x:v>73</x:v>
      </x:c>
      <x:c r="X223">
        <x:v>70</x:v>
      </x:c>
      <x:c r="Y223">
        <x:v>68</x:v>
      </x:c>
      <x:c r="Z223">
        <x:v>51</x:v>
      </x:c>
      <x:c r="AA223">
        <x:v>53</x:v>
      </x:c>
      <x:c r="AB223" s="57" t="n">
        <x:v>54</x:v>
      </x:c>
      <x:c r="AC223" s="57" t="n">
        <x:v>55</x:v>
      </x:c>
      <x:c r="AD223" s="59"/>
      <x:c r="AE223" s="61" t="str">
        <x:f>IF(N(F223)&gt;=10,"NHL_LATEST_10",IF(AND(N(F223)&gt;0,N(G223)&gt;0),"NHL_BOTH_SEASONS",IF(N(G223)&gt;=10,"NHL_PREVIOUS_10",IF(AND(ISNUMBER(AD223),AD223=0,SUM(F223:G223)=0),"FARM_CAREER_0",IF(COUNT(F223:G223)&lt;2,"UNKNOWN_GP",IF(AND(F223=0,G223=0),IF(AD223&gt;=10,"FARM_LEGACY_10",IF(AND(ISNUMBER(AD223),AD223&gt;0),"FARM_CAREER_1_9","FARM_0_0")),IF(F223&gt;=1,IF(F223&lt;=3,"FARM_RECENT_1_3","FARM_RECENT_4_9"),"FARM_PREV_1_9_ONLY")))))))</x:f>
        <x:v>UNKNOWN_GP</x:v>
      </x:c>
      <x:c r="AF223" s="57" t="n">
        <x:f>AB223-T223</x:f>
        <x:v>0</x:v>
      </x:c>
      <x:c r="AG223" s="57" t="n">
        <x:f>AC223-U223</x:f>
        <x:v>0</x:v>
      </x:c>
    </x:row>
    <x:row r="224">
      <x:c r="A224" t="s">
        <x:v>1236</x:v>
      </x:c>
      <x:c r="C224" t="s">
        <x:v>331</x:v>
      </x:c>
      <x:c r="D224">
        <x:v>8483763</x:v>
      </x:c>
      <x:c r="E224" t="s">
        <x:v>267</x:v>
      </x:c>
      <x:c r="J224" t="s">
        <x:v>2474</x:v>
      </x:c>
      <x:c r="K224">
        <x:v>83</x:v>
      </x:c>
      <x:c r="L224">
        <x:v>38</x:v>
      </x:c>
      <x:c r="M224">
        <x:v>79</x:v>
      </x:c>
      <x:c r="N224">
        <x:v>35</x:v>
      </x:c>
      <x:c r="O224">
        <x:v>85</x:v>
      </x:c>
      <x:c r="P224">
        <x:v>87</x:v>
      </x:c>
      <x:c r="Q224">
        <x:v>90</x:v>
      </x:c>
      <x:c r="R224">
        <x:v>35</x:v>
      </x:c>
      <x:c r="S224">
        <x:v>30</x:v>
      </x:c>
      <x:c r="T224" s="63" t="n">
        <x:f>MAX(30,MIN(AB224-VLOOKUP(AE224,'AHL_PA_SC_BALANCE'!$A$8:$E$18,2,FALSE),VLOOKUP(AE224,'AHL_PA_SC_BALANCE'!$A$8:$E$18,4,FALSE)))</x:f>
        <x:v>45</x:v>
      </x:c>
      <x:c r="U224" s="63" t="n">
        <x:f>MAX(30,MIN(AC224-VLOOKUP(AE224,'AHL_PA_SC_BALANCE'!$A$8:$E$18,3,FALSE),VLOOKUP(AE224,'AHL_PA_SC_BALANCE'!$A$8:$E$18,5,FALSE)))</x:f>
        <x:v>43</x:v>
      </x:c>
      <x:c r="V224">
        <x:v>63</x:v>
      </x:c>
      <x:c r="W224">
        <x:v>49</x:v>
      </x:c>
      <x:c r="X224">
        <x:v>67</x:v>
      </x:c>
      <x:c r="Y224">
        <x:v>68</x:v>
      </x:c>
      <x:c r="Z224">
        <x:v>51</x:v>
      </x:c>
      <x:c r="AA224">
        <x:v>53</x:v>
      </x:c>
      <x:c r="AB224" s="57" t="n">
        <x:v>45</x:v>
      </x:c>
      <x:c r="AC224" s="57" t="n">
        <x:v>43</x:v>
      </x:c>
      <x:c r="AD224" s="59"/>
      <x:c r="AE224" s="61" t="str">
        <x:f>IF(N(F224)&gt;=10,"NHL_LATEST_10",IF(AND(N(F224)&gt;0,N(G224)&gt;0),"NHL_BOTH_SEASONS",IF(N(G224)&gt;=10,"NHL_PREVIOUS_10",IF(AND(ISNUMBER(AD224),AD224=0,SUM(F224:G224)=0),"FARM_CAREER_0",IF(COUNT(F224:G224)&lt;2,"UNKNOWN_GP",IF(AND(F224=0,G224=0),IF(AD224&gt;=10,"FARM_LEGACY_10",IF(AND(ISNUMBER(AD224),AD224&gt;0),"FARM_CAREER_1_9","FARM_0_0")),IF(F224&gt;=1,IF(F224&lt;=3,"FARM_RECENT_1_3","FARM_RECENT_4_9"),"FARM_PREV_1_9_ONLY")))))))</x:f>
        <x:v>UNKNOWN_GP</x:v>
      </x:c>
      <x:c r="AF224" s="57" t="n">
        <x:f>AB224-T224</x:f>
        <x:v>0</x:v>
      </x:c>
      <x:c r="AG224" s="57" t="n">
        <x:f>AC224-U224</x:f>
        <x:v>0</x:v>
      </x:c>
    </x:row>
    <x:row r="225">
      <x:c r="A225" t="s">
        <x:v>1237</x:v>
      </x:c>
      <x:c r="C225" t="s">
        <x:v>358</x:v>
      </x:c>
      <x:c r="D225">
        <x:v>8481518</x:v>
      </x:c>
      <x:c r="E225" t="s">
        <x:v>267</x:v>
      </x:c>
      <x:c r="J225" t="s">
        <x:v>2474</x:v>
      </x:c>
      <x:c r="K225">
        <x:v>74</x:v>
      </x:c>
      <x:c r="L225">
        <x:v>38</x:v>
      </x:c>
      <x:c r="M225">
        <x:v>83</x:v>
      </x:c>
      <x:c r="N225">
        <x:v>47</x:v>
      </x:c>
      <x:c r="O225">
        <x:v>80</x:v>
      </x:c>
      <x:c r="P225">
        <x:v>79</x:v>
      </x:c>
      <x:c r="Q225">
        <x:v>84</x:v>
      </x:c>
      <x:c r="R225">
        <x:v>48</x:v>
      </x:c>
      <x:c r="S225">
        <x:v>61</x:v>
      </x:c>
      <x:c r="T225" s="63" t="n">
        <x:f>MAX(30,MIN(AB225-VLOOKUP(AE225,'AHL_PA_SC_BALANCE'!$A$8:$E$18,2,FALSE),VLOOKUP(AE225,'AHL_PA_SC_BALANCE'!$A$8:$E$18,4,FALSE)))</x:f>
        <x:v>49</x:v>
      </x:c>
      <x:c r="U225" s="63" t="n">
        <x:f>MAX(30,MIN(AC225-VLOOKUP(AE225,'AHL_PA_SC_BALANCE'!$A$8:$E$18,3,FALSE),VLOOKUP(AE225,'AHL_PA_SC_BALANCE'!$A$8:$E$18,5,FALSE)))</x:f>
        <x:v>51</x:v>
      </x:c>
      <x:c r="V225">
        <x:v>60</x:v>
      </x:c>
      <x:c r="W225">
        <x:v>56</x:v>
      </x:c>
      <x:c r="X225">
        <x:v>69</x:v>
      </x:c>
      <x:c r="Y225">
        <x:v>68</x:v>
      </x:c>
      <x:c r="Z225">
        <x:v>51</x:v>
      </x:c>
      <x:c r="AA225">
        <x:v>53</x:v>
      </x:c>
      <x:c r="AB225" s="57" t="n">
        <x:v>49</x:v>
      </x:c>
      <x:c r="AC225" s="57" t="n">
        <x:v>51</x:v>
      </x:c>
      <x:c r="AD225" s="59"/>
      <x:c r="AE225" s="61" t="str">
        <x:f>IF(N(F225)&gt;=10,"NHL_LATEST_10",IF(AND(N(F225)&gt;0,N(G225)&gt;0),"NHL_BOTH_SEASONS",IF(N(G225)&gt;=10,"NHL_PREVIOUS_10",IF(AND(ISNUMBER(AD225),AD225=0,SUM(F225:G225)=0),"FARM_CAREER_0",IF(COUNT(F225:G225)&lt;2,"UNKNOWN_GP",IF(AND(F225=0,G225=0),IF(AD225&gt;=10,"FARM_LEGACY_10",IF(AND(ISNUMBER(AD225),AD225&gt;0),"FARM_CAREER_1_9","FARM_0_0")),IF(F225&gt;=1,IF(F225&lt;=3,"FARM_RECENT_1_3","FARM_RECENT_4_9"),"FARM_PREV_1_9_ONLY")))))))</x:f>
        <x:v>UNKNOWN_GP</x:v>
      </x:c>
      <x:c r="AF225" s="57" t="n">
        <x:f>AB225-T225</x:f>
        <x:v>0</x:v>
      </x:c>
      <x:c r="AG225" s="57" t="n">
        <x:f>AC225-U225</x:f>
        <x:v>0</x:v>
      </x:c>
    </x:row>
    <x:row r="226">
      <x:c r="A226" t="s">
        <x:v>1238</x:v>
      </x:c>
      <x:c r="C226" t="s">
        <x:v>331</x:v>
      </x:c>
      <x:c r="D226">
        <x:v>8482399</x:v>
      </x:c>
      <x:c r="E226" t="s">
        <x:v>267</x:v>
      </x:c>
      <x:c r="J226" t="s">
        <x:v>2474</x:v>
      </x:c>
      <x:c r="K226">
        <x:v>86</x:v>
      </x:c>
      <x:c r="L226">
        <x:v>37</x:v>
      </x:c>
      <x:c r="M226">
        <x:v>76</x:v>
      </x:c>
      <x:c r="N226">
        <x:v>33</x:v>
      </x:c>
      <x:c r="O226">
        <x:v>83</x:v>
      </x:c>
      <x:c r="P226">
        <x:v>89</x:v>
      </x:c>
      <x:c r="Q226">
        <x:v>93</x:v>
      </x:c>
      <x:c r="R226">
        <x:v>34</x:v>
      </x:c>
      <x:c r="S226">
        <x:v>30</x:v>
      </x:c>
      <x:c r="T226" s="63" t="n">
        <x:f>MAX(30,MIN(AB226-VLOOKUP(AE226,'AHL_PA_SC_BALANCE'!$A$8:$E$18,2,FALSE),VLOOKUP(AE226,'AHL_PA_SC_BALANCE'!$A$8:$E$18,4,FALSE)))</x:f>
        <x:v>43</x:v>
      </x:c>
      <x:c r="U226" s="63" t="n">
        <x:f>MAX(30,MIN(AC226-VLOOKUP(AE226,'AHL_PA_SC_BALANCE'!$A$8:$E$18,3,FALSE),VLOOKUP(AE226,'AHL_PA_SC_BALANCE'!$A$8:$E$18,5,FALSE)))</x:f>
        <x:v>39</x:v>
      </x:c>
      <x:c r="V226">
        <x:v>67</x:v>
      </x:c>
      <x:c r="W226">
        <x:v>46</x:v>
      </x:c>
      <x:c r="X226">
        <x:v>72</x:v>
      </x:c>
      <x:c r="Y226">
        <x:v>73</x:v>
      </x:c>
      <x:c r="Z226">
        <x:v>51</x:v>
      </x:c>
      <x:c r="AA226">
        <x:v>53</x:v>
      </x:c>
      <x:c r="AB226" s="57" t="n">
        <x:v>43</x:v>
      </x:c>
      <x:c r="AC226" s="57" t="n">
        <x:v>39</x:v>
      </x:c>
      <x:c r="AD226" s="59"/>
      <x:c r="AE226" s="61" t="str">
        <x:f>IF(N(F226)&gt;=10,"NHL_LATEST_10",IF(AND(N(F226)&gt;0,N(G226)&gt;0),"NHL_BOTH_SEASONS",IF(N(G226)&gt;=10,"NHL_PREVIOUS_10",IF(AND(ISNUMBER(AD226),AD226=0,SUM(F226:G226)=0),"FARM_CAREER_0",IF(COUNT(F226:G226)&lt;2,"UNKNOWN_GP",IF(AND(F226=0,G226=0),IF(AD226&gt;=10,"FARM_LEGACY_10",IF(AND(ISNUMBER(AD226),AD226&gt;0),"FARM_CAREER_1_9","FARM_0_0")),IF(F226&gt;=1,IF(F226&lt;=3,"FARM_RECENT_1_3","FARM_RECENT_4_9"),"FARM_PREV_1_9_ONLY")))))))</x:f>
        <x:v>UNKNOWN_GP</x:v>
      </x:c>
      <x:c r="AF226" s="57" t="n">
        <x:f>AB226-T226</x:f>
        <x:v>0</x:v>
      </x:c>
      <x:c r="AG226" s="57" t="n">
        <x:f>AC226-U226</x:f>
        <x:v>0</x:v>
      </x:c>
    </x:row>
    <x:row r="227">
      <x:c r="A227" t="s">
        <x:v>1239</x:v>
      </x:c>
      <x:c r="C227" t="s">
        <x:v>331</x:v>
      </x:c>
      <x:c r="D227">
        <x:v>8480884</x:v>
      </x:c>
      <x:c r="E227" t="s">
        <x:v>267</x:v>
      </x:c>
      <x:c r="J227" t="s">
        <x:v>2474</x:v>
      </x:c>
      <x:c r="K227">
        <x:v>69</x:v>
      </x:c>
      <x:c r="L227">
        <x:v>35</x:v>
      </x:c>
      <x:c r="M227">
        <x:v>83</x:v>
      </x:c>
      <x:c r="N227">
        <x:v>35</x:v>
      </x:c>
      <x:c r="O227">
        <x:v>75</x:v>
      </x:c>
      <x:c r="P227">
        <x:v>87</x:v>
      </x:c>
      <x:c r="Q227">
        <x:v>90</x:v>
      </x:c>
      <x:c r="R227">
        <x:v>35</x:v>
      </x:c>
      <x:c r="S227">
        <x:v>30</x:v>
      </x:c>
      <x:c r="T227" s="63" t="n">
        <x:f>MAX(30,MIN(AB227-VLOOKUP(AE227,'AHL_PA_SC_BALANCE'!$A$8:$E$18,2,FALSE),VLOOKUP(AE227,'AHL_PA_SC_BALANCE'!$A$8:$E$18,4,FALSE)))</x:f>
        <x:v>52</x:v>
      </x:c>
      <x:c r="U227" s="63" t="n">
        <x:f>MAX(30,MIN(AC227-VLOOKUP(AE227,'AHL_PA_SC_BALANCE'!$A$8:$E$18,3,FALSE),VLOOKUP(AE227,'AHL_PA_SC_BALANCE'!$A$8:$E$18,5,FALSE)))</x:f>
        <x:v>44</x:v>
      </x:c>
      <x:c r="V227">
        <x:v>72</x:v>
      </x:c>
      <x:c r="W227">
        <x:v>51</x:v>
      </x:c>
      <x:c r="X227">
        <x:v>69</x:v>
      </x:c>
      <x:c r="Y227">
        <x:v>68</x:v>
      </x:c>
      <x:c r="Z227">
        <x:v>47</x:v>
      </x:c>
      <x:c r="AA227">
        <x:v>53</x:v>
      </x:c>
      <x:c r="AB227" s="57" t="n">
        <x:v>52</x:v>
      </x:c>
      <x:c r="AC227" s="57" t="n">
        <x:v>44</x:v>
      </x:c>
      <x:c r="AD227" s="59"/>
      <x:c r="AE227" s="61" t="str">
        <x:f>IF(N(F227)&gt;=10,"NHL_LATEST_10",IF(AND(N(F227)&gt;0,N(G227)&gt;0),"NHL_BOTH_SEASONS",IF(N(G227)&gt;=10,"NHL_PREVIOUS_10",IF(AND(ISNUMBER(AD227),AD227=0,SUM(F227:G227)=0),"FARM_CAREER_0",IF(COUNT(F227:G227)&lt;2,"UNKNOWN_GP",IF(AND(F227=0,G227=0),IF(AD227&gt;=10,"FARM_LEGACY_10",IF(AND(ISNUMBER(AD227),AD227&gt;0),"FARM_CAREER_1_9","FARM_0_0")),IF(F227&gt;=1,IF(F227&lt;=3,"FARM_RECENT_1_3","FARM_RECENT_4_9"),"FARM_PREV_1_9_ONLY")))))))</x:f>
        <x:v>UNKNOWN_GP</x:v>
      </x:c>
      <x:c r="AF227" s="57" t="n">
        <x:f>AB227-T227</x:f>
        <x:v>0</x:v>
      </x:c>
      <x:c r="AG227" s="57" t="n">
        <x:f>AC227-U227</x:f>
        <x:v>0</x:v>
      </x:c>
    </x:row>
    <x:row r="228">
      <x:c r="A228" t="s">
        <x:v>1240</x:v>
      </x:c>
      <x:c r="C228" t="s">
        <x:v>331</x:v>
      </x:c>
      <x:c r="D228">
        <x:v>8484933</x:v>
      </x:c>
      <x:c r="E228" t="s">
        <x:v>267</x:v>
      </x:c>
      <x:c r="J228" t="s">
        <x:v>2474</x:v>
      </x:c>
      <x:c r="K228">
        <x:v>79</x:v>
      </x:c>
      <x:c r="L228">
        <x:v>41</x:v>
      </x:c>
      <x:c r="M228">
        <x:v>82</x:v>
      </x:c>
      <x:c r="N228">
        <x:v>34</x:v>
      </x:c>
      <x:c r="O228">
        <x:v>91</x:v>
      </x:c>
      <x:c r="P228">
        <x:v>84</x:v>
      </x:c>
      <x:c r="Q228">
        <x:v>87</x:v>
      </x:c>
      <x:c r="R228">
        <x:v>35</x:v>
      </x:c>
      <x:c r="S228">
        <x:v>30</x:v>
      </x:c>
      <x:c r="T228" s="63" t="n">
        <x:f>MAX(30,MIN(AB228-VLOOKUP(AE228,'AHL_PA_SC_BALANCE'!$A$8:$E$18,2,FALSE),VLOOKUP(AE228,'AHL_PA_SC_BALANCE'!$A$8:$E$18,4,FALSE)))</x:f>
        <x:v>43</x:v>
      </x:c>
      <x:c r="U228" s="63" t="n">
        <x:f>MAX(30,MIN(AC228-VLOOKUP(AE228,'AHL_PA_SC_BALANCE'!$A$8:$E$18,3,FALSE),VLOOKUP(AE228,'AHL_PA_SC_BALANCE'!$A$8:$E$18,5,FALSE)))</x:f>
        <x:v>41</x:v>
      </x:c>
      <x:c r="V228">
        <x:v>67</x:v>
      </x:c>
      <x:c r="W228">
        <x:v>47</x:v>
      </x:c>
      <x:c r="X228">
        <x:v>68</x:v>
      </x:c>
      <x:c r="Y228">
        <x:v>68</x:v>
      </x:c>
      <x:c r="Z228">
        <x:v>47</x:v>
      </x:c>
      <x:c r="AA228">
        <x:v>53</x:v>
      </x:c>
      <x:c r="AB228" s="57" t="n">
        <x:v>43</x:v>
      </x:c>
      <x:c r="AC228" s="57" t="n">
        <x:v>41</x:v>
      </x:c>
      <x:c r="AD228" s="59"/>
      <x:c r="AE228" s="61" t="str">
        <x:f>IF(N(F228)&gt;=10,"NHL_LATEST_10",IF(AND(N(F228)&gt;0,N(G228)&gt;0),"NHL_BOTH_SEASONS",IF(N(G228)&gt;=10,"NHL_PREVIOUS_10",IF(AND(ISNUMBER(AD228),AD228=0,SUM(F228:G228)=0),"FARM_CAREER_0",IF(COUNT(F228:G228)&lt;2,"UNKNOWN_GP",IF(AND(F228=0,G228=0),IF(AD228&gt;=10,"FARM_LEGACY_10",IF(AND(ISNUMBER(AD228),AD228&gt;0),"FARM_CAREER_1_9","FARM_0_0")),IF(F228&gt;=1,IF(F228&lt;=3,"FARM_RECENT_1_3","FARM_RECENT_4_9"),"FARM_PREV_1_9_ONLY")))))))</x:f>
        <x:v>UNKNOWN_GP</x:v>
      </x:c>
      <x:c r="AF228" s="57" t="n">
        <x:f>AB228-T228</x:f>
        <x:v>0</x:v>
      </x:c>
      <x:c r="AG228" s="57" t="n">
        <x:f>AC228-U228</x:f>
        <x:v>0</x:v>
      </x:c>
    </x:row>
    <x:row r="229">
      <x:c r="A229" t="s">
        <x:v>1241</x:v>
      </x:c>
      <x:c r="C229" t="s">
        <x:v>329</x:v>
      </x:c>
      <x:c r="D229">
        <x:v>8484203</x:v>
      </x:c>
      <x:c r="E229" t="s">
        <x:v>267</x:v>
      </x:c>
      <x:c r="J229" t="s">
        <x:v>2474</x:v>
      </x:c>
      <x:c r="K229">
        <x:v>69</x:v>
      </x:c>
      <x:c r="L229">
        <x:v>33</x:v>
      </x:c>
      <x:c r="M229">
        <x:v>90</x:v>
      </x:c>
      <x:c r="N229">
        <x:v>53</x:v>
      </x:c>
      <x:c r="O229">
        <x:v>74</x:v>
      </x:c>
      <x:c r="P229">
        <x:v>82</x:v>
      </x:c>
      <x:c r="Q229">
        <x:v>84</x:v>
      </x:c>
      <x:c r="R229">
        <x:v>51</x:v>
      </x:c>
      <x:c r="S229">
        <x:v>64</x:v>
      </x:c>
      <x:c r="T229" s="63" t="n">
        <x:f>MAX(30,MIN(AB229-VLOOKUP(AE229,'AHL_PA_SC_BALANCE'!$A$8:$E$18,2,FALSE),VLOOKUP(AE229,'AHL_PA_SC_BALANCE'!$A$8:$E$18,4,FALSE)))</x:f>
        <x:v>48</x:v>
      </x:c>
      <x:c r="U229" s="63" t="n">
        <x:f>MAX(30,MIN(AC229-VLOOKUP(AE229,'AHL_PA_SC_BALANCE'!$A$8:$E$18,3,FALSE),VLOOKUP(AE229,'AHL_PA_SC_BALANCE'!$A$8:$E$18,5,FALSE)))</x:f>
        <x:v>53</x:v>
      </x:c>
      <x:c r="V229">
        <x:v>59</x:v>
      </x:c>
      <x:c r="W229">
        <x:v>80</x:v>
      </x:c>
      <x:c r="X229">
        <x:v>66</x:v>
      </x:c>
      <x:c r="Y229">
        <x:v>65</x:v>
      </x:c>
      <x:c r="Z229">
        <x:v>51</x:v>
      </x:c>
      <x:c r="AA229">
        <x:v>53</x:v>
      </x:c>
      <x:c r="AB229" s="57" t="n">
        <x:v>48</x:v>
      </x:c>
      <x:c r="AC229" s="57" t="n">
        <x:v>53</x:v>
      </x:c>
      <x:c r="AD229" s="59"/>
      <x:c r="AE229" s="61" t="str">
        <x:f>IF(N(F229)&gt;=10,"NHL_LATEST_10",IF(AND(N(F229)&gt;0,N(G229)&gt;0),"NHL_BOTH_SEASONS",IF(N(G229)&gt;=10,"NHL_PREVIOUS_10",IF(AND(ISNUMBER(AD229),AD229=0,SUM(F229:G229)=0),"FARM_CAREER_0",IF(COUNT(F229:G229)&lt;2,"UNKNOWN_GP",IF(AND(F229=0,G229=0),IF(AD229&gt;=10,"FARM_LEGACY_10",IF(AND(ISNUMBER(AD229),AD229&gt;0),"FARM_CAREER_1_9","FARM_0_0")),IF(F229&gt;=1,IF(F229&lt;=3,"FARM_RECENT_1_3","FARM_RECENT_4_9"),"FARM_PREV_1_9_ONLY")))))))</x:f>
        <x:v>UNKNOWN_GP</x:v>
      </x:c>
      <x:c r="AF229" s="57" t="n">
        <x:f>AB229-T229</x:f>
        <x:v>0</x:v>
      </x:c>
      <x:c r="AG229" s="57" t="n">
        <x:f>AC229-U229</x:f>
        <x:v>0</x:v>
      </x:c>
    </x:row>
    <x:row r="230">
      <x:c r="A230" t="s">
        <x:v>1243</x:v>
      </x:c>
      <x:c r="C230" t="s">
        <x:v>331</x:v>
      </x:c>
      <x:c r="D230">
        <x:v>8484148</x:v>
      </x:c>
      <x:c r="E230" t="s">
        <x:v>267</x:v>
      </x:c>
      <x:c r="J230" t="s">
        <x:v>2474</x:v>
      </x:c>
      <x:c r="K230">
        <x:v>69</x:v>
      </x:c>
      <x:c r="L230">
        <x:v>38</x:v>
      </x:c>
      <x:c r="M230">
        <x:v>83</x:v>
      </x:c>
      <x:c r="N230">
        <x:v>34</x:v>
      </x:c>
      <x:c r="O230">
        <x:v>79</x:v>
      </x:c>
      <x:c r="P230">
        <x:v>78</x:v>
      </x:c>
      <x:c r="Q230">
        <x:v>82</x:v>
      </x:c>
      <x:c r="R230">
        <x:v>33</x:v>
      </x:c>
      <x:c r="S230">
        <x:v>30</x:v>
      </x:c>
      <x:c r="T230" s="63" t="n">
        <x:f>MAX(30,MIN(AB230-VLOOKUP(AE230,'AHL_PA_SC_BALANCE'!$A$8:$E$18,2,FALSE),VLOOKUP(AE230,'AHL_PA_SC_BALANCE'!$A$8:$E$18,4,FALSE)))</x:f>
        <x:v>44</x:v>
      </x:c>
      <x:c r="U230" s="63" t="n">
        <x:f>MAX(30,MIN(AC230-VLOOKUP(AE230,'AHL_PA_SC_BALANCE'!$A$8:$E$18,3,FALSE),VLOOKUP(AE230,'AHL_PA_SC_BALANCE'!$A$8:$E$18,5,FALSE)))</x:f>
        <x:v>42</x:v>
      </x:c>
      <x:c r="V230">
        <x:v>68</x:v>
      </x:c>
      <x:c r="W230">
        <x:v>48</x:v>
      </x:c>
      <x:c r="X230">
        <x:v>65</x:v>
      </x:c>
      <x:c r="Y230">
        <x:v>65</x:v>
      </x:c>
      <x:c r="Z230">
        <x:v>51</x:v>
      </x:c>
      <x:c r="AA230">
        <x:v>52</x:v>
      </x:c>
      <x:c r="AB230" s="57" t="n">
        <x:v>44</x:v>
      </x:c>
      <x:c r="AC230" s="57" t="n">
        <x:v>42</x:v>
      </x:c>
      <x:c r="AD230" s="59"/>
      <x:c r="AE230" s="61" t="str">
        <x:f>IF(N(F230)&gt;=10,"NHL_LATEST_10",IF(AND(N(F230)&gt;0,N(G230)&gt;0),"NHL_BOTH_SEASONS",IF(N(G230)&gt;=10,"NHL_PREVIOUS_10",IF(AND(ISNUMBER(AD230),AD230=0,SUM(F230:G230)=0),"FARM_CAREER_0",IF(COUNT(F230:G230)&lt;2,"UNKNOWN_GP",IF(AND(F230=0,G230=0),IF(AD230&gt;=10,"FARM_LEGACY_10",IF(AND(ISNUMBER(AD230),AD230&gt;0),"FARM_CAREER_1_9","FARM_0_0")),IF(F230&gt;=1,IF(F230&lt;=3,"FARM_RECENT_1_3","FARM_RECENT_4_9"),"FARM_PREV_1_9_ONLY")))))))</x:f>
        <x:v>UNKNOWN_GP</x:v>
      </x:c>
      <x:c r="AF230" s="57" t="n">
        <x:f>AB230-T230</x:f>
        <x:v>0</x:v>
      </x:c>
      <x:c r="AG230" s="57" t="n">
        <x:f>AC230-U230</x:f>
        <x:v>0</x:v>
      </x:c>
    </x:row>
    <x:row r="231">
      <x:c r="A231" t="s">
        <x:v>1244</x:v>
      </x:c>
      <x:c r="C231" t="s">
        <x:v>331</x:v>
      </x:c>
      <x:c r="D231">
        <x:v>8481159</x:v>
      </x:c>
      <x:c r="E231" t="s">
        <x:v>267</x:v>
      </x:c>
      <x:c r="J231" t="s">
        <x:v>2474</x:v>
      </x:c>
      <x:c r="K231">
        <x:v>75</x:v>
      </x:c>
      <x:c r="L231">
        <x:v>39</x:v>
      </x:c>
      <x:c r="M231">
        <x:v>73</x:v>
      </x:c>
      <x:c r="N231">
        <x:v>32</x:v>
      </x:c>
      <x:c r="O231">
        <x:v>86</x:v>
      </x:c>
      <x:c r="P231">
        <x:v>82</x:v>
      </x:c>
      <x:c r="Q231">
        <x:v>83</x:v>
      </x:c>
      <x:c r="R231">
        <x:v>31</x:v>
      </x:c>
      <x:c r="S231">
        <x:v>30</x:v>
      </x:c>
      <x:c r="T231" s="63" t="n">
        <x:f>MAX(30,MIN(AB231-VLOOKUP(AE231,'AHL_PA_SC_BALANCE'!$A$8:$E$18,2,FALSE),VLOOKUP(AE231,'AHL_PA_SC_BALANCE'!$A$8:$E$18,4,FALSE)))</x:f>
        <x:v>43</x:v>
      </x:c>
      <x:c r="U231" s="63" t="n">
        <x:f>MAX(30,MIN(AC231-VLOOKUP(AE231,'AHL_PA_SC_BALANCE'!$A$8:$E$18,3,FALSE),VLOOKUP(AE231,'AHL_PA_SC_BALANCE'!$A$8:$E$18,5,FALSE)))</x:f>
        <x:v>39</x:v>
      </x:c>
      <x:c r="V231">
        <x:v>67</x:v>
      </x:c>
      <x:c r="W231">
        <x:v>46</x:v>
      </x:c>
      <x:c r="X231">
        <x:v>69</x:v>
      </x:c>
      <x:c r="Y231">
        <x:v>68</x:v>
      </x:c>
      <x:c r="Z231">
        <x:v>51</x:v>
      </x:c>
      <x:c r="AA231">
        <x:v>52</x:v>
      </x:c>
      <x:c r="AB231" s="57" t="n">
        <x:v>43</x:v>
      </x:c>
      <x:c r="AC231" s="57" t="n">
        <x:v>39</x:v>
      </x:c>
      <x:c r="AD231" s="59"/>
      <x:c r="AE231" s="61" t="str">
        <x:f>IF(N(F231)&gt;=10,"NHL_LATEST_10",IF(AND(N(F231)&gt;0,N(G231)&gt;0),"NHL_BOTH_SEASONS",IF(N(G231)&gt;=10,"NHL_PREVIOUS_10",IF(AND(ISNUMBER(AD231),AD231=0,SUM(F231:G231)=0),"FARM_CAREER_0",IF(COUNT(F231:G231)&lt;2,"UNKNOWN_GP",IF(AND(F231=0,G231=0),IF(AD231&gt;=10,"FARM_LEGACY_10",IF(AND(ISNUMBER(AD231),AD231&gt;0),"FARM_CAREER_1_9","FARM_0_0")),IF(F231&gt;=1,IF(F231&lt;=3,"FARM_RECENT_1_3","FARM_RECENT_4_9"),"FARM_PREV_1_9_ONLY")))))))</x:f>
        <x:v>UNKNOWN_GP</x:v>
      </x:c>
      <x:c r="AF231" s="57" t="n">
        <x:f>AB231-T231</x:f>
        <x:v>0</x:v>
      </x:c>
      <x:c r="AG231" s="57" t="n">
        <x:f>AC231-U231</x:f>
        <x:v>0</x:v>
      </x:c>
    </x:row>
    <x:row r="232">
      <x:c r="A232" t="s">
        <x:v>1245</x:v>
      </x:c>
      <x:c r="C232" t="s">
        <x:v>326</x:v>
      </x:c>
      <x:c r="D232">
        <x:v>8478040</x:v>
      </x:c>
      <x:c r="E232" t="s">
        <x:v>267</x:v>
      </x:c>
      <x:c r="J232" t="s">
        <x:v>2474</x:v>
      </x:c>
      <x:c r="K232">
        <x:v>69</x:v>
      </x:c>
      <x:c r="L232">
        <x:v>63</x:v>
      </x:c>
      <x:c r="M232">
        <x:v>89</x:v>
      </x:c>
      <x:c r="N232">
        <x:v>45</x:v>
      </x:c>
      <x:c r="O232">
        <x:v>80</x:v>
      </x:c>
      <x:c r="P232">
        <x:v>93</x:v>
      </x:c>
      <x:c r="Q232">
        <x:v>95</x:v>
      </x:c>
      <x:c r="R232">
        <x:v>46</x:v>
      </x:c>
      <x:c r="S232">
        <x:v>60</x:v>
      </x:c>
      <x:c r="T232" s="63" t="n">
        <x:f>MAX(30,MIN(AB232-VLOOKUP(AE232,'AHL_PA_SC_BALANCE'!$A$8:$E$18,2,FALSE),VLOOKUP(AE232,'AHL_PA_SC_BALANCE'!$A$8:$E$18,4,FALSE)))</x:f>
        <x:v>48</x:v>
      </x:c>
      <x:c r="U232" s="63" t="n">
        <x:f>MAX(30,MIN(AC232-VLOOKUP(AE232,'AHL_PA_SC_BALANCE'!$A$8:$E$18,3,FALSE),VLOOKUP(AE232,'AHL_PA_SC_BALANCE'!$A$8:$E$18,5,FALSE)))</x:f>
        <x:v>45</x:v>
      </x:c>
      <x:c r="V232">
        <x:v>61</x:v>
      </x:c>
      <x:c r="W232">
        <x:v>65</x:v>
      </x:c>
      <x:c r="X232">
        <x:v>72</x:v>
      </x:c>
      <x:c r="Y232">
        <x:v>73</x:v>
      </x:c>
      <x:c r="Z232">
        <x:v>51</x:v>
      </x:c>
      <x:c r="AA232">
        <x:v>52</x:v>
      </x:c>
      <x:c r="AB232" s="57" t="n">
        <x:v>48</x:v>
      </x:c>
      <x:c r="AC232" s="57" t="n">
        <x:v>45</x:v>
      </x:c>
      <x:c r="AD232" s="59"/>
      <x:c r="AE232" s="61" t="str">
        <x:f>IF(N(F232)&gt;=10,"NHL_LATEST_10",IF(AND(N(F232)&gt;0,N(G232)&gt;0),"NHL_BOTH_SEASONS",IF(N(G232)&gt;=10,"NHL_PREVIOUS_10",IF(AND(ISNUMBER(AD232),AD232=0,SUM(F232:G232)=0),"FARM_CAREER_0",IF(COUNT(F232:G232)&lt;2,"UNKNOWN_GP",IF(AND(F232=0,G232=0),IF(AD232&gt;=10,"FARM_LEGACY_10",IF(AND(ISNUMBER(AD232),AD232&gt;0),"FARM_CAREER_1_9","FARM_0_0")),IF(F232&gt;=1,IF(F232&lt;=3,"FARM_RECENT_1_3","FARM_RECENT_4_9"),"FARM_PREV_1_9_ONLY")))))))</x:f>
        <x:v>UNKNOWN_GP</x:v>
      </x:c>
      <x:c r="AF232" s="57" t="n">
        <x:f>AB232-T232</x:f>
        <x:v>0</x:v>
      </x:c>
      <x:c r="AG232" s="57" t="n">
        <x:f>AC232-U232</x:f>
        <x:v>0</x:v>
      </x:c>
    </x:row>
    <x:row r="233">
      <x:c r="A233" t="s">
        <x:v>1246</x:v>
      </x:c>
      <x:c r="C233" t="s">
        <x:v>358</x:v>
      </x:c>
      <x:c r="D233">
        <x:v>8484388</x:v>
      </x:c>
      <x:c r="E233" t="s">
        <x:v>267</x:v>
      </x:c>
      <x:c r="J233" t="s">
        <x:v>2474</x:v>
      </x:c>
      <x:c r="K233">
        <x:v>58</x:v>
      </x:c>
      <x:c r="L233">
        <x:v>43</x:v>
      </x:c>
      <x:c r="M233">
        <x:v>88</x:v>
      </x:c>
      <x:c r="N233">
        <x:v>49</x:v>
      </x:c>
      <x:c r="O233">
        <x:v>85</x:v>
      </x:c>
      <x:c r="P233">
        <x:v>81</x:v>
      </x:c>
      <x:c r="Q233">
        <x:v>85</x:v>
      </x:c>
      <x:c r="R233">
        <x:v>49</x:v>
      </x:c>
      <x:c r="S233">
        <x:v>69</x:v>
      </x:c>
      <x:c r="T233" s="63" t="n">
        <x:f>MAX(30,MIN(AB233-VLOOKUP(AE233,'AHL_PA_SC_BALANCE'!$A$8:$E$18,2,FALSE),VLOOKUP(AE233,'AHL_PA_SC_BALANCE'!$A$8:$E$18,4,FALSE)))</x:f>
        <x:v>49</x:v>
      </x:c>
      <x:c r="U233" s="63" t="n">
        <x:f>MAX(30,MIN(AC233-VLOOKUP(AE233,'AHL_PA_SC_BALANCE'!$A$8:$E$18,3,FALSE),VLOOKUP(AE233,'AHL_PA_SC_BALANCE'!$A$8:$E$18,5,FALSE)))</x:f>
        <x:v>50</x:v>
      </x:c>
      <x:c r="V233">
        <x:v>60</x:v>
      </x:c>
      <x:c r="W233">
        <x:v>51</x:v>
      </x:c>
      <x:c r="X233">
        <x:v>65</x:v>
      </x:c>
      <x:c r="Y233">
        <x:v>66</x:v>
      </x:c>
      <x:c r="Z233">
        <x:v>51</x:v>
      </x:c>
      <x:c r="AA233">
        <x:v>52</x:v>
      </x:c>
      <x:c r="AB233" s="57" t="n">
        <x:v>49</x:v>
      </x:c>
      <x:c r="AC233" s="57" t="n">
        <x:v>50</x:v>
      </x:c>
      <x:c r="AD233" s="59"/>
      <x:c r="AE233" s="61" t="str">
        <x:f>IF(N(F233)&gt;=10,"NHL_LATEST_10",IF(AND(N(F233)&gt;0,N(G233)&gt;0),"NHL_BOTH_SEASONS",IF(N(G233)&gt;=10,"NHL_PREVIOUS_10",IF(AND(ISNUMBER(AD233),AD233=0,SUM(F233:G233)=0),"FARM_CAREER_0",IF(COUNT(F233:G233)&lt;2,"UNKNOWN_GP",IF(AND(F233=0,G233=0),IF(AD233&gt;=10,"FARM_LEGACY_10",IF(AND(ISNUMBER(AD233),AD233&gt;0),"FARM_CAREER_1_9","FARM_0_0")),IF(F233&gt;=1,IF(F233&lt;=3,"FARM_RECENT_1_3","FARM_RECENT_4_9"),"FARM_PREV_1_9_ONLY")))))))</x:f>
        <x:v>UNKNOWN_GP</x:v>
      </x:c>
      <x:c r="AF233" s="57" t="n">
        <x:f>AB233-T233</x:f>
        <x:v>0</x:v>
      </x:c>
      <x:c r="AG233" s="57" t="n">
        <x:f>AC233-U233</x:f>
        <x:v>0</x:v>
      </x:c>
    </x:row>
    <x:row r="234">
      <x:c r="A234" t="s">
        <x:v>1247</x:v>
      </x:c>
      <x:c r="C234" t="s">
        <x:v>331</x:v>
      </x:c>
      <x:c r="D234">
        <x:v>8482888</x:v>
      </x:c>
      <x:c r="E234" t="s">
        <x:v>267</x:v>
      </x:c>
      <x:c r="J234" t="s">
        <x:v>2474</x:v>
      </x:c>
      <x:c r="K234">
        <x:v>84</x:v>
      </x:c>
      <x:c r="L234">
        <x:v>47</x:v>
      </x:c>
      <x:c r="M234">
        <x:v>71</x:v>
      </x:c>
      <x:c r="N234">
        <x:v>33</x:v>
      </x:c>
      <x:c r="O234">
        <x:v>88</x:v>
      </x:c>
      <x:c r="P234">
        <x:v>73</x:v>
      </x:c>
      <x:c r="Q234">
        <x:v>76</x:v>
      </x:c>
      <x:c r="R234">
        <x:v>32</x:v>
      </x:c>
      <x:c r="S234">
        <x:v>30</x:v>
      </x:c>
      <x:c r="T234" s="63" t="n">
        <x:f>MAX(30,MIN(AB234-VLOOKUP(AE234,'AHL_PA_SC_BALANCE'!$A$8:$E$18,2,FALSE),VLOOKUP(AE234,'AHL_PA_SC_BALANCE'!$A$8:$E$18,4,FALSE)))</x:f>
        <x:v>42</x:v>
      </x:c>
      <x:c r="U234" s="63" t="n">
        <x:f>MAX(30,MIN(AC234-VLOOKUP(AE234,'AHL_PA_SC_BALANCE'!$A$8:$E$18,3,FALSE),VLOOKUP(AE234,'AHL_PA_SC_BALANCE'!$A$8:$E$18,5,FALSE)))</x:f>
        <x:v>37</x:v>
      </x:c>
      <x:c r="V234">
        <x:v>66</x:v>
      </x:c>
      <x:c r="W234">
        <x:v>44</x:v>
      </x:c>
      <x:c r="X234">
        <x:v>66</x:v>
      </x:c>
      <x:c r="Y234">
        <x:v>66</x:v>
      </x:c>
      <x:c r="Z234">
        <x:v>51</x:v>
      </x:c>
      <x:c r="AA234">
        <x:v>52</x:v>
      </x:c>
      <x:c r="AB234" s="57" t="n">
        <x:v>42</x:v>
      </x:c>
      <x:c r="AC234" s="57" t="n">
        <x:v>37</x:v>
      </x:c>
      <x:c r="AD234" s="59"/>
      <x:c r="AE234" s="61" t="str">
        <x:f>IF(N(F234)&gt;=10,"NHL_LATEST_10",IF(AND(N(F234)&gt;0,N(G234)&gt;0),"NHL_BOTH_SEASONS",IF(N(G234)&gt;=10,"NHL_PREVIOUS_10",IF(AND(ISNUMBER(AD234),AD234=0,SUM(F234:G234)=0),"FARM_CAREER_0",IF(COUNT(F234:G234)&lt;2,"UNKNOWN_GP",IF(AND(F234=0,G234=0),IF(AD234&gt;=10,"FARM_LEGACY_10",IF(AND(ISNUMBER(AD234),AD234&gt;0),"FARM_CAREER_1_9","FARM_0_0")),IF(F234&gt;=1,IF(F234&lt;=3,"FARM_RECENT_1_3","FARM_RECENT_4_9"),"FARM_PREV_1_9_ONLY")))))))</x:f>
        <x:v>UNKNOWN_GP</x:v>
      </x:c>
      <x:c r="AF234" s="57" t="n">
        <x:f>AB234-T234</x:f>
        <x:v>0</x:v>
      </x:c>
      <x:c r="AG234" s="57" t="n">
        <x:f>AC234-U234</x:f>
        <x:v>0</x:v>
      </x:c>
    </x:row>
    <x:row r="235">
      <x:c r="A235" t="s">
        <x:v>1248</x:v>
      </x:c>
      <x:c r="C235" t="s">
        <x:v>319</x:v>
      </x:c>
      <x:c r="D235">
        <x:v>8482785</x:v>
      </x:c>
      <x:c r="E235" t="s">
        <x:v>267</x:v>
      </x:c>
      <x:c r="J235" t="s">
        <x:v>2474</x:v>
      </x:c>
      <x:c r="K235">
        <x:v>64</x:v>
      </x:c>
      <x:c r="L235">
        <x:v>42</x:v>
      </x:c>
      <x:c r="M235">
        <x:v>91</x:v>
      </x:c>
      <x:c r="N235">
        <x:v>48</x:v>
      </x:c>
      <x:c r="O235">
        <x:v>73</x:v>
      </x:c>
      <x:c r="P235">
        <x:v>87</x:v>
      </x:c>
      <x:c r="Q235">
        <x:v>89</x:v>
      </x:c>
      <x:c r="R235">
        <x:v>49</x:v>
      </x:c>
      <x:c r="S235">
        <x:v>83</x:v>
      </x:c>
      <x:c r="T235" s="63" t="n">
        <x:f>MAX(30,MIN(AB235-VLOOKUP(AE235,'AHL_PA_SC_BALANCE'!$A$8:$E$18,2,FALSE),VLOOKUP(AE235,'AHL_PA_SC_BALANCE'!$A$8:$E$18,4,FALSE)))</x:f>
        <x:v>52</x:v>
      </x:c>
      <x:c r="U235" s="63" t="n">
        <x:f>MAX(30,MIN(AC235-VLOOKUP(AE235,'AHL_PA_SC_BALANCE'!$A$8:$E$18,3,FALSE),VLOOKUP(AE235,'AHL_PA_SC_BALANCE'!$A$8:$E$18,5,FALSE)))</x:f>
        <x:v>47</x:v>
      </x:c>
      <x:c r="V235">
        <x:v>62</x:v>
      </x:c>
      <x:c r="W235">
        <x:v>72</x:v>
      </x:c>
      <x:c r="X235">
        <x:v>66</x:v>
      </x:c>
      <x:c r="Y235">
        <x:v>67</x:v>
      </x:c>
      <x:c r="Z235">
        <x:v>51</x:v>
      </x:c>
      <x:c r="AA235">
        <x:v>52</x:v>
      </x:c>
      <x:c r="AB235" s="57" t="n">
        <x:v>52</x:v>
      </x:c>
      <x:c r="AC235" s="57" t="n">
        <x:v>47</x:v>
      </x:c>
      <x:c r="AD235" s="59"/>
      <x:c r="AE235" s="61" t="str">
        <x:f>IF(N(F235)&gt;=10,"NHL_LATEST_10",IF(AND(N(F235)&gt;0,N(G235)&gt;0),"NHL_BOTH_SEASONS",IF(N(G235)&gt;=10,"NHL_PREVIOUS_10",IF(AND(ISNUMBER(AD235),AD235=0,SUM(F235:G235)=0),"FARM_CAREER_0",IF(COUNT(F235:G235)&lt;2,"UNKNOWN_GP",IF(AND(F235=0,G235=0),IF(AD235&gt;=10,"FARM_LEGACY_10",IF(AND(ISNUMBER(AD235),AD235&gt;0),"FARM_CAREER_1_9","FARM_0_0")),IF(F235&gt;=1,IF(F235&lt;=3,"FARM_RECENT_1_3","FARM_RECENT_4_9"),"FARM_PREV_1_9_ONLY")))))))</x:f>
        <x:v>UNKNOWN_GP</x:v>
      </x:c>
      <x:c r="AF235" s="57" t="n">
        <x:f>AB235-T235</x:f>
        <x:v>0</x:v>
      </x:c>
      <x:c r="AG235" s="57" t="n">
        <x:f>AC235-U235</x:f>
        <x:v>0</x:v>
      </x:c>
    </x:row>
    <x:row r="236">
      <x:c r="A236" t="s">
        <x:v>1249</x:v>
      </x:c>
      <x:c r="C236" t="s">
        <x:v>358</x:v>
      </x:c>
      <x:c r="D236">
        <x:v>8483531</x:v>
      </x:c>
      <x:c r="E236" t="s">
        <x:v>267</x:v>
      </x:c>
      <x:c r="J236" t="s">
        <x:v>2474</x:v>
      </x:c>
      <x:c r="K236">
        <x:v>70</x:v>
      </x:c>
      <x:c r="L236">
        <x:v>74</x:v>
      </x:c>
      <x:c r="M236">
        <x:v>88</x:v>
      </x:c>
      <x:c r="N236">
        <x:v>48</x:v>
      </x:c>
      <x:c r="O236">
        <x:v>80</x:v>
      </x:c>
      <x:c r="P236">
        <x:v>77</x:v>
      </x:c>
      <x:c r="Q236">
        <x:v>85</x:v>
      </x:c>
      <x:c r="R236">
        <x:v>48</x:v>
      </x:c>
      <x:c r="S236">
        <x:v>60</x:v>
      </x:c>
      <x:c r="T236" s="63" t="n">
        <x:f>MAX(30,MIN(AB236-VLOOKUP(AE236,'AHL_PA_SC_BALANCE'!$A$8:$E$18,2,FALSE),VLOOKUP(AE236,'AHL_PA_SC_BALANCE'!$A$8:$E$18,4,FALSE)))</x:f>
        <x:v>49</x:v>
      </x:c>
      <x:c r="U236" s="63" t="n">
        <x:f>MAX(30,MIN(AC236-VLOOKUP(AE236,'AHL_PA_SC_BALANCE'!$A$8:$E$18,3,FALSE),VLOOKUP(AE236,'AHL_PA_SC_BALANCE'!$A$8:$E$18,5,FALSE)))</x:f>
        <x:v>50</x:v>
      </x:c>
      <x:c r="V236">
        <x:v>59</x:v>
      </x:c>
      <x:c r="W236">
        <x:v>56</x:v>
      </x:c>
      <x:c r="X236">
        <x:v>69</x:v>
      </x:c>
      <x:c r="Y236">
        <x:v>68</x:v>
      </x:c>
      <x:c r="Z236">
        <x:v>51</x:v>
      </x:c>
      <x:c r="AA236">
        <x:v>52</x:v>
      </x:c>
      <x:c r="AB236" s="57" t="n">
        <x:v>49</x:v>
      </x:c>
      <x:c r="AC236" s="57" t="n">
        <x:v>50</x:v>
      </x:c>
      <x:c r="AD236" s="59"/>
      <x:c r="AE236" s="61" t="str">
        <x:f>IF(N(F236)&gt;=10,"NHL_LATEST_10",IF(AND(N(F236)&gt;0,N(G236)&gt;0),"NHL_BOTH_SEASONS",IF(N(G236)&gt;=10,"NHL_PREVIOUS_10",IF(AND(ISNUMBER(AD236),AD236=0,SUM(F236:G236)=0),"FARM_CAREER_0",IF(COUNT(F236:G236)&lt;2,"UNKNOWN_GP",IF(AND(F236=0,G236=0),IF(AD236&gt;=10,"FARM_LEGACY_10",IF(AND(ISNUMBER(AD236),AD236&gt;0),"FARM_CAREER_1_9","FARM_0_0")),IF(F236&gt;=1,IF(F236&lt;=3,"FARM_RECENT_1_3","FARM_RECENT_4_9"),"FARM_PREV_1_9_ONLY")))))))</x:f>
        <x:v>UNKNOWN_GP</x:v>
      </x:c>
      <x:c r="AF236" s="57" t="n">
        <x:f>AB236-T236</x:f>
        <x:v>0</x:v>
      </x:c>
      <x:c r="AG236" s="57" t="n">
        <x:f>AC236-U236</x:f>
        <x:v>0</x:v>
      </x:c>
    </x:row>
    <x:row r="237">
      <x:c r="A237" t="s">
        <x:v>1250</x:v>
      </x:c>
      <x:c r="C237" t="s">
        <x:v>319</x:v>
      </x:c>
      <x:c r="D237">
        <x:v>8484160</x:v>
      </x:c>
      <x:c r="E237" t="s">
        <x:v>267</x:v>
      </x:c>
      <x:c r="J237" t="s">
        <x:v>2474</x:v>
      </x:c>
      <x:c r="K237">
        <x:v>55</x:v>
      </x:c>
      <x:c r="L237">
        <x:v>37</x:v>
      </x:c>
      <x:c r="M237">
        <x:v>93</x:v>
      </x:c>
      <x:c r="N237">
        <x:v>49</x:v>
      </x:c>
      <x:c r="O237">
        <x:v>79</x:v>
      </x:c>
      <x:c r="P237">
        <x:v>83</x:v>
      </x:c>
      <x:c r="Q237">
        <x:v>77</x:v>
      </x:c>
      <x:c r="R237">
        <x:v>47</x:v>
      </x:c>
      <x:c r="S237">
        <x:v>79</x:v>
      </x:c>
      <x:c r="T237" s="63" t="n">
        <x:f>MAX(30,MIN(AB237-VLOOKUP(AE237,'AHL_PA_SC_BALANCE'!$A$8:$E$18,2,FALSE),VLOOKUP(AE237,'AHL_PA_SC_BALANCE'!$A$8:$E$18,4,FALSE)))</x:f>
        <x:v>50</x:v>
      </x:c>
      <x:c r="U237" s="63" t="n">
        <x:f>MAX(30,MIN(AC237-VLOOKUP(AE237,'AHL_PA_SC_BALANCE'!$A$8:$E$18,3,FALSE),VLOOKUP(AE237,'AHL_PA_SC_BALANCE'!$A$8:$E$18,5,FALSE)))</x:f>
        <x:v>49</x:v>
      </x:c>
      <x:c r="V237">
        <x:v>59</x:v>
      </x:c>
      <x:c r="W237">
        <x:v>55</x:v>
      </x:c>
      <x:c r="X237">
        <x:v>65</x:v>
      </x:c>
      <x:c r="Y237">
        <x:v>66</x:v>
      </x:c>
      <x:c r="Z237">
        <x:v>51</x:v>
      </x:c>
      <x:c r="AA237">
        <x:v>52</x:v>
      </x:c>
      <x:c r="AB237" s="57" t="n">
        <x:v>50</x:v>
      </x:c>
      <x:c r="AC237" s="57" t="n">
        <x:v>49</x:v>
      </x:c>
      <x:c r="AD237" s="59"/>
      <x:c r="AE237" s="61" t="str">
        <x:f>IF(N(F237)&gt;=10,"NHL_LATEST_10",IF(AND(N(F237)&gt;0,N(G237)&gt;0),"NHL_BOTH_SEASONS",IF(N(G237)&gt;=10,"NHL_PREVIOUS_10",IF(AND(ISNUMBER(AD237),AD237=0,SUM(F237:G237)=0),"FARM_CAREER_0",IF(COUNT(F237:G237)&lt;2,"UNKNOWN_GP",IF(AND(F237=0,G237=0),IF(AD237&gt;=10,"FARM_LEGACY_10",IF(AND(ISNUMBER(AD237),AD237&gt;0),"FARM_CAREER_1_9","FARM_0_0")),IF(F237&gt;=1,IF(F237&lt;=3,"FARM_RECENT_1_3","FARM_RECENT_4_9"),"FARM_PREV_1_9_ONLY")))))))</x:f>
        <x:v>UNKNOWN_GP</x:v>
      </x:c>
      <x:c r="AF237" s="57" t="n">
        <x:f>AB237-T237</x:f>
        <x:v>0</x:v>
      </x:c>
      <x:c r="AG237" s="57" t="n">
        <x:f>AC237-U237</x:f>
        <x:v>0</x:v>
      </x:c>
    </x:row>
    <x:row r="238">
      <x:c r="A238" t="s">
        <x:v>1251</x:v>
      </x:c>
      <x:c r="C238" t="s">
        <x:v>358</x:v>
      </x:c>
      <x:c r="D238">
        <x:v>8478881</x:v>
      </x:c>
      <x:c r="E238" t="s">
        <x:v>267</x:v>
      </x:c>
      <x:c r="J238" t="s">
        <x:v>2474</x:v>
      </x:c>
      <x:c r="K238">
        <x:v>71</x:v>
      </x:c>
      <x:c r="L238">
        <x:v>38</x:v>
      </x:c>
      <x:c r="M238">
        <x:v>78</x:v>
      </x:c>
      <x:c r="N238">
        <x:v>47</x:v>
      </x:c>
      <x:c r="O238">
        <x:v>73</x:v>
      </x:c>
      <x:c r="P238">
        <x:v>88</x:v>
      </x:c>
      <x:c r="Q238">
        <x:v>90</x:v>
      </x:c>
      <x:c r="R238">
        <x:v>48</x:v>
      </x:c>
      <x:c r="S238">
        <x:v>71</x:v>
      </x:c>
      <x:c r="T238" s="63" t="n">
        <x:f>MAX(30,MIN(AB238-VLOOKUP(AE238,'AHL_PA_SC_BALANCE'!$A$8:$E$18,2,FALSE),VLOOKUP(AE238,'AHL_PA_SC_BALANCE'!$A$8:$E$18,4,FALSE)))</x:f>
        <x:v>50</x:v>
      </x:c>
      <x:c r="U238" s="63" t="n">
        <x:f>MAX(30,MIN(AC238-VLOOKUP(AE238,'AHL_PA_SC_BALANCE'!$A$8:$E$18,3,FALSE),VLOOKUP(AE238,'AHL_PA_SC_BALANCE'!$A$8:$E$18,5,FALSE)))</x:f>
        <x:v>45</x:v>
      </x:c>
      <x:c r="V238">
        <x:v>62</x:v>
      </x:c>
      <x:c r="W238">
        <x:v>69</x:v>
      </x:c>
      <x:c r="X238">
        <x:v>72</x:v>
      </x:c>
      <x:c r="Y238">
        <x:v>71</x:v>
      </x:c>
      <x:c r="Z238">
        <x:v>51</x:v>
      </x:c>
      <x:c r="AA238">
        <x:v>52</x:v>
      </x:c>
      <x:c r="AB238" s="57" t="n">
        <x:v>50</x:v>
      </x:c>
      <x:c r="AC238" s="57" t="n">
        <x:v>45</x:v>
      </x:c>
      <x:c r="AD238" s="59"/>
      <x:c r="AE238" s="61" t="str">
        <x:f>IF(N(F238)&gt;=10,"NHL_LATEST_10",IF(AND(N(F238)&gt;0,N(G238)&gt;0),"NHL_BOTH_SEASONS",IF(N(G238)&gt;=10,"NHL_PREVIOUS_10",IF(AND(ISNUMBER(AD238),AD238=0,SUM(F238:G238)=0),"FARM_CAREER_0",IF(COUNT(F238:G238)&lt;2,"UNKNOWN_GP",IF(AND(F238=0,G238=0),IF(AD238&gt;=10,"FARM_LEGACY_10",IF(AND(ISNUMBER(AD238),AD238&gt;0),"FARM_CAREER_1_9","FARM_0_0")),IF(F238&gt;=1,IF(F238&lt;=3,"FARM_RECENT_1_3","FARM_RECENT_4_9"),"FARM_PREV_1_9_ONLY")))))))</x:f>
        <x:v>UNKNOWN_GP</x:v>
      </x:c>
      <x:c r="AF238" s="57" t="n">
        <x:f>AB238-T238</x:f>
        <x:v>0</x:v>
      </x:c>
      <x:c r="AG238" s="57" t="n">
        <x:f>AC238-U238</x:f>
        <x:v>0</x:v>
      </x:c>
    </x:row>
    <x:row r="239">
      <x:c r="A239" t="s">
        <x:v>1252</x:v>
      </x:c>
      <x:c r="C239" t="s">
        <x:v>331</x:v>
      </x:c>
      <x:c r="D239">
        <x:v>8484833</x:v>
      </x:c>
      <x:c r="E239" t="s">
        <x:v>267</x:v>
      </x:c>
      <x:c r="J239" t="s">
        <x:v>2474</x:v>
      </x:c>
      <x:c r="K239">
        <x:v>86</x:v>
      </x:c>
      <x:c r="L239">
        <x:v>40</x:v>
      </x:c>
      <x:c r="M239">
        <x:v>80</x:v>
      </x:c>
      <x:c r="N239">
        <x:v>32</x:v>
      </x:c>
      <x:c r="O239">
        <x:v>88</x:v>
      </x:c>
      <x:c r="P239">
        <x:v>75</x:v>
      </x:c>
      <x:c r="Q239">
        <x:v>77</x:v>
      </x:c>
      <x:c r="R239">
        <x:v>32</x:v>
      </x:c>
      <x:c r="S239">
        <x:v>30</x:v>
      </x:c>
      <x:c r="T239" s="63" t="n">
        <x:f>MAX(30,MIN(AB239-VLOOKUP(AE239,'AHL_PA_SC_BALANCE'!$A$8:$E$18,2,FALSE),VLOOKUP(AE239,'AHL_PA_SC_BALANCE'!$A$8:$E$18,4,FALSE)))</x:f>
        <x:v>41</x:v>
      </x:c>
      <x:c r="U239" s="63" t="n">
        <x:f>MAX(30,MIN(AC239-VLOOKUP(AE239,'AHL_PA_SC_BALANCE'!$A$8:$E$18,3,FALSE),VLOOKUP(AE239,'AHL_PA_SC_BALANCE'!$A$8:$E$18,5,FALSE)))</x:f>
        <x:v>37</x:v>
      </x:c>
      <x:c r="V239">
        <x:v>65</x:v>
      </x:c>
      <x:c r="W239">
        <x:v>44</x:v>
      </x:c>
      <x:c r="X239">
        <x:v>69</x:v>
      </x:c>
      <x:c r="Y239">
        <x:v>69</x:v>
      </x:c>
      <x:c r="Z239">
        <x:v>51</x:v>
      </x:c>
      <x:c r="AA239">
        <x:v>52</x:v>
      </x:c>
      <x:c r="AB239" s="57" t="n">
        <x:v>41</x:v>
      </x:c>
      <x:c r="AC239" s="57" t="n">
        <x:v>37</x:v>
      </x:c>
      <x:c r="AD239" s="59"/>
      <x:c r="AE239" s="61" t="str">
        <x:f>IF(N(F239)&gt;=10,"NHL_LATEST_10",IF(AND(N(F239)&gt;0,N(G239)&gt;0),"NHL_BOTH_SEASONS",IF(N(G239)&gt;=10,"NHL_PREVIOUS_10",IF(AND(ISNUMBER(AD239),AD239=0,SUM(F239:G239)=0),"FARM_CAREER_0",IF(COUNT(F239:G239)&lt;2,"UNKNOWN_GP",IF(AND(F239=0,G239=0),IF(AD239&gt;=10,"FARM_LEGACY_10",IF(AND(ISNUMBER(AD239),AD239&gt;0),"FARM_CAREER_1_9","FARM_0_0")),IF(F239&gt;=1,IF(F239&lt;=3,"FARM_RECENT_1_3","FARM_RECENT_4_9"),"FARM_PREV_1_9_ONLY")))))))</x:f>
        <x:v>UNKNOWN_GP</x:v>
      </x:c>
      <x:c r="AF239" s="57" t="n">
        <x:f>AB239-T239</x:f>
        <x:v>0</x:v>
      </x:c>
      <x:c r="AG239" s="57" t="n">
        <x:f>AC239-U239</x:f>
        <x:v>0</x:v>
      </x:c>
    </x:row>
    <x:row r="240">
      <x:c r="A240" t="s">
        <x:v>1253</x:v>
      </x:c>
      <x:c r="C240" t="s">
        <x:v>319</x:v>
      </x:c>
      <x:c r="D240">
        <x:v>8482090</x:v>
      </x:c>
      <x:c r="E240" t="s">
        <x:v>267</x:v>
      </x:c>
      <x:c r="J240" t="s">
        <x:v>2474</x:v>
      </x:c>
      <x:c r="K240">
        <x:v>71</x:v>
      </x:c>
      <x:c r="L240">
        <x:v>72</x:v>
      </x:c>
      <x:c r="M240">
        <x:v>80</x:v>
      </x:c>
      <x:c r="N240">
        <x:v>47</x:v>
      </x:c>
      <x:c r="O240">
        <x:v>88</x:v>
      </x:c>
      <x:c r="P240">
        <x:v>81</x:v>
      </x:c>
      <x:c r="Q240">
        <x:v>76</x:v>
      </x:c>
      <x:c r="R240">
        <x:v>48</x:v>
      </x:c>
      <x:c r="S240">
        <x:v>83</x:v>
      </x:c>
      <x:c r="T240" s="63" t="n">
        <x:f>MAX(30,MIN(AB240-VLOOKUP(AE240,'AHL_PA_SC_BALANCE'!$A$8:$E$18,2,FALSE),VLOOKUP(AE240,'AHL_PA_SC_BALANCE'!$A$8:$E$18,4,FALSE)))</x:f>
        <x:v>48</x:v>
      </x:c>
      <x:c r="U240" s="63" t="n">
        <x:f>MAX(30,MIN(AC240-VLOOKUP(AE240,'AHL_PA_SC_BALANCE'!$A$8:$E$18,3,FALSE),VLOOKUP(AE240,'AHL_PA_SC_BALANCE'!$A$8:$E$18,5,FALSE)))</x:f>
        <x:v>48</x:v>
      </x:c>
      <x:c r="V240">
        <x:v>62</x:v>
      </x:c>
      <x:c r="W240">
        <x:v>56</x:v>
      </x:c>
      <x:c r="X240">
        <x:v>67</x:v>
      </x:c>
      <x:c r="Y240">
        <x:v>68</x:v>
      </x:c>
      <x:c r="Z240">
        <x:v>51</x:v>
      </x:c>
      <x:c r="AA240">
        <x:v>52</x:v>
      </x:c>
      <x:c r="AB240" s="57" t="n">
        <x:v>48</x:v>
      </x:c>
      <x:c r="AC240" s="57" t="n">
        <x:v>48</x:v>
      </x:c>
      <x:c r="AD240" s="59"/>
      <x:c r="AE240" s="61" t="str">
        <x:f>IF(N(F240)&gt;=10,"NHL_LATEST_10",IF(AND(N(F240)&gt;0,N(G240)&gt;0),"NHL_BOTH_SEASONS",IF(N(G240)&gt;=10,"NHL_PREVIOUS_10",IF(AND(ISNUMBER(AD240),AD240=0,SUM(F240:G240)=0),"FARM_CAREER_0",IF(COUNT(F240:G240)&lt;2,"UNKNOWN_GP",IF(AND(F240=0,G240=0),IF(AD240&gt;=10,"FARM_LEGACY_10",IF(AND(ISNUMBER(AD240),AD240&gt;0),"FARM_CAREER_1_9","FARM_0_0")),IF(F240&gt;=1,IF(F240&lt;=3,"FARM_RECENT_1_3","FARM_RECENT_4_9"),"FARM_PREV_1_9_ONLY")))))))</x:f>
        <x:v>UNKNOWN_GP</x:v>
      </x:c>
      <x:c r="AF240" s="57" t="n">
        <x:f>AB240-T240</x:f>
        <x:v>0</x:v>
      </x:c>
      <x:c r="AG240" s="57" t="n">
        <x:f>AC240-U240</x:f>
        <x:v>0</x:v>
      </x:c>
    </x:row>
    <x:row r="241">
      <x:c r="A241" t="s">
        <x:v>1254</x:v>
      </x:c>
      <x:c r="C241" t="s">
        <x:v>331</x:v>
      </x:c>
      <x:c r="D241">
        <x:v>8483590</x:v>
      </x:c>
      <x:c r="E241" t="s">
        <x:v>267</x:v>
      </x:c>
      <x:c r="J241" t="s">
        <x:v>2474</x:v>
      </x:c>
      <x:c r="K241">
        <x:v>75</x:v>
      </x:c>
      <x:c r="L241">
        <x:v>33</x:v>
      </x:c>
      <x:c r="M241">
        <x:v>72</x:v>
      </x:c>
      <x:c r="N241">
        <x:v>30</x:v>
      </x:c>
      <x:c r="O241">
        <x:v>82</x:v>
      </x:c>
      <x:c r="P241">
        <x:v>76</x:v>
      </x:c>
      <x:c r="Q241">
        <x:v>78</x:v>
      </x:c>
      <x:c r="R241">
        <x:v>31</x:v>
      </x:c>
      <x:c r="S241">
        <x:v>30</x:v>
      </x:c>
      <x:c r="T241" s="63" t="n">
        <x:f>MAX(30,MIN(AB241-VLOOKUP(AE241,'AHL_PA_SC_BALANCE'!$A$8:$E$18,2,FALSE),VLOOKUP(AE241,'AHL_PA_SC_BALANCE'!$A$8:$E$18,4,FALSE)))</x:f>
        <x:v>41</x:v>
      </x:c>
      <x:c r="U241" s="63" t="n">
        <x:f>MAX(30,MIN(AC241-VLOOKUP(AE241,'AHL_PA_SC_BALANCE'!$A$8:$E$18,3,FALSE),VLOOKUP(AE241,'AHL_PA_SC_BALANCE'!$A$8:$E$18,5,FALSE)))</x:f>
        <x:v>37</x:v>
      </x:c>
      <x:c r="V241">
        <x:v>65</x:v>
      </x:c>
      <x:c r="W241">
        <x:v>44</x:v>
      </x:c>
      <x:c r="X241">
        <x:v>69</x:v>
      </x:c>
      <x:c r="Y241">
        <x:v>68</x:v>
      </x:c>
      <x:c r="Z241">
        <x:v>51</x:v>
      </x:c>
      <x:c r="AA241">
        <x:v>52</x:v>
      </x:c>
      <x:c r="AB241" s="57" t="n">
        <x:v>41</x:v>
      </x:c>
      <x:c r="AC241" s="57" t="n">
        <x:v>37</x:v>
      </x:c>
      <x:c r="AD241" s="59"/>
      <x:c r="AE241" s="61" t="str">
        <x:f>IF(N(F241)&gt;=10,"NHL_LATEST_10",IF(AND(N(F241)&gt;0,N(G241)&gt;0),"NHL_BOTH_SEASONS",IF(N(G241)&gt;=10,"NHL_PREVIOUS_10",IF(AND(ISNUMBER(AD241),AD241=0,SUM(F241:G241)=0),"FARM_CAREER_0",IF(COUNT(F241:G241)&lt;2,"UNKNOWN_GP",IF(AND(F241=0,G241=0),IF(AD241&gt;=10,"FARM_LEGACY_10",IF(AND(ISNUMBER(AD241),AD241&gt;0),"FARM_CAREER_1_9","FARM_0_0")),IF(F241&gt;=1,IF(F241&lt;=3,"FARM_RECENT_1_3","FARM_RECENT_4_9"),"FARM_PREV_1_9_ONLY")))))))</x:f>
        <x:v>UNKNOWN_GP</x:v>
      </x:c>
      <x:c r="AF241" s="57" t="n">
        <x:f>AB241-T241</x:f>
        <x:v>0</x:v>
      </x:c>
      <x:c r="AG241" s="57" t="n">
        <x:f>AC241-U241</x:f>
        <x:v>0</x:v>
      </x:c>
    </x:row>
    <x:row r="242">
      <x:c r="A242" t="s">
        <x:v>1255</x:v>
      </x:c>
      <x:c r="C242" t="s">
        <x:v>358</x:v>
      </x:c>
      <x:c r="D242">
        <x:v>8482451</x:v>
      </x:c>
      <x:c r="E242" t="s">
        <x:v>267</x:v>
      </x:c>
      <x:c r="J242" t="s">
        <x:v>2474</x:v>
      </x:c>
      <x:c r="K242">
        <x:v>62</x:v>
      </x:c>
      <x:c r="L242">
        <x:v>31</x:v>
      </x:c>
      <x:c r="M242">
        <x:v>88</x:v>
      </x:c>
      <x:c r="N242">
        <x:v>48</x:v>
      </x:c>
      <x:c r="O242">
        <x:v>76</x:v>
      </x:c>
      <x:c r="P242">
        <x:v>87</x:v>
      </x:c>
      <x:c r="Q242">
        <x:v>90</x:v>
      </x:c>
      <x:c r="R242">
        <x:v>49</x:v>
      </x:c>
      <x:c r="S242">
        <x:v>63</x:v>
      </x:c>
      <x:c r="T242" s="63" t="n">
        <x:f>MAX(30,MIN(AB242-VLOOKUP(AE242,'AHL_PA_SC_BALANCE'!$A$8:$E$18,2,FALSE),VLOOKUP(AE242,'AHL_PA_SC_BALANCE'!$A$8:$E$18,4,FALSE)))</x:f>
        <x:v>50</x:v>
      </x:c>
      <x:c r="U242" s="63" t="n">
        <x:f>MAX(30,MIN(AC242-VLOOKUP(AE242,'AHL_PA_SC_BALANCE'!$A$8:$E$18,3,FALSE),VLOOKUP(AE242,'AHL_PA_SC_BALANCE'!$A$8:$E$18,5,FALSE)))</x:f>
        <x:v>54</x:v>
      </x:c>
      <x:c r="V242">
        <x:v>66</x:v>
      </x:c>
      <x:c r="W242">
        <x:v>70</x:v>
      </x:c>
      <x:c r="X242">
        <x:v>69</x:v>
      </x:c>
      <x:c r="Y242">
        <x:v>68</x:v>
      </x:c>
      <x:c r="Z242">
        <x:v>51</x:v>
      </x:c>
      <x:c r="AA242">
        <x:v>52</x:v>
      </x:c>
      <x:c r="AB242" s="57" t="n">
        <x:v>50</x:v>
      </x:c>
      <x:c r="AC242" s="57" t="n">
        <x:v>54</x:v>
      </x:c>
      <x:c r="AD242" s="59"/>
      <x:c r="AE242" s="61" t="str">
        <x:f>IF(N(F242)&gt;=10,"NHL_LATEST_10",IF(AND(N(F242)&gt;0,N(G242)&gt;0),"NHL_BOTH_SEASONS",IF(N(G242)&gt;=10,"NHL_PREVIOUS_10",IF(AND(ISNUMBER(AD242),AD242=0,SUM(F242:G242)=0),"FARM_CAREER_0",IF(COUNT(F242:G242)&lt;2,"UNKNOWN_GP",IF(AND(F242=0,G242=0),IF(AD242&gt;=10,"FARM_LEGACY_10",IF(AND(ISNUMBER(AD242),AD242&gt;0),"FARM_CAREER_1_9","FARM_0_0")),IF(F242&gt;=1,IF(F242&lt;=3,"FARM_RECENT_1_3","FARM_RECENT_4_9"),"FARM_PREV_1_9_ONLY")))))))</x:f>
        <x:v>UNKNOWN_GP</x:v>
      </x:c>
      <x:c r="AF242" s="57" t="n">
        <x:f>AB242-T242</x:f>
        <x:v>0</x:v>
      </x:c>
      <x:c r="AG242" s="57" t="n">
        <x:f>AC242-U242</x:f>
        <x:v>0</x:v>
      </x:c>
    </x:row>
    <x:row r="243">
      <x:c r="A243" t="s">
        <x:v>1256</x:v>
      </x:c>
      <x:c r="C243" t="s">
        <x:v>319</x:v>
      </x:c>
      <x:c r="D243">
        <x:v>8483538</x:v>
      </x:c>
      <x:c r="E243" t="s">
        <x:v>267</x:v>
      </x:c>
      <x:c r="J243" t="s">
        <x:v>2474</x:v>
      </x:c>
      <x:c r="K243">
        <x:v>61</x:v>
      </x:c>
      <x:c r="L243">
        <x:v>36</x:v>
      </x:c>
      <x:c r="M243">
        <x:v>83</x:v>
      </x:c>
      <x:c r="N243">
        <x:v>44</x:v>
      </x:c>
      <x:c r="O243">
        <x:v>76</x:v>
      </x:c>
      <x:c r="P243">
        <x:v>89</x:v>
      </x:c>
      <x:c r="Q243">
        <x:v>92</x:v>
      </x:c>
      <x:c r="R243">
        <x:v>45</x:v>
      </x:c>
      <x:c r="S243">
        <x:v>77</x:v>
      </x:c>
      <x:c r="T243" s="63" t="n">
        <x:f>MAX(30,MIN(AB243-VLOOKUP(AE243,'AHL_PA_SC_BALANCE'!$A$8:$E$18,2,FALSE),VLOOKUP(AE243,'AHL_PA_SC_BALANCE'!$A$8:$E$18,4,FALSE)))</x:f>
        <x:v>45</x:v>
      </x:c>
      <x:c r="U243" s="63" t="n">
        <x:f>MAX(30,MIN(AC243-VLOOKUP(AE243,'AHL_PA_SC_BALANCE'!$A$8:$E$18,3,FALSE),VLOOKUP(AE243,'AHL_PA_SC_BALANCE'!$A$8:$E$18,5,FALSE)))</x:f>
        <x:v>44</x:v>
      </x:c>
      <x:c r="V243">
        <x:v>63</x:v>
      </x:c>
      <x:c r="W243">
        <x:v>65</x:v>
      </x:c>
      <x:c r="X243">
        <x:v>71</x:v>
      </x:c>
      <x:c r="Y243">
        <x:v>72</x:v>
      </x:c>
      <x:c r="Z243">
        <x:v>51</x:v>
      </x:c>
      <x:c r="AA243">
        <x:v>52</x:v>
      </x:c>
      <x:c r="AB243" s="57" t="n">
        <x:v>45</x:v>
      </x:c>
      <x:c r="AC243" s="57" t="n">
        <x:v>44</x:v>
      </x:c>
      <x:c r="AD243" s="59"/>
      <x:c r="AE243" s="61" t="str">
        <x:f>IF(N(F243)&gt;=10,"NHL_LATEST_10",IF(AND(N(F243)&gt;0,N(G243)&gt;0),"NHL_BOTH_SEASONS",IF(N(G243)&gt;=10,"NHL_PREVIOUS_10",IF(AND(ISNUMBER(AD243),AD243=0,SUM(F243:G243)=0),"FARM_CAREER_0",IF(COUNT(F243:G243)&lt;2,"UNKNOWN_GP",IF(AND(F243=0,G243=0),IF(AD243&gt;=10,"FARM_LEGACY_10",IF(AND(ISNUMBER(AD243),AD243&gt;0),"FARM_CAREER_1_9","FARM_0_0")),IF(F243&gt;=1,IF(F243&lt;=3,"FARM_RECENT_1_3","FARM_RECENT_4_9"),"FARM_PREV_1_9_ONLY")))))))</x:f>
        <x:v>UNKNOWN_GP</x:v>
      </x:c>
      <x:c r="AF243" s="57" t="n">
        <x:f>AB243-T243</x:f>
        <x:v>0</x:v>
      </x:c>
      <x:c r="AG243" s="57" t="n">
        <x:f>AC243-U243</x:f>
        <x:v>0</x:v>
      </x:c>
    </x:row>
    <x:row r="244">
      <x:c r="A244" t="s">
        <x:v>1257</x:v>
      </x:c>
      <x:c r="B244" t="s">
        <x:v>584</x:v>
      </x:c>
      <x:c r="C244" t="s">
        <x:v>331</x:v>
      </x:c>
      <x:c r="D244">
        <x:v>8484756</x:v>
      </x:c>
      <x:c r="E244" t="s">
        <x:v>267</x:v>
      </x:c>
      <x:c r="J244" t="s">
        <x:v>2476</x:v>
      </x:c>
      <x:c r="K244">
        <x:v>77</x:v>
      </x:c>
      <x:c r="L244">
        <x:v>39</x:v>
      </x:c>
      <x:c r="M244">
        <x:v>76</x:v>
      </x:c>
      <x:c r="N244">
        <x:v>32</x:v>
      </x:c>
      <x:c r="O244">
        <x:v>82</x:v>
      </x:c>
      <x:c r="P244">
        <x:v>83</x:v>
      </x:c>
      <x:c r="Q244">
        <x:v>87</x:v>
      </x:c>
      <x:c r="R244">
        <x:v>31</x:v>
      </x:c>
      <x:c r="S244">
        <x:v>30</x:v>
      </x:c>
      <x:c r="T244" s="63" t="n">
        <x:f>MAX(30,MIN(AB244-VLOOKUP(AE244,'AHL_PA_SC_BALANCE'!$A$8:$E$18,2,FALSE),VLOOKUP(AE244,'AHL_PA_SC_BALANCE'!$A$8:$E$18,4,FALSE)))</x:f>
        <x:v>42</x:v>
      </x:c>
      <x:c r="U244" s="63" t="n">
        <x:f>MAX(30,MIN(AC244-VLOOKUP(AE244,'AHL_PA_SC_BALANCE'!$A$8:$E$18,3,FALSE),VLOOKUP(AE244,'AHL_PA_SC_BALANCE'!$A$8:$E$18,5,FALSE)))</x:f>
        <x:v>39</x:v>
      </x:c>
      <x:c r="V244">
        <x:v>67</x:v>
      </x:c>
      <x:c r="W244">
        <x:v>46</x:v>
      </x:c>
      <x:c r="X244">
        <x:v>70</x:v>
      </x:c>
      <x:c r="Y244">
        <x:v>69</x:v>
      </x:c>
      <x:c r="Z244">
        <x:v>51</x:v>
      </x:c>
      <x:c r="AA244">
        <x:v>52</x:v>
      </x:c>
      <x:c r="AB244" s="57" t="n">
        <x:v>42</x:v>
      </x:c>
      <x:c r="AC244" s="57" t="n">
        <x:v>39</x:v>
      </x:c>
      <x:c r="AD244" s="59"/>
      <x:c r="AE244" s="61" t="str">
        <x:f>IF(N(F244)&gt;=10,"NHL_LATEST_10",IF(AND(N(F244)&gt;0,N(G244)&gt;0),"NHL_BOTH_SEASONS",IF(N(G244)&gt;=10,"NHL_PREVIOUS_10",IF(AND(ISNUMBER(AD244),AD244=0,SUM(F244:G244)=0),"FARM_CAREER_0",IF(COUNT(F244:G244)&lt;2,"UNKNOWN_GP",IF(AND(F244=0,G244=0),IF(AD244&gt;=10,"FARM_LEGACY_10",IF(AND(ISNUMBER(AD244),AD244&gt;0),"FARM_CAREER_1_9","FARM_0_0")),IF(F244&gt;=1,IF(F244&lt;=3,"FARM_RECENT_1_3","FARM_RECENT_4_9"),"FARM_PREV_1_9_ONLY")))))))</x:f>
        <x:v>UNKNOWN_GP</x:v>
      </x:c>
      <x:c r="AF244" s="57" t="n">
        <x:f>AB244-T244</x:f>
        <x:v>0</x:v>
      </x:c>
      <x:c r="AG244" s="57" t="n">
        <x:f>AC244-U244</x:f>
        <x:v>0</x:v>
      </x:c>
    </x:row>
    <x:row r="245">
      <x:c r="A245" t="s">
        <x:v>1258</x:v>
      </x:c>
      <x:c r="C245" t="s">
        <x:v>339</x:v>
      </x:c>
      <x:c r="D245">
        <x:v>8481720</x:v>
      </x:c>
      <x:c r="E245" t="s">
        <x:v>267</x:v>
      </x:c>
      <x:c r="J245" t="s">
        <x:v>2474</x:v>
      </x:c>
      <x:c r="K245">
        <x:v>64</x:v>
      </x:c>
      <x:c r="L245">
        <x:v>34</x:v>
      </x:c>
      <x:c r="M245">
        <x:v>91</x:v>
      </x:c>
      <x:c r="N245">
        <x:v>47</x:v>
      </x:c>
      <x:c r="O245">
        <x:v>76</x:v>
      </x:c>
      <x:c r="P245">
        <x:v>86</x:v>
      </x:c>
      <x:c r="Q245">
        <x:v>87</x:v>
      </x:c>
      <x:c r="R245">
        <x:v>48</x:v>
      </x:c>
      <x:c r="S245">
        <x:v>71</x:v>
      </x:c>
      <x:c r="T245" s="63" t="n">
        <x:f>MAX(30,MIN(AB245-VLOOKUP(AE245,'AHL_PA_SC_BALANCE'!$A$8:$E$18,2,FALSE),VLOOKUP(AE245,'AHL_PA_SC_BALANCE'!$A$8:$E$18,4,FALSE)))</x:f>
        <x:v>51</x:v>
      </x:c>
      <x:c r="U245" s="63" t="n">
        <x:f>MAX(30,MIN(AC245-VLOOKUP(AE245,'AHL_PA_SC_BALANCE'!$A$8:$E$18,3,FALSE),VLOOKUP(AE245,'AHL_PA_SC_BALANCE'!$A$8:$E$18,5,FALSE)))</x:f>
        <x:v>45</x:v>
      </x:c>
      <x:c r="V245">
        <x:v>60</x:v>
      </x:c>
      <x:c r="W245">
        <x:v>70</x:v>
      </x:c>
      <x:c r="X245">
        <x:v>69</x:v>
      </x:c>
      <x:c r="Y245">
        <x:v>70</x:v>
      </x:c>
      <x:c r="Z245">
        <x:v>51</x:v>
      </x:c>
      <x:c r="AA245">
        <x:v>52</x:v>
      </x:c>
      <x:c r="AB245" s="57" t="n">
        <x:v>51</x:v>
      </x:c>
      <x:c r="AC245" s="57" t="n">
        <x:v>45</x:v>
      </x:c>
      <x:c r="AD245" s="59"/>
      <x:c r="AE245" s="61" t="str">
        <x:f>IF(N(F245)&gt;=10,"NHL_LATEST_10",IF(AND(N(F245)&gt;0,N(G245)&gt;0),"NHL_BOTH_SEASONS",IF(N(G245)&gt;=10,"NHL_PREVIOUS_10",IF(AND(ISNUMBER(AD245),AD245=0,SUM(F245:G245)=0),"FARM_CAREER_0",IF(COUNT(F245:G245)&lt;2,"UNKNOWN_GP",IF(AND(F245=0,G245=0),IF(AD245&gt;=10,"FARM_LEGACY_10",IF(AND(ISNUMBER(AD245),AD245&gt;0),"FARM_CAREER_1_9","FARM_0_0")),IF(F245&gt;=1,IF(F245&lt;=3,"FARM_RECENT_1_3","FARM_RECENT_4_9"),"FARM_PREV_1_9_ONLY")))))))</x:f>
        <x:v>UNKNOWN_GP</x:v>
      </x:c>
      <x:c r="AF245" s="57" t="n">
        <x:f>AB245-T245</x:f>
        <x:v>0</x:v>
      </x:c>
      <x:c r="AG245" s="57" t="n">
        <x:f>AC245-U245</x:f>
        <x:v>0</x:v>
      </x:c>
    </x:row>
    <x:row r="246">
      <x:c r="A246" t="s">
        <x:v>1259</x:v>
      </x:c>
      <x:c r="C246" t="s">
        <x:v>326</x:v>
      </x:c>
      <x:c r="D246">
        <x:v>8479644</x:v>
      </x:c>
      <x:c r="E246" t="s">
        <x:v>267</x:v>
      </x:c>
      <x:c r="J246" t="s">
        <x:v>2474</x:v>
      </x:c>
      <x:c r="K246">
        <x:v>69</x:v>
      </x:c>
      <x:c r="L246">
        <x:v>36</x:v>
      </x:c>
      <x:c r="M246">
        <x:v>84</x:v>
      </x:c>
      <x:c r="N246">
        <x:v>47</x:v>
      </x:c>
      <x:c r="O246">
        <x:v>82</x:v>
      </x:c>
      <x:c r="P246">
        <x:v>86</x:v>
      </x:c>
      <x:c r="Q246">
        <x:v>90</x:v>
      </x:c>
      <x:c r="R246">
        <x:v>47</x:v>
      </x:c>
      <x:c r="S246">
        <x:v>61</x:v>
      </x:c>
      <x:c r="T246" s="63" t="n">
        <x:f>MAX(30,MIN(AB246-VLOOKUP(AE246,'AHL_PA_SC_BALANCE'!$A$8:$E$18,2,FALSE),VLOOKUP(AE246,'AHL_PA_SC_BALANCE'!$A$8:$E$18,4,FALSE)))</x:f>
        <x:v>51</x:v>
      </x:c>
      <x:c r="U246" s="63" t="n">
        <x:f>MAX(30,MIN(AC246-VLOOKUP(AE246,'AHL_PA_SC_BALANCE'!$A$8:$E$18,3,FALSE),VLOOKUP(AE246,'AHL_PA_SC_BALANCE'!$A$8:$E$18,5,FALSE)))</x:f>
        <x:v>45</x:v>
      </x:c>
      <x:c r="V246">
        <x:v>64</x:v>
      </x:c>
      <x:c r="W246">
        <x:v>70</x:v>
      </x:c>
      <x:c r="X246">
        <x:v>71</x:v>
      </x:c>
      <x:c r="Y246">
        <x:v>70</x:v>
      </x:c>
      <x:c r="Z246">
        <x:v>51</x:v>
      </x:c>
      <x:c r="AA246">
        <x:v>52</x:v>
      </x:c>
      <x:c r="AB246" s="57" t="n">
        <x:v>51</x:v>
      </x:c>
      <x:c r="AC246" s="57" t="n">
        <x:v>45</x:v>
      </x:c>
      <x:c r="AD246" s="59"/>
      <x:c r="AE246" s="61" t="str">
        <x:f>IF(N(F246)&gt;=10,"NHL_LATEST_10",IF(AND(N(F246)&gt;0,N(G246)&gt;0),"NHL_BOTH_SEASONS",IF(N(G246)&gt;=10,"NHL_PREVIOUS_10",IF(AND(ISNUMBER(AD246),AD246=0,SUM(F246:G246)=0),"FARM_CAREER_0",IF(COUNT(F246:G246)&lt;2,"UNKNOWN_GP",IF(AND(F246=0,G246=0),IF(AD246&gt;=10,"FARM_LEGACY_10",IF(AND(ISNUMBER(AD246),AD246&gt;0),"FARM_CAREER_1_9","FARM_0_0")),IF(F246&gt;=1,IF(F246&lt;=3,"FARM_RECENT_1_3","FARM_RECENT_4_9"),"FARM_PREV_1_9_ONLY")))))))</x:f>
        <x:v>UNKNOWN_GP</x:v>
      </x:c>
      <x:c r="AF246" s="57" t="n">
        <x:f>AB246-T246</x:f>
        <x:v>0</x:v>
      </x:c>
      <x:c r="AG246" s="57" t="n">
        <x:f>AC246-U246</x:f>
        <x:v>0</x:v>
      </x:c>
    </x:row>
    <x:row r="247">
      <x:c r="A247" t="s">
        <x:v>1260</x:v>
      </x:c>
      <x:c r="C247" t="s">
        <x:v>331</x:v>
      </x:c>
      <x:c r="D247">
        <x:v>8482719</x:v>
      </x:c>
      <x:c r="E247" t="s">
        <x:v>267</x:v>
      </x:c>
      <x:c r="J247" t="s">
        <x:v>2474</x:v>
      </x:c>
      <x:c r="K247">
        <x:v>68</x:v>
      </x:c>
      <x:c r="L247">
        <x:v>39</x:v>
      </x:c>
      <x:c r="M247">
        <x:v>82</x:v>
      </x:c>
      <x:c r="N247">
        <x:v>35</x:v>
      </x:c>
      <x:c r="O247">
        <x:v>80</x:v>
      </x:c>
      <x:c r="P247">
        <x:v>78</x:v>
      </x:c>
      <x:c r="Q247">
        <x:v>81</x:v>
      </x:c>
      <x:c r="R247">
        <x:v>35</x:v>
      </x:c>
      <x:c r="S247">
        <x:v>30</x:v>
      </x:c>
      <x:c r="T247" s="63" t="n">
        <x:f>MAX(30,MIN(AB247-VLOOKUP(AE247,'AHL_PA_SC_BALANCE'!$A$8:$E$18,2,FALSE),VLOOKUP(AE247,'AHL_PA_SC_BALANCE'!$A$8:$E$18,4,FALSE)))</x:f>
        <x:v>45</x:v>
      </x:c>
      <x:c r="U247" s="63" t="n">
        <x:f>MAX(30,MIN(AC247-VLOOKUP(AE247,'AHL_PA_SC_BALANCE'!$A$8:$E$18,3,FALSE),VLOOKUP(AE247,'AHL_PA_SC_BALANCE'!$A$8:$E$18,5,FALSE)))</x:f>
        <x:v>43</x:v>
      </x:c>
      <x:c r="V247">
        <x:v>65</x:v>
      </x:c>
      <x:c r="W247">
        <x:v>49</x:v>
      </x:c>
      <x:c r="X247">
        <x:v>65</x:v>
      </x:c>
      <x:c r="Y247">
        <x:v>65</x:v>
      </x:c>
      <x:c r="Z247">
        <x:v>51</x:v>
      </x:c>
      <x:c r="AA247">
        <x:v>52</x:v>
      </x:c>
      <x:c r="AB247" s="57" t="n">
        <x:v>45</x:v>
      </x:c>
      <x:c r="AC247" s="57" t="n">
        <x:v>43</x:v>
      </x:c>
      <x:c r="AD247" s="59"/>
      <x:c r="AE247" s="61" t="str">
        <x:f>IF(N(F247)&gt;=10,"NHL_LATEST_10",IF(AND(N(F247)&gt;0,N(G247)&gt;0),"NHL_BOTH_SEASONS",IF(N(G247)&gt;=10,"NHL_PREVIOUS_10",IF(AND(ISNUMBER(AD247),AD247=0,SUM(F247:G247)=0),"FARM_CAREER_0",IF(COUNT(F247:G247)&lt;2,"UNKNOWN_GP",IF(AND(F247=0,G247=0),IF(AD247&gt;=10,"FARM_LEGACY_10",IF(AND(ISNUMBER(AD247),AD247&gt;0),"FARM_CAREER_1_9","FARM_0_0")),IF(F247&gt;=1,IF(F247&lt;=3,"FARM_RECENT_1_3","FARM_RECENT_4_9"),"FARM_PREV_1_9_ONLY")))))))</x:f>
        <x:v>UNKNOWN_GP</x:v>
      </x:c>
      <x:c r="AF247" s="57" t="n">
        <x:f>AB247-T247</x:f>
        <x:v>0</x:v>
      </x:c>
      <x:c r="AG247" s="57" t="n">
        <x:f>AC247-U247</x:f>
        <x:v>0</x:v>
      </x:c>
    </x:row>
    <x:row r="248">
      <x:c r="A248" t="s">
        <x:v>1261</x:v>
      </x:c>
      <x:c r="C248" t="s">
        <x:v>339</x:v>
      </x:c>
      <x:c r="D248">
        <x:v>8476425</x:v>
      </x:c>
      <x:c r="E248" t="s">
        <x:v>267</x:v>
      </x:c>
      <x:c r="J248" t="s">
        <x:v>2474</x:v>
      </x:c>
      <x:c r="K248">
        <x:v>70</x:v>
      </x:c>
      <x:c r="L248">
        <x:v>36</x:v>
      </x:c>
      <x:c r="M248">
        <x:v>72</x:v>
      </x:c>
      <x:c r="N248">
        <x:v>41</x:v>
      </x:c>
      <x:c r="O248">
        <x:v>87</x:v>
      </x:c>
      <x:c r="P248">
        <x:v>77</x:v>
      </x:c>
      <x:c r="Q248">
        <x:v>78</x:v>
      </x:c>
      <x:c r="R248">
        <x:v>42</x:v>
      </x:c>
      <x:c r="S248">
        <x:v>76</x:v>
      </x:c>
      <x:c r="T248" s="63" t="n">
        <x:f>MAX(30,MIN(AB248-VLOOKUP(AE248,'AHL_PA_SC_BALANCE'!$A$8:$E$18,2,FALSE),VLOOKUP(AE248,'AHL_PA_SC_BALANCE'!$A$8:$E$18,4,FALSE)))</x:f>
        <x:v>42</x:v>
      </x:c>
      <x:c r="U248" s="63" t="n">
        <x:f>MAX(30,MIN(AC248-VLOOKUP(AE248,'AHL_PA_SC_BALANCE'!$A$8:$E$18,3,FALSE),VLOOKUP(AE248,'AHL_PA_SC_BALANCE'!$A$8:$E$18,5,FALSE)))</x:f>
        <x:v>45</x:v>
      </x:c>
      <x:c r="V248">
        <x:v>58</x:v>
      </x:c>
      <x:c r="W248">
        <x:v>63</x:v>
      </x:c>
      <x:c r="X248">
        <x:v>78</x:v>
      </x:c>
      <x:c r="Y248">
        <x:v>77</x:v>
      </x:c>
      <x:c r="Z248">
        <x:v>51</x:v>
      </x:c>
      <x:c r="AA248">
        <x:v>52</x:v>
      </x:c>
      <x:c r="AB248" s="57" t="n">
        <x:v>42</x:v>
      </x:c>
      <x:c r="AC248" s="57" t="n">
        <x:v>45</x:v>
      </x:c>
      <x:c r="AD248" s="59"/>
      <x:c r="AE248" s="61" t="str">
        <x:f>IF(N(F248)&gt;=10,"NHL_LATEST_10",IF(AND(N(F248)&gt;0,N(G248)&gt;0),"NHL_BOTH_SEASONS",IF(N(G248)&gt;=10,"NHL_PREVIOUS_10",IF(AND(ISNUMBER(AD248),AD248=0,SUM(F248:G248)=0),"FARM_CAREER_0",IF(COUNT(F248:G248)&lt;2,"UNKNOWN_GP",IF(AND(F248=0,G248=0),IF(AD248&gt;=10,"FARM_LEGACY_10",IF(AND(ISNUMBER(AD248),AD248&gt;0),"FARM_CAREER_1_9","FARM_0_0")),IF(F248&gt;=1,IF(F248&lt;=3,"FARM_RECENT_1_3","FARM_RECENT_4_9"),"FARM_PREV_1_9_ONLY")))))))</x:f>
        <x:v>UNKNOWN_GP</x:v>
      </x:c>
      <x:c r="AF248" s="57" t="n">
        <x:f>AB248-T248</x:f>
        <x:v>0</x:v>
      </x:c>
      <x:c r="AG248" s="57" t="n">
        <x:f>AC248-U248</x:f>
        <x:v>0</x:v>
      </x:c>
    </x:row>
    <x:row r="249">
      <x:c r="A249" t="s">
        <x:v>1262</x:v>
      </x:c>
      <x:c r="C249" t="s">
        <x:v>331</x:v>
      </x:c>
      <x:c r="D249">
        <x:v>8484287</x:v>
      </x:c>
      <x:c r="E249" t="s">
        <x:v>267</x:v>
      </x:c>
      <x:c r="J249" t="s">
        <x:v>2474</x:v>
      </x:c>
      <x:c r="K249">
        <x:v>65</x:v>
      </x:c>
      <x:c r="L249">
        <x:v>35</x:v>
      </x:c>
      <x:c r="M249">
        <x:v>87</x:v>
      </x:c>
      <x:c r="N249">
        <x:v>33</x:v>
      </x:c>
      <x:c r="O249">
        <x:v>79</x:v>
      </x:c>
      <x:c r="P249">
        <x:v>88</x:v>
      </x:c>
      <x:c r="Q249">
        <x:v>91</x:v>
      </x:c>
      <x:c r="R249">
        <x:v>32</x:v>
      </x:c>
      <x:c r="S249">
        <x:v>30</x:v>
      </x:c>
      <x:c r="T249" s="63" t="n">
        <x:f>MAX(30,MIN(AB249-VLOOKUP(AE249,'AHL_PA_SC_BALANCE'!$A$8:$E$18,2,FALSE),VLOOKUP(AE249,'AHL_PA_SC_BALANCE'!$A$8:$E$18,4,FALSE)))</x:f>
        <x:v>45</x:v>
      </x:c>
      <x:c r="U249" s="63" t="n">
        <x:f>MAX(30,MIN(AC249-VLOOKUP(AE249,'AHL_PA_SC_BALANCE'!$A$8:$E$18,3,FALSE),VLOOKUP(AE249,'AHL_PA_SC_BALANCE'!$A$8:$E$18,5,FALSE)))</x:f>
        <x:v>41</x:v>
      </x:c>
      <x:c r="V249">
        <x:v>69</x:v>
      </x:c>
      <x:c r="W249">
        <x:v>48</x:v>
      </x:c>
      <x:c r="X249">
        <x:v>68</x:v>
      </x:c>
      <x:c r="Y249">
        <x:v>67</x:v>
      </x:c>
      <x:c r="Z249">
        <x:v>51</x:v>
      </x:c>
      <x:c r="AA249">
        <x:v>52</x:v>
      </x:c>
      <x:c r="AB249" s="57" t="n">
        <x:v>45</x:v>
      </x:c>
      <x:c r="AC249" s="57" t="n">
        <x:v>41</x:v>
      </x:c>
      <x:c r="AD249" s="59"/>
      <x:c r="AE249" s="61" t="str">
        <x:f>IF(N(F249)&gt;=10,"NHL_LATEST_10",IF(AND(N(F249)&gt;0,N(G249)&gt;0),"NHL_BOTH_SEASONS",IF(N(G249)&gt;=10,"NHL_PREVIOUS_10",IF(AND(ISNUMBER(AD249),AD249=0,SUM(F249:G249)=0),"FARM_CAREER_0",IF(COUNT(F249:G249)&lt;2,"UNKNOWN_GP",IF(AND(F249=0,G249=0),IF(AD249&gt;=10,"FARM_LEGACY_10",IF(AND(ISNUMBER(AD249),AD249&gt;0),"FARM_CAREER_1_9","FARM_0_0")),IF(F249&gt;=1,IF(F249&lt;=3,"FARM_RECENT_1_3","FARM_RECENT_4_9"),"FARM_PREV_1_9_ONLY")))))))</x:f>
        <x:v>UNKNOWN_GP</x:v>
      </x:c>
      <x:c r="AF249" s="57" t="n">
        <x:f>AB249-T249</x:f>
        <x:v>0</x:v>
      </x:c>
      <x:c r="AG249" s="57" t="n">
        <x:f>AC249-U249</x:f>
        <x:v>0</x:v>
      </x:c>
    </x:row>
    <x:row r="250">
      <x:c r="A250" t="s">
        <x:v>1263</x:v>
      </x:c>
      <x:c r="C250" t="s">
        <x:v>323</x:v>
      </x:c>
      <x:c r="D250">
        <x:v>8479968</x:v>
      </x:c>
      <x:c r="E250" t="s">
        <x:v>267</x:v>
      </x:c>
      <x:c r="J250" t="s">
        <x:v>2474</x:v>
      </x:c>
      <x:c r="K250">
        <x:v>75</x:v>
      </x:c>
      <x:c r="L250">
        <x:v>37</x:v>
      </x:c>
      <x:c r="M250">
        <x:v>85</x:v>
      </x:c>
      <x:c r="N250">
        <x:v>44</x:v>
      </x:c>
      <x:c r="O250">
        <x:v>76</x:v>
      </x:c>
      <x:c r="P250">
        <x:v>82</x:v>
      </x:c>
      <x:c r="Q250">
        <x:v>85</x:v>
      </x:c>
      <x:c r="R250">
        <x:v>45</x:v>
      </x:c>
      <x:c r="S250">
        <x:v>73</x:v>
      </x:c>
      <x:c r="T250" s="63" t="n">
        <x:f>MAX(30,MIN(AB250-VLOOKUP(AE250,'AHL_PA_SC_BALANCE'!$A$8:$E$18,2,FALSE),VLOOKUP(AE250,'AHL_PA_SC_BALANCE'!$A$8:$E$18,4,FALSE)))</x:f>
        <x:v>50</x:v>
      </x:c>
      <x:c r="U250" s="63" t="n">
        <x:f>MAX(30,MIN(AC250-VLOOKUP(AE250,'AHL_PA_SC_BALANCE'!$A$8:$E$18,3,FALSE),VLOOKUP(AE250,'AHL_PA_SC_BALANCE'!$A$8:$E$18,5,FALSE)))</x:f>
        <x:v>51</x:v>
      </x:c>
      <x:c r="V250">
        <x:v>61</x:v>
      </x:c>
      <x:c r="W250">
        <x:v>66</x:v>
      </x:c>
      <x:c r="X250">
        <x:v>73</x:v>
      </x:c>
      <x:c r="Y250">
        <x:v>73</x:v>
      </x:c>
      <x:c r="Z250">
        <x:v>47</x:v>
      </x:c>
      <x:c r="AA250">
        <x:v>52</x:v>
      </x:c>
      <x:c r="AB250" s="57" t="n">
        <x:v>50</x:v>
      </x:c>
      <x:c r="AC250" s="57" t="n">
        <x:v>51</x:v>
      </x:c>
      <x:c r="AD250" s="59"/>
      <x:c r="AE250" s="61" t="str">
        <x:f>IF(N(F250)&gt;=10,"NHL_LATEST_10",IF(AND(N(F250)&gt;0,N(G250)&gt;0),"NHL_BOTH_SEASONS",IF(N(G250)&gt;=10,"NHL_PREVIOUS_10",IF(AND(ISNUMBER(AD250),AD250=0,SUM(F250:G250)=0),"FARM_CAREER_0",IF(COUNT(F250:G250)&lt;2,"UNKNOWN_GP",IF(AND(F250=0,G250=0),IF(AD250&gt;=10,"FARM_LEGACY_10",IF(AND(ISNUMBER(AD250),AD250&gt;0),"FARM_CAREER_1_9","FARM_0_0")),IF(F250&gt;=1,IF(F250&lt;=3,"FARM_RECENT_1_3","FARM_RECENT_4_9"),"FARM_PREV_1_9_ONLY")))))))</x:f>
        <x:v>UNKNOWN_GP</x:v>
      </x:c>
      <x:c r="AF250" s="57" t="n">
        <x:f>AB250-T250</x:f>
        <x:v>0</x:v>
      </x:c>
      <x:c r="AG250" s="57" t="n">
        <x:f>AC250-U250</x:f>
        <x:v>0</x:v>
      </x:c>
    </x:row>
    <x:row r="251">
      <x:c r="A251" t="s">
        <x:v>1264</x:v>
      </x:c>
      <x:c r="B251" t="s">
        <x:v>584</x:v>
      </x:c>
      <x:c r="C251" t="s">
        <x:v>319</x:v>
      </x:c>
      <x:c r="D251">
        <x:v>8481115</x:v>
      </x:c>
      <x:c r="E251" t="s">
        <x:v>267</x:v>
      </x:c>
      <x:c r="J251" t="s">
        <x:v>2476</x:v>
      </x:c>
      <x:c r="K251">
        <x:v>69</x:v>
      </x:c>
      <x:c r="L251">
        <x:v>39</x:v>
      </x:c>
      <x:c r="M251">
        <x:v>83</x:v>
      </x:c>
      <x:c r="N251">
        <x:v>42</x:v>
      </x:c>
      <x:c r="O251">
        <x:v>82</x:v>
      </x:c>
      <x:c r="P251">
        <x:v>90</x:v>
      </x:c>
      <x:c r="Q251">
        <x:v>92</x:v>
      </x:c>
      <x:c r="R251">
        <x:v>41</x:v>
      </x:c>
      <x:c r="S251">
        <x:v>69</x:v>
      </x:c>
      <x:c r="T251" s="63" t="n">
        <x:f>MAX(30,MIN(AB251-VLOOKUP(AE251,'AHL_PA_SC_BALANCE'!$A$8:$E$18,2,FALSE),VLOOKUP(AE251,'AHL_PA_SC_BALANCE'!$A$8:$E$18,4,FALSE)))</x:f>
        <x:v>46</x:v>
      </x:c>
      <x:c r="U251" s="63" t="n">
        <x:f>MAX(30,MIN(AC251-VLOOKUP(AE251,'AHL_PA_SC_BALANCE'!$A$8:$E$18,3,FALSE),VLOOKUP(AE251,'AHL_PA_SC_BALANCE'!$A$8:$E$18,5,FALSE)))</x:f>
        <x:v>41</x:v>
      </x:c>
      <x:c r="V251">
        <x:v>58</x:v>
      </x:c>
      <x:c r="W251">
        <x:v>63</x:v>
      </x:c>
      <x:c r="X251">
        <x:v>78</x:v>
      </x:c>
      <x:c r="Y251">
        <x:v>78</x:v>
      </x:c>
      <x:c r="Z251">
        <x:v>51</x:v>
      </x:c>
      <x:c r="AA251">
        <x:v>52</x:v>
      </x:c>
      <x:c r="AB251" s="57" t="n">
        <x:v>46</x:v>
      </x:c>
      <x:c r="AC251" s="57" t="n">
        <x:v>41</x:v>
      </x:c>
      <x:c r="AD251" s="59"/>
      <x:c r="AE251" s="61" t="str">
        <x:f>IF(N(F251)&gt;=10,"NHL_LATEST_10",IF(AND(N(F251)&gt;0,N(G251)&gt;0),"NHL_BOTH_SEASONS",IF(N(G251)&gt;=10,"NHL_PREVIOUS_10",IF(AND(ISNUMBER(AD251),AD251=0,SUM(F251:G251)=0),"FARM_CAREER_0",IF(COUNT(F251:G251)&lt;2,"UNKNOWN_GP",IF(AND(F251=0,G251=0),IF(AD251&gt;=10,"FARM_LEGACY_10",IF(AND(ISNUMBER(AD251),AD251&gt;0),"FARM_CAREER_1_9","FARM_0_0")),IF(F251&gt;=1,IF(F251&lt;=3,"FARM_RECENT_1_3","FARM_RECENT_4_9"),"FARM_PREV_1_9_ONLY")))))))</x:f>
        <x:v>UNKNOWN_GP</x:v>
      </x:c>
      <x:c r="AF251" s="57" t="n">
        <x:f>AB251-T251</x:f>
        <x:v>0</x:v>
      </x:c>
      <x:c r="AG251" s="57" t="n">
        <x:f>AC251-U251</x:f>
        <x:v>0</x:v>
      </x:c>
    </x:row>
    <x:row r="252">
      <x:c r="A252" t="s">
        <x:v>1265</x:v>
      </x:c>
      <x:c r="C252" t="s">
        <x:v>331</x:v>
      </x:c>
      <x:c r="D252">
        <x:v>8484262</x:v>
      </x:c>
      <x:c r="E252" t="s">
        <x:v>267</x:v>
      </x:c>
      <x:c r="J252" t="s">
        <x:v>2474</x:v>
      </x:c>
      <x:c r="K252">
        <x:v>78</x:v>
      </x:c>
      <x:c r="L252">
        <x:v>37</x:v>
      </x:c>
      <x:c r="M252">
        <x:v>74</x:v>
      </x:c>
      <x:c r="N252">
        <x:v>32</x:v>
      </x:c>
      <x:c r="O252">
        <x:v>83</x:v>
      </x:c>
      <x:c r="P252">
        <x:v>88</x:v>
      </x:c>
      <x:c r="Q252">
        <x:v>91</x:v>
      </x:c>
      <x:c r="R252">
        <x:v>31</x:v>
      </x:c>
      <x:c r="S252">
        <x:v>30</x:v>
      </x:c>
      <x:c r="T252" s="63" t="n">
        <x:f>MAX(30,MIN(AB252-VLOOKUP(AE252,'AHL_PA_SC_BALANCE'!$A$8:$E$18,2,FALSE),VLOOKUP(AE252,'AHL_PA_SC_BALANCE'!$A$8:$E$18,4,FALSE)))</x:f>
        <x:v>43</x:v>
      </x:c>
      <x:c r="U252" s="63" t="n">
        <x:f>MAX(30,MIN(AC252-VLOOKUP(AE252,'AHL_PA_SC_BALANCE'!$A$8:$E$18,3,FALSE),VLOOKUP(AE252,'AHL_PA_SC_BALANCE'!$A$8:$E$18,5,FALSE)))</x:f>
        <x:v>39</x:v>
      </x:c>
      <x:c r="V252">
        <x:v>67</x:v>
      </x:c>
      <x:c r="W252">
        <x:v>46</x:v>
      </x:c>
      <x:c r="X252">
        <x:v>69</x:v>
      </x:c>
      <x:c r="Y252">
        <x:v>68</x:v>
      </x:c>
      <x:c r="Z252">
        <x:v>51</x:v>
      </x:c>
      <x:c r="AA252">
        <x:v>52</x:v>
      </x:c>
      <x:c r="AB252" s="57" t="n">
        <x:v>43</x:v>
      </x:c>
      <x:c r="AC252" s="57" t="n">
        <x:v>39</x:v>
      </x:c>
      <x:c r="AD252" s="59"/>
      <x:c r="AE252" s="61" t="str">
        <x:f>IF(N(F252)&gt;=10,"NHL_LATEST_10",IF(AND(N(F252)&gt;0,N(G252)&gt;0),"NHL_BOTH_SEASONS",IF(N(G252)&gt;=10,"NHL_PREVIOUS_10",IF(AND(ISNUMBER(AD252),AD252=0,SUM(F252:G252)=0),"FARM_CAREER_0",IF(COUNT(F252:G252)&lt;2,"UNKNOWN_GP",IF(AND(F252=0,G252=0),IF(AD252&gt;=10,"FARM_LEGACY_10",IF(AND(ISNUMBER(AD252),AD252&gt;0),"FARM_CAREER_1_9","FARM_0_0")),IF(F252&gt;=1,IF(F252&lt;=3,"FARM_RECENT_1_3","FARM_RECENT_4_9"),"FARM_PREV_1_9_ONLY")))))))</x:f>
        <x:v>UNKNOWN_GP</x:v>
      </x:c>
      <x:c r="AF252" s="57" t="n">
        <x:f>AB252-T252</x:f>
        <x:v>0</x:v>
      </x:c>
      <x:c r="AG252" s="57" t="n">
        <x:f>AC252-U252</x:f>
        <x:v>0</x:v>
      </x:c>
    </x:row>
    <x:row r="253">
      <x:c r="A253" t="s">
        <x:v>1266</x:v>
      </x:c>
      <x:c r="C253" t="s">
        <x:v>331</x:v>
      </x:c>
      <x:c r="D253">
        <x:v>8475939</x:v>
      </x:c>
      <x:c r="E253" t="s">
        <x:v>267</x:v>
      </x:c>
      <x:c r="J253" t="s">
        <x:v>2474</x:v>
      </x:c>
      <x:c r="K253">
        <x:v>83</x:v>
      </x:c>
      <x:c r="L253">
        <x:v>43</x:v>
      </x:c>
      <x:c r="M253">
        <x:v>81</x:v>
      </x:c>
      <x:c r="N253">
        <x:v>33</x:v>
      </x:c>
      <x:c r="O253">
        <x:v>87</x:v>
      </x:c>
      <x:c r="P253">
        <x:v>72</x:v>
      </x:c>
      <x:c r="Q253">
        <x:v>75</x:v>
      </x:c>
      <x:c r="R253">
        <x:v>34</x:v>
      </x:c>
      <x:c r="S253">
        <x:v>30</x:v>
      </x:c>
      <x:c r="T253" s="63" t="n">
        <x:f>MAX(30,MIN(AB253-VLOOKUP(AE253,'AHL_PA_SC_BALANCE'!$A$8:$E$18,2,FALSE),VLOOKUP(AE253,'AHL_PA_SC_BALANCE'!$A$8:$E$18,4,FALSE)))</x:f>
        <x:v>40</x:v>
      </x:c>
      <x:c r="U253" s="63" t="n">
        <x:f>MAX(30,MIN(AC253-VLOOKUP(AE253,'AHL_PA_SC_BALANCE'!$A$8:$E$18,3,FALSE),VLOOKUP(AE253,'AHL_PA_SC_BALANCE'!$A$8:$E$18,5,FALSE)))</x:f>
        <x:v>43</x:v>
      </x:c>
      <x:c r="V253">
        <x:v>66</x:v>
      </x:c>
      <x:c r="W253">
        <x:v>46</x:v>
      </x:c>
      <x:c r="X253">
        <x:v>66</x:v>
      </x:c>
      <x:c r="Y253">
        <x:v>66</x:v>
      </x:c>
      <x:c r="Z253">
        <x:v>51</x:v>
      </x:c>
      <x:c r="AA253">
        <x:v>52</x:v>
      </x:c>
      <x:c r="AB253" s="57" t="n">
        <x:v>40</x:v>
      </x:c>
      <x:c r="AC253" s="57" t="n">
        <x:v>43</x:v>
      </x:c>
      <x:c r="AD253" s="59"/>
      <x:c r="AE253" s="61" t="str">
        <x:f>IF(N(F253)&gt;=10,"NHL_LATEST_10",IF(AND(N(F253)&gt;0,N(G253)&gt;0),"NHL_BOTH_SEASONS",IF(N(G253)&gt;=10,"NHL_PREVIOUS_10",IF(AND(ISNUMBER(AD253),AD253=0,SUM(F253:G253)=0),"FARM_CAREER_0",IF(COUNT(F253:G253)&lt;2,"UNKNOWN_GP",IF(AND(F253=0,G253=0),IF(AD253&gt;=10,"FARM_LEGACY_10",IF(AND(ISNUMBER(AD253),AD253&gt;0),"FARM_CAREER_1_9","FARM_0_0")),IF(F253&gt;=1,IF(F253&lt;=3,"FARM_RECENT_1_3","FARM_RECENT_4_9"),"FARM_PREV_1_9_ONLY")))))))</x:f>
        <x:v>UNKNOWN_GP</x:v>
      </x:c>
      <x:c r="AF253" s="57" t="n">
        <x:f>AB253-T253</x:f>
        <x:v>0</x:v>
      </x:c>
      <x:c r="AG253" s="57" t="n">
        <x:f>AC253-U253</x:f>
        <x:v>0</x:v>
      </x:c>
    </x:row>
    <x:row r="254">
      <x:c r="A254" t="s">
        <x:v>1267</x:v>
      </x:c>
      <x:c r="C254" t="s">
        <x:v>331</x:v>
      </x:c>
      <x:c r="D254">
        <x:v>8483569</x:v>
      </x:c>
      <x:c r="E254" t="s">
        <x:v>267</x:v>
      </x:c>
      <x:c r="J254" t="s">
        <x:v>2474</x:v>
      </x:c>
      <x:c r="K254">
        <x:v>76</x:v>
      </x:c>
      <x:c r="L254">
        <x:v>39</x:v>
      </x:c>
      <x:c r="M254">
        <x:v>83</x:v>
      </x:c>
      <x:c r="N254">
        <x:v>33</x:v>
      </x:c>
      <x:c r="O254">
        <x:v>79</x:v>
      </x:c>
      <x:c r="P254">
        <x:v>89</x:v>
      </x:c>
      <x:c r="Q254">
        <x:v>91</x:v>
      </x:c>
      <x:c r="R254">
        <x:v>33</x:v>
      </x:c>
      <x:c r="S254">
        <x:v>30</x:v>
      </x:c>
      <x:c r="T254" s="63" t="n">
        <x:f>MAX(30,MIN(AB254-VLOOKUP(AE254,'AHL_PA_SC_BALANCE'!$A$8:$E$18,2,FALSE),VLOOKUP(AE254,'AHL_PA_SC_BALANCE'!$A$8:$E$18,4,FALSE)))</x:f>
        <x:v>44</x:v>
      </x:c>
      <x:c r="U254" s="63" t="n">
        <x:f>MAX(30,MIN(AC254-VLOOKUP(AE254,'AHL_PA_SC_BALANCE'!$A$8:$E$18,3,FALSE),VLOOKUP(AE254,'AHL_PA_SC_BALANCE'!$A$8:$E$18,5,FALSE)))</x:f>
        <x:v>40</x:v>
      </x:c>
      <x:c r="V254">
        <x:v>68</x:v>
      </x:c>
      <x:c r="W254">
        <x:v>47</x:v>
      </x:c>
      <x:c r="X254">
        <x:v>71</x:v>
      </x:c>
      <x:c r="Y254">
        <x:v>70</x:v>
      </x:c>
      <x:c r="Z254">
        <x:v>51</x:v>
      </x:c>
      <x:c r="AA254">
        <x:v>52</x:v>
      </x:c>
      <x:c r="AB254" s="57" t="n">
        <x:v>44</x:v>
      </x:c>
      <x:c r="AC254" s="57" t="n">
        <x:v>40</x:v>
      </x:c>
      <x:c r="AD254" s="59"/>
      <x:c r="AE254" s="61" t="str">
        <x:f>IF(N(F254)&gt;=10,"NHL_LATEST_10",IF(AND(N(F254)&gt;0,N(G254)&gt;0),"NHL_BOTH_SEASONS",IF(N(G254)&gt;=10,"NHL_PREVIOUS_10",IF(AND(ISNUMBER(AD254),AD254=0,SUM(F254:G254)=0),"FARM_CAREER_0",IF(COUNT(F254:G254)&lt;2,"UNKNOWN_GP",IF(AND(F254=0,G254=0),IF(AD254&gt;=10,"FARM_LEGACY_10",IF(AND(ISNUMBER(AD254),AD254&gt;0),"FARM_CAREER_1_9","FARM_0_0")),IF(F254&gt;=1,IF(F254&lt;=3,"FARM_RECENT_1_3","FARM_RECENT_4_9"),"FARM_PREV_1_9_ONLY")))))))</x:f>
        <x:v>UNKNOWN_GP</x:v>
      </x:c>
      <x:c r="AF254" s="57" t="n">
        <x:f>AB254-T254</x:f>
        <x:v>0</x:v>
      </x:c>
      <x:c r="AG254" s="57" t="n">
        <x:f>AC254-U254</x:f>
        <x:v>0</x:v>
      </x:c>
    </x:row>
    <x:row r="255">
      <x:c r="A255" t="s">
        <x:v>1268</x:v>
      </x:c>
      <x:c r="C255" t="s">
        <x:v>319</x:v>
      </x:c>
      <x:c r="D255">
        <x:v>8484901</x:v>
      </x:c>
      <x:c r="E255" t="s">
        <x:v>267</x:v>
      </x:c>
      <x:c r="J255" t="s">
        <x:v>2474</x:v>
      </x:c>
      <x:c r="K255">
        <x:v>73</x:v>
      </x:c>
      <x:c r="L255">
        <x:v>37</x:v>
      </x:c>
      <x:c r="M255">
        <x:v>94</x:v>
      </x:c>
      <x:c r="N255">
        <x:v>47</x:v>
      </x:c>
      <x:c r="O255">
        <x:v>80</x:v>
      </x:c>
      <x:c r="P255">
        <x:v>81</x:v>
      </x:c>
      <x:c r="Q255">
        <x:v>54</x:v>
      </x:c>
      <x:c r="R255">
        <x:v>47</x:v>
      </x:c>
      <x:c r="S255">
        <x:v>80</x:v>
      </x:c>
      <x:c r="T255" s="63" t="n">
        <x:f>MAX(30,MIN(AB255-VLOOKUP(AE255,'AHL_PA_SC_BALANCE'!$A$8:$E$18,2,FALSE),VLOOKUP(AE255,'AHL_PA_SC_BALANCE'!$A$8:$E$18,4,FALSE)))</x:f>
        <x:v>49</x:v>
      </x:c>
      <x:c r="U255" s="63" t="n">
        <x:f>MAX(30,MIN(AC255-VLOOKUP(AE255,'AHL_PA_SC_BALANCE'!$A$8:$E$18,3,FALSE),VLOOKUP(AE255,'AHL_PA_SC_BALANCE'!$A$8:$E$18,5,FALSE)))</x:f>
        <x:v>47</x:v>
      </x:c>
      <x:c r="V255">
        <x:v>67</x:v>
      </x:c>
      <x:c r="W255">
        <x:v>55</x:v>
      </x:c>
      <x:c r="X255">
        <x:v>67</x:v>
      </x:c>
      <x:c r="Y255">
        <x:v>66</x:v>
      </x:c>
      <x:c r="Z255">
        <x:v>51</x:v>
      </x:c>
      <x:c r="AA255">
        <x:v>52</x:v>
      </x:c>
      <x:c r="AB255" s="57" t="n">
        <x:v>49</x:v>
      </x:c>
      <x:c r="AC255" s="57" t="n">
        <x:v>47</x:v>
      </x:c>
      <x:c r="AD255" s="59"/>
      <x:c r="AE255" s="61" t="str">
        <x:f>IF(N(F255)&gt;=10,"NHL_LATEST_10",IF(AND(N(F255)&gt;0,N(G255)&gt;0),"NHL_BOTH_SEASONS",IF(N(G255)&gt;=10,"NHL_PREVIOUS_10",IF(AND(ISNUMBER(AD255),AD255=0,SUM(F255:G255)=0),"FARM_CAREER_0",IF(COUNT(F255:G255)&lt;2,"UNKNOWN_GP",IF(AND(F255=0,G255=0),IF(AD255&gt;=10,"FARM_LEGACY_10",IF(AND(ISNUMBER(AD255),AD255&gt;0),"FARM_CAREER_1_9","FARM_0_0")),IF(F255&gt;=1,IF(F255&lt;=3,"FARM_RECENT_1_3","FARM_RECENT_4_9"),"FARM_PREV_1_9_ONLY")))))))</x:f>
        <x:v>UNKNOWN_GP</x:v>
      </x:c>
      <x:c r="AF255" s="57" t="n">
        <x:f>AB255-T255</x:f>
        <x:v>0</x:v>
      </x:c>
      <x:c r="AG255" s="57" t="n">
        <x:f>AC255-U255</x:f>
        <x:v>0</x:v>
      </x:c>
    </x:row>
    <x:row r="256">
      <x:c r="A256" t="s">
        <x:v>1269</x:v>
      </x:c>
      <x:c r="B256" t="s">
        <x:v>584</x:v>
      </x:c>
      <x:c r="C256" t="s">
        <x:v>358</x:v>
      </x:c>
      <x:c r="E256" t="s">
        <x:v>267</x:v>
      </x:c>
      <x:c r="J256" t="s">
        <x:v>2474</x:v>
      </x:c>
      <x:c r="K256">
        <x:v>58</x:v>
      </x:c>
      <x:c r="L256">
        <x:v>34</x:v>
      </x:c>
      <x:c r="M256">
        <x:v>85</x:v>
      </x:c>
      <x:c r="N256">
        <x:v>43</x:v>
      </x:c>
      <x:c r="O256">
        <x:v>77</x:v>
      </x:c>
      <x:c r="P256">
        <x:v>85</x:v>
      </x:c>
      <x:c r="Q256">
        <x:v>86</x:v>
      </x:c>
      <x:c r="R256">
        <x:v>43</x:v>
      </x:c>
      <x:c r="S256">
        <x:v>71</x:v>
      </x:c>
      <x:c r="T256" s="63" t="n">
        <x:f>MAX(30,MIN(AB256-VLOOKUP(AE256,'AHL_PA_SC_BALANCE'!$A$8:$E$18,2,FALSE),VLOOKUP(AE256,'AHL_PA_SC_BALANCE'!$A$8:$E$18,4,FALSE)))</x:f>
        <x:v>44</x:v>
      </x:c>
      <x:c r="U256" s="63" t="n">
        <x:f>MAX(30,MIN(AC256-VLOOKUP(AE256,'AHL_PA_SC_BALANCE'!$A$8:$E$18,3,FALSE),VLOOKUP(AE256,'AHL_PA_SC_BALANCE'!$A$8:$E$18,5,FALSE)))</x:f>
        <x:v>44</x:v>
      </x:c>
      <x:c r="V256">
        <x:v>59</x:v>
      </x:c>
      <x:c r="W256">
        <x:v>65</x:v>
      </x:c>
      <x:c r="X256">
        <x:v>87</x:v>
      </x:c>
      <x:c r="Y256">
        <x:v>82</x:v>
      </x:c>
      <x:c r="Z256">
        <x:v>51</x:v>
      </x:c>
      <x:c r="AA256">
        <x:v>52</x:v>
      </x:c>
      <x:c r="AB256" s="57" t="n">
        <x:v>44</x:v>
      </x:c>
      <x:c r="AC256" s="57" t="n">
        <x:v>44</x:v>
      </x:c>
      <x:c r="AD256" s="59"/>
      <x:c r="AE256" s="61" t="str">
        <x:f>IF(N(F256)&gt;=10,"NHL_LATEST_10",IF(AND(N(F256)&gt;0,N(G256)&gt;0),"NHL_BOTH_SEASONS",IF(N(G256)&gt;=10,"NHL_PREVIOUS_10",IF(AND(ISNUMBER(AD256),AD256=0,SUM(F256:G256)=0),"FARM_CAREER_0",IF(COUNT(F256:G256)&lt;2,"UNKNOWN_GP",IF(AND(F256=0,G256=0),IF(AD256&gt;=10,"FARM_LEGACY_10",IF(AND(ISNUMBER(AD256),AD256&gt;0),"FARM_CAREER_1_9","FARM_0_0")),IF(F256&gt;=1,IF(F256&lt;=3,"FARM_RECENT_1_3","FARM_RECENT_4_9"),"FARM_PREV_1_9_ONLY")))))))</x:f>
        <x:v>UNKNOWN_GP</x:v>
      </x:c>
      <x:c r="AF256" s="57" t="n">
        <x:f>AB256-T256</x:f>
        <x:v>0</x:v>
      </x:c>
      <x:c r="AG256" s="57" t="n">
        <x:f>AC256-U256</x:f>
        <x:v>0</x:v>
      </x:c>
    </x:row>
    <x:row r="257">
      <x:c r="A257" t="s">
        <x:v>1270</x:v>
      </x:c>
      <x:c r="C257" t="s">
        <x:v>319</x:v>
      </x:c>
      <x:c r="D257">
        <x:v>8477126</x:v>
      </x:c>
      <x:c r="E257" t="s">
        <x:v>267</x:v>
      </x:c>
      <x:c r="J257" t="s">
        <x:v>2474</x:v>
      </x:c>
      <x:c r="K257">
        <x:v>65</x:v>
      </x:c>
      <x:c r="L257">
        <x:v>35</x:v>
      </x:c>
      <x:c r="M257">
        <x:v>86</x:v>
      </x:c>
      <x:c r="N257">
        <x:v>43</x:v>
      </x:c>
      <x:c r="O257">
        <x:v>81</x:v>
      </x:c>
      <x:c r="P257">
        <x:v>90</x:v>
      </x:c>
      <x:c r="Q257">
        <x:v>93</x:v>
      </x:c>
      <x:c r="R257">
        <x:v>42</x:v>
      </x:c>
      <x:c r="S257">
        <x:v>87</x:v>
      </x:c>
      <x:c r="T257" s="63" t="n">
        <x:f>MAX(30,MIN(AB257-VLOOKUP(AE257,'AHL_PA_SC_BALANCE'!$A$8:$E$18,2,FALSE),VLOOKUP(AE257,'AHL_PA_SC_BALANCE'!$A$8:$E$18,4,FALSE)))</x:f>
        <x:v>47</x:v>
      </x:c>
      <x:c r="U257" s="63" t="n">
        <x:f>MAX(30,MIN(AC257-VLOOKUP(AE257,'AHL_PA_SC_BALANCE'!$A$8:$E$18,3,FALSE),VLOOKUP(AE257,'AHL_PA_SC_BALANCE'!$A$8:$E$18,5,FALSE)))</x:f>
        <x:v>46</x:v>
      </x:c>
      <x:c r="V257">
        <x:v>67</x:v>
      </x:c>
      <x:c r="W257">
        <x:v>63</x:v>
      </x:c>
      <x:c r="X257">
        <x:v>83</x:v>
      </x:c>
      <x:c r="Y257">
        <x:v>77</x:v>
      </x:c>
      <x:c r="Z257">
        <x:v>51</x:v>
      </x:c>
      <x:c r="AA257">
        <x:v>52</x:v>
      </x:c>
      <x:c r="AB257" s="57" t="n">
        <x:v>47</x:v>
      </x:c>
      <x:c r="AC257" s="57" t="n">
        <x:v>46</x:v>
      </x:c>
      <x:c r="AD257" s="59"/>
      <x:c r="AE257" s="61" t="str">
        <x:f>IF(N(F257)&gt;=10,"NHL_LATEST_10",IF(AND(N(F257)&gt;0,N(G257)&gt;0),"NHL_BOTH_SEASONS",IF(N(G257)&gt;=10,"NHL_PREVIOUS_10",IF(AND(ISNUMBER(AD257),AD257=0,SUM(F257:G257)=0),"FARM_CAREER_0",IF(COUNT(F257:G257)&lt;2,"UNKNOWN_GP",IF(AND(F257=0,G257=0),IF(AD257&gt;=10,"FARM_LEGACY_10",IF(AND(ISNUMBER(AD257),AD257&gt;0),"FARM_CAREER_1_9","FARM_0_0")),IF(F257&gt;=1,IF(F257&lt;=3,"FARM_RECENT_1_3","FARM_RECENT_4_9"),"FARM_PREV_1_9_ONLY")))))))</x:f>
        <x:v>UNKNOWN_GP</x:v>
      </x:c>
      <x:c r="AF257" s="57" t="n">
        <x:f>AB257-T257</x:f>
        <x:v>0</x:v>
      </x:c>
      <x:c r="AG257" s="57" t="n">
        <x:f>AC257-U257</x:f>
        <x:v>0</x:v>
      </x:c>
    </x:row>
    <x:row r="258">
      <x:c r="A258" t="s">
        <x:v>1272</x:v>
      </x:c>
      <x:c r="C258" t="s">
        <x:v>331</x:v>
      </x:c>
      <x:c r="D258">
        <x:v>8474604</x:v>
      </x:c>
      <x:c r="E258" t="s">
        <x:v>267</x:v>
      </x:c>
      <x:c r="J258" t="s">
        <x:v>2474</x:v>
      </x:c>
      <x:c r="K258">
        <x:v>66</x:v>
      </x:c>
      <x:c r="L258">
        <x:v>37</x:v>
      </x:c>
      <x:c r="M258">
        <x:v>82</x:v>
      </x:c>
      <x:c r="N258">
        <x:v>31</x:v>
      </x:c>
      <x:c r="O258">
        <x:v>76</x:v>
      </x:c>
      <x:c r="P258">
        <x:v>80</x:v>
      </x:c>
      <x:c r="Q258">
        <x:v>81</x:v>
      </x:c>
      <x:c r="R258">
        <x:v>30</x:v>
      </x:c>
      <x:c r="S258">
        <x:v>30</x:v>
      </x:c>
      <x:c r="T258" s="63" t="n">
        <x:f>MAX(30,MIN(AB258-VLOOKUP(AE258,'AHL_PA_SC_BALANCE'!$A$8:$E$18,2,FALSE),VLOOKUP(AE258,'AHL_PA_SC_BALANCE'!$A$8:$E$18,4,FALSE)))</x:f>
        <x:v>40</x:v>
      </x:c>
      <x:c r="U258" s="63" t="n">
        <x:f>MAX(30,MIN(AC258-VLOOKUP(AE258,'AHL_PA_SC_BALANCE'!$A$8:$E$18,3,FALSE),VLOOKUP(AE258,'AHL_PA_SC_BALANCE'!$A$8:$E$18,5,FALSE)))</x:f>
        <x:v>39</x:v>
      </x:c>
      <x:c r="V258">
        <x:v>66</x:v>
      </x:c>
      <x:c r="W258">
        <x:v>45</x:v>
      </x:c>
      <x:c r="X258">
        <x:v>83</x:v>
      </x:c>
      <x:c r="Y258">
        <x:v>76</x:v>
      </x:c>
      <x:c r="Z258">
        <x:v>51</x:v>
      </x:c>
      <x:c r="AA258">
        <x:v>52</x:v>
      </x:c>
      <x:c r="AB258" s="57" t="n">
        <x:v>40</x:v>
      </x:c>
      <x:c r="AC258" s="57" t="n">
        <x:v>39</x:v>
      </x:c>
      <x:c r="AD258" s="59"/>
      <x:c r="AE258" s="61" t="str">
        <x:f>IF(N(F258)&gt;=10,"NHL_LATEST_10",IF(AND(N(F258)&gt;0,N(G258)&gt;0),"NHL_BOTH_SEASONS",IF(N(G258)&gt;=10,"NHL_PREVIOUS_10",IF(AND(ISNUMBER(AD258),AD258=0,SUM(F258:G258)=0),"FARM_CAREER_0",IF(COUNT(F258:G258)&lt;2,"UNKNOWN_GP",IF(AND(F258=0,G258=0),IF(AD258&gt;=10,"FARM_LEGACY_10",IF(AND(ISNUMBER(AD258),AD258&gt;0),"FARM_CAREER_1_9","FARM_0_0")),IF(F258&gt;=1,IF(F258&lt;=3,"FARM_RECENT_1_3","FARM_RECENT_4_9"),"FARM_PREV_1_9_ONLY")))))))</x:f>
        <x:v>UNKNOWN_GP</x:v>
      </x:c>
      <x:c r="AF258" s="57" t="n">
        <x:f>AB258-T258</x:f>
        <x:v>0</x:v>
      </x:c>
      <x:c r="AG258" s="57" t="n">
        <x:f>AC258-U258</x:f>
        <x:v>0</x:v>
      </x:c>
    </x:row>
    <x:row r="259">
      <x:c r="A259" t="s">
        <x:v>1273</x:v>
      </x:c>
      <x:c r="C259" t="s">
        <x:v>329</x:v>
      </x:c>
      <x:c r="D259">
        <x:v>8475413</x:v>
      </x:c>
      <x:c r="E259" t="s">
        <x:v>267</x:v>
      </x:c>
      <x:c r="J259" t="s">
        <x:v>2474</x:v>
      </x:c>
      <x:c r="K259">
        <x:v>67</x:v>
      </x:c>
      <x:c r="L259">
        <x:v>34</x:v>
      </x:c>
      <x:c r="M259">
        <x:v>93</x:v>
      </x:c>
      <x:c r="N259">
        <x:v>46</x:v>
      </x:c>
      <x:c r="O259">
        <x:v>77</x:v>
      </x:c>
      <x:c r="P259">
        <x:v>80</x:v>
      </x:c>
      <x:c r="Q259">
        <x:v>83</x:v>
      </x:c>
      <x:c r="R259">
        <x:v>45</x:v>
      </x:c>
      <x:c r="S259">
        <x:v>86</x:v>
      </x:c>
      <x:c r="T259" s="63" t="n">
        <x:f>MAX(30,MIN(AB259-VLOOKUP(AE259,'AHL_PA_SC_BALANCE'!$A$8:$E$18,2,FALSE),VLOOKUP(AE259,'AHL_PA_SC_BALANCE'!$A$8:$E$18,4,FALSE)))</x:f>
        <x:v>51</x:v>
      </x:c>
      <x:c r="U259" s="63" t="n">
        <x:f>MAX(30,MIN(AC259-VLOOKUP(AE259,'AHL_PA_SC_BALANCE'!$A$8:$E$18,3,FALSE),VLOOKUP(AE259,'AHL_PA_SC_BALANCE'!$A$8:$E$18,5,FALSE)))</x:f>
        <x:v>52</x:v>
      </x:c>
      <x:c r="V259">
        <x:v>63</x:v>
      </x:c>
      <x:c r="W259">
        <x:v>68</x:v>
      </x:c>
      <x:c r="X259">
        <x:v>82</x:v>
      </x:c>
      <x:c r="Y259">
        <x:v>73</x:v>
      </x:c>
      <x:c r="Z259">
        <x:v>51</x:v>
      </x:c>
      <x:c r="AA259">
        <x:v>52</x:v>
      </x:c>
      <x:c r="AB259" s="57" t="n">
        <x:v>51</x:v>
      </x:c>
      <x:c r="AC259" s="57" t="n">
        <x:v>52</x:v>
      </x:c>
      <x:c r="AD259" s="59"/>
      <x:c r="AE259" s="61" t="str">
        <x:f>IF(N(F259)&gt;=10,"NHL_LATEST_10",IF(AND(N(F259)&gt;0,N(G259)&gt;0),"NHL_BOTH_SEASONS",IF(N(G259)&gt;=10,"NHL_PREVIOUS_10",IF(AND(ISNUMBER(AD259),AD259=0,SUM(F259:G259)=0),"FARM_CAREER_0",IF(COUNT(F259:G259)&lt;2,"UNKNOWN_GP",IF(AND(F259=0,G259=0),IF(AD259&gt;=10,"FARM_LEGACY_10",IF(AND(ISNUMBER(AD259),AD259&gt;0),"FARM_CAREER_1_9","FARM_0_0")),IF(F259&gt;=1,IF(F259&lt;=3,"FARM_RECENT_1_3","FARM_RECENT_4_9"),"FARM_PREV_1_9_ONLY")))))))</x:f>
        <x:v>UNKNOWN_GP</x:v>
      </x:c>
      <x:c r="AF259" s="57" t="n">
        <x:f>AB259-T259</x:f>
        <x:v>0</x:v>
      </x:c>
      <x:c r="AG259" s="57" t="n">
        <x:f>AC259-U259</x:f>
        <x:v>0</x:v>
      </x:c>
    </x:row>
    <x:row r="260">
      <x:c r="A260" t="s">
        <x:v>1274</x:v>
      </x:c>
      <x:c r="C260" t="s">
        <x:v>331</x:v>
      </x:c>
      <x:c r="D260">
        <x:v>8484822</x:v>
      </x:c>
      <x:c r="E260" t="s">
        <x:v>267</x:v>
      </x:c>
      <x:c r="J260" t="s">
        <x:v>2474</x:v>
      </x:c>
      <x:c r="K260">
        <x:v>68</x:v>
      </x:c>
      <x:c r="L260">
        <x:v>39</x:v>
      </x:c>
      <x:c r="M260">
        <x:v>82</x:v>
      </x:c>
      <x:c r="N260">
        <x:v>33</x:v>
      </x:c>
      <x:c r="O260">
        <x:v>81</x:v>
      </x:c>
      <x:c r="P260">
        <x:v>79</x:v>
      </x:c>
      <x:c r="Q260">
        <x:v>82</x:v>
      </x:c>
      <x:c r="R260">
        <x:v>33</x:v>
      </x:c>
      <x:c r="S260">
        <x:v>30</x:v>
      </x:c>
      <x:c r="T260" s="63" t="n">
        <x:f>MAX(30,MIN(AB260-VLOOKUP(AE260,'AHL_PA_SC_BALANCE'!$A$8:$E$18,2,FALSE),VLOOKUP(AE260,'AHL_PA_SC_BALANCE'!$A$8:$E$18,4,FALSE)))</x:f>
        <x:v>43</x:v>
      </x:c>
      <x:c r="U260" s="63" t="n">
        <x:f>MAX(30,MIN(AC260-VLOOKUP(AE260,'AHL_PA_SC_BALANCE'!$A$8:$E$18,3,FALSE),VLOOKUP(AE260,'AHL_PA_SC_BALANCE'!$A$8:$E$18,5,FALSE)))</x:f>
        <x:v>43</x:v>
      </x:c>
      <x:c r="V260">
        <x:v>67</x:v>
      </x:c>
      <x:c r="W260">
        <x:v>48</x:v>
      </x:c>
      <x:c r="X260">
        <x:v>69</x:v>
      </x:c>
      <x:c r="Y260">
        <x:v>69</x:v>
      </x:c>
      <x:c r="Z260">
        <x:v>51</x:v>
      </x:c>
      <x:c r="AA260">
        <x:v>52</x:v>
      </x:c>
      <x:c r="AB260" s="57" t="n">
        <x:v>43</x:v>
      </x:c>
      <x:c r="AC260" s="57" t="n">
        <x:v>43</x:v>
      </x:c>
      <x:c r="AD260" s="59"/>
      <x:c r="AE260" s="61" t="str">
        <x:f>IF(N(F260)&gt;=10,"NHL_LATEST_10",IF(AND(N(F260)&gt;0,N(G260)&gt;0),"NHL_BOTH_SEASONS",IF(N(G260)&gt;=10,"NHL_PREVIOUS_10",IF(AND(ISNUMBER(AD260),AD260=0,SUM(F260:G260)=0),"FARM_CAREER_0",IF(COUNT(F260:G260)&lt;2,"UNKNOWN_GP",IF(AND(F260=0,G260=0),IF(AD260&gt;=10,"FARM_LEGACY_10",IF(AND(ISNUMBER(AD260),AD260&gt;0),"FARM_CAREER_1_9","FARM_0_0")),IF(F260&gt;=1,IF(F260&lt;=3,"FARM_RECENT_1_3","FARM_RECENT_4_9"),"FARM_PREV_1_9_ONLY")))))))</x:f>
        <x:v>UNKNOWN_GP</x:v>
      </x:c>
      <x:c r="AF260" s="57" t="n">
        <x:f>AB260-T260</x:f>
        <x:v>0</x:v>
      </x:c>
      <x:c r="AG260" s="57" t="n">
        <x:f>AC260-U260</x:f>
        <x:v>0</x:v>
      </x:c>
    </x:row>
    <x:row r="261">
      <x:c r="A261" t="s">
        <x:v>1275</x:v>
      </x:c>
      <x:c r="C261" t="s">
        <x:v>331</x:v>
      </x:c>
      <x:c r="D261">
        <x:v>8479321</x:v>
      </x:c>
      <x:c r="E261" t="s">
        <x:v>267</x:v>
      </x:c>
      <x:c r="J261" t="s">
        <x:v>2474</x:v>
      </x:c>
      <x:c r="K261">
        <x:v>75</x:v>
      </x:c>
      <x:c r="L261">
        <x:v>37</x:v>
      </x:c>
      <x:c r="M261">
        <x:v>87</x:v>
      </x:c>
      <x:c r="N261">
        <x:v>32</x:v>
      </x:c>
      <x:c r="O261">
        <x:v>78</x:v>
      </x:c>
      <x:c r="P261">
        <x:v>77</x:v>
      </x:c>
      <x:c r="Q261">
        <x:v>79</x:v>
      </x:c>
      <x:c r="R261">
        <x:v>31</x:v>
      </x:c>
      <x:c r="S261">
        <x:v>30</x:v>
      </x:c>
      <x:c r="T261" s="63" t="n">
        <x:f>MAX(30,MIN(AB261-VLOOKUP(AE261,'AHL_PA_SC_BALANCE'!$A$8:$E$18,2,FALSE),VLOOKUP(AE261,'AHL_PA_SC_BALANCE'!$A$8:$E$18,4,FALSE)))</x:f>
        <x:v>40</x:v>
      </x:c>
      <x:c r="U261" s="63" t="n">
        <x:f>MAX(30,MIN(AC261-VLOOKUP(AE261,'AHL_PA_SC_BALANCE'!$A$8:$E$18,3,FALSE),VLOOKUP(AE261,'AHL_PA_SC_BALANCE'!$A$8:$E$18,5,FALSE)))</x:f>
        <x:v>40</x:v>
      </x:c>
      <x:c r="V261">
        <x:v>68</x:v>
      </x:c>
      <x:c r="W261">
        <x:v>45</x:v>
      </x:c>
      <x:c r="X261">
        <x:v>71</x:v>
      </x:c>
      <x:c r="Y261">
        <x:v>71</x:v>
      </x:c>
      <x:c r="Z261">
        <x:v>51</x:v>
      </x:c>
      <x:c r="AA261">
        <x:v>52</x:v>
      </x:c>
      <x:c r="AB261" s="57" t="n">
        <x:v>40</x:v>
      </x:c>
      <x:c r="AC261" s="57" t="n">
        <x:v>40</x:v>
      </x:c>
      <x:c r="AD261" s="59"/>
      <x:c r="AE261" s="61" t="str">
        <x:f>IF(N(F261)&gt;=10,"NHL_LATEST_10",IF(AND(N(F261)&gt;0,N(G261)&gt;0),"NHL_BOTH_SEASONS",IF(N(G261)&gt;=10,"NHL_PREVIOUS_10",IF(AND(ISNUMBER(AD261),AD261=0,SUM(F261:G261)=0),"FARM_CAREER_0",IF(COUNT(F261:G261)&lt;2,"UNKNOWN_GP",IF(AND(F261=0,G261=0),IF(AD261&gt;=10,"FARM_LEGACY_10",IF(AND(ISNUMBER(AD261),AD261&gt;0),"FARM_CAREER_1_9","FARM_0_0")),IF(F261&gt;=1,IF(F261&lt;=3,"FARM_RECENT_1_3","FARM_RECENT_4_9"),"FARM_PREV_1_9_ONLY")))))))</x:f>
        <x:v>UNKNOWN_GP</x:v>
      </x:c>
      <x:c r="AF261" s="57" t="n">
        <x:f>AB261-T261</x:f>
        <x:v>0</x:v>
      </x:c>
      <x:c r="AG261" s="57" t="n">
        <x:f>AC261-U261</x:f>
        <x:v>0</x:v>
      </x:c>
    </x:row>
    <x:row r="262">
      <x:c r="A262" t="s">
        <x:v>1276</x:v>
      </x:c>
      <x:c r="C262" t="s">
        <x:v>358</x:v>
      </x:c>
      <x:c r="D262">
        <x:v>8484803</x:v>
      </x:c>
      <x:c r="E262" t="s">
        <x:v>267</x:v>
      </x:c>
      <x:c r="J262" t="s">
        <x:v>2474</x:v>
      </x:c>
      <x:c r="K262">
        <x:v>59</x:v>
      </x:c>
      <x:c r="L262">
        <x:v>39</x:v>
      </x:c>
      <x:c r="M262">
        <x:v>84</x:v>
      </x:c>
      <x:c r="N262">
        <x:v>48</x:v>
      </x:c>
      <x:c r="O262">
        <x:v>76</x:v>
      </x:c>
      <x:c r="P262">
        <x:v>78</x:v>
      </x:c>
      <x:c r="Q262">
        <x:v>82</x:v>
      </x:c>
      <x:c r="R262">
        <x:v>48</x:v>
      </x:c>
      <x:c r="S262">
        <x:v>77</x:v>
      </x:c>
      <x:c r="T262" s="63" t="n">
        <x:f>MAX(30,MIN(AB262-VLOOKUP(AE262,'AHL_PA_SC_BALANCE'!$A$8:$E$18,2,FALSE),VLOOKUP(AE262,'AHL_PA_SC_BALANCE'!$A$8:$E$18,4,FALSE)))</x:f>
        <x:v>52</x:v>
      </x:c>
      <x:c r="U262" s="63" t="n">
        <x:f>MAX(30,MIN(AC262-VLOOKUP(AE262,'AHL_PA_SC_BALANCE'!$A$8:$E$18,3,FALSE),VLOOKUP(AE262,'AHL_PA_SC_BALANCE'!$A$8:$E$18,5,FALSE)))</x:f>
        <x:v>46</x:v>
      </x:c>
      <x:c r="V262">
        <x:v>58</x:v>
      </x:c>
      <x:c r="W262">
        <x:v>72</x:v>
      </x:c>
      <x:c r="X262">
        <x:v>64</x:v>
      </x:c>
      <x:c r="Y262">
        <x:v>66</x:v>
      </x:c>
      <x:c r="Z262">
        <x:v>51</x:v>
      </x:c>
      <x:c r="AA262">
        <x:v>52</x:v>
      </x:c>
      <x:c r="AB262" s="57" t="n">
        <x:v>52</x:v>
      </x:c>
      <x:c r="AC262" s="57" t="n">
        <x:v>46</x:v>
      </x:c>
      <x:c r="AD262" s="59"/>
      <x:c r="AE262" s="61" t="str">
        <x:f>IF(N(F262)&gt;=10,"NHL_LATEST_10",IF(AND(N(F262)&gt;0,N(G262)&gt;0),"NHL_BOTH_SEASONS",IF(N(G262)&gt;=10,"NHL_PREVIOUS_10",IF(AND(ISNUMBER(AD262),AD262=0,SUM(F262:G262)=0),"FARM_CAREER_0",IF(COUNT(F262:G262)&lt;2,"UNKNOWN_GP",IF(AND(F262=0,G262=0),IF(AD262&gt;=10,"FARM_LEGACY_10",IF(AND(ISNUMBER(AD262),AD262&gt;0),"FARM_CAREER_1_9","FARM_0_0")),IF(F262&gt;=1,IF(F262&lt;=3,"FARM_RECENT_1_3","FARM_RECENT_4_9"),"FARM_PREV_1_9_ONLY")))))))</x:f>
        <x:v>UNKNOWN_GP</x:v>
      </x:c>
      <x:c r="AF262" s="57" t="n">
        <x:f>AB262-T262</x:f>
        <x:v>0</x:v>
      </x:c>
      <x:c r="AG262" s="57" t="n">
        <x:f>AC262-U262</x:f>
        <x:v>0</x:v>
      </x:c>
    </x:row>
    <x:row r="263">
      <x:c r="A263" t="s">
        <x:v>1277</x:v>
      </x:c>
      <x:c r="C263" t="s">
        <x:v>326</x:v>
      </x:c>
      <x:c r="D263">
        <x:v>8482118</x:v>
      </x:c>
      <x:c r="E263" t="s">
        <x:v>267</x:v>
      </x:c>
      <x:c r="J263" t="s">
        <x:v>2474</x:v>
      </x:c>
      <x:c r="K263">
        <x:v>71</x:v>
      </x:c>
      <x:c r="L263">
        <x:v>32</x:v>
      </x:c>
      <x:c r="M263">
        <x:v>87</x:v>
      </x:c>
      <x:c r="N263">
        <x:v>47</x:v>
      </x:c>
      <x:c r="O263">
        <x:v>83</x:v>
      </x:c>
      <x:c r="P263">
        <x:v>83</x:v>
      </x:c>
      <x:c r="Q263">
        <x:v>86</x:v>
      </x:c>
      <x:c r="R263">
        <x:v>48</x:v>
      </x:c>
      <x:c r="S263">
        <x:v>66</x:v>
      </x:c>
      <x:c r="T263" s="63" t="n">
        <x:f>MAX(30,MIN(AB263-VLOOKUP(AE263,'AHL_PA_SC_BALANCE'!$A$8:$E$18,2,FALSE),VLOOKUP(AE263,'AHL_PA_SC_BALANCE'!$A$8:$E$18,4,FALSE)))</x:f>
        <x:v>50</x:v>
      </x:c>
      <x:c r="U263" s="63" t="n">
        <x:f>MAX(30,MIN(AC263-VLOOKUP(AE263,'AHL_PA_SC_BALANCE'!$A$8:$E$18,3,FALSE),VLOOKUP(AE263,'AHL_PA_SC_BALANCE'!$A$8:$E$18,5,FALSE)))</x:f>
        <x:v>53</x:v>
      </x:c>
      <x:c r="V263">
        <x:v>63</x:v>
      </x:c>
      <x:c r="W263">
        <x:v>70</x:v>
      </x:c>
      <x:c r="X263">
        <x:v>69</x:v>
      </x:c>
      <x:c r="Y263">
        <x:v>66</x:v>
      </x:c>
      <x:c r="Z263">
        <x:v>51</x:v>
      </x:c>
      <x:c r="AA263">
        <x:v>52</x:v>
      </x:c>
      <x:c r="AB263" s="57" t="n">
        <x:v>50</x:v>
      </x:c>
      <x:c r="AC263" s="57" t="n">
        <x:v>53</x:v>
      </x:c>
      <x:c r="AD263" s="59"/>
      <x:c r="AE263" s="61" t="str">
        <x:f>IF(N(F263)&gt;=10,"NHL_LATEST_10",IF(AND(N(F263)&gt;0,N(G263)&gt;0),"NHL_BOTH_SEASONS",IF(N(G263)&gt;=10,"NHL_PREVIOUS_10",IF(AND(ISNUMBER(AD263),AD263=0,SUM(F263:G263)=0),"FARM_CAREER_0",IF(COUNT(F263:G263)&lt;2,"UNKNOWN_GP",IF(AND(F263=0,G263=0),IF(AD263&gt;=10,"FARM_LEGACY_10",IF(AND(ISNUMBER(AD263),AD263&gt;0),"FARM_CAREER_1_9","FARM_0_0")),IF(F263&gt;=1,IF(F263&lt;=3,"FARM_RECENT_1_3","FARM_RECENT_4_9"),"FARM_PREV_1_9_ONLY")))))))</x:f>
        <x:v>UNKNOWN_GP</x:v>
      </x:c>
      <x:c r="AF263" s="57" t="n">
        <x:f>AB263-T263</x:f>
        <x:v>0</x:v>
      </x:c>
      <x:c r="AG263" s="57" t="n">
        <x:f>AC263-U263</x:f>
        <x:v>0</x:v>
      </x:c>
    </x:row>
    <x:row r="264">
      <x:c r="A264" t="s">
        <x:v>1278</x:v>
      </x:c>
      <x:c r="C264" t="s">
        <x:v>319</x:v>
      </x:c>
      <x:c r="D264">
        <x:v>8483424</x:v>
      </x:c>
      <x:c r="E264" t="s">
        <x:v>267</x:v>
      </x:c>
      <x:c r="J264" t="s">
        <x:v>2474</x:v>
      </x:c>
      <x:c r="K264">
        <x:v>69</x:v>
      </x:c>
      <x:c r="L264">
        <x:v>37</x:v>
      </x:c>
      <x:c r="M264">
        <x:v>87</x:v>
      </x:c>
      <x:c r="N264">
        <x:v>49</x:v>
      </x:c>
      <x:c r="O264">
        <x:v>79</x:v>
      </x:c>
      <x:c r="P264">
        <x:v>78</x:v>
      </x:c>
      <x:c r="Q264">
        <x:v>90</x:v>
      </x:c>
      <x:c r="R264">
        <x:v>47</x:v>
      </x:c>
      <x:c r="S264">
        <x:v>83</x:v>
      </x:c>
      <x:c r="T264" s="63" t="n">
        <x:f>MAX(30,MIN(AB264-VLOOKUP(AE264,'AHL_PA_SC_BALANCE'!$A$8:$E$18,2,FALSE),VLOOKUP(AE264,'AHL_PA_SC_BALANCE'!$A$8:$E$18,4,FALSE)))</x:f>
        <x:v>49</x:v>
      </x:c>
      <x:c r="U264" s="63" t="n">
        <x:f>MAX(30,MIN(AC264-VLOOKUP(AE264,'AHL_PA_SC_BALANCE'!$A$8:$E$18,3,FALSE),VLOOKUP(AE264,'AHL_PA_SC_BALANCE'!$A$8:$E$18,5,FALSE)))</x:f>
        <x:v>51</x:v>
      </x:c>
      <x:c r="V264">
        <x:v>61</x:v>
      </x:c>
      <x:c r="W264">
        <x:v>52</x:v>
      </x:c>
      <x:c r="X264">
        <x:v>66</x:v>
      </x:c>
      <x:c r="Y264">
        <x:v>66</x:v>
      </x:c>
      <x:c r="Z264">
        <x:v>47</x:v>
      </x:c>
      <x:c r="AA264">
        <x:v>52</x:v>
      </x:c>
      <x:c r="AB264" s="57" t="n">
        <x:v>49</x:v>
      </x:c>
      <x:c r="AC264" s="57" t="n">
        <x:v>51</x:v>
      </x:c>
      <x:c r="AD264" s="59"/>
      <x:c r="AE264" s="61" t="str">
        <x:f>IF(N(F264)&gt;=10,"NHL_LATEST_10",IF(AND(N(F264)&gt;0,N(G264)&gt;0),"NHL_BOTH_SEASONS",IF(N(G264)&gt;=10,"NHL_PREVIOUS_10",IF(AND(ISNUMBER(AD264),AD264=0,SUM(F264:G264)=0),"FARM_CAREER_0",IF(COUNT(F264:G264)&lt;2,"UNKNOWN_GP",IF(AND(F264=0,G264=0),IF(AD264&gt;=10,"FARM_LEGACY_10",IF(AND(ISNUMBER(AD264),AD264&gt;0),"FARM_CAREER_1_9","FARM_0_0")),IF(F264&gt;=1,IF(F264&lt;=3,"FARM_RECENT_1_3","FARM_RECENT_4_9"),"FARM_PREV_1_9_ONLY")))))))</x:f>
        <x:v>UNKNOWN_GP</x:v>
      </x:c>
      <x:c r="AF264" s="57" t="n">
        <x:f>AB264-T264</x:f>
        <x:v>0</x:v>
      </x:c>
      <x:c r="AG264" s="57" t="n">
        <x:f>AC264-U264</x:f>
        <x:v>0</x:v>
      </x:c>
    </x:row>
    <x:row r="265">
      <x:c r="A265" t="s">
        <x:v>1279</x:v>
      </x:c>
      <x:c r="C265" t="s">
        <x:v>358</x:v>
      </x:c>
      <x:c r="D265">
        <x:v>8475766</x:v>
      </x:c>
      <x:c r="E265" t="s">
        <x:v>267</x:v>
      </x:c>
      <x:c r="J265" t="s">
        <x:v>2474</x:v>
      </x:c>
      <x:c r="K265">
        <x:v>80</x:v>
      </x:c>
      <x:c r="L265">
        <x:v>89</x:v>
      </x:c>
      <x:c r="M265">
        <x:v>71</x:v>
      </x:c>
      <x:c r="N265">
        <x:v>44</x:v>
      </x:c>
      <x:c r="O265">
        <x:v>90</x:v>
      </x:c>
      <x:c r="P265">
        <x:v>83</x:v>
      </x:c>
      <x:c r="Q265">
        <x:v>88</x:v>
      </x:c>
      <x:c r="R265">
        <x:v>44</x:v>
      </x:c>
      <x:c r="S265">
        <x:v>62</x:v>
      </x:c>
      <x:c r="T265" s="63" t="n">
        <x:f>MAX(30,MIN(AB265-VLOOKUP(AE265,'AHL_PA_SC_BALANCE'!$A$8:$E$18,2,FALSE),VLOOKUP(AE265,'AHL_PA_SC_BALANCE'!$A$8:$E$18,4,FALSE)))</x:f>
        <x:v>47</x:v>
      </x:c>
      <x:c r="U265" s="63" t="n">
        <x:f>MAX(30,MIN(AC265-VLOOKUP(AE265,'AHL_PA_SC_BALANCE'!$A$8:$E$18,3,FALSE),VLOOKUP(AE265,'AHL_PA_SC_BALANCE'!$A$8:$E$18,5,FALSE)))</x:f>
        <x:v>52</x:v>
      </x:c>
      <x:c r="V265">
        <x:v>64</x:v>
      </x:c>
      <x:c r="W265">
        <x:v>65</x:v>
      </x:c>
      <x:c r="X265">
        <x:v>86</x:v>
      </x:c>
      <x:c r="Y265">
        <x:v>75</x:v>
      </x:c>
      <x:c r="Z265">
        <x:v>51</x:v>
      </x:c>
      <x:c r="AA265">
        <x:v>52</x:v>
      </x:c>
      <x:c r="AB265" s="57" t="n">
        <x:v>47</x:v>
      </x:c>
      <x:c r="AC265" s="57" t="n">
        <x:v>52</x:v>
      </x:c>
      <x:c r="AD265" s="59"/>
      <x:c r="AE265" s="61" t="str">
        <x:f>IF(N(F265)&gt;=10,"NHL_LATEST_10",IF(AND(N(F265)&gt;0,N(G265)&gt;0),"NHL_BOTH_SEASONS",IF(N(G265)&gt;=10,"NHL_PREVIOUS_10",IF(AND(ISNUMBER(AD265),AD265=0,SUM(F265:G265)=0),"FARM_CAREER_0",IF(COUNT(F265:G265)&lt;2,"UNKNOWN_GP",IF(AND(F265=0,G265=0),IF(AD265&gt;=10,"FARM_LEGACY_10",IF(AND(ISNUMBER(AD265),AD265&gt;0),"FARM_CAREER_1_9","FARM_0_0")),IF(F265&gt;=1,IF(F265&lt;=3,"FARM_RECENT_1_3","FARM_RECENT_4_9"),"FARM_PREV_1_9_ONLY")))))))</x:f>
        <x:v>UNKNOWN_GP</x:v>
      </x:c>
      <x:c r="AF265" s="57" t="n">
        <x:f>AB265-T265</x:f>
        <x:v>0</x:v>
      </x:c>
      <x:c r="AG265" s="57" t="n">
        <x:f>AC265-U265</x:f>
        <x:v>0</x:v>
      </x:c>
    </x:row>
    <x:row r="266">
      <x:c r="A266" t="s">
        <x:v>1280</x:v>
      </x:c>
      <x:c r="C266" t="s">
        <x:v>331</x:v>
      </x:c>
      <x:c r="D266">
        <x:v>8483699</x:v>
      </x:c>
      <x:c r="E266" t="s">
        <x:v>267</x:v>
      </x:c>
      <x:c r="J266" t="s">
        <x:v>2474</x:v>
      </x:c>
      <x:c r="K266">
        <x:v>84</x:v>
      </x:c>
      <x:c r="L266">
        <x:v>42</x:v>
      </x:c>
      <x:c r="M266">
        <x:v>82</x:v>
      </x:c>
      <x:c r="N266">
        <x:v>34</x:v>
      </x:c>
      <x:c r="O266">
        <x:v>75</x:v>
      </x:c>
      <x:c r="P266">
        <x:v>83</x:v>
      </x:c>
      <x:c r="Q266">
        <x:v>87</x:v>
      </x:c>
      <x:c r="R266">
        <x:v>35</x:v>
      </x:c>
      <x:c r="S266">
        <x:v>30</x:v>
      </x:c>
      <x:c r="T266" s="63" t="n">
        <x:f>MAX(30,MIN(AB266-VLOOKUP(AE266,'AHL_PA_SC_BALANCE'!$A$8:$E$18,2,FALSE),VLOOKUP(AE266,'AHL_PA_SC_BALANCE'!$A$8:$E$18,4,FALSE)))</x:f>
        <x:v>44</x:v>
      </x:c>
      <x:c r="U266" s="63" t="n">
        <x:f>MAX(30,MIN(AC266-VLOOKUP(AE266,'AHL_PA_SC_BALANCE'!$A$8:$E$18,3,FALSE),VLOOKUP(AE266,'AHL_PA_SC_BALANCE'!$A$8:$E$18,5,FALSE)))</x:f>
        <x:v>39</x:v>
      </x:c>
      <x:c r="V266">
        <x:v>63</x:v>
      </x:c>
      <x:c r="W266">
        <x:v>46</x:v>
      </x:c>
      <x:c r="X266">
        <x:v>65</x:v>
      </x:c>
      <x:c r="Y266">
        <x:v>65</x:v>
      </x:c>
      <x:c r="Z266">
        <x:v>51</x:v>
      </x:c>
      <x:c r="AA266">
        <x:v>52</x:v>
      </x:c>
      <x:c r="AB266" s="57" t="n">
        <x:v>44</x:v>
      </x:c>
      <x:c r="AC266" s="57" t="n">
        <x:v>39</x:v>
      </x:c>
      <x:c r="AD266" s="59"/>
      <x:c r="AE266" s="61" t="str">
        <x:f>IF(N(F266)&gt;=10,"NHL_LATEST_10",IF(AND(N(F266)&gt;0,N(G266)&gt;0),"NHL_BOTH_SEASONS",IF(N(G266)&gt;=10,"NHL_PREVIOUS_10",IF(AND(ISNUMBER(AD266),AD266=0,SUM(F266:G266)=0),"FARM_CAREER_0",IF(COUNT(F266:G266)&lt;2,"UNKNOWN_GP",IF(AND(F266=0,G266=0),IF(AD266&gt;=10,"FARM_LEGACY_10",IF(AND(ISNUMBER(AD266),AD266&gt;0),"FARM_CAREER_1_9","FARM_0_0")),IF(F266&gt;=1,IF(F266&lt;=3,"FARM_RECENT_1_3","FARM_RECENT_4_9"),"FARM_PREV_1_9_ONLY")))))))</x:f>
        <x:v>UNKNOWN_GP</x:v>
      </x:c>
      <x:c r="AF266" s="57" t="n">
        <x:f>AB266-T266</x:f>
        <x:v>0</x:v>
      </x:c>
      <x:c r="AG266" s="57" t="n">
        <x:f>AC266-U266</x:f>
        <x:v>0</x:v>
      </x:c>
    </x:row>
    <x:row r="267">
      <x:c r="A267" t="s">
        <x:v>1281</x:v>
      </x:c>
      <x:c r="C267" t="s">
        <x:v>326</x:v>
      </x:c>
      <x:c r="D267">
        <x:v>8484149</x:v>
      </x:c>
      <x:c r="E267" t="s">
        <x:v>267</x:v>
      </x:c>
      <x:c r="J267" t="s">
        <x:v>2474</x:v>
      </x:c>
      <x:c r="K267">
        <x:v>60</x:v>
      </x:c>
      <x:c r="L267">
        <x:v>32</x:v>
      </x:c>
      <x:c r="M267">
        <x:v>94</x:v>
      </x:c>
      <x:c r="N267">
        <x:v>51</x:v>
      </x:c>
      <x:c r="O267">
        <x:v>73</x:v>
      </x:c>
      <x:c r="P267">
        <x:v>81</x:v>
      </x:c>
      <x:c r="Q267">
        <x:v>84</x:v>
      </x:c>
      <x:c r="R267">
        <x:v>48</x:v>
      </x:c>
      <x:c r="S267">
        <x:v>70</x:v>
      </x:c>
      <x:c r="T267" s="63" t="n">
        <x:f>MAX(30,MIN(AB267-VLOOKUP(AE267,'AHL_PA_SC_BALANCE'!$A$8:$E$18,2,FALSE),VLOOKUP(AE267,'AHL_PA_SC_BALANCE'!$A$8:$E$18,4,FALSE)))</x:f>
        <x:v>49</x:v>
      </x:c>
      <x:c r="U267" s="63" t="n">
        <x:f>MAX(30,MIN(AC267-VLOOKUP(AE267,'AHL_PA_SC_BALANCE'!$A$8:$E$18,3,FALSE),VLOOKUP(AE267,'AHL_PA_SC_BALANCE'!$A$8:$E$18,5,FALSE)))</x:f>
        <x:v>50</x:v>
      </x:c>
      <x:c r="V267">
        <x:v>60</x:v>
      </x:c>
      <x:c r="W267">
        <x:v>55</x:v>
      </x:c>
      <x:c r="X267">
        <x:v>65</x:v>
      </x:c>
      <x:c r="Y267">
        <x:v>64</x:v>
      </x:c>
      <x:c r="Z267">
        <x:v>51</x:v>
      </x:c>
      <x:c r="AA267">
        <x:v>52</x:v>
      </x:c>
      <x:c r="AB267" s="57" t="n">
        <x:v>49</x:v>
      </x:c>
      <x:c r="AC267" s="57" t="n">
        <x:v>50</x:v>
      </x:c>
      <x:c r="AD267" s="59"/>
      <x:c r="AE267" s="61" t="str">
        <x:f>IF(N(F267)&gt;=10,"NHL_LATEST_10",IF(AND(N(F267)&gt;0,N(G267)&gt;0),"NHL_BOTH_SEASONS",IF(N(G267)&gt;=10,"NHL_PREVIOUS_10",IF(AND(ISNUMBER(AD267),AD267=0,SUM(F267:G267)=0),"FARM_CAREER_0",IF(COUNT(F267:G267)&lt;2,"UNKNOWN_GP",IF(AND(F267=0,G267=0),IF(AD267&gt;=10,"FARM_LEGACY_10",IF(AND(ISNUMBER(AD267),AD267&gt;0),"FARM_CAREER_1_9","FARM_0_0")),IF(F267&gt;=1,IF(F267&lt;=3,"FARM_RECENT_1_3","FARM_RECENT_4_9"),"FARM_PREV_1_9_ONLY")))))))</x:f>
        <x:v>UNKNOWN_GP</x:v>
      </x:c>
      <x:c r="AF267" s="57" t="n">
        <x:f>AB267-T267</x:f>
        <x:v>0</x:v>
      </x:c>
      <x:c r="AG267" s="57" t="n">
        <x:f>AC267-U267</x:f>
        <x:v>0</x:v>
      </x:c>
    </x:row>
    <x:row r="268">
      <x:c r="A268" t="s">
        <x:v>1282</x:v>
      </x:c>
      <x:c r="C268" t="s">
        <x:v>331</x:v>
      </x:c>
      <x:c r="D268">
        <x:v>8481679</x:v>
      </x:c>
      <x:c r="E268" t="s">
        <x:v>267</x:v>
      </x:c>
      <x:c r="J268" t="s">
        <x:v>2474</x:v>
      </x:c>
      <x:c r="K268">
        <x:v>66</x:v>
      </x:c>
      <x:c r="L268">
        <x:v>37</x:v>
      </x:c>
      <x:c r="M268">
        <x:v>85</x:v>
      </x:c>
      <x:c r="N268">
        <x:v>35</x:v>
      </x:c>
      <x:c r="O268">
        <x:v>78</x:v>
      </x:c>
      <x:c r="P268">
        <x:v>81</x:v>
      </x:c>
      <x:c r="Q268">
        <x:v>84</x:v>
      </x:c>
      <x:c r="R268">
        <x:v>36</x:v>
      </x:c>
      <x:c r="S268">
        <x:v>30</x:v>
      </x:c>
      <x:c r="T268" s="63" t="n">
        <x:f>MAX(30,MIN(AB268-VLOOKUP(AE268,'AHL_PA_SC_BALANCE'!$A$8:$E$18,2,FALSE),VLOOKUP(AE268,'AHL_PA_SC_BALANCE'!$A$8:$E$18,4,FALSE)))</x:f>
        <x:v>48</x:v>
      </x:c>
      <x:c r="U268" s="63" t="n">
        <x:f>MAX(30,MIN(AC268-VLOOKUP(AE268,'AHL_PA_SC_BALANCE'!$A$8:$E$18,3,FALSE),VLOOKUP(AE268,'AHL_PA_SC_BALANCE'!$A$8:$E$18,5,FALSE)))</x:f>
        <x:v>40</x:v>
      </x:c>
      <x:c r="V268">
        <x:v>64</x:v>
      </x:c>
      <x:c r="W268">
        <x:v>49</x:v>
      </x:c>
      <x:c r="X268">
        <x:v>68</x:v>
      </x:c>
      <x:c r="Y268">
        <x:v>68</x:v>
      </x:c>
      <x:c r="Z268">
        <x:v>51</x:v>
      </x:c>
      <x:c r="AA268">
        <x:v>52</x:v>
      </x:c>
      <x:c r="AB268" s="57" t="n">
        <x:v>48</x:v>
      </x:c>
      <x:c r="AC268" s="57" t="n">
        <x:v>40</x:v>
      </x:c>
      <x:c r="AD268" s="59"/>
      <x:c r="AE268" s="61" t="str">
        <x:f>IF(N(F268)&gt;=10,"NHL_LATEST_10",IF(AND(N(F268)&gt;0,N(G268)&gt;0),"NHL_BOTH_SEASONS",IF(N(G268)&gt;=10,"NHL_PREVIOUS_10",IF(AND(ISNUMBER(AD268),AD268=0,SUM(F268:G268)=0),"FARM_CAREER_0",IF(COUNT(F268:G268)&lt;2,"UNKNOWN_GP",IF(AND(F268=0,G268=0),IF(AD268&gt;=10,"FARM_LEGACY_10",IF(AND(ISNUMBER(AD268),AD268&gt;0),"FARM_CAREER_1_9","FARM_0_0")),IF(F268&gt;=1,IF(F268&lt;=3,"FARM_RECENT_1_3","FARM_RECENT_4_9"),"FARM_PREV_1_9_ONLY")))))))</x:f>
        <x:v>UNKNOWN_GP</x:v>
      </x:c>
      <x:c r="AF268" s="57" t="n">
        <x:f>AB268-T268</x:f>
        <x:v>0</x:v>
      </x:c>
      <x:c r="AG268" s="57" t="n">
        <x:f>AC268-U268</x:f>
        <x:v>0</x:v>
      </x:c>
    </x:row>
    <x:row r="269">
      <x:c r="A269" t="s">
        <x:v>1283</x:v>
      </x:c>
      <x:c r="C269" t="s">
        <x:v>331</x:v>
      </x:c>
      <x:c r="E269" t="s">
        <x:v>267</x:v>
      </x:c>
      <x:c r="J269" t="s">
        <x:v>2474</x:v>
      </x:c>
      <x:c r="K269">
        <x:v>69</x:v>
      </x:c>
      <x:c r="L269">
        <x:v>41</x:v>
      </x:c>
      <x:c r="M269">
        <x:v>82</x:v>
      </x:c>
      <x:c r="N269">
        <x:v>33</x:v>
      </x:c>
      <x:c r="O269">
        <x:v>82</x:v>
      </x:c>
      <x:c r="P269">
        <x:v>79</x:v>
      </x:c>
      <x:c r="Q269">
        <x:v>83</x:v>
      </x:c>
      <x:c r="R269">
        <x:v>34</x:v>
      </x:c>
      <x:c r="S269">
        <x:v>30</x:v>
      </x:c>
      <x:c r="T269" s="63" t="n">
        <x:f>MAX(30,MIN(AB269-VLOOKUP(AE269,'AHL_PA_SC_BALANCE'!$A$8:$E$18,2,FALSE),VLOOKUP(AE269,'AHL_PA_SC_BALANCE'!$A$8:$E$18,4,FALSE)))</x:f>
        <x:v>45</x:v>
      </x:c>
      <x:c r="U269" s="63" t="n">
        <x:f>MAX(30,MIN(AC269-VLOOKUP(AE269,'AHL_PA_SC_BALANCE'!$A$8:$E$18,3,FALSE),VLOOKUP(AE269,'AHL_PA_SC_BALANCE'!$A$8:$E$18,5,FALSE)))</x:f>
        <x:v>41</x:v>
      </x:c>
      <x:c r="V269">
        <x:v>68</x:v>
      </x:c>
      <x:c r="W269">
        <x:v>47</x:v>
      </x:c>
      <x:c r="X269">
        <x:v>66</x:v>
      </x:c>
      <x:c r="Y269">
        <x:v>67</x:v>
      </x:c>
      <x:c r="Z269">
        <x:v>51</x:v>
      </x:c>
      <x:c r="AA269">
        <x:v>52</x:v>
      </x:c>
      <x:c r="AB269" s="57" t="n">
        <x:v>45</x:v>
      </x:c>
      <x:c r="AC269" s="57" t="n">
        <x:v>41</x:v>
      </x:c>
      <x:c r="AD269" s="59"/>
      <x:c r="AE269" s="61" t="str">
        <x:f>IF(N(F269)&gt;=10,"NHL_LATEST_10",IF(AND(N(F269)&gt;0,N(G269)&gt;0),"NHL_BOTH_SEASONS",IF(N(G269)&gt;=10,"NHL_PREVIOUS_10",IF(AND(ISNUMBER(AD269),AD269=0,SUM(F269:G269)=0),"FARM_CAREER_0",IF(COUNT(F269:G269)&lt;2,"UNKNOWN_GP",IF(AND(F269=0,G269=0),IF(AD269&gt;=10,"FARM_LEGACY_10",IF(AND(ISNUMBER(AD269),AD269&gt;0),"FARM_CAREER_1_9","FARM_0_0")),IF(F269&gt;=1,IF(F269&lt;=3,"FARM_RECENT_1_3","FARM_RECENT_4_9"),"FARM_PREV_1_9_ONLY")))))))</x:f>
        <x:v>UNKNOWN_GP</x:v>
      </x:c>
      <x:c r="AF269" s="57" t="n">
        <x:f>AB269-T269</x:f>
        <x:v>0</x:v>
      </x:c>
      <x:c r="AG269" s="57" t="n">
        <x:f>AC269-U269</x:f>
        <x:v>0</x:v>
      </x:c>
    </x:row>
    <x:row r="270">
      <x:c r="A270" t="s">
        <x:v>1284</x:v>
      </x:c>
      <x:c r="C270" t="s">
        <x:v>331</x:v>
      </x:c>
      <x:c r="D270">
        <x:v>8477419</x:v>
      </x:c>
      <x:c r="E270" t="s">
        <x:v>267</x:v>
      </x:c>
      <x:c r="J270" t="s">
        <x:v>2474</x:v>
      </x:c>
      <x:c r="K270">
        <x:v>85</x:v>
      </x:c>
      <x:c r="L270">
        <x:v>95</x:v>
      </x:c>
      <x:c r="M270">
        <x:v>71</x:v>
      </x:c>
      <x:c r="N270">
        <x:v>32</x:v>
      </x:c>
      <x:c r="O270">
        <x:v>88</x:v>
      </x:c>
      <x:c r="P270">
        <x:v>79</x:v>
      </x:c>
      <x:c r="Q270">
        <x:v>81</x:v>
      </x:c>
      <x:c r="R270">
        <x:v>31</x:v>
      </x:c>
      <x:c r="S270">
        <x:v>30</x:v>
      </x:c>
      <x:c r="T270" s="63" t="n">
        <x:f>MAX(30,MIN(AB270-VLOOKUP(AE270,'AHL_PA_SC_BALANCE'!$A$8:$E$18,2,FALSE),VLOOKUP(AE270,'AHL_PA_SC_BALANCE'!$A$8:$E$18,4,FALSE)))</x:f>
        <x:v>40</x:v>
      </x:c>
      <x:c r="U270" s="63" t="n">
        <x:f>MAX(30,MIN(AC270-VLOOKUP(AE270,'AHL_PA_SC_BALANCE'!$A$8:$E$18,3,FALSE),VLOOKUP(AE270,'AHL_PA_SC_BALANCE'!$A$8:$E$18,5,FALSE)))</x:f>
        <x:v>40</x:v>
      </x:c>
      <x:c r="V270">
        <x:v>66</x:v>
      </x:c>
      <x:c r="W270">
        <x:v>45</x:v>
      </x:c>
      <x:c r="X270">
        <x:v>74</x:v>
      </x:c>
      <x:c r="Y270">
        <x:v>74</x:v>
      </x:c>
      <x:c r="Z270">
        <x:v>51</x:v>
      </x:c>
      <x:c r="AA270">
        <x:v>52</x:v>
      </x:c>
      <x:c r="AB270" s="57" t="n">
        <x:v>40</x:v>
      </x:c>
      <x:c r="AC270" s="57" t="n">
        <x:v>40</x:v>
      </x:c>
      <x:c r="AD270" s="59"/>
      <x:c r="AE270" s="61" t="str">
        <x:f>IF(N(F270)&gt;=10,"NHL_LATEST_10",IF(AND(N(F270)&gt;0,N(G270)&gt;0),"NHL_BOTH_SEASONS",IF(N(G270)&gt;=10,"NHL_PREVIOUS_10",IF(AND(ISNUMBER(AD270),AD270=0,SUM(F270:G270)=0),"FARM_CAREER_0",IF(COUNT(F270:G270)&lt;2,"UNKNOWN_GP",IF(AND(F270=0,G270=0),IF(AD270&gt;=10,"FARM_LEGACY_10",IF(AND(ISNUMBER(AD270),AD270&gt;0),"FARM_CAREER_1_9","FARM_0_0")),IF(F270&gt;=1,IF(F270&lt;=3,"FARM_RECENT_1_3","FARM_RECENT_4_9"),"FARM_PREV_1_9_ONLY")))))))</x:f>
        <x:v>UNKNOWN_GP</x:v>
      </x:c>
      <x:c r="AF270" s="57" t="n">
        <x:f>AB270-T270</x:f>
        <x:v>0</x:v>
      </x:c>
      <x:c r="AG270" s="57" t="n">
        <x:f>AC270-U270</x:f>
        <x:v>0</x:v>
      </x:c>
    </x:row>
    <x:row r="271">
      <x:c r="A271" t="s">
        <x:v>1285</x:v>
      </x:c>
      <x:c r="C271" t="s">
        <x:v>326</x:v>
      </x:c>
      <x:c r="D271">
        <x:v>8484177</x:v>
      </x:c>
      <x:c r="E271" t="s">
        <x:v>267</x:v>
      </x:c>
      <x:c r="J271" t="s">
        <x:v>2474</x:v>
      </x:c>
      <x:c r="K271">
        <x:v>59</x:v>
      </x:c>
      <x:c r="L271">
        <x:v>33</x:v>
      </x:c>
      <x:c r="M271">
        <x:v>84</x:v>
      </x:c>
      <x:c r="N271">
        <x:v>47</x:v>
      </x:c>
      <x:c r="O271">
        <x:v>77</x:v>
      </x:c>
      <x:c r="P271">
        <x:v>81</x:v>
      </x:c>
      <x:c r="Q271">
        <x:v>85</x:v>
      </x:c>
      <x:c r="R271">
        <x:v>48</x:v>
      </x:c>
      <x:c r="S271">
        <x:v>62</x:v>
      </x:c>
      <x:c r="T271" s="63" t="n">
        <x:f>MAX(30,MIN(AB271-VLOOKUP(AE271,'AHL_PA_SC_BALANCE'!$A$8:$E$18,2,FALSE),VLOOKUP(AE271,'AHL_PA_SC_BALANCE'!$A$8:$E$18,4,FALSE)))</x:f>
        <x:v>49</x:v>
      </x:c>
      <x:c r="U271" s="63" t="n">
        <x:f>MAX(30,MIN(AC271-VLOOKUP(AE271,'AHL_PA_SC_BALANCE'!$A$8:$E$18,3,FALSE),VLOOKUP(AE271,'AHL_PA_SC_BALANCE'!$A$8:$E$18,5,FALSE)))</x:f>
        <x:v>48</x:v>
      </x:c>
      <x:c r="V271">
        <x:v>60</x:v>
      </x:c>
      <x:c r="W271">
        <x:v>68</x:v>
      </x:c>
      <x:c r="X271">
        <x:v>66</x:v>
      </x:c>
      <x:c r="Y271">
        <x:v>67</x:v>
      </x:c>
      <x:c r="Z271">
        <x:v>51</x:v>
      </x:c>
      <x:c r="AA271">
        <x:v>52</x:v>
      </x:c>
      <x:c r="AB271" s="57" t="n">
        <x:v>49</x:v>
      </x:c>
      <x:c r="AC271" s="57" t="n">
        <x:v>48</x:v>
      </x:c>
      <x:c r="AD271" s="59"/>
      <x:c r="AE271" s="61" t="str">
        <x:f>IF(N(F271)&gt;=10,"NHL_LATEST_10",IF(AND(N(F271)&gt;0,N(G271)&gt;0),"NHL_BOTH_SEASONS",IF(N(G271)&gt;=10,"NHL_PREVIOUS_10",IF(AND(ISNUMBER(AD271),AD271=0,SUM(F271:G271)=0),"FARM_CAREER_0",IF(COUNT(F271:G271)&lt;2,"UNKNOWN_GP",IF(AND(F271=0,G271=0),IF(AD271&gt;=10,"FARM_LEGACY_10",IF(AND(ISNUMBER(AD271),AD271&gt;0),"FARM_CAREER_1_9","FARM_0_0")),IF(F271&gt;=1,IF(F271&lt;=3,"FARM_RECENT_1_3","FARM_RECENT_4_9"),"FARM_PREV_1_9_ONLY")))))))</x:f>
        <x:v>UNKNOWN_GP</x:v>
      </x:c>
      <x:c r="AF271" s="57" t="n">
        <x:f>AB271-T271</x:f>
        <x:v>0</x:v>
      </x:c>
      <x:c r="AG271" s="57" t="n">
        <x:f>AC271-U271</x:f>
        <x:v>0</x:v>
      </x:c>
    </x:row>
    <x:row r="272">
      <x:c r="A272" t="s">
        <x:v>1287</x:v>
      </x:c>
      <x:c r="C272" t="s">
        <x:v>331</x:v>
      </x:c>
      <x:c r="D272">
        <x:v>8482942</x:v>
      </x:c>
      <x:c r="E272" t="s">
        <x:v>267</x:v>
      </x:c>
      <x:c r="J272" t="s">
        <x:v>2474</x:v>
      </x:c>
      <x:c r="K272">
        <x:v>83</x:v>
      </x:c>
      <x:c r="L272">
        <x:v>43</x:v>
      </x:c>
      <x:c r="M272">
        <x:v>79</x:v>
      </x:c>
      <x:c r="N272">
        <x:v>33</x:v>
      </x:c>
      <x:c r="O272">
        <x:v>83</x:v>
      </x:c>
      <x:c r="P272">
        <x:v>81</x:v>
      </x:c>
      <x:c r="Q272">
        <x:v>85</x:v>
      </x:c>
      <x:c r="R272">
        <x:v>34</x:v>
      </x:c>
      <x:c r="S272">
        <x:v>30</x:v>
      </x:c>
      <x:c r="T272" s="63" t="n">
        <x:f>MAX(30,MIN(AB272-VLOOKUP(AE272,'AHL_PA_SC_BALANCE'!$A$8:$E$18,2,FALSE),VLOOKUP(AE272,'AHL_PA_SC_BALANCE'!$A$8:$E$18,4,FALSE)))</x:f>
        <x:v>43</x:v>
      </x:c>
      <x:c r="U272" s="63" t="n">
        <x:f>MAX(30,MIN(AC272-VLOOKUP(AE272,'AHL_PA_SC_BALANCE'!$A$8:$E$18,3,FALSE),VLOOKUP(AE272,'AHL_PA_SC_BALANCE'!$A$8:$E$18,5,FALSE)))</x:f>
        <x:v>39</x:v>
      </x:c>
      <x:c r="V272">
        <x:v>64</x:v>
      </x:c>
      <x:c r="W272">
        <x:v>46</x:v>
      </x:c>
      <x:c r="X272">
        <x:v>66</x:v>
      </x:c>
      <x:c r="Y272">
        <x:v>66</x:v>
      </x:c>
      <x:c r="Z272">
        <x:v>51</x:v>
      </x:c>
      <x:c r="AA272">
        <x:v>52</x:v>
      </x:c>
      <x:c r="AB272" s="57" t="n">
        <x:v>43</x:v>
      </x:c>
      <x:c r="AC272" s="57" t="n">
        <x:v>39</x:v>
      </x:c>
      <x:c r="AD272" s="59"/>
      <x:c r="AE272" s="61" t="str">
        <x:f>IF(N(F272)&gt;=10,"NHL_LATEST_10",IF(AND(N(F272)&gt;0,N(G272)&gt;0),"NHL_BOTH_SEASONS",IF(N(G272)&gt;=10,"NHL_PREVIOUS_10",IF(AND(ISNUMBER(AD272),AD272=0,SUM(F272:G272)=0),"FARM_CAREER_0",IF(COUNT(F272:G272)&lt;2,"UNKNOWN_GP",IF(AND(F272=0,G272=0),IF(AD272&gt;=10,"FARM_LEGACY_10",IF(AND(ISNUMBER(AD272),AD272&gt;0),"FARM_CAREER_1_9","FARM_0_0")),IF(F272&gt;=1,IF(F272&lt;=3,"FARM_RECENT_1_3","FARM_RECENT_4_9"),"FARM_PREV_1_9_ONLY")))))))</x:f>
        <x:v>UNKNOWN_GP</x:v>
      </x:c>
      <x:c r="AF272" s="57" t="n">
        <x:f>AB272-T272</x:f>
        <x:v>0</x:v>
      </x:c>
      <x:c r="AG272" s="57" t="n">
        <x:f>AC272-U272</x:f>
        <x:v>0</x:v>
      </x:c>
    </x:row>
    <x:row r="273">
      <x:c r="A273" t="s">
        <x:v>1288</x:v>
      </x:c>
      <x:c r="C273" t="s">
        <x:v>319</x:v>
      </x:c>
      <x:c r="D273">
        <x:v>8481491</x:v>
      </x:c>
      <x:c r="E273" t="s">
        <x:v>267</x:v>
      </x:c>
      <x:c r="J273" t="s">
        <x:v>2474</x:v>
      </x:c>
      <x:c r="K273">
        <x:v>68</x:v>
      </x:c>
      <x:c r="L273">
        <x:v>38</x:v>
      </x:c>
      <x:c r="M273">
        <x:v>89</x:v>
      </x:c>
      <x:c r="N273">
        <x:v>47</x:v>
      </x:c>
      <x:c r="O273">
        <x:v>80</x:v>
      </x:c>
      <x:c r="P273">
        <x:v>78</x:v>
      </x:c>
      <x:c r="Q273">
        <x:v>75</x:v>
      </x:c>
      <x:c r="R273">
        <x:v>47</x:v>
      </x:c>
      <x:c r="S273">
        <x:v>84</x:v>
      </x:c>
      <x:c r="T273" s="63" t="n">
        <x:f>MAX(30,MIN(AB273-VLOOKUP(AE273,'AHL_PA_SC_BALANCE'!$A$8:$E$18,2,FALSE),VLOOKUP(AE273,'AHL_PA_SC_BALANCE'!$A$8:$E$18,4,FALSE)))</x:f>
        <x:v>46</x:v>
      </x:c>
      <x:c r="U273" s="63" t="n">
        <x:f>MAX(30,MIN(AC273-VLOOKUP(AE273,'AHL_PA_SC_BALANCE'!$A$8:$E$18,3,FALSE),VLOOKUP(AE273,'AHL_PA_SC_BALANCE'!$A$8:$E$18,5,FALSE)))</x:f>
        <x:v>48</x:v>
      </x:c>
      <x:c r="V273">
        <x:v>61</x:v>
      </x:c>
      <x:c r="W273">
        <x:v>52</x:v>
      </x:c>
      <x:c r="X273">
        <x:v>72</x:v>
      </x:c>
      <x:c r="Y273">
        <x:v>67</x:v>
      </x:c>
      <x:c r="Z273">
        <x:v>51</x:v>
      </x:c>
      <x:c r="AA273">
        <x:v>52</x:v>
      </x:c>
      <x:c r="AB273" s="57" t="n">
        <x:v>46</x:v>
      </x:c>
      <x:c r="AC273" s="57" t="n">
        <x:v>48</x:v>
      </x:c>
      <x:c r="AD273" s="59"/>
      <x:c r="AE273" s="61" t="str">
        <x:f>IF(N(F273)&gt;=10,"NHL_LATEST_10",IF(AND(N(F273)&gt;0,N(G273)&gt;0),"NHL_BOTH_SEASONS",IF(N(G273)&gt;=10,"NHL_PREVIOUS_10",IF(AND(ISNUMBER(AD273),AD273=0,SUM(F273:G273)=0),"FARM_CAREER_0",IF(COUNT(F273:G273)&lt;2,"UNKNOWN_GP",IF(AND(F273=0,G273=0),IF(AD273&gt;=10,"FARM_LEGACY_10",IF(AND(ISNUMBER(AD273),AD273&gt;0),"FARM_CAREER_1_9","FARM_0_0")),IF(F273&gt;=1,IF(F273&lt;=3,"FARM_RECENT_1_3","FARM_RECENT_4_9"),"FARM_PREV_1_9_ONLY")))))))</x:f>
        <x:v>UNKNOWN_GP</x:v>
      </x:c>
      <x:c r="AF273" s="57" t="n">
        <x:f>AB273-T273</x:f>
        <x:v>0</x:v>
      </x:c>
      <x:c r="AG273" s="57" t="n">
        <x:f>AC273-U273</x:f>
        <x:v>0</x:v>
      </x:c>
    </x:row>
    <x:row r="274">
      <x:c r="A274" t="s">
        <x:v>1289</x:v>
      </x:c>
      <x:c r="C274" t="s">
        <x:v>331</x:v>
      </x:c>
      <x:c r="D274">
        <x:v>8482923</x:v>
      </x:c>
      <x:c r="E274" t="s">
        <x:v>267</x:v>
      </x:c>
      <x:c r="J274" t="s">
        <x:v>2474</x:v>
      </x:c>
      <x:c r="K274">
        <x:v>89</x:v>
      </x:c>
      <x:c r="L274">
        <x:v>48</x:v>
      </x:c>
      <x:c r="M274">
        <x:v>71</x:v>
      </x:c>
      <x:c r="N274">
        <x:v>34</x:v>
      </x:c>
      <x:c r="O274">
        <x:v>89</x:v>
      </x:c>
      <x:c r="P274">
        <x:v>78</x:v>
      </x:c>
      <x:c r="Q274">
        <x:v>82</x:v>
      </x:c>
      <x:c r="R274">
        <x:v>34</x:v>
      </x:c>
      <x:c r="S274">
        <x:v>30</x:v>
      </x:c>
      <x:c r="T274" s="63" t="n">
        <x:f>MAX(30,MIN(AB274-VLOOKUP(AE274,'AHL_PA_SC_BALANCE'!$A$8:$E$18,2,FALSE),VLOOKUP(AE274,'AHL_PA_SC_BALANCE'!$A$8:$E$18,4,FALSE)))</x:f>
        <x:v>40</x:v>
      </x:c>
      <x:c r="U274" s="63" t="n">
        <x:f>MAX(30,MIN(AC274-VLOOKUP(AE274,'AHL_PA_SC_BALANCE'!$A$8:$E$18,3,FALSE),VLOOKUP(AE274,'AHL_PA_SC_BALANCE'!$A$8:$E$18,5,FALSE)))</x:f>
        <x:v>40</x:v>
      </x:c>
      <x:c r="V274">
        <x:v>65</x:v>
      </x:c>
      <x:c r="W274">
        <x:v>45</x:v>
      </x:c>
      <x:c r="X274">
        <x:v>66</x:v>
      </x:c>
      <x:c r="Y274">
        <x:v>67</x:v>
      </x:c>
      <x:c r="Z274">
        <x:v>51</x:v>
      </x:c>
      <x:c r="AA274">
        <x:v>52</x:v>
      </x:c>
      <x:c r="AB274" s="57" t="n">
        <x:v>40</x:v>
      </x:c>
      <x:c r="AC274" s="57" t="n">
        <x:v>40</x:v>
      </x:c>
      <x:c r="AD274" s="59"/>
      <x:c r="AE274" s="61" t="str">
        <x:f>IF(N(F274)&gt;=10,"NHL_LATEST_10",IF(AND(N(F274)&gt;0,N(G274)&gt;0),"NHL_BOTH_SEASONS",IF(N(G274)&gt;=10,"NHL_PREVIOUS_10",IF(AND(ISNUMBER(AD274),AD274=0,SUM(F274:G274)=0),"FARM_CAREER_0",IF(COUNT(F274:G274)&lt;2,"UNKNOWN_GP",IF(AND(F274=0,G274=0),IF(AD274&gt;=10,"FARM_LEGACY_10",IF(AND(ISNUMBER(AD274),AD274&gt;0),"FARM_CAREER_1_9","FARM_0_0")),IF(F274&gt;=1,IF(F274&lt;=3,"FARM_RECENT_1_3","FARM_RECENT_4_9"),"FARM_PREV_1_9_ONLY")))))))</x:f>
        <x:v>UNKNOWN_GP</x:v>
      </x:c>
      <x:c r="AF274" s="57" t="n">
        <x:f>AB274-T274</x:f>
        <x:v>0</x:v>
      </x:c>
      <x:c r="AG274" s="57" t="n">
        <x:f>AC274-U274</x:f>
        <x:v>0</x:v>
      </x:c>
    </x:row>
    <x:row r="275">
      <x:c r="A275" t="s">
        <x:v>1290</x:v>
      </x:c>
      <x:c r="C275" t="s">
        <x:v>331</x:v>
      </x:c>
      <x:c r="D275">
        <x:v>8479945</x:v>
      </x:c>
      <x:c r="E275" t="s">
        <x:v>267</x:v>
      </x:c>
      <x:c r="J275" t="s">
        <x:v>2474</x:v>
      </x:c>
      <x:c r="K275">
        <x:v>65</x:v>
      </x:c>
      <x:c r="L275">
        <x:v>40</x:v>
      </x:c>
      <x:c r="M275">
        <x:v>81</x:v>
      </x:c>
      <x:c r="N275">
        <x:v>33</x:v>
      </x:c>
      <x:c r="O275">
        <x:v>82</x:v>
      </x:c>
      <x:c r="P275">
        <x:v>84</x:v>
      </x:c>
      <x:c r="Q275">
        <x:v>88</x:v>
      </x:c>
      <x:c r="R275">
        <x:v>34</x:v>
      </x:c>
      <x:c r="S275">
        <x:v>30</x:v>
      </x:c>
      <x:c r="T275" s="63" t="n">
        <x:f>MAX(30,MIN(AB275-VLOOKUP(AE275,'AHL_PA_SC_BALANCE'!$A$8:$E$18,2,FALSE),VLOOKUP(AE275,'AHL_PA_SC_BALANCE'!$A$8:$E$18,4,FALSE)))</x:f>
        <x:v>45</x:v>
      </x:c>
      <x:c r="U275" s="63" t="n">
        <x:f>MAX(30,MIN(AC275-VLOOKUP(AE275,'AHL_PA_SC_BALANCE'!$A$8:$E$18,3,FALSE),VLOOKUP(AE275,'AHL_PA_SC_BALANCE'!$A$8:$E$18,5,FALSE)))</x:f>
        <x:v>41</x:v>
      </x:c>
      <x:c r="V275">
        <x:v>64</x:v>
      </x:c>
      <x:c r="W275">
        <x:v>48</x:v>
      </x:c>
      <x:c r="X275">
        <x:v>74</x:v>
      </x:c>
      <x:c r="Y275">
        <x:v>73</x:v>
      </x:c>
      <x:c r="Z275">
        <x:v>51</x:v>
      </x:c>
      <x:c r="AA275">
        <x:v>52</x:v>
      </x:c>
      <x:c r="AB275" s="57" t="n">
        <x:v>45</x:v>
      </x:c>
      <x:c r="AC275" s="57" t="n">
        <x:v>41</x:v>
      </x:c>
      <x:c r="AD275" s="59"/>
      <x:c r="AE275" s="61" t="str">
        <x:f>IF(N(F275)&gt;=10,"NHL_LATEST_10",IF(AND(N(F275)&gt;0,N(G275)&gt;0),"NHL_BOTH_SEASONS",IF(N(G275)&gt;=10,"NHL_PREVIOUS_10",IF(AND(ISNUMBER(AD275),AD275=0,SUM(F275:G275)=0),"FARM_CAREER_0",IF(COUNT(F275:G275)&lt;2,"UNKNOWN_GP",IF(AND(F275=0,G275=0),IF(AD275&gt;=10,"FARM_LEGACY_10",IF(AND(ISNUMBER(AD275),AD275&gt;0),"FARM_CAREER_1_9","FARM_0_0")),IF(F275&gt;=1,IF(F275&lt;=3,"FARM_RECENT_1_3","FARM_RECENT_4_9"),"FARM_PREV_1_9_ONLY")))))))</x:f>
        <x:v>UNKNOWN_GP</x:v>
      </x:c>
      <x:c r="AF275" s="57" t="n">
        <x:f>AB275-T275</x:f>
        <x:v>0</x:v>
      </x:c>
      <x:c r="AG275" s="57" t="n">
        <x:f>AC275-U275</x:f>
        <x:v>0</x:v>
      </x:c>
    </x:row>
    <x:row r="276">
      <x:c r="A276" t="s">
        <x:v>1291</x:v>
      </x:c>
      <x:c r="C276" t="s">
        <x:v>339</x:v>
      </x:c>
      <x:c r="D276">
        <x:v>8482209</x:v>
      </x:c>
      <x:c r="E276" t="s">
        <x:v>267</x:v>
      </x:c>
      <x:c r="J276" t="s">
        <x:v>2474</x:v>
      </x:c>
      <x:c r="K276">
        <x:v>74</x:v>
      </x:c>
      <x:c r="L276">
        <x:v>39</x:v>
      </x:c>
      <x:c r="M276">
        <x:v>89</x:v>
      </x:c>
      <x:c r="N276">
        <x:v>48</x:v>
      </x:c>
      <x:c r="O276">
        <x:v>74</x:v>
      </x:c>
      <x:c r="P276">
        <x:v>86</x:v>
      </x:c>
      <x:c r="Q276">
        <x:v>88</x:v>
      </x:c>
      <x:c r="R276">
        <x:v>48</x:v>
      </x:c>
      <x:c r="S276">
        <x:v>81</x:v>
      </x:c>
      <x:c r="T276" s="63" t="n">
        <x:f>MAX(30,MIN(AB276-VLOOKUP(AE276,'AHL_PA_SC_BALANCE'!$A$8:$E$18,2,FALSE),VLOOKUP(AE276,'AHL_PA_SC_BALANCE'!$A$8:$E$18,4,FALSE)))</x:f>
        <x:v>51</x:v>
      </x:c>
      <x:c r="U276" s="63" t="n">
        <x:f>MAX(30,MIN(AC276-VLOOKUP(AE276,'AHL_PA_SC_BALANCE'!$A$8:$E$18,3,FALSE),VLOOKUP(AE276,'AHL_PA_SC_BALANCE'!$A$8:$E$18,5,FALSE)))</x:f>
        <x:v>47</x:v>
      </x:c>
      <x:c r="V276">
        <x:v>61</x:v>
      </x:c>
      <x:c r="W276">
        <x:v>71</x:v>
      </x:c>
      <x:c r="X276">
        <x:v>67</x:v>
      </x:c>
      <x:c r="Y276">
        <x:v>66</x:v>
      </x:c>
      <x:c r="Z276">
        <x:v>51</x:v>
      </x:c>
      <x:c r="AA276">
        <x:v>52</x:v>
      </x:c>
      <x:c r="AB276" s="57" t="n">
        <x:v>51</x:v>
      </x:c>
      <x:c r="AC276" s="57" t="n">
        <x:v>47</x:v>
      </x:c>
      <x:c r="AD276" s="59"/>
      <x:c r="AE276" s="61" t="str">
        <x:f>IF(N(F276)&gt;=10,"NHL_LATEST_10",IF(AND(N(F276)&gt;0,N(G276)&gt;0),"NHL_BOTH_SEASONS",IF(N(G276)&gt;=10,"NHL_PREVIOUS_10",IF(AND(ISNUMBER(AD276),AD276=0,SUM(F276:G276)=0),"FARM_CAREER_0",IF(COUNT(F276:G276)&lt;2,"UNKNOWN_GP",IF(AND(F276=0,G276=0),IF(AD276&gt;=10,"FARM_LEGACY_10",IF(AND(ISNUMBER(AD276),AD276&gt;0),"FARM_CAREER_1_9","FARM_0_0")),IF(F276&gt;=1,IF(F276&lt;=3,"FARM_RECENT_1_3","FARM_RECENT_4_9"),"FARM_PREV_1_9_ONLY")))))))</x:f>
        <x:v>UNKNOWN_GP</x:v>
      </x:c>
      <x:c r="AF276" s="57" t="n">
        <x:f>AB276-T276</x:f>
        <x:v>0</x:v>
      </x:c>
      <x:c r="AG276" s="57" t="n">
        <x:f>AC276-U276</x:f>
        <x:v>0</x:v>
      </x:c>
    </x:row>
    <x:row r="277">
      <x:c r="A277" t="s">
        <x:v>1292</x:v>
      </x:c>
      <x:c r="C277" t="s">
        <x:v>331</x:v>
      </x:c>
      <x:c r="D277">
        <x:v>8484115</x:v>
      </x:c>
      <x:c r="E277" t="s">
        <x:v>267</x:v>
      </x:c>
      <x:c r="J277" t="s">
        <x:v>2474</x:v>
      </x:c>
      <x:c r="K277">
        <x:v>76</x:v>
      </x:c>
      <x:c r="L277">
        <x:v>39</x:v>
      </x:c>
      <x:c r="M277">
        <x:v>91</x:v>
      </x:c>
      <x:c r="N277">
        <x:v>32</x:v>
      </x:c>
      <x:c r="O277">
        <x:v>82</x:v>
      </x:c>
      <x:c r="P277">
        <x:v>78</x:v>
      </x:c>
      <x:c r="Q277">
        <x:v>81</x:v>
      </x:c>
      <x:c r="R277">
        <x:v>32</x:v>
      </x:c>
      <x:c r="S277">
        <x:v>30</x:v>
      </x:c>
      <x:c r="T277" s="63" t="n">
        <x:f>MAX(30,MIN(AB277-VLOOKUP(AE277,'AHL_PA_SC_BALANCE'!$A$8:$E$18,2,FALSE),VLOOKUP(AE277,'AHL_PA_SC_BALANCE'!$A$8:$E$18,4,FALSE)))</x:f>
        <x:v>40</x:v>
      </x:c>
      <x:c r="U277" s="63" t="n">
        <x:f>MAX(30,MIN(AC277-VLOOKUP(AE277,'AHL_PA_SC_BALANCE'!$A$8:$E$18,3,FALSE),VLOOKUP(AE277,'AHL_PA_SC_BALANCE'!$A$8:$E$18,5,FALSE)))</x:f>
        <x:v>39</x:v>
      </x:c>
      <x:c r="V277">
        <x:v>64</x:v>
      </x:c>
      <x:c r="W277">
        <x:v>45</x:v>
      </x:c>
      <x:c r="X277">
        <x:v>69</x:v>
      </x:c>
      <x:c r="Y277">
        <x:v>69</x:v>
      </x:c>
      <x:c r="Z277">
        <x:v>51</x:v>
      </x:c>
      <x:c r="AA277">
        <x:v>52</x:v>
      </x:c>
      <x:c r="AB277" s="57" t="n">
        <x:v>40</x:v>
      </x:c>
      <x:c r="AC277" s="57" t="n">
        <x:v>39</x:v>
      </x:c>
      <x:c r="AD277" s="59"/>
      <x:c r="AE277" s="61" t="str">
        <x:f>IF(N(F277)&gt;=10,"NHL_LATEST_10",IF(AND(N(F277)&gt;0,N(G277)&gt;0),"NHL_BOTH_SEASONS",IF(N(G277)&gt;=10,"NHL_PREVIOUS_10",IF(AND(ISNUMBER(AD277),AD277=0,SUM(F277:G277)=0),"FARM_CAREER_0",IF(COUNT(F277:G277)&lt;2,"UNKNOWN_GP",IF(AND(F277=0,G277=0),IF(AD277&gt;=10,"FARM_LEGACY_10",IF(AND(ISNUMBER(AD277),AD277&gt;0),"FARM_CAREER_1_9","FARM_0_0")),IF(F277&gt;=1,IF(F277&lt;=3,"FARM_RECENT_1_3","FARM_RECENT_4_9"),"FARM_PREV_1_9_ONLY")))))))</x:f>
        <x:v>UNKNOWN_GP</x:v>
      </x:c>
      <x:c r="AF277" s="57" t="n">
        <x:f>AB277-T277</x:f>
        <x:v>0</x:v>
      </x:c>
      <x:c r="AG277" s="57" t="n">
        <x:f>AC277-U277</x:f>
        <x:v>0</x:v>
      </x:c>
    </x:row>
    <x:row r="278">
      <x:c r="A278" t="s">
        <x:v>1293</x:v>
      </x:c>
      <x:c r="C278" t="s">
        <x:v>331</x:v>
      </x:c>
      <x:c r="D278">
        <x:v>8480056</x:v>
      </x:c>
      <x:c r="E278" t="s">
        <x:v>267</x:v>
      </x:c>
      <x:c r="J278" t="s">
        <x:v>2474</x:v>
      </x:c>
      <x:c r="K278">
        <x:v>65</x:v>
      </x:c>
      <x:c r="L278">
        <x:v>35</x:v>
      </x:c>
      <x:c r="M278">
        <x:v>83</x:v>
      </x:c>
      <x:c r="N278">
        <x:v>34</x:v>
      </x:c>
      <x:c r="O278">
        <x:v>77</x:v>
      </x:c>
      <x:c r="P278">
        <x:v>83</x:v>
      </x:c>
      <x:c r="Q278">
        <x:v>84</x:v>
      </x:c>
      <x:c r="R278">
        <x:v>34</x:v>
      </x:c>
      <x:c r="S278">
        <x:v>30</x:v>
      </x:c>
      <x:c r="T278" s="63" t="n">
        <x:f>MAX(30,MIN(AB278-VLOOKUP(AE278,'AHL_PA_SC_BALANCE'!$A$8:$E$18,2,FALSE),VLOOKUP(AE278,'AHL_PA_SC_BALANCE'!$A$8:$E$18,4,FALSE)))</x:f>
        <x:v>44</x:v>
      </x:c>
      <x:c r="U278" s="63" t="n">
        <x:f>MAX(30,MIN(AC278-VLOOKUP(AE278,'AHL_PA_SC_BALANCE'!$A$8:$E$18,3,FALSE),VLOOKUP(AE278,'AHL_PA_SC_BALANCE'!$A$8:$E$18,5,FALSE)))</x:f>
        <x:v>41</x:v>
      </x:c>
      <x:c r="V278">
        <x:v>71</x:v>
      </x:c>
      <x:c r="W278">
        <x:v>48</x:v>
      </x:c>
      <x:c r="X278">
        <x:v>69</x:v>
      </x:c>
      <x:c r="Y278">
        <x:v>69</x:v>
      </x:c>
      <x:c r="Z278">
        <x:v>51</x:v>
      </x:c>
      <x:c r="AA278">
        <x:v>52</x:v>
      </x:c>
      <x:c r="AB278" s="57" t="n">
        <x:v>44</x:v>
      </x:c>
      <x:c r="AC278" s="57" t="n">
        <x:v>41</x:v>
      </x:c>
      <x:c r="AD278" s="59"/>
      <x:c r="AE278" s="61" t="str">
        <x:f>IF(N(F278)&gt;=10,"NHL_LATEST_10",IF(AND(N(F278)&gt;0,N(G278)&gt;0),"NHL_BOTH_SEASONS",IF(N(G278)&gt;=10,"NHL_PREVIOUS_10",IF(AND(ISNUMBER(AD278),AD278=0,SUM(F278:G278)=0),"FARM_CAREER_0",IF(COUNT(F278:G278)&lt;2,"UNKNOWN_GP",IF(AND(F278=0,G278=0),IF(AD278&gt;=10,"FARM_LEGACY_10",IF(AND(ISNUMBER(AD278),AD278&gt;0),"FARM_CAREER_1_9","FARM_0_0")),IF(F278&gt;=1,IF(F278&lt;=3,"FARM_RECENT_1_3","FARM_RECENT_4_9"),"FARM_PREV_1_9_ONLY")))))))</x:f>
        <x:v>UNKNOWN_GP</x:v>
      </x:c>
      <x:c r="AF278" s="57" t="n">
        <x:f>AB278-T278</x:f>
        <x:v>0</x:v>
      </x:c>
      <x:c r="AG278" s="57" t="n">
        <x:f>AC278-U278</x:f>
        <x:v>0</x:v>
      </x:c>
    </x:row>
    <x:row r="279">
      <x:c r="A279" t="s">
        <x:v>1294</x:v>
      </x:c>
      <x:c r="C279" t="s">
        <x:v>326</x:v>
      </x:c>
      <x:c r="D279">
        <x:v>8485511</x:v>
      </x:c>
      <x:c r="E279" t="s">
        <x:v>267</x:v>
      </x:c>
      <x:c r="J279" t="s">
        <x:v>2474</x:v>
      </x:c>
      <x:c r="K279">
        <x:v>60</x:v>
      </x:c>
      <x:c r="L279">
        <x:v>39</x:v>
      </x:c>
      <x:c r="M279">
        <x:v>75</x:v>
      </x:c>
      <x:c r="N279">
        <x:v>48</x:v>
      </x:c>
      <x:c r="O279">
        <x:v>79</x:v>
      </x:c>
      <x:c r="P279">
        <x:v>91</x:v>
      </x:c>
      <x:c r="Q279">
        <x:v>95</x:v>
      </x:c>
      <x:c r="R279">
        <x:v>49</x:v>
      </x:c>
      <x:c r="S279">
        <x:v>71</x:v>
      </x:c>
      <x:c r="T279" s="63" t="n">
        <x:f>MAX(30,MIN(AB279-VLOOKUP(AE279,'AHL_PA_SC_BALANCE'!$A$8:$E$18,2,FALSE),VLOOKUP(AE279,'AHL_PA_SC_BALANCE'!$A$8:$E$18,4,FALSE)))</x:f>
        <x:v>48</x:v>
      </x:c>
      <x:c r="U279" s="63" t="n">
        <x:f>MAX(30,MIN(AC279-VLOOKUP(AE279,'AHL_PA_SC_BALANCE'!$A$8:$E$18,3,FALSE),VLOOKUP(AE279,'AHL_PA_SC_BALANCE'!$A$8:$E$18,5,FALSE)))</x:f>
        <x:v>48</x:v>
      </x:c>
      <x:c r="V279">
        <x:v>58</x:v>
      </x:c>
      <x:c r="W279">
        <x:v>70</x:v>
      </x:c>
      <x:c r="X279">
        <x:v>66</x:v>
      </x:c>
      <x:c r="Y279">
        <x:v>65</x:v>
      </x:c>
      <x:c r="Z279">
        <x:v>51</x:v>
      </x:c>
      <x:c r="AA279">
        <x:v>52</x:v>
      </x:c>
      <x:c r="AB279" s="57" t="n">
        <x:v>48</x:v>
      </x:c>
      <x:c r="AC279" s="57" t="n">
        <x:v>48</x:v>
      </x:c>
      <x:c r="AD279" s="59"/>
      <x:c r="AE279" s="61" t="str">
        <x:f>IF(N(F279)&gt;=10,"NHL_LATEST_10",IF(AND(N(F279)&gt;0,N(G279)&gt;0),"NHL_BOTH_SEASONS",IF(N(G279)&gt;=10,"NHL_PREVIOUS_10",IF(AND(ISNUMBER(AD279),AD279=0,SUM(F279:G279)=0),"FARM_CAREER_0",IF(COUNT(F279:G279)&lt;2,"UNKNOWN_GP",IF(AND(F279=0,G279=0),IF(AD279&gt;=10,"FARM_LEGACY_10",IF(AND(ISNUMBER(AD279),AD279&gt;0),"FARM_CAREER_1_9","FARM_0_0")),IF(F279&gt;=1,IF(F279&lt;=3,"FARM_RECENT_1_3","FARM_RECENT_4_9"),"FARM_PREV_1_9_ONLY")))))))</x:f>
        <x:v>UNKNOWN_GP</x:v>
      </x:c>
      <x:c r="AF279" s="57" t="n">
        <x:f>AB279-T279</x:f>
        <x:v>0</x:v>
      </x:c>
      <x:c r="AG279" s="57" t="n">
        <x:f>AC279-U279</x:f>
        <x:v>0</x:v>
      </x:c>
    </x:row>
    <x:row r="280">
      <x:c r="A280" t="s">
        <x:v>1295</x:v>
      </x:c>
      <x:c r="C280" t="s">
        <x:v>358</x:v>
      </x:c>
      <x:c r="D280">
        <x:v>8483455</x:v>
      </x:c>
      <x:c r="E280" t="s">
        <x:v>267</x:v>
      </x:c>
      <x:c r="J280" t="s">
        <x:v>2474</x:v>
      </x:c>
      <x:c r="K280">
        <x:v>55</x:v>
      </x:c>
      <x:c r="L280">
        <x:v>31</x:v>
      </x:c>
      <x:c r="M280">
        <x:v>84</x:v>
      </x:c>
      <x:c r="N280">
        <x:v>52</x:v>
      </x:c>
      <x:c r="O280">
        <x:v>74</x:v>
      </x:c>
      <x:c r="P280">
        <x:v>79</x:v>
      </x:c>
      <x:c r="Q280">
        <x:v>90</x:v>
      </x:c>
      <x:c r="R280">
        <x:v>49</x:v>
      </x:c>
      <x:c r="S280">
        <x:v>61</x:v>
      </x:c>
      <x:c r="T280" s="63" t="n">
        <x:f>MAX(30,MIN(AB280-VLOOKUP(AE280,'AHL_PA_SC_BALANCE'!$A$8:$E$18,2,FALSE),VLOOKUP(AE280,'AHL_PA_SC_BALANCE'!$A$8:$E$18,4,FALSE)))</x:f>
        <x:v>49</x:v>
      </x:c>
      <x:c r="U280" s="63" t="n">
        <x:f>MAX(30,MIN(AC280-VLOOKUP(AE280,'AHL_PA_SC_BALANCE'!$A$8:$E$18,3,FALSE),VLOOKUP(AE280,'AHL_PA_SC_BALANCE'!$A$8:$E$18,5,FALSE)))</x:f>
        <x:v>49</x:v>
      </x:c>
      <x:c r="V280">
        <x:v>56</x:v>
      </x:c>
      <x:c r="W280">
        <x:v>60</x:v>
      </x:c>
      <x:c r="X280">
        <x:v>66</x:v>
      </x:c>
      <x:c r="Y280">
        <x:v>68</x:v>
      </x:c>
      <x:c r="Z280">
        <x:v>51</x:v>
      </x:c>
      <x:c r="AA280">
        <x:v>52</x:v>
      </x:c>
      <x:c r="AB280" s="57" t="n">
        <x:v>49</x:v>
      </x:c>
      <x:c r="AC280" s="57" t="n">
        <x:v>49</x:v>
      </x:c>
      <x:c r="AD280" s="59"/>
      <x:c r="AE280" s="61" t="str">
        <x:f>IF(N(F280)&gt;=10,"NHL_LATEST_10",IF(AND(N(F280)&gt;0,N(G280)&gt;0),"NHL_BOTH_SEASONS",IF(N(G280)&gt;=10,"NHL_PREVIOUS_10",IF(AND(ISNUMBER(AD280),AD280=0,SUM(F280:G280)=0),"FARM_CAREER_0",IF(COUNT(F280:G280)&lt;2,"UNKNOWN_GP",IF(AND(F280=0,G280=0),IF(AD280&gt;=10,"FARM_LEGACY_10",IF(AND(ISNUMBER(AD280),AD280&gt;0),"FARM_CAREER_1_9","FARM_0_0")),IF(F280&gt;=1,IF(F280&lt;=3,"FARM_RECENT_1_3","FARM_RECENT_4_9"),"FARM_PREV_1_9_ONLY")))))))</x:f>
        <x:v>UNKNOWN_GP</x:v>
      </x:c>
      <x:c r="AF280" s="57" t="n">
        <x:f>AB280-T280</x:f>
        <x:v>0</x:v>
      </x:c>
      <x:c r="AG280" s="57" t="n">
        <x:f>AC280-U280</x:f>
        <x:v>0</x:v>
      </x:c>
    </x:row>
    <x:row r="281">
      <x:c r="A281" t="s">
        <x:v>1296</x:v>
      </x:c>
      <x:c r="C281" t="s">
        <x:v>319</x:v>
      </x:c>
      <x:c r="D281">
        <x:v>8481556</x:v>
      </x:c>
      <x:c r="E281" t="s">
        <x:v>267</x:v>
      </x:c>
      <x:c r="J281" t="s">
        <x:v>2474</x:v>
      </x:c>
      <x:c r="K281">
        <x:v>63</x:v>
      </x:c>
      <x:c r="L281">
        <x:v>71</x:v>
      </x:c>
      <x:c r="M281">
        <x:v>80</x:v>
      </x:c>
      <x:c r="N281">
        <x:v>47</x:v>
      </x:c>
      <x:c r="O281">
        <x:v>88</x:v>
      </x:c>
      <x:c r="P281">
        <x:v>81</x:v>
      </x:c>
      <x:c r="Q281">
        <x:v>71</x:v>
      </x:c>
      <x:c r="R281">
        <x:v>47</x:v>
      </x:c>
      <x:c r="S281">
        <x:v>81</x:v>
      </x:c>
      <x:c r="T281" s="63" t="n">
        <x:f>MAX(30,MIN(AB281-VLOOKUP(AE281,'AHL_PA_SC_BALANCE'!$A$8:$E$18,2,FALSE),VLOOKUP(AE281,'AHL_PA_SC_BALANCE'!$A$8:$E$18,4,FALSE)))</x:f>
        <x:v>51</x:v>
      </x:c>
      <x:c r="U281" s="63" t="n">
        <x:f>MAX(30,MIN(AC281-VLOOKUP(AE281,'AHL_PA_SC_BALANCE'!$A$8:$E$18,3,FALSE),VLOOKUP(AE281,'AHL_PA_SC_BALANCE'!$A$8:$E$18,5,FALSE)))</x:f>
        <x:v>51</x:v>
      </x:c>
      <x:c r="V281">
        <x:v>68</x:v>
      </x:c>
      <x:c r="W281">
        <x:v>52</x:v>
      </x:c>
      <x:c r="X281">
        <x:v>69</x:v>
      </x:c>
      <x:c r="Y281">
        <x:v>68</x:v>
      </x:c>
      <x:c r="Z281">
        <x:v>51</x:v>
      </x:c>
      <x:c r="AA281">
        <x:v>52</x:v>
      </x:c>
      <x:c r="AB281" s="57" t="n">
        <x:v>51</x:v>
      </x:c>
      <x:c r="AC281" s="57" t="n">
        <x:v>51</x:v>
      </x:c>
      <x:c r="AD281" s="59"/>
      <x:c r="AE281" s="61" t="str">
        <x:f>IF(N(F281)&gt;=10,"NHL_LATEST_10",IF(AND(N(F281)&gt;0,N(G281)&gt;0),"NHL_BOTH_SEASONS",IF(N(G281)&gt;=10,"NHL_PREVIOUS_10",IF(AND(ISNUMBER(AD281),AD281=0,SUM(F281:G281)=0),"FARM_CAREER_0",IF(COUNT(F281:G281)&lt;2,"UNKNOWN_GP",IF(AND(F281=0,G281=0),IF(AD281&gt;=10,"FARM_LEGACY_10",IF(AND(ISNUMBER(AD281),AD281&gt;0),"FARM_CAREER_1_9","FARM_0_0")),IF(F281&gt;=1,IF(F281&lt;=3,"FARM_RECENT_1_3","FARM_RECENT_4_9"),"FARM_PREV_1_9_ONLY")))))))</x:f>
        <x:v>UNKNOWN_GP</x:v>
      </x:c>
      <x:c r="AF281" s="57" t="n">
        <x:f>AB281-T281</x:f>
        <x:v>0</x:v>
      </x:c>
      <x:c r="AG281" s="57" t="n">
        <x:f>AC281-U281</x:f>
        <x:v>0</x:v>
      </x:c>
    </x:row>
    <x:row r="282">
      <x:c r="A282" t="s">
        <x:v>1297</x:v>
      </x:c>
      <x:c r="C282" t="s">
        <x:v>333</x:v>
      </x:c>
      <x:c r="D282">
        <x:v>8483771</x:v>
      </x:c>
      <x:c r="E282" t="s">
        <x:v>267</x:v>
      </x:c>
      <x:c r="J282" t="s">
        <x:v>2474</x:v>
      </x:c>
      <x:c r="K282">
        <x:v>72</x:v>
      </x:c>
      <x:c r="L282">
        <x:v>36</x:v>
      </x:c>
      <x:c r="M282">
        <x:v>90</x:v>
      </x:c>
      <x:c r="N282">
        <x:v>48</x:v>
      </x:c>
      <x:c r="O282">
        <x:v>77</x:v>
      </x:c>
      <x:c r="P282">
        <x:v>80</x:v>
      </x:c>
      <x:c r="Q282">
        <x:v>86</x:v>
      </x:c>
      <x:c r="R282">
        <x:v>48</x:v>
      </x:c>
      <x:c r="S282">
        <x:v>69</x:v>
      </x:c>
      <x:c r="T282" s="63" t="n">
        <x:f>MAX(30,MIN(AB282-VLOOKUP(AE282,'AHL_PA_SC_BALANCE'!$A$8:$E$18,2,FALSE),VLOOKUP(AE282,'AHL_PA_SC_BALANCE'!$A$8:$E$18,4,FALSE)))</x:f>
        <x:v>47</x:v>
      </x:c>
      <x:c r="U282" s="63" t="n">
        <x:f>MAX(30,MIN(AC282-VLOOKUP(AE282,'AHL_PA_SC_BALANCE'!$A$8:$E$18,3,FALSE),VLOOKUP(AE282,'AHL_PA_SC_BALANCE'!$A$8:$E$18,5,FALSE)))</x:f>
        <x:v>51</x:v>
      </x:c>
      <x:c r="V282">
        <x:v>58</x:v>
      </x:c>
      <x:c r="W282">
        <x:v>55</x:v>
      </x:c>
      <x:c r="X282">
        <x:v>65</x:v>
      </x:c>
      <x:c r="Y282">
        <x:v>65</x:v>
      </x:c>
      <x:c r="Z282">
        <x:v>51</x:v>
      </x:c>
      <x:c r="AA282">
        <x:v>52</x:v>
      </x:c>
      <x:c r="AB282" s="57" t="n">
        <x:v>47</x:v>
      </x:c>
      <x:c r="AC282" s="57" t="n">
        <x:v>51</x:v>
      </x:c>
      <x:c r="AD282" s="59"/>
      <x:c r="AE282" s="61" t="str">
        <x:f>IF(N(F282)&gt;=10,"NHL_LATEST_10",IF(AND(N(F282)&gt;0,N(G282)&gt;0),"NHL_BOTH_SEASONS",IF(N(G282)&gt;=10,"NHL_PREVIOUS_10",IF(AND(ISNUMBER(AD282),AD282=0,SUM(F282:G282)=0),"FARM_CAREER_0",IF(COUNT(F282:G282)&lt;2,"UNKNOWN_GP",IF(AND(F282=0,G282=0),IF(AD282&gt;=10,"FARM_LEGACY_10",IF(AND(ISNUMBER(AD282),AD282&gt;0),"FARM_CAREER_1_9","FARM_0_0")),IF(F282&gt;=1,IF(F282&lt;=3,"FARM_RECENT_1_3","FARM_RECENT_4_9"),"FARM_PREV_1_9_ONLY")))))))</x:f>
        <x:v>UNKNOWN_GP</x:v>
      </x:c>
      <x:c r="AF282" s="57" t="n">
        <x:f>AB282-T282</x:f>
        <x:v>0</x:v>
      </x:c>
      <x:c r="AG282" s="57" t="n">
        <x:f>AC282-U282</x:f>
        <x:v>0</x:v>
      </x:c>
    </x:row>
    <x:row r="283">
      <x:c r="A283" t="s">
        <x:v>1298</x:v>
      </x:c>
      <x:c r="C283" t="s">
        <x:v>331</x:v>
      </x:c>
      <x:c r="D283">
        <x:v>8481486</x:v>
      </x:c>
      <x:c r="E283" t="s">
        <x:v>267</x:v>
      </x:c>
      <x:c r="J283" t="s">
        <x:v>2474</x:v>
      </x:c>
      <x:c r="K283">
        <x:v>65</x:v>
      </x:c>
      <x:c r="L283">
        <x:v>39</x:v>
      </x:c>
      <x:c r="M283">
        <x:v>80</x:v>
      </x:c>
      <x:c r="N283">
        <x:v>33</x:v>
      </x:c>
      <x:c r="O283">
        <x:v>83</x:v>
      </x:c>
      <x:c r="P283">
        <x:v>90</x:v>
      </x:c>
      <x:c r="Q283">
        <x:v>94</x:v>
      </x:c>
      <x:c r="R283">
        <x:v>33</x:v>
      </x:c>
      <x:c r="S283">
        <x:v>30</x:v>
      </x:c>
      <x:c r="T283" s="63" t="n">
        <x:f>MAX(30,MIN(AB283-VLOOKUP(AE283,'AHL_PA_SC_BALANCE'!$A$8:$E$18,2,FALSE),VLOOKUP(AE283,'AHL_PA_SC_BALANCE'!$A$8:$E$18,4,FALSE)))</x:f>
        <x:v>43</x:v>
      </x:c>
      <x:c r="U283" s="63" t="n">
        <x:f>MAX(30,MIN(AC283-VLOOKUP(AE283,'AHL_PA_SC_BALANCE'!$A$8:$E$18,3,FALSE),VLOOKUP(AE283,'AHL_PA_SC_BALANCE'!$A$8:$E$18,5,FALSE)))</x:f>
        <x:v>39</x:v>
      </x:c>
      <x:c r="V283">
        <x:v>69</x:v>
      </x:c>
      <x:c r="W283">
        <x:v>46</x:v>
      </x:c>
      <x:c r="X283">
        <x:v>73</x:v>
      </x:c>
      <x:c r="Y283">
        <x:v>74</x:v>
      </x:c>
      <x:c r="Z283">
        <x:v>51</x:v>
      </x:c>
      <x:c r="AA283">
        <x:v>52</x:v>
      </x:c>
      <x:c r="AB283" s="57" t="n">
        <x:v>43</x:v>
      </x:c>
      <x:c r="AC283" s="57" t="n">
        <x:v>39</x:v>
      </x:c>
      <x:c r="AD283" s="59"/>
      <x:c r="AE283" s="61" t="str">
        <x:f>IF(N(F283)&gt;=10,"NHL_LATEST_10",IF(AND(N(F283)&gt;0,N(G283)&gt;0),"NHL_BOTH_SEASONS",IF(N(G283)&gt;=10,"NHL_PREVIOUS_10",IF(AND(ISNUMBER(AD283),AD283=0,SUM(F283:G283)=0),"FARM_CAREER_0",IF(COUNT(F283:G283)&lt;2,"UNKNOWN_GP",IF(AND(F283=0,G283=0),IF(AD283&gt;=10,"FARM_LEGACY_10",IF(AND(ISNUMBER(AD283),AD283&gt;0),"FARM_CAREER_1_9","FARM_0_0")),IF(F283&gt;=1,IF(F283&lt;=3,"FARM_RECENT_1_3","FARM_RECENT_4_9"),"FARM_PREV_1_9_ONLY")))))))</x:f>
        <x:v>UNKNOWN_GP</x:v>
      </x:c>
      <x:c r="AF283" s="57" t="n">
        <x:f>AB283-T283</x:f>
        <x:v>0</x:v>
      </x:c>
      <x:c r="AG283" s="57" t="n">
        <x:f>AC283-U283</x:f>
        <x:v>0</x:v>
      </x:c>
    </x:row>
    <x:row r="284">
      <x:c r="A284" t="s">
        <x:v>1299</x:v>
      </x:c>
      <x:c r="C284" t="s">
        <x:v>331</x:v>
      </x:c>
      <x:c r="D284">
        <x:v>8483438</x:v>
      </x:c>
      <x:c r="E284" t="s">
        <x:v>267</x:v>
      </x:c>
      <x:c r="J284" t="s">
        <x:v>2474</x:v>
      </x:c>
      <x:c r="K284">
        <x:v>82</x:v>
      </x:c>
      <x:c r="L284">
        <x:v>44</x:v>
      </x:c>
      <x:c r="M284">
        <x:v>77</x:v>
      </x:c>
      <x:c r="N284">
        <x:v>32</x:v>
      </x:c>
      <x:c r="O284">
        <x:v>78</x:v>
      </x:c>
      <x:c r="P284">
        <x:v>74</x:v>
      </x:c>
      <x:c r="Q284">
        <x:v>76</x:v>
      </x:c>
      <x:c r="R284">
        <x:v>33</x:v>
      </x:c>
      <x:c r="S284">
        <x:v>30</x:v>
      </x:c>
      <x:c r="T284" s="63" t="n">
        <x:f>MAX(30,MIN(AB284-VLOOKUP(AE284,'AHL_PA_SC_BALANCE'!$A$8:$E$18,2,FALSE),VLOOKUP(AE284,'AHL_PA_SC_BALANCE'!$A$8:$E$18,4,FALSE)))</x:f>
        <x:v>42</x:v>
      </x:c>
      <x:c r="U284" s="63" t="n">
        <x:f>MAX(30,MIN(AC284-VLOOKUP(AE284,'AHL_PA_SC_BALANCE'!$A$8:$E$18,3,FALSE),VLOOKUP(AE284,'AHL_PA_SC_BALANCE'!$A$8:$E$18,5,FALSE)))</x:f>
        <x:v>40</x:v>
      </x:c>
      <x:c r="V284">
        <x:v>67</x:v>
      </x:c>
      <x:c r="W284">
        <x:v>46</x:v>
      </x:c>
      <x:c r="X284">
        <x:v>65</x:v>
      </x:c>
      <x:c r="Y284">
        <x:v>65</x:v>
      </x:c>
      <x:c r="Z284">
        <x:v>51</x:v>
      </x:c>
      <x:c r="AA284">
        <x:v>52</x:v>
      </x:c>
      <x:c r="AB284" s="57" t="n">
        <x:v>42</x:v>
      </x:c>
      <x:c r="AC284" s="57" t="n">
        <x:v>40</x:v>
      </x:c>
      <x:c r="AD284" s="59"/>
      <x:c r="AE284" s="61" t="str">
        <x:f>IF(N(F284)&gt;=10,"NHL_LATEST_10",IF(AND(N(F284)&gt;0,N(G284)&gt;0),"NHL_BOTH_SEASONS",IF(N(G284)&gt;=10,"NHL_PREVIOUS_10",IF(AND(ISNUMBER(AD284),AD284=0,SUM(F284:G284)=0),"FARM_CAREER_0",IF(COUNT(F284:G284)&lt;2,"UNKNOWN_GP",IF(AND(F284=0,G284=0),IF(AD284&gt;=10,"FARM_LEGACY_10",IF(AND(ISNUMBER(AD284),AD284&gt;0),"FARM_CAREER_1_9","FARM_0_0")),IF(F284&gt;=1,IF(F284&lt;=3,"FARM_RECENT_1_3","FARM_RECENT_4_9"),"FARM_PREV_1_9_ONLY")))))))</x:f>
        <x:v>UNKNOWN_GP</x:v>
      </x:c>
      <x:c r="AF284" s="57" t="n">
        <x:f>AB284-T284</x:f>
        <x:v>0</x:v>
      </x:c>
      <x:c r="AG284" s="57" t="n">
        <x:f>AC284-U284</x:f>
        <x:v>0</x:v>
      </x:c>
    </x:row>
    <x:row r="285">
      <x:c r="A285" t="s">
        <x:v>1300</x:v>
      </x:c>
      <x:c r="C285" t="s">
        <x:v>331</x:v>
      </x:c>
      <x:c r="D285">
        <x:v>8482678</x:v>
      </x:c>
      <x:c r="E285" t="s">
        <x:v>267</x:v>
      </x:c>
      <x:c r="J285" t="s">
        <x:v>2474</x:v>
      </x:c>
      <x:c r="K285">
        <x:v>72</x:v>
      </x:c>
      <x:c r="L285">
        <x:v>34</x:v>
      </x:c>
      <x:c r="M285">
        <x:v>83</x:v>
      </x:c>
      <x:c r="N285">
        <x:v>33</x:v>
      </x:c>
      <x:c r="O285">
        <x:v>82</x:v>
      </x:c>
      <x:c r="P285">
        <x:v>84</x:v>
      </x:c>
      <x:c r="Q285">
        <x:v>88</x:v>
      </x:c>
      <x:c r="R285">
        <x:v>32</x:v>
      </x:c>
      <x:c r="S285">
        <x:v>30</x:v>
      </x:c>
      <x:c r="T285" s="63" t="n">
        <x:f>MAX(30,MIN(AB285-VLOOKUP(AE285,'AHL_PA_SC_BALANCE'!$A$8:$E$18,2,FALSE),VLOOKUP(AE285,'AHL_PA_SC_BALANCE'!$A$8:$E$18,4,FALSE)))</x:f>
        <x:v>44</x:v>
      </x:c>
      <x:c r="U285" s="63" t="n">
        <x:f>MAX(30,MIN(AC285-VLOOKUP(AE285,'AHL_PA_SC_BALANCE'!$A$8:$E$18,3,FALSE),VLOOKUP(AE285,'AHL_PA_SC_BALANCE'!$A$8:$E$18,5,FALSE)))</x:f>
        <x:v>42</x:v>
      </x:c>
      <x:c r="V285">
        <x:v>67</x:v>
      </x:c>
      <x:c r="W285">
        <x:v>48</x:v>
      </x:c>
      <x:c r="X285">
        <x:v>66</x:v>
      </x:c>
      <x:c r="Y285">
        <x:v>67</x:v>
      </x:c>
      <x:c r="Z285">
        <x:v>51</x:v>
      </x:c>
      <x:c r="AA285">
        <x:v>52</x:v>
      </x:c>
      <x:c r="AB285" s="57" t="n">
        <x:v>44</x:v>
      </x:c>
      <x:c r="AC285" s="57" t="n">
        <x:v>42</x:v>
      </x:c>
      <x:c r="AD285" s="59"/>
      <x:c r="AE285" s="61" t="str">
        <x:f>IF(N(F285)&gt;=10,"NHL_LATEST_10",IF(AND(N(F285)&gt;0,N(G285)&gt;0),"NHL_BOTH_SEASONS",IF(N(G285)&gt;=10,"NHL_PREVIOUS_10",IF(AND(ISNUMBER(AD285),AD285=0,SUM(F285:G285)=0),"FARM_CAREER_0",IF(COUNT(F285:G285)&lt;2,"UNKNOWN_GP",IF(AND(F285=0,G285=0),IF(AD285&gt;=10,"FARM_LEGACY_10",IF(AND(ISNUMBER(AD285),AD285&gt;0),"FARM_CAREER_1_9","FARM_0_0")),IF(F285&gt;=1,IF(F285&lt;=3,"FARM_RECENT_1_3","FARM_RECENT_4_9"),"FARM_PREV_1_9_ONLY")))))))</x:f>
        <x:v>UNKNOWN_GP</x:v>
      </x:c>
      <x:c r="AF285" s="57" t="n">
        <x:f>AB285-T285</x:f>
        <x:v>0</x:v>
      </x:c>
      <x:c r="AG285" s="57" t="n">
        <x:f>AC285-U285</x:f>
        <x:v>0</x:v>
      </x:c>
    </x:row>
    <x:row r="286">
      <x:c r="A286" t="s">
        <x:v>1302</x:v>
      </x:c>
      <x:c r="C286" t="s">
        <x:v>331</x:v>
      </x:c>
      <x:c r="D286">
        <x:v>8480874</x:v>
      </x:c>
      <x:c r="E286" t="s">
        <x:v>267</x:v>
      </x:c>
      <x:c r="J286" t="s">
        <x:v>2474</x:v>
      </x:c>
      <x:c r="K286">
        <x:v>73</x:v>
      </x:c>
      <x:c r="L286">
        <x:v>43</x:v>
      </x:c>
      <x:c r="M286">
        <x:v>82</x:v>
      </x:c>
      <x:c r="N286">
        <x:v>32</x:v>
      </x:c>
      <x:c r="O286">
        <x:v>84</x:v>
      </x:c>
      <x:c r="P286">
        <x:v>84</x:v>
      </x:c>
      <x:c r="Q286">
        <x:v>85</x:v>
      </x:c>
      <x:c r="R286">
        <x:v>31</x:v>
      </x:c>
      <x:c r="S286">
        <x:v>30</x:v>
      </x:c>
      <x:c r="T286" s="63" t="n">
        <x:f>MAX(30,MIN(AB286-VLOOKUP(AE286,'AHL_PA_SC_BALANCE'!$A$8:$E$18,2,FALSE),VLOOKUP(AE286,'AHL_PA_SC_BALANCE'!$A$8:$E$18,4,FALSE)))</x:f>
        <x:v>45</x:v>
      </x:c>
      <x:c r="U286" s="63" t="n">
        <x:f>MAX(30,MIN(AC286-VLOOKUP(AE286,'AHL_PA_SC_BALANCE'!$A$8:$E$18,3,FALSE),VLOOKUP(AE286,'AHL_PA_SC_BALANCE'!$A$8:$E$18,5,FALSE)))</x:f>
        <x:v>42</x:v>
      </x:c>
      <x:c r="V286">
        <x:v>73</x:v>
      </x:c>
      <x:c r="W286">
        <x:v>46</x:v>
      </x:c>
      <x:c r="X286">
        <x:v>69</x:v>
      </x:c>
      <x:c r="Y286">
        <x:v>69</x:v>
      </x:c>
      <x:c r="Z286">
        <x:v>51</x:v>
      </x:c>
      <x:c r="AA286">
        <x:v>52</x:v>
      </x:c>
      <x:c r="AB286" s="57" t="n">
        <x:v>45</x:v>
      </x:c>
      <x:c r="AC286" s="57" t="n">
        <x:v>42</x:v>
      </x:c>
      <x:c r="AD286" s="59"/>
      <x:c r="AE286" s="61" t="str">
        <x:f>IF(N(F286)&gt;=10,"NHL_LATEST_10",IF(AND(N(F286)&gt;0,N(G286)&gt;0),"NHL_BOTH_SEASONS",IF(N(G286)&gt;=10,"NHL_PREVIOUS_10",IF(AND(ISNUMBER(AD286),AD286=0,SUM(F286:G286)=0),"FARM_CAREER_0",IF(COUNT(F286:G286)&lt;2,"UNKNOWN_GP",IF(AND(F286=0,G286=0),IF(AD286&gt;=10,"FARM_LEGACY_10",IF(AND(ISNUMBER(AD286),AD286&gt;0),"FARM_CAREER_1_9","FARM_0_0")),IF(F286&gt;=1,IF(F286&lt;=3,"FARM_RECENT_1_3","FARM_RECENT_4_9"),"FARM_PREV_1_9_ONLY")))))))</x:f>
        <x:v>UNKNOWN_GP</x:v>
      </x:c>
      <x:c r="AF286" s="57" t="n">
        <x:f>AB286-T286</x:f>
        <x:v>0</x:v>
      </x:c>
      <x:c r="AG286" s="57" t="n">
        <x:f>AC286-U286</x:f>
        <x:v>0</x:v>
      </x:c>
    </x:row>
    <x:row r="287">
      <x:c r="A287" t="s">
        <x:v>1303</x:v>
      </x:c>
      <x:c r="C287" t="s">
        <x:v>333</x:v>
      </x:c>
      <x:c r="D287">
        <x:v>8482787</x:v>
      </x:c>
      <x:c r="E287" t="s">
        <x:v>267</x:v>
      </x:c>
      <x:c r="J287" t="s">
        <x:v>2474</x:v>
      </x:c>
      <x:c r="K287">
        <x:v>67</x:v>
      </x:c>
      <x:c r="L287">
        <x:v>32</x:v>
      </x:c>
      <x:c r="M287">
        <x:v>74</x:v>
      </x:c>
      <x:c r="N287">
        <x:v>47</x:v>
      </x:c>
      <x:c r="O287">
        <x:v>76</x:v>
      </x:c>
      <x:c r="P287">
        <x:v>78</x:v>
      </x:c>
      <x:c r="Q287">
        <x:v>82</x:v>
      </x:c>
      <x:c r="R287">
        <x:v>48</x:v>
      </x:c>
      <x:c r="S287">
        <x:v>62</x:v>
      </x:c>
      <x:c r="T287" s="63" t="n">
        <x:f>MAX(30,MIN(AB287-VLOOKUP(AE287,'AHL_PA_SC_BALANCE'!$A$8:$E$18,2,FALSE),VLOOKUP(AE287,'AHL_PA_SC_BALANCE'!$A$8:$E$18,4,FALSE)))</x:f>
        <x:v>48</x:v>
      </x:c>
      <x:c r="U287" s="63" t="n">
        <x:f>MAX(30,MIN(AC287-VLOOKUP(AE287,'AHL_PA_SC_BALANCE'!$A$8:$E$18,3,FALSE),VLOOKUP(AE287,'AHL_PA_SC_BALANCE'!$A$8:$E$18,5,FALSE)))</x:f>
        <x:v>48</x:v>
      </x:c>
      <x:c r="V287">
        <x:v>59</x:v>
      </x:c>
      <x:c r="W287">
        <x:v>56</x:v>
      </x:c>
      <x:c r="X287">
        <x:v>66</x:v>
      </x:c>
      <x:c r="Y287">
        <x:v>66</x:v>
      </x:c>
      <x:c r="Z287">
        <x:v>51</x:v>
      </x:c>
      <x:c r="AA287">
        <x:v>52</x:v>
      </x:c>
      <x:c r="AB287" s="57" t="n">
        <x:v>48</x:v>
      </x:c>
      <x:c r="AC287" s="57" t="n">
        <x:v>48</x:v>
      </x:c>
      <x:c r="AD287" s="59"/>
      <x:c r="AE287" s="61" t="str">
        <x:f>IF(N(F287)&gt;=10,"NHL_LATEST_10",IF(AND(N(F287)&gt;0,N(G287)&gt;0),"NHL_BOTH_SEASONS",IF(N(G287)&gt;=10,"NHL_PREVIOUS_10",IF(AND(ISNUMBER(AD287),AD287=0,SUM(F287:G287)=0),"FARM_CAREER_0",IF(COUNT(F287:G287)&lt;2,"UNKNOWN_GP",IF(AND(F287=0,G287=0),IF(AD287&gt;=10,"FARM_LEGACY_10",IF(AND(ISNUMBER(AD287),AD287&gt;0),"FARM_CAREER_1_9","FARM_0_0")),IF(F287&gt;=1,IF(F287&lt;=3,"FARM_RECENT_1_3","FARM_RECENT_4_9"),"FARM_PREV_1_9_ONLY")))))))</x:f>
        <x:v>UNKNOWN_GP</x:v>
      </x:c>
      <x:c r="AF287" s="57" t="n">
        <x:f>AB287-T287</x:f>
        <x:v>0</x:v>
      </x:c>
      <x:c r="AG287" s="57" t="n">
        <x:f>AC287-U287</x:f>
        <x:v>0</x:v>
      </x:c>
    </x:row>
    <x:row r="288">
      <x:c r="A288" t="s">
        <x:v>1304</x:v>
      </x:c>
      <x:c r="C288" t="s">
        <x:v>358</x:v>
      </x:c>
      <x:c r="D288">
        <x:v>8476907</x:v>
      </x:c>
      <x:c r="E288" t="s">
        <x:v>267</x:v>
      </x:c>
      <x:c r="J288" t="s">
        <x:v>2474</x:v>
      </x:c>
      <x:c r="K288">
        <x:v>67</x:v>
      </x:c>
      <x:c r="L288">
        <x:v>40</x:v>
      </x:c>
      <x:c r="M288">
        <x:v>85</x:v>
      </x:c>
      <x:c r="N288">
        <x:v>42</x:v>
      </x:c>
      <x:c r="O288">
        <x:v>80</x:v>
      </x:c>
      <x:c r="P288">
        <x:v>77</x:v>
      </x:c>
      <x:c r="Q288">
        <x:v>79</x:v>
      </x:c>
      <x:c r="R288">
        <x:v>43</x:v>
      </x:c>
      <x:c r="S288">
        <x:v>55</x:v>
      </x:c>
      <x:c r="T288" s="63" t="n">
        <x:f>MAX(30,MIN(AB288-VLOOKUP(AE288,'AHL_PA_SC_BALANCE'!$A$8:$E$18,2,FALSE),VLOOKUP(AE288,'AHL_PA_SC_BALANCE'!$A$8:$E$18,4,FALSE)))</x:f>
        <x:v>48</x:v>
      </x:c>
      <x:c r="U288" s="63" t="n">
        <x:f>MAX(30,MIN(AC288-VLOOKUP(AE288,'AHL_PA_SC_BALANCE'!$A$8:$E$18,3,FALSE),VLOOKUP(AE288,'AHL_PA_SC_BALANCE'!$A$8:$E$18,5,FALSE)))</x:f>
        <x:v>49</x:v>
      </x:c>
      <x:c r="V288">
        <x:v>66</x:v>
      </x:c>
      <x:c r="W288">
        <x:v>64</x:v>
      </x:c>
      <x:c r="X288">
        <x:v>76</x:v>
      </x:c>
      <x:c r="Y288">
        <x:v>75</x:v>
      </x:c>
      <x:c r="Z288">
        <x:v>51</x:v>
      </x:c>
      <x:c r="AA288">
        <x:v>52</x:v>
      </x:c>
      <x:c r="AB288" s="57" t="n">
        <x:v>48</x:v>
      </x:c>
      <x:c r="AC288" s="57" t="n">
        <x:v>49</x:v>
      </x:c>
      <x:c r="AD288" s="59"/>
      <x:c r="AE288" s="61" t="str">
        <x:f>IF(N(F288)&gt;=10,"NHL_LATEST_10",IF(AND(N(F288)&gt;0,N(G288)&gt;0),"NHL_BOTH_SEASONS",IF(N(G288)&gt;=10,"NHL_PREVIOUS_10",IF(AND(ISNUMBER(AD288),AD288=0,SUM(F288:G288)=0),"FARM_CAREER_0",IF(COUNT(F288:G288)&lt;2,"UNKNOWN_GP",IF(AND(F288=0,G288=0),IF(AD288&gt;=10,"FARM_LEGACY_10",IF(AND(ISNUMBER(AD288),AD288&gt;0),"FARM_CAREER_1_9","FARM_0_0")),IF(F288&gt;=1,IF(F288&lt;=3,"FARM_RECENT_1_3","FARM_RECENT_4_9"),"FARM_PREV_1_9_ONLY")))))))</x:f>
        <x:v>UNKNOWN_GP</x:v>
      </x:c>
      <x:c r="AF288" s="57" t="n">
        <x:f>AB288-T288</x:f>
        <x:v>0</x:v>
      </x:c>
      <x:c r="AG288" s="57" t="n">
        <x:f>AC288-U288</x:f>
        <x:v>0</x:v>
      </x:c>
    </x:row>
    <x:row r="289">
      <x:c r="A289" t="s">
        <x:v>1305</x:v>
      </x:c>
      <x:c r="C289" t="s">
        <x:v>331</x:v>
      </x:c>
      <x:c r="D289">
        <x:v>8483521</x:v>
      </x:c>
      <x:c r="E289" t="s">
        <x:v>267</x:v>
      </x:c>
      <x:c r="J289" t="s">
        <x:v>2474</x:v>
      </x:c>
      <x:c r="K289">
        <x:v>78</x:v>
      </x:c>
      <x:c r="L289">
        <x:v>36</x:v>
      </x:c>
      <x:c r="M289">
        <x:v>86</x:v>
      </x:c>
      <x:c r="N289">
        <x:v>31</x:v>
      </x:c>
      <x:c r="O289">
        <x:v>87</x:v>
      </x:c>
      <x:c r="P289">
        <x:v>84</x:v>
      </x:c>
      <x:c r="Q289">
        <x:v>87</x:v>
      </x:c>
      <x:c r="R289">
        <x:v>32</x:v>
      </x:c>
      <x:c r="S289">
        <x:v>30</x:v>
      </x:c>
      <x:c r="T289" s="63" t="n">
        <x:f>MAX(30,MIN(AB289-VLOOKUP(AE289,'AHL_PA_SC_BALANCE'!$A$8:$E$18,2,FALSE),VLOOKUP(AE289,'AHL_PA_SC_BALANCE'!$A$8:$E$18,4,FALSE)))</x:f>
        <x:v>42</x:v>
      </x:c>
      <x:c r="U289" s="63" t="n">
        <x:f>MAX(30,MIN(AC289-VLOOKUP(AE289,'AHL_PA_SC_BALANCE'!$A$8:$E$18,3,FALSE),VLOOKUP(AE289,'AHL_PA_SC_BALANCE'!$A$8:$E$18,5,FALSE)))</x:f>
        <x:v>39</x:v>
      </x:c>
      <x:c r="V289">
        <x:v>67</x:v>
      </x:c>
      <x:c r="W289">
        <x:v>45</x:v>
      </x:c>
      <x:c r="X289">
        <x:v>66</x:v>
      </x:c>
      <x:c r="Y289">
        <x:v>67</x:v>
      </x:c>
      <x:c r="Z289">
        <x:v>51</x:v>
      </x:c>
      <x:c r="AA289">
        <x:v>52</x:v>
      </x:c>
      <x:c r="AB289" s="57" t="n">
        <x:v>42</x:v>
      </x:c>
      <x:c r="AC289" s="57" t="n">
        <x:v>39</x:v>
      </x:c>
      <x:c r="AD289" s="59"/>
      <x:c r="AE289" s="61" t="str">
        <x:f>IF(N(F289)&gt;=10,"NHL_LATEST_10",IF(AND(N(F289)&gt;0,N(G289)&gt;0),"NHL_BOTH_SEASONS",IF(N(G289)&gt;=10,"NHL_PREVIOUS_10",IF(AND(ISNUMBER(AD289),AD289=0,SUM(F289:G289)=0),"FARM_CAREER_0",IF(COUNT(F289:G289)&lt;2,"UNKNOWN_GP",IF(AND(F289=0,G289=0),IF(AD289&gt;=10,"FARM_LEGACY_10",IF(AND(ISNUMBER(AD289),AD289&gt;0),"FARM_CAREER_1_9","FARM_0_0")),IF(F289&gt;=1,IF(F289&lt;=3,"FARM_RECENT_1_3","FARM_RECENT_4_9"),"FARM_PREV_1_9_ONLY")))))))</x:f>
        <x:v>UNKNOWN_GP</x:v>
      </x:c>
      <x:c r="AF289" s="57" t="n">
        <x:f>AB289-T289</x:f>
        <x:v>0</x:v>
      </x:c>
      <x:c r="AG289" s="57" t="n">
        <x:f>AC289-U289</x:f>
        <x:v>0</x:v>
      </x:c>
    </x:row>
    <x:row r="290">
      <x:c r="A290" t="s">
        <x:v>1307</x:v>
      </x:c>
      <x:c r="C290" t="s">
        <x:v>326</x:v>
      </x:c>
      <x:c r="D290">
        <x:v>8482103</x:v>
      </x:c>
      <x:c r="E290" t="s">
        <x:v>267</x:v>
      </x:c>
      <x:c r="J290" t="s">
        <x:v>2474</x:v>
      </x:c>
      <x:c r="K290">
        <x:v>79</x:v>
      </x:c>
      <x:c r="L290">
        <x:v>72</x:v>
      </x:c>
      <x:c r="M290">
        <x:v>78</x:v>
      </x:c>
      <x:c r="N290">
        <x:v>47</x:v>
      </x:c>
      <x:c r="O290">
        <x:v>75</x:v>
      </x:c>
      <x:c r="P290">
        <x:v>83</x:v>
      </x:c>
      <x:c r="Q290">
        <x:v>74</x:v>
      </x:c>
      <x:c r="R290">
        <x:v>48</x:v>
      </x:c>
      <x:c r="S290">
        <x:v>65</x:v>
      </x:c>
      <x:c r="T290" s="63" t="n">
        <x:f>MAX(30,MIN(AB290-VLOOKUP(AE290,'AHL_PA_SC_BALANCE'!$A$8:$E$18,2,FALSE),VLOOKUP(AE290,'AHL_PA_SC_BALANCE'!$A$8:$E$18,4,FALSE)))</x:f>
        <x:v>48</x:v>
      </x:c>
      <x:c r="U290" s="63" t="n">
        <x:f>MAX(30,MIN(AC290-VLOOKUP(AE290,'AHL_PA_SC_BALANCE'!$A$8:$E$18,3,FALSE),VLOOKUP(AE290,'AHL_PA_SC_BALANCE'!$A$8:$E$18,5,FALSE)))</x:f>
        <x:v>46</x:v>
      </x:c>
      <x:c r="V290">
        <x:v>64</x:v>
      </x:c>
      <x:c r="W290">
        <x:v>74</x:v>
      </x:c>
      <x:c r="X290">
        <x:v>67</x:v>
      </x:c>
      <x:c r="Y290">
        <x:v>67</x:v>
      </x:c>
      <x:c r="Z290">
        <x:v>51</x:v>
      </x:c>
      <x:c r="AA290">
        <x:v>52</x:v>
      </x:c>
      <x:c r="AB290" s="57" t="n">
        <x:v>48</x:v>
      </x:c>
      <x:c r="AC290" s="57" t="n">
        <x:v>46</x:v>
      </x:c>
      <x:c r="AD290" s="59"/>
      <x:c r="AE290" s="61" t="str">
        <x:f>IF(N(F290)&gt;=10,"NHL_LATEST_10",IF(AND(N(F290)&gt;0,N(G290)&gt;0),"NHL_BOTH_SEASONS",IF(N(G290)&gt;=10,"NHL_PREVIOUS_10",IF(AND(ISNUMBER(AD290),AD290=0,SUM(F290:G290)=0),"FARM_CAREER_0",IF(COUNT(F290:G290)&lt;2,"UNKNOWN_GP",IF(AND(F290=0,G290=0),IF(AD290&gt;=10,"FARM_LEGACY_10",IF(AND(ISNUMBER(AD290),AD290&gt;0),"FARM_CAREER_1_9","FARM_0_0")),IF(F290&gt;=1,IF(F290&lt;=3,"FARM_RECENT_1_3","FARM_RECENT_4_9"),"FARM_PREV_1_9_ONLY")))))))</x:f>
        <x:v>UNKNOWN_GP</x:v>
      </x:c>
      <x:c r="AF290" s="57" t="n">
        <x:f>AB290-T290</x:f>
        <x:v>0</x:v>
      </x:c>
      <x:c r="AG290" s="57" t="n">
        <x:f>AC290-U290</x:f>
        <x:v>0</x:v>
      </x:c>
    </x:row>
    <x:row r="291">
      <x:c r="A291" t="s">
        <x:v>1308</x:v>
      </x:c>
      <x:c r="C291" t="s">
        <x:v>331</x:v>
      </x:c>
      <x:c r="D291">
        <x:v>8480828</x:v>
      </x:c>
      <x:c r="E291" t="s">
        <x:v>267</x:v>
      </x:c>
      <x:c r="J291" t="s">
        <x:v>2474</x:v>
      </x:c>
      <x:c r="K291">
        <x:v>67</x:v>
      </x:c>
      <x:c r="L291">
        <x:v>75</x:v>
      </x:c>
      <x:c r="M291">
        <x:v>84</x:v>
      </x:c>
      <x:c r="N291">
        <x:v>34</x:v>
      </x:c>
      <x:c r="O291">
        <x:v>80</x:v>
      </x:c>
      <x:c r="P291">
        <x:v>85</x:v>
      </x:c>
      <x:c r="Q291">
        <x:v>88</x:v>
      </x:c>
      <x:c r="R291">
        <x:v>35</x:v>
      </x:c>
      <x:c r="S291">
        <x:v>30</x:v>
      </x:c>
      <x:c r="T291" s="63" t="n">
        <x:f>MAX(30,MIN(AB291-VLOOKUP(AE291,'AHL_PA_SC_BALANCE'!$A$8:$E$18,2,FALSE),VLOOKUP(AE291,'AHL_PA_SC_BALANCE'!$A$8:$E$18,4,FALSE)))</x:f>
        <x:v>47</x:v>
      </x:c>
      <x:c r="U291" s="63" t="n">
        <x:f>MAX(30,MIN(AC291-VLOOKUP(AE291,'AHL_PA_SC_BALANCE'!$A$8:$E$18,3,FALSE),VLOOKUP(AE291,'AHL_PA_SC_BALANCE'!$A$8:$E$18,5,FALSE)))</x:f>
        <x:v>43</x:v>
      </x:c>
      <x:c r="V291">
        <x:v>72</x:v>
      </x:c>
      <x:c r="W291">
        <x:v>48</x:v>
      </x:c>
      <x:c r="X291">
        <x:v>69</x:v>
      </x:c>
      <x:c r="Y291">
        <x:v>69</x:v>
      </x:c>
      <x:c r="Z291">
        <x:v>51</x:v>
      </x:c>
      <x:c r="AA291">
        <x:v>52</x:v>
      </x:c>
      <x:c r="AB291" s="57" t="n">
        <x:v>47</x:v>
      </x:c>
      <x:c r="AC291" s="57" t="n">
        <x:v>43</x:v>
      </x:c>
      <x:c r="AD291" s="59"/>
      <x:c r="AE291" s="61" t="str">
        <x:f>IF(N(F291)&gt;=10,"NHL_LATEST_10",IF(AND(N(F291)&gt;0,N(G291)&gt;0),"NHL_BOTH_SEASONS",IF(N(G291)&gt;=10,"NHL_PREVIOUS_10",IF(AND(ISNUMBER(AD291),AD291=0,SUM(F291:G291)=0),"FARM_CAREER_0",IF(COUNT(F291:G291)&lt;2,"UNKNOWN_GP",IF(AND(F291=0,G291=0),IF(AD291&gt;=10,"FARM_LEGACY_10",IF(AND(ISNUMBER(AD291),AD291&gt;0),"FARM_CAREER_1_9","FARM_0_0")),IF(F291&gt;=1,IF(F291&lt;=3,"FARM_RECENT_1_3","FARM_RECENT_4_9"),"FARM_PREV_1_9_ONLY")))))))</x:f>
        <x:v>UNKNOWN_GP</x:v>
      </x:c>
      <x:c r="AF291" s="57" t="n">
        <x:f>AB291-T291</x:f>
        <x:v>0</x:v>
      </x:c>
      <x:c r="AG291" s="57" t="n">
        <x:f>AC291-U291</x:f>
        <x:v>0</x:v>
      </x:c>
    </x:row>
    <x:row r="292">
      <x:c r="A292" t="s">
        <x:v>1309</x:v>
      </x:c>
      <x:c r="C292" t="s">
        <x:v>331</x:v>
      </x:c>
      <x:c r="D292">
        <x:v>8483766</x:v>
      </x:c>
      <x:c r="E292" t="s">
        <x:v>267</x:v>
      </x:c>
      <x:c r="J292" t="s">
        <x:v>2474</x:v>
      </x:c>
      <x:c r="K292">
        <x:v>70</x:v>
      </x:c>
      <x:c r="L292">
        <x:v>35</x:v>
      </x:c>
      <x:c r="M292">
        <x:v>90</x:v>
      </x:c>
      <x:c r="N292">
        <x:v>36</x:v>
      </x:c>
      <x:c r="O292">
        <x:v>79</x:v>
      </x:c>
      <x:c r="P292">
        <x:v>87</x:v>
      </x:c>
      <x:c r="Q292">
        <x:v>89</x:v>
      </x:c>
      <x:c r="R292">
        <x:v>37</x:v>
      </x:c>
      <x:c r="S292">
        <x:v>30</x:v>
      </x:c>
      <x:c r="T292" s="63" t="n">
        <x:f>MAX(30,MIN(AB292-VLOOKUP(AE292,'AHL_PA_SC_BALANCE'!$A$8:$E$18,2,FALSE),VLOOKUP(AE292,'AHL_PA_SC_BALANCE'!$A$8:$E$18,4,FALSE)))</x:f>
        <x:v>48</x:v>
      </x:c>
      <x:c r="U292" s="63" t="n">
        <x:f>MAX(30,MIN(AC292-VLOOKUP(AE292,'AHL_PA_SC_BALANCE'!$A$8:$E$18,3,FALSE),VLOOKUP(AE292,'AHL_PA_SC_BALANCE'!$A$8:$E$18,5,FALSE)))</x:f>
        <x:v>42</x:v>
      </x:c>
      <x:c r="V292">
        <x:v>64</x:v>
      </x:c>
      <x:c r="W292">
        <x:v>51</x:v>
      </x:c>
      <x:c r="X292">
        <x:v>66</x:v>
      </x:c>
      <x:c r="Y292">
        <x:v>65</x:v>
      </x:c>
      <x:c r="Z292">
        <x:v>51</x:v>
      </x:c>
      <x:c r="AA292">
        <x:v>52</x:v>
      </x:c>
      <x:c r="AB292" s="57" t="n">
        <x:v>48</x:v>
      </x:c>
      <x:c r="AC292" s="57" t="n">
        <x:v>42</x:v>
      </x:c>
      <x:c r="AD292" s="59"/>
      <x:c r="AE292" s="61" t="str">
        <x:f>IF(N(F292)&gt;=10,"NHL_LATEST_10",IF(AND(N(F292)&gt;0,N(G292)&gt;0),"NHL_BOTH_SEASONS",IF(N(G292)&gt;=10,"NHL_PREVIOUS_10",IF(AND(ISNUMBER(AD292),AD292=0,SUM(F292:G292)=0),"FARM_CAREER_0",IF(COUNT(F292:G292)&lt;2,"UNKNOWN_GP",IF(AND(F292=0,G292=0),IF(AD292&gt;=10,"FARM_LEGACY_10",IF(AND(ISNUMBER(AD292),AD292&gt;0),"FARM_CAREER_1_9","FARM_0_0")),IF(F292&gt;=1,IF(F292&lt;=3,"FARM_RECENT_1_3","FARM_RECENT_4_9"),"FARM_PREV_1_9_ONLY")))))))</x:f>
        <x:v>UNKNOWN_GP</x:v>
      </x:c>
      <x:c r="AF292" s="57" t="n">
        <x:f>AB292-T292</x:f>
        <x:v>0</x:v>
      </x:c>
      <x:c r="AG292" s="57" t="n">
        <x:f>AC292-U292</x:f>
        <x:v>0</x:v>
      </x:c>
    </x:row>
    <x:row r="293">
      <x:c r="A293" t="s">
        <x:v>1310</x:v>
      </x:c>
      <x:c r="C293" t="s">
        <x:v>331</x:v>
      </x:c>
      <x:c r="D293">
        <x:v>8483666</x:v>
      </x:c>
      <x:c r="E293" t="s">
        <x:v>267</x:v>
      </x:c>
      <x:c r="J293" t="s">
        <x:v>2474</x:v>
      </x:c>
      <x:c r="K293">
        <x:v>68</x:v>
      </x:c>
      <x:c r="L293">
        <x:v>36</x:v>
      </x:c>
      <x:c r="M293">
        <x:v>85</x:v>
      </x:c>
      <x:c r="N293">
        <x:v>34</x:v>
      </x:c>
      <x:c r="O293">
        <x:v>78</x:v>
      </x:c>
      <x:c r="P293">
        <x:v>78</x:v>
      </x:c>
      <x:c r="Q293">
        <x:v>81</x:v>
      </x:c>
      <x:c r="R293">
        <x:v>34</x:v>
      </x:c>
      <x:c r="S293">
        <x:v>30</x:v>
      </x:c>
      <x:c r="T293" s="63" t="n">
        <x:f>MAX(30,MIN(AB293-VLOOKUP(AE293,'AHL_PA_SC_BALANCE'!$A$8:$E$18,2,FALSE),VLOOKUP(AE293,'AHL_PA_SC_BALANCE'!$A$8:$E$18,4,FALSE)))</x:f>
        <x:v>43</x:v>
      </x:c>
      <x:c r="U293" s="63" t="n">
        <x:f>MAX(30,MIN(AC293-VLOOKUP(AE293,'AHL_PA_SC_BALANCE'!$A$8:$E$18,3,FALSE),VLOOKUP(AE293,'AHL_PA_SC_BALANCE'!$A$8:$E$18,5,FALSE)))</x:f>
        <x:v>41</x:v>
      </x:c>
      <x:c r="V293">
        <x:v>69</x:v>
      </x:c>
      <x:c r="W293">
        <x:v>47</x:v>
      </x:c>
      <x:c r="X293">
        <x:v>67</x:v>
      </x:c>
      <x:c r="Y293">
        <x:v>68</x:v>
      </x:c>
      <x:c r="Z293">
        <x:v>51</x:v>
      </x:c>
      <x:c r="AA293">
        <x:v>52</x:v>
      </x:c>
      <x:c r="AB293" s="57" t="n">
        <x:v>43</x:v>
      </x:c>
      <x:c r="AC293" s="57" t="n">
        <x:v>41</x:v>
      </x:c>
      <x:c r="AD293" s="59"/>
      <x:c r="AE293" s="61" t="str">
        <x:f>IF(N(F293)&gt;=10,"NHL_LATEST_10",IF(AND(N(F293)&gt;0,N(G293)&gt;0),"NHL_BOTH_SEASONS",IF(N(G293)&gt;=10,"NHL_PREVIOUS_10",IF(AND(ISNUMBER(AD293),AD293=0,SUM(F293:G293)=0),"FARM_CAREER_0",IF(COUNT(F293:G293)&lt;2,"UNKNOWN_GP",IF(AND(F293=0,G293=0),IF(AD293&gt;=10,"FARM_LEGACY_10",IF(AND(ISNUMBER(AD293),AD293&gt;0),"FARM_CAREER_1_9","FARM_0_0")),IF(F293&gt;=1,IF(F293&lt;=3,"FARM_RECENT_1_3","FARM_RECENT_4_9"),"FARM_PREV_1_9_ONLY")))))))</x:f>
        <x:v>UNKNOWN_GP</x:v>
      </x:c>
      <x:c r="AF293" s="57" t="n">
        <x:f>AB293-T293</x:f>
        <x:v>0</x:v>
      </x:c>
      <x:c r="AG293" s="57" t="n">
        <x:f>AC293-U293</x:f>
        <x:v>0</x:v>
      </x:c>
    </x:row>
    <x:row r="294">
      <x:c r="A294" t="s">
        <x:v>1311</x:v>
      </x:c>
      <x:c r="C294" t="s">
        <x:v>339</x:v>
      </x:c>
      <x:c r="D294">
        <x:v>8482172</x:v>
      </x:c>
      <x:c r="E294" t="s">
        <x:v>267</x:v>
      </x:c>
      <x:c r="J294" t="s">
        <x:v>2474</x:v>
      </x:c>
      <x:c r="K294">
        <x:v>69</x:v>
      </x:c>
      <x:c r="L294">
        <x:v>39</x:v>
      </x:c>
      <x:c r="M294">
        <x:v>87</x:v>
      </x:c>
      <x:c r="N294">
        <x:v>48</x:v>
      </x:c>
      <x:c r="O294">
        <x:v>76</x:v>
      </x:c>
      <x:c r="P294">
        <x:v>82</x:v>
      </x:c>
      <x:c r="Q294">
        <x:v>80</x:v>
      </x:c>
      <x:c r="R294">
        <x:v>47</x:v>
      </x:c>
      <x:c r="S294">
        <x:v>66</x:v>
      </x:c>
      <x:c r="T294" s="63" t="n">
        <x:f>MAX(30,MIN(AB294-VLOOKUP(AE294,'AHL_PA_SC_BALANCE'!$A$8:$E$18,2,FALSE),VLOOKUP(AE294,'AHL_PA_SC_BALANCE'!$A$8:$E$18,4,FALSE)))</x:f>
        <x:v>50</x:v>
      </x:c>
      <x:c r="U294" s="63" t="n">
        <x:f>MAX(30,MIN(AC294-VLOOKUP(AE294,'AHL_PA_SC_BALANCE'!$A$8:$E$18,3,FALSE),VLOOKUP(AE294,'AHL_PA_SC_BALANCE'!$A$8:$E$18,5,FALSE)))</x:f>
        <x:v>50</x:v>
      </x:c>
      <x:c r="V294">
        <x:v>65</x:v>
      </x:c>
      <x:c r="W294">
        <x:v>52</x:v>
      </x:c>
      <x:c r="X294">
        <x:v>68</x:v>
      </x:c>
      <x:c r="Y294">
        <x:v>65</x:v>
      </x:c>
      <x:c r="Z294">
        <x:v>47</x:v>
      </x:c>
      <x:c r="AA294">
        <x:v>52</x:v>
      </x:c>
      <x:c r="AB294" s="57" t="n">
        <x:v>50</x:v>
      </x:c>
      <x:c r="AC294" s="57" t="n">
        <x:v>50</x:v>
      </x:c>
      <x:c r="AD294" s="59"/>
      <x:c r="AE294" s="61" t="str">
        <x:f>IF(N(F294)&gt;=10,"NHL_LATEST_10",IF(AND(N(F294)&gt;0,N(G294)&gt;0),"NHL_BOTH_SEASONS",IF(N(G294)&gt;=10,"NHL_PREVIOUS_10",IF(AND(ISNUMBER(AD294),AD294=0,SUM(F294:G294)=0),"FARM_CAREER_0",IF(COUNT(F294:G294)&lt;2,"UNKNOWN_GP",IF(AND(F294=0,G294=0),IF(AD294&gt;=10,"FARM_LEGACY_10",IF(AND(ISNUMBER(AD294),AD294&gt;0),"FARM_CAREER_1_9","FARM_0_0")),IF(F294&gt;=1,IF(F294&lt;=3,"FARM_RECENT_1_3","FARM_RECENT_4_9"),"FARM_PREV_1_9_ONLY")))))))</x:f>
        <x:v>UNKNOWN_GP</x:v>
      </x:c>
      <x:c r="AF294" s="57" t="n">
        <x:f>AB294-T294</x:f>
        <x:v>0</x:v>
      </x:c>
      <x:c r="AG294" s="57" t="n">
        <x:f>AC294-U294</x:f>
        <x:v>0</x:v>
      </x:c>
    </x:row>
    <x:row r="295">
      <x:c r="A295" t="s">
        <x:v>1312</x:v>
      </x:c>
      <x:c r="C295" t="s">
        <x:v>331</x:v>
      </x:c>
      <x:c r="D295">
        <x:v>8483764</x:v>
      </x:c>
      <x:c r="E295" t="s">
        <x:v>267</x:v>
      </x:c>
      <x:c r="J295" t="s">
        <x:v>2474</x:v>
      </x:c>
      <x:c r="K295">
        <x:v>74</x:v>
      </x:c>
      <x:c r="L295">
        <x:v>38</x:v>
      </x:c>
      <x:c r="M295">
        <x:v>86</x:v>
      </x:c>
      <x:c r="N295">
        <x:v>34</x:v>
      </x:c>
      <x:c r="O295">
        <x:v>82</x:v>
      </x:c>
      <x:c r="P295">
        <x:v>78</x:v>
      </x:c>
      <x:c r="Q295">
        <x:v>83</x:v>
      </x:c>
      <x:c r="R295">
        <x:v>33</x:v>
      </x:c>
      <x:c r="S295">
        <x:v>30</x:v>
      </x:c>
      <x:c r="T295" s="63" t="n">
        <x:f>MAX(30,MIN(AB295-VLOOKUP(AE295,'AHL_PA_SC_BALANCE'!$A$8:$E$18,2,FALSE),VLOOKUP(AE295,'AHL_PA_SC_BALANCE'!$A$8:$E$18,4,FALSE)))</x:f>
        <x:v>43</x:v>
      </x:c>
      <x:c r="U295" s="63" t="n">
        <x:f>MAX(30,MIN(AC295-VLOOKUP(AE295,'AHL_PA_SC_BALANCE'!$A$8:$E$18,3,FALSE),VLOOKUP(AE295,'AHL_PA_SC_BALANCE'!$A$8:$E$18,5,FALSE)))</x:f>
        <x:v>40</x:v>
      </x:c>
      <x:c r="V295">
        <x:v>67</x:v>
      </x:c>
      <x:c r="W295">
        <x:v>47</x:v>
      </x:c>
      <x:c r="X295">
        <x:v>66</x:v>
      </x:c>
      <x:c r="Y295">
        <x:v>65</x:v>
      </x:c>
      <x:c r="Z295">
        <x:v>51</x:v>
      </x:c>
      <x:c r="AA295">
        <x:v>52</x:v>
      </x:c>
      <x:c r="AB295" s="57" t="n">
        <x:v>43</x:v>
      </x:c>
      <x:c r="AC295" s="57" t="n">
        <x:v>40</x:v>
      </x:c>
      <x:c r="AD295" s="59"/>
      <x:c r="AE295" s="61" t="str">
        <x:f>IF(N(F295)&gt;=10,"NHL_LATEST_10",IF(AND(N(F295)&gt;0,N(G295)&gt;0),"NHL_BOTH_SEASONS",IF(N(G295)&gt;=10,"NHL_PREVIOUS_10",IF(AND(ISNUMBER(AD295),AD295=0,SUM(F295:G295)=0),"FARM_CAREER_0",IF(COUNT(F295:G295)&lt;2,"UNKNOWN_GP",IF(AND(F295=0,G295=0),IF(AD295&gt;=10,"FARM_LEGACY_10",IF(AND(ISNUMBER(AD295),AD295&gt;0),"FARM_CAREER_1_9","FARM_0_0")),IF(F295&gt;=1,IF(F295&lt;=3,"FARM_RECENT_1_3","FARM_RECENT_4_9"),"FARM_PREV_1_9_ONLY")))))))</x:f>
        <x:v>UNKNOWN_GP</x:v>
      </x:c>
      <x:c r="AF295" s="57" t="n">
        <x:f>AB295-T295</x:f>
        <x:v>0</x:v>
      </x:c>
      <x:c r="AG295" s="57" t="n">
        <x:f>AC295-U295</x:f>
        <x:v>0</x:v>
      </x:c>
    </x:row>
    <x:row r="296">
      <x:c r="A296" t="s">
        <x:v>1313</x:v>
      </x:c>
      <x:c r="C296" t="s">
        <x:v>358</x:v>
      </x:c>
      <x:c r="D296">
        <x:v>8482953</x:v>
      </x:c>
      <x:c r="E296" t="s">
        <x:v>267</x:v>
      </x:c>
      <x:c r="J296" t="s">
        <x:v>2474</x:v>
      </x:c>
      <x:c r="K296">
        <x:v>67</x:v>
      </x:c>
      <x:c r="L296">
        <x:v>35</x:v>
      </x:c>
      <x:c r="M296">
        <x:v>84</x:v>
      </x:c>
      <x:c r="N296">
        <x:v>48</x:v>
      </x:c>
      <x:c r="O296">
        <x:v>78</x:v>
      </x:c>
      <x:c r="P296">
        <x:v>71</x:v>
      </x:c>
      <x:c r="Q296">
        <x:v>81</x:v>
      </x:c>
      <x:c r="R296">
        <x:v>46</x:v>
      </x:c>
      <x:c r="S296">
        <x:v>62</x:v>
      </x:c>
      <x:c r="T296" s="63" t="n">
        <x:f>MAX(30,MIN(AB296-VLOOKUP(AE296,'AHL_PA_SC_BALANCE'!$A$8:$E$18,2,FALSE),VLOOKUP(AE296,'AHL_PA_SC_BALANCE'!$A$8:$E$18,4,FALSE)))</x:f>
        <x:v>48</x:v>
      </x:c>
      <x:c r="U296" s="63" t="n">
        <x:f>MAX(30,MIN(AC296-VLOOKUP(AE296,'AHL_PA_SC_BALANCE'!$A$8:$E$18,3,FALSE),VLOOKUP(AE296,'AHL_PA_SC_BALANCE'!$A$8:$E$18,5,FALSE)))</x:f>
        <x:v>48</x:v>
      </x:c>
      <x:c r="V296">
        <x:v>56</x:v>
      </x:c>
      <x:c r="W296">
        <x:v>51</x:v>
      </x:c>
      <x:c r="X296">
        <x:v>69</x:v>
      </x:c>
      <x:c r="Y296">
        <x:v>69</x:v>
      </x:c>
      <x:c r="Z296">
        <x:v>51</x:v>
      </x:c>
      <x:c r="AA296">
        <x:v>52</x:v>
      </x:c>
      <x:c r="AB296" s="57" t="n">
        <x:v>48</x:v>
      </x:c>
      <x:c r="AC296" s="57" t="n">
        <x:v>48</x:v>
      </x:c>
      <x:c r="AD296" s="59"/>
      <x:c r="AE296" s="61" t="str">
        <x:f>IF(N(F296)&gt;=10,"NHL_LATEST_10",IF(AND(N(F296)&gt;0,N(G296)&gt;0),"NHL_BOTH_SEASONS",IF(N(G296)&gt;=10,"NHL_PREVIOUS_10",IF(AND(ISNUMBER(AD296),AD296=0,SUM(F296:G296)=0),"FARM_CAREER_0",IF(COUNT(F296:G296)&lt;2,"UNKNOWN_GP",IF(AND(F296=0,G296=0),IF(AD296&gt;=10,"FARM_LEGACY_10",IF(AND(ISNUMBER(AD296),AD296&gt;0),"FARM_CAREER_1_9","FARM_0_0")),IF(F296&gt;=1,IF(F296&lt;=3,"FARM_RECENT_1_3","FARM_RECENT_4_9"),"FARM_PREV_1_9_ONLY")))))))</x:f>
        <x:v>UNKNOWN_GP</x:v>
      </x:c>
      <x:c r="AF296" s="57" t="n">
        <x:f>AB296-T296</x:f>
        <x:v>0</x:v>
      </x:c>
      <x:c r="AG296" s="57" t="n">
        <x:f>AC296-U296</x:f>
        <x:v>0</x:v>
      </x:c>
    </x:row>
    <x:row r="297">
      <x:c r="A297" t="s">
        <x:v>1315</x:v>
      </x:c>
      <x:c r="C297" t="s">
        <x:v>331</x:v>
      </x:c>
      <x:c r="D297">
        <x:v>8482711</x:v>
      </x:c>
      <x:c r="E297" t="s">
        <x:v>267</x:v>
      </x:c>
      <x:c r="J297" t="s">
        <x:v>2474</x:v>
      </x:c>
      <x:c r="K297">
        <x:v>74</x:v>
      </x:c>
      <x:c r="L297">
        <x:v>34</x:v>
      </x:c>
      <x:c r="M297">
        <x:v>84</x:v>
      </x:c>
      <x:c r="N297">
        <x:v>33</x:v>
      </x:c>
      <x:c r="O297">
        <x:v>77</x:v>
      </x:c>
      <x:c r="P297">
        <x:v>81</x:v>
      </x:c>
      <x:c r="Q297">
        <x:v>82</x:v>
      </x:c>
      <x:c r="R297">
        <x:v>34</x:v>
      </x:c>
      <x:c r="S297">
        <x:v>30</x:v>
      </x:c>
      <x:c r="T297" s="63" t="n">
        <x:f>MAX(30,MIN(AB297-VLOOKUP(AE297,'AHL_PA_SC_BALANCE'!$A$8:$E$18,2,FALSE),VLOOKUP(AE297,'AHL_PA_SC_BALANCE'!$A$8:$E$18,4,FALSE)))</x:f>
        <x:v>43</x:v>
      </x:c>
      <x:c r="U297" s="63" t="n">
        <x:f>MAX(30,MIN(AC297-VLOOKUP(AE297,'AHL_PA_SC_BALANCE'!$A$8:$E$18,3,FALSE),VLOOKUP(AE297,'AHL_PA_SC_BALANCE'!$A$8:$E$18,5,FALSE)))</x:f>
        <x:v>39</x:v>
      </x:c>
      <x:c r="V297">
        <x:v>67</x:v>
      </x:c>
      <x:c r="W297">
        <x:v>46</x:v>
      </x:c>
      <x:c r="X297">
        <x:v>66</x:v>
      </x:c>
      <x:c r="Y297">
        <x:v>65</x:v>
      </x:c>
      <x:c r="Z297">
        <x:v>51</x:v>
      </x:c>
      <x:c r="AA297">
        <x:v>52</x:v>
      </x:c>
      <x:c r="AB297" s="57" t="n">
        <x:v>43</x:v>
      </x:c>
      <x:c r="AC297" s="57" t="n">
        <x:v>39</x:v>
      </x:c>
      <x:c r="AD297" s="59"/>
      <x:c r="AE297" s="61" t="str">
        <x:f>IF(N(F297)&gt;=10,"NHL_LATEST_10",IF(AND(N(F297)&gt;0,N(G297)&gt;0),"NHL_BOTH_SEASONS",IF(N(G297)&gt;=10,"NHL_PREVIOUS_10",IF(AND(ISNUMBER(AD297),AD297=0,SUM(F297:G297)=0),"FARM_CAREER_0",IF(COUNT(F297:G297)&lt;2,"UNKNOWN_GP",IF(AND(F297=0,G297=0),IF(AD297&gt;=10,"FARM_LEGACY_10",IF(AND(ISNUMBER(AD297),AD297&gt;0),"FARM_CAREER_1_9","FARM_0_0")),IF(F297&gt;=1,IF(F297&lt;=3,"FARM_RECENT_1_3","FARM_RECENT_4_9"),"FARM_PREV_1_9_ONLY")))))))</x:f>
        <x:v>UNKNOWN_GP</x:v>
      </x:c>
      <x:c r="AF297" s="57" t="n">
        <x:f>AB297-T297</x:f>
        <x:v>0</x:v>
      </x:c>
      <x:c r="AG297" s="57" t="n">
        <x:f>AC297-U297</x:f>
        <x:v>0</x:v>
      </x:c>
    </x:row>
    <x:row r="298">
      <x:c r="A298" t="s">
        <x:v>1316</x:v>
      </x:c>
      <x:c r="C298" t="s">
        <x:v>358</x:v>
      </x:c>
      <x:c r="E298" t="s">
        <x:v>267</x:v>
      </x:c>
      <x:c r="J298" t="s">
        <x:v>2474</x:v>
      </x:c>
      <x:c r="K298">
        <x:v>83</x:v>
      </x:c>
      <x:c r="L298">
        <x:v>45</x:v>
      </x:c>
      <x:c r="M298">
        <x:v>72</x:v>
      </x:c>
      <x:c r="N298">
        <x:v>39</x:v>
      </x:c>
      <x:c r="O298">
        <x:v>87</x:v>
      </x:c>
      <x:c r="P298">
        <x:v>86</x:v>
      </x:c>
      <x:c r="Q298">
        <x:v>87</x:v>
      </x:c>
      <x:c r="R298">
        <x:v>40</x:v>
      </x:c>
      <x:c r="S298">
        <x:v>67</x:v>
      </x:c>
      <x:c r="T298" s="63" t="n">
        <x:f>MAX(30,MIN(AB298-VLOOKUP(AE298,'AHL_PA_SC_BALANCE'!$A$8:$E$18,2,FALSE),VLOOKUP(AE298,'AHL_PA_SC_BALANCE'!$A$8:$E$18,4,FALSE)))</x:f>
        <x:v>43</x:v>
      </x:c>
      <x:c r="U298" s="63" t="n">
        <x:f>MAX(30,MIN(AC298-VLOOKUP(AE298,'AHL_PA_SC_BALANCE'!$A$8:$E$18,3,FALSE),VLOOKUP(AE298,'AHL_PA_SC_BALANCE'!$A$8:$E$18,5,FALSE)))</x:f>
        <x:v>40</x:v>
      </x:c>
      <x:c r="V298">
        <x:v>68</x:v>
      </x:c>
      <x:c r="W298">
        <x:v>61</x:v>
      </x:c>
      <x:c r="X298">
        <x:v>82</x:v>
      </x:c>
      <x:c r="Y298">
        <x:v>81</x:v>
      </x:c>
      <x:c r="Z298">
        <x:v>51</x:v>
      </x:c>
      <x:c r="AA298">
        <x:v>52</x:v>
      </x:c>
      <x:c r="AB298" s="57" t="n">
        <x:v>43</x:v>
      </x:c>
      <x:c r="AC298" s="57" t="n">
        <x:v>40</x:v>
      </x:c>
      <x:c r="AD298" s="59"/>
      <x:c r="AE298" s="61" t="str">
        <x:f>IF(N(F298)&gt;=10,"NHL_LATEST_10",IF(AND(N(F298)&gt;0,N(G298)&gt;0),"NHL_BOTH_SEASONS",IF(N(G298)&gt;=10,"NHL_PREVIOUS_10",IF(AND(ISNUMBER(AD298),AD298=0,SUM(F298:G298)=0),"FARM_CAREER_0",IF(COUNT(F298:G298)&lt;2,"UNKNOWN_GP",IF(AND(F298=0,G298=0),IF(AD298&gt;=10,"FARM_LEGACY_10",IF(AND(ISNUMBER(AD298),AD298&gt;0),"FARM_CAREER_1_9","FARM_0_0")),IF(F298&gt;=1,IF(F298&lt;=3,"FARM_RECENT_1_3","FARM_RECENT_4_9"),"FARM_PREV_1_9_ONLY")))))))</x:f>
        <x:v>UNKNOWN_GP</x:v>
      </x:c>
      <x:c r="AF298" s="57" t="n">
        <x:f>AB298-T298</x:f>
        <x:v>0</x:v>
      </x:c>
      <x:c r="AG298" s="57" t="n">
        <x:f>AC298-U298</x:f>
        <x:v>0</x:v>
      </x:c>
    </x:row>
    <x:row r="299">
      <x:c r="A299" t="s">
        <x:v>1317</x:v>
      </x:c>
      <x:c r="C299" t="s">
        <x:v>331</x:v>
      </x:c>
      <x:c r="D299">
        <x:v>8481564</x:v>
      </x:c>
      <x:c r="E299" t="s">
        <x:v>267</x:v>
      </x:c>
      <x:c r="J299" t="s">
        <x:v>2474</x:v>
      </x:c>
      <x:c r="K299">
        <x:v>70</x:v>
      </x:c>
      <x:c r="L299">
        <x:v>36</x:v>
      </x:c>
      <x:c r="M299">
        <x:v>82</x:v>
      </x:c>
      <x:c r="N299">
        <x:v>34</x:v>
      </x:c>
      <x:c r="O299">
        <x:v>79</x:v>
      </x:c>
      <x:c r="P299">
        <x:v>86</x:v>
      </x:c>
      <x:c r="Q299">
        <x:v>87</x:v>
      </x:c>
      <x:c r="R299">
        <x:v>33</x:v>
      </x:c>
      <x:c r="S299">
        <x:v>30</x:v>
      </x:c>
      <x:c r="T299" s="63" t="n">
        <x:f>MAX(30,MIN(AB299-VLOOKUP(AE299,'AHL_PA_SC_BALANCE'!$A$8:$E$18,2,FALSE),VLOOKUP(AE299,'AHL_PA_SC_BALANCE'!$A$8:$E$18,4,FALSE)))</x:f>
        <x:v>49</x:v>
      </x:c>
      <x:c r="U299" s="63" t="n">
        <x:f>MAX(30,MIN(AC299-VLOOKUP(AE299,'AHL_PA_SC_BALANCE'!$A$8:$E$18,3,FALSE),VLOOKUP(AE299,'AHL_PA_SC_BALANCE'!$A$8:$E$18,5,FALSE)))</x:f>
        <x:v>44</x:v>
      </x:c>
      <x:c r="V299">
        <x:v>74</x:v>
      </x:c>
      <x:c r="W299">
        <x:v>47</x:v>
      </x:c>
      <x:c r="X299">
        <x:v>68</x:v>
      </x:c>
      <x:c r="Y299">
        <x:v>68</x:v>
      </x:c>
      <x:c r="Z299">
        <x:v>51</x:v>
      </x:c>
      <x:c r="AA299">
        <x:v>52</x:v>
      </x:c>
      <x:c r="AB299" s="57" t="n">
        <x:v>49</x:v>
      </x:c>
      <x:c r="AC299" s="57" t="n">
        <x:v>44</x:v>
      </x:c>
      <x:c r="AD299" s="59"/>
      <x:c r="AE299" s="61" t="str">
        <x:f>IF(N(F299)&gt;=10,"NHL_LATEST_10",IF(AND(N(F299)&gt;0,N(G299)&gt;0),"NHL_BOTH_SEASONS",IF(N(G299)&gt;=10,"NHL_PREVIOUS_10",IF(AND(ISNUMBER(AD299),AD299=0,SUM(F299:G299)=0),"FARM_CAREER_0",IF(COUNT(F299:G299)&lt;2,"UNKNOWN_GP",IF(AND(F299=0,G299=0),IF(AD299&gt;=10,"FARM_LEGACY_10",IF(AND(ISNUMBER(AD299),AD299&gt;0),"FARM_CAREER_1_9","FARM_0_0")),IF(F299&gt;=1,IF(F299&lt;=3,"FARM_RECENT_1_3","FARM_RECENT_4_9"),"FARM_PREV_1_9_ONLY")))))))</x:f>
        <x:v>UNKNOWN_GP</x:v>
      </x:c>
      <x:c r="AF299" s="57" t="n">
        <x:f>AB299-T299</x:f>
        <x:v>0</x:v>
      </x:c>
      <x:c r="AG299" s="57" t="n">
        <x:f>AC299-U299</x:f>
        <x:v>0</x:v>
      </x:c>
    </x:row>
    <x:row r="300">
      <x:c r="A300" t="s">
        <x:v>1318</x:v>
      </x:c>
      <x:c r="C300" t="s">
        <x:v>331</x:v>
      </x:c>
      <x:c r="D300">
        <x:v>8482499</x:v>
      </x:c>
      <x:c r="E300" t="s">
        <x:v>267</x:v>
      </x:c>
      <x:c r="J300" t="s">
        <x:v>2474</x:v>
      </x:c>
      <x:c r="K300">
        <x:v>68</x:v>
      </x:c>
      <x:c r="L300">
        <x:v>43</x:v>
      </x:c>
      <x:c r="M300">
        <x:v>89</x:v>
      </x:c>
      <x:c r="N300">
        <x:v>35</x:v>
      </x:c>
      <x:c r="O300">
        <x:v>76</x:v>
      </x:c>
      <x:c r="P300">
        <x:v>79</x:v>
      </x:c>
      <x:c r="Q300">
        <x:v>80</x:v>
      </x:c>
      <x:c r="R300">
        <x:v>34</x:v>
      </x:c>
      <x:c r="S300">
        <x:v>30</x:v>
      </x:c>
      <x:c r="T300" s="63" t="n">
        <x:f>MAX(30,MIN(AB300-VLOOKUP(AE300,'AHL_PA_SC_BALANCE'!$A$8:$E$18,2,FALSE),VLOOKUP(AE300,'AHL_PA_SC_BALANCE'!$A$8:$E$18,4,FALSE)))</x:f>
        <x:v>46</x:v>
      </x:c>
      <x:c r="U300" s="63" t="n">
        <x:f>MAX(30,MIN(AC300-VLOOKUP(AE300,'AHL_PA_SC_BALANCE'!$A$8:$E$18,3,FALSE),VLOOKUP(AE300,'AHL_PA_SC_BALANCE'!$A$8:$E$18,5,FALSE)))</x:f>
        <x:v>41</x:v>
      </x:c>
      <x:c r="V300">
        <x:v>67</x:v>
      </x:c>
      <x:c r="W300">
        <x:v>49</x:v>
      </x:c>
      <x:c r="X300">
        <x:v>69</x:v>
      </x:c>
      <x:c r="Y300">
        <x:v>68</x:v>
      </x:c>
      <x:c r="Z300">
        <x:v>51</x:v>
      </x:c>
      <x:c r="AA300">
        <x:v>52</x:v>
      </x:c>
      <x:c r="AB300" s="57" t="n">
        <x:v>46</x:v>
      </x:c>
      <x:c r="AC300" s="57" t="n">
        <x:v>41</x:v>
      </x:c>
      <x:c r="AD300" s="59"/>
      <x:c r="AE300" s="61" t="str">
        <x:f>IF(N(F300)&gt;=10,"NHL_LATEST_10",IF(AND(N(F300)&gt;0,N(G300)&gt;0),"NHL_BOTH_SEASONS",IF(N(G300)&gt;=10,"NHL_PREVIOUS_10",IF(AND(ISNUMBER(AD300),AD300=0,SUM(F300:G300)=0),"FARM_CAREER_0",IF(COUNT(F300:G300)&lt;2,"UNKNOWN_GP",IF(AND(F300=0,G300=0),IF(AD300&gt;=10,"FARM_LEGACY_10",IF(AND(ISNUMBER(AD300),AD300&gt;0),"FARM_CAREER_1_9","FARM_0_0")),IF(F300&gt;=1,IF(F300&lt;=3,"FARM_RECENT_1_3","FARM_RECENT_4_9"),"FARM_PREV_1_9_ONLY")))))))</x:f>
        <x:v>UNKNOWN_GP</x:v>
      </x:c>
      <x:c r="AF300" s="57" t="n">
        <x:f>AB300-T300</x:f>
        <x:v>0</x:v>
      </x:c>
      <x:c r="AG300" s="57" t="n">
        <x:f>AC300-U300</x:f>
        <x:v>0</x:v>
      </x:c>
    </x:row>
    <x:row r="301">
      <x:c r="A301" t="s">
        <x:v>1319</x:v>
      </x:c>
      <x:c r="C301" t="s">
        <x:v>331</x:v>
      </x:c>
      <x:c r="D301">
        <x:v>8478481</x:v>
      </x:c>
      <x:c r="E301" t="s">
        <x:v>267</x:v>
      </x:c>
      <x:c r="J301" t="s">
        <x:v>2474</x:v>
      </x:c>
      <x:c r="K301">
        <x:v>62</x:v>
      </x:c>
      <x:c r="L301">
        <x:v>38</x:v>
      </x:c>
      <x:c r="M301">
        <x:v>86</x:v>
      </x:c>
      <x:c r="N301">
        <x:v>34</x:v>
      </x:c>
      <x:c r="O301">
        <x:v>79</x:v>
      </x:c>
      <x:c r="P301">
        <x:v>77</x:v>
      </x:c>
      <x:c r="Q301">
        <x:v>79</x:v>
      </x:c>
      <x:c r="R301">
        <x:v>34</x:v>
      </x:c>
      <x:c r="S301">
        <x:v>30</x:v>
      </x:c>
      <x:c r="T301" s="63" t="n">
        <x:f>MAX(30,MIN(AB301-VLOOKUP(AE301,'AHL_PA_SC_BALANCE'!$A$8:$E$18,2,FALSE),VLOOKUP(AE301,'AHL_PA_SC_BALANCE'!$A$8:$E$18,4,FALSE)))</x:f>
        <x:v>42</x:v>
      </x:c>
      <x:c r="U301" s="63" t="n">
        <x:f>MAX(30,MIN(AC301-VLOOKUP(AE301,'AHL_PA_SC_BALANCE'!$A$8:$E$18,3,FALSE),VLOOKUP(AE301,'AHL_PA_SC_BALANCE'!$A$8:$E$18,5,FALSE)))</x:f>
        <x:v>40</x:v>
      </x:c>
      <x:c r="V301">
        <x:v>69</x:v>
      </x:c>
      <x:c r="W301">
        <x:v>46</x:v>
      </x:c>
      <x:c r="X301">
        <x:v>71</x:v>
      </x:c>
      <x:c r="Y301">
        <x:v>72</x:v>
      </x:c>
      <x:c r="Z301">
        <x:v>51</x:v>
      </x:c>
      <x:c r="AA301">
        <x:v>52</x:v>
      </x:c>
      <x:c r="AB301" s="57" t="n">
        <x:v>42</x:v>
      </x:c>
      <x:c r="AC301" s="57" t="n">
        <x:v>40</x:v>
      </x:c>
      <x:c r="AD301" s="59"/>
      <x:c r="AE301" s="61" t="str">
        <x:f>IF(N(F301)&gt;=10,"NHL_LATEST_10",IF(AND(N(F301)&gt;0,N(G301)&gt;0),"NHL_BOTH_SEASONS",IF(N(G301)&gt;=10,"NHL_PREVIOUS_10",IF(AND(ISNUMBER(AD301),AD301=0,SUM(F301:G301)=0),"FARM_CAREER_0",IF(COUNT(F301:G301)&lt;2,"UNKNOWN_GP",IF(AND(F301=0,G301=0),IF(AD301&gt;=10,"FARM_LEGACY_10",IF(AND(ISNUMBER(AD301),AD301&gt;0),"FARM_CAREER_1_9","FARM_0_0")),IF(F301&gt;=1,IF(F301&lt;=3,"FARM_RECENT_1_3","FARM_RECENT_4_9"),"FARM_PREV_1_9_ONLY")))))))</x:f>
        <x:v>UNKNOWN_GP</x:v>
      </x:c>
      <x:c r="AF301" s="57" t="n">
        <x:f>AB301-T301</x:f>
        <x:v>0</x:v>
      </x:c>
      <x:c r="AG301" s="57" t="n">
        <x:f>AC301-U301</x:f>
        <x:v>0</x:v>
      </x:c>
    </x:row>
    <x:row r="302">
      <x:c r="A302" t="s">
        <x:v>1320</x:v>
      </x:c>
      <x:c r="C302" t="s">
        <x:v>333</x:v>
      </x:c>
      <x:c r="D302">
        <x:v>8479328</x:v>
      </x:c>
      <x:c r="E302" t="s">
        <x:v>267</x:v>
      </x:c>
      <x:c r="J302" t="s">
        <x:v>2474</x:v>
      </x:c>
      <x:c r="K302">
        <x:v>74</x:v>
      </x:c>
      <x:c r="L302">
        <x:v>42</x:v>
      </x:c>
      <x:c r="M302">
        <x:v>84</x:v>
      </x:c>
      <x:c r="N302">
        <x:v>42</x:v>
      </x:c>
      <x:c r="O302">
        <x:v>89</x:v>
      </x:c>
      <x:c r="P302">
        <x:v>74</x:v>
      </x:c>
      <x:c r="Q302">
        <x:v>77</x:v>
      </x:c>
      <x:c r="R302">
        <x:v>42</x:v>
      </x:c>
      <x:c r="S302">
        <x:v>64</x:v>
      </x:c>
      <x:c r="T302" s="63" t="n">
        <x:f>MAX(30,MIN(AB302-VLOOKUP(AE302,'AHL_PA_SC_BALANCE'!$A$8:$E$18,2,FALSE),VLOOKUP(AE302,'AHL_PA_SC_BALANCE'!$A$8:$E$18,4,FALSE)))</x:f>
        <x:v>48</x:v>
      </x:c>
      <x:c r="U302" s="63" t="n">
        <x:f>MAX(30,MIN(AC302-VLOOKUP(AE302,'AHL_PA_SC_BALANCE'!$A$8:$E$18,3,FALSE),VLOOKUP(AE302,'AHL_PA_SC_BALANCE'!$A$8:$E$18,5,FALSE)))</x:f>
        <x:v>50</x:v>
      </x:c>
      <x:c r="V302">
        <x:v>63</x:v>
      </x:c>
      <x:c r="W302">
        <x:v>63</x:v>
      </x:c>
      <x:c r="X302">
        <x:v>71</x:v>
      </x:c>
      <x:c r="Y302">
        <x:v>71</x:v>
      </x:c>
      <x:c r="Z302">
        <x:v>51</x:v>
      </x:c>
      <x:c r="AA302">
        <x:v>52</x:v>
      </x:c>
      <x:c r="AB302" s="57" t="n">
        <x:v>48</x:v>
      </x:c>
      <x:c r="AC302" s="57" t="n">
        <x:v>50</x:v>
      </x:c>
      <x:c r="AD302" s="59"/>
      <x:c r="AE302" s="61" t="str">
        <x:f>IF(N(F302)&gt;=10,"NHL_LATEST_10",IF(AND(N(F302)&gt;0,N(G302)&gt;0),"NHL_BOTH_SEASONS",IF(N(G302)&gt;=10,"NHL_PREVIOUS_10",IF(AND(ISNUMBER(AD302),AD302=0,SUM(F302:G302)=0),"FARM_CAREER_0",IF(COUNT(F302:G302)&lt;2,"UNKNOWN_GP",IF(AND(F302=0,G302=0),IF(AD302&gt;=10,"FARM_LEGACY_10",IF(AND(ISNUMBER(AD302),AD302&gt;0),"FARM_CAREER_1_9","FARM_0_0")),IF(F302&gt;=1,IF(F302&lt;=3,"FARM_RECENT_1_3","FARM_RECENT_4_9"),"FARM_PREV_1_9_ONLY")))))))</x:f>
        <x:v>UNKNOWN_GP</x:v>
      </x:c>
      <x:c r="AF302" s="57" t="n">
        <x:f>AB302-T302</x:f>
        <x:v>0</x:v>
      </x:c>
      <x:c r="AG302" s="57" t="n">
        <x:f>AC302-U302</x:f>
        <x:v>0</x:v>
      </x:c>
    </x:row>
    <x:row r="303">
      <x:c r="A303" t="s">
        <x:v>1321</x:v>
      </x:c>
      <x:c r="C303" t="s">
        <x:v>331</x:v>
      </x:c>
      <x:c r="D303">
        <x:v>8485472</x:v>
      </x:c>
      <x:c r="E303" t="s">
        <x:v>267</x:v>
      </x:c>
      <x:c r="J303" t="s">
        <x:v>2474</x:v>
      </x:c>
      <x:c r="K303">
        <x:v>85</x:v>
      </x:c>
      <x:c r="L303">
        <x:v>45</x:v>
      </x:c>
      <x:c r="M303">
        <x:v>75</x:v>
      </x:c>
      <x:c r="N303">
        <x:v>32</x:v>
      </x:c>
      <x:c r="O303">
        <x:v>87</x:v>
      </x:c>
      <x:c r="P303">
        <x:v>81</x:v>
      </x:c>
      <x:c r="Q303">
        <x:v>85</x:v>
      </x:c>
      <x:c r="R303">
        <x:v>32</x:v>
      </x:c>
      <x:c r="S303">
        <x:v>30</x:v>
      </x:c>
      <x:c r="T303" s="63" t="n">
        <x:f>MAX(30,MIN(AB303-VLOOKUP(AE303,'AHL_PA_SC_BALANCE'!$A$8:$E$18,2,FALSE),VLOOKUP(AE303,'AHL_PA_SC_BALANCE'!$A$8:$E$18,4,FALSE)))</x:f>
        <x:v>42</x:v>
      </x:c>
      <x:c r="U303" s="63" t="n">
        <x:f>MAX(30,MIN(AC303-VLOOKUP(AE303,'AHL_PA_SC_BALANCE'!$A$8:$E$18,3,FALSE),VLOOKUP(AE303,'AHL_PA_SC_BALANCE'!$A$8:$E$18,5,FALSE)))</x:f>
        <x:v>40</x:v>
      </x:c>
      <x:c r="V303">
        <x:v>65</x:v>
      </x:c>
      <x:c r="W303">
        <x:v>46</x:v>
      </x:c>
      <x:c r="X303">
        <x:v>66</x:v>
      </x:c>
      <x:c r="Y303">
        <x:v>67</x:v>
      </x:c>
      <x:c r="Z303">
        <x:v>51</x:v>
      </x:c>
      <x:c r="AA303">
        <x:v>52</x:v>
      </x:c>
      <x:c r="AB303" s="57" t="n">
        <x:v>42</x:v>
      </x:c>
      <x:c r="AC303" s="57" t="n">
        <x:v>40</x:v>
      </x:c>
      <x:c r="AD303" s="59"/>
      <x:c r="AE303" s="61" t="str">
        <x:f>IF(N(F303)&gt;=10,"NHL_LATEST_10",IF(AND(N(F303)&gt;0,N(G303)&gt;0),"NHL_BOTH_SEASONS",IF(N(G303)&gt;=10,"NHL_PREVIOUS_10",IF(AND(ISNUMBER(AD303),AD303=0,SUM(F303:G303)=0),"FARM_CAREER_0",IF(COUNT(F303:G303)&lt;2,"UNKNOWN_GP",IF(AND(F303=0,G303=0),IF(AD303&gt;=10,"FARM_LEGACY_10",IF(AND(ISNUMBER(AD303),AD303&gt;0),"FARM_CAREER_1_9","FARM_0_0")),IF(F303&gt;=1,IF(F303&lt;=3,"FARM_RECENT_1_3","FARM_RECENT_4_9"),"FARM_PREV_1_9_ONLY")))))))</x:f>
        <x:v>UNKNOWN_GP</x:v>
      </x:c>
      <x:c r="AF303" s="57" t="n">
        <x:f>AB303-T303</x:f>
        <x:v>0</x:v>
      </x:c>
      <x:c r="AG303" s="57" t="n">
        <x:f>AC303-U303</x:f>
        <x:v>0</x:v>
      </x:c>
    </x:row>
    <x:row r="304">
      <x:c r="A304" t="s">
        <x:v>1322</x:v>
      </x:c>
      <x:c r="C304" t="s">
        <x:v>329</x:v>
      </x:c>
      <x:c r="D304">
        <x:v>8483567</x:v>
      </x:c>
      <x:c r="E304" t="s">
        <x:v>267</x:v>
      </x:c>
      <x:c r="J304" t="s">
        <x:v>2474</x:v>
      </x:c>
      <x:c r="K304">
        <x:v>65</x:v>
      </x:c>
      <x:c r="L304">
        <x:v>36</x:v>
      </x:c>
      <x:c r="M304">
        <x:v>85</x:v>
      </x:c>
      <x:c r="N304">
        <x:v>48</x:v>
      </x:c>
      <x:c r="O304">
        <x:v>74</x:v>
      </x:c>
      <x:c r="P304">
        <x:v>91</x:v>
      </x:c>
      <x:c r="Q304">
        <x:v>94</x:v>
      </x:c>
      <x:c r="R304">
        <x:v>47</x:v>
      </x:c>
      <x:c r="S304">
        <x:v>78</x:v>
      </x:c>
      <x:c r="T304" s="63" t="n">
        <x:f>MAX(30,MIN(AB304-VLOOKUP(AE304,'AHL_PA_SC_BALANCE'!$A$8:$E$18,2,FALSE),VLOOKUP(AE304,'AHL_PA_SC_BALANCE'!$A$8:$E$18,4,FALSE)))</x:f>
        <x:v>51</x:v>
      </x:c>
      <x:c r="U304" s="63" t="n">
        <x:f>MAX(30,MIN(AC304-VLOOKUP(AE304,'AHL_PA_SC_BALANCE'!$A$8:$E$18,3,FALSE),VLOOKUP(AE304,'AHL_PA_SC_BALANCE'!$A$8:$E$18,5,FALSE)))</x:f>
        <x:v>49</x:v>
      </x:c>
      <x:c r="V304">
        <x:v>59</x:v>
      </x:c>
      <x:c r="W304">
        <x:v>70</x:v>
      </x:c>
      <x:c r="X304">
        <x:v>69</x:v>
      </x:c>
      <x:c r="Y304">
        <x:v>68</x:v>
      </x:c>
      <x:c r="Z304">
        <x:v>51</x:v>
      </x:c>
      <x:c r="AA304">
        <x:v>52</x:v>
      </x:c>
      <x:c r="AB304" s="57" t="n">
        <x:v>51</x:v>
      </x:c>
      <x:c r="AC304" s="57" t="n">
        <x:v>49</x:v>
      </x:c>
      <x:c r="AD304" s="59"/>
      <x:c r="AE304" s="61" t="str">
        <x:f>IF(N(F304)&gt;=10,"NHL_LATEST_10",IF(AND(N(F304)&gt;0,N(G304)&gt;0),"NHL_BOTH_SEASONS",IF(N(G304)&gt;=10,"NHL_PREVIOUS_10",IF(AND(ISNUMBER(AD304),AD304=0,SUM(F304:G304)=0),"FARM_CAREER_0",IF(COUNT(F304:G304)&lt;2,"UNKNOWN_GP",IF(AND(F304=0,G304=0),IF(AD304&gt;=10,"FARM_LEGACY_10",IF(AND(ISNUMBER(AD304),AD304&gt;0),"FARM_CAREER_1_9","FARM_0_0")),IF(F304&gt;=1,IF(F304&lt;=3,"FARM_RECENT_1_3","FARM_RECENT_4_9"),"FARM_PREV_1_9_ONLY")))))))</x:f>
        <x:v>UNKNOWN_GP</x:v>
      </x:c>
      <x:c r="AF304" s="57" t="n">
        <x:f>AB304-T304</x:f>
        <x:v>0</x:v>
      </x:c>
      <x:c r="AG304" s="57" t="n">
        <x:f>AC304-U304</x:f>
        <x:v>0</x:v>
      </x:c>
    </x:row>
    <x:row r="305">
      <x:c r="A305" t="s">
        <x:v>1323</x:v>
      </x:c>
      <x:c r="B305" t="s">
        <x:v>584</x:v>
      </x:c>
      <x:c r="C305" t="s">
        <x:v>319</x:v>
      </x:c>
      <x:c r="D305">
        <x:v>8476391</x:v>
      </x:c>
      <x:c r="E305" t="s">
        <x:v>267</x:v>
      </x:c>
      <x:c r="F305">
        <x:v>1</x:v>
      </x:c>
      <x:c r="G305">
        <x:v>9</x:v>
      </x:c>
      <x:c r="J305" t="s">
        <x:v>2483</x:v>
      </x:c>
      <x:c r="K305">
        <x:v>63</x:v>
      </x:c>
      <x:c r="L305">
        <x:v>34</x:v>
      </x:c>
      <x:c r="M305">
        <x:v>81</x:v>
      </x:c>
      <x:c r="N305">
        <x:v>46</x:v>
      </x:c>
      <x:c r="O305">
        <x:v>72</x:v>
      </x:c>
      <x:c r="P305">
        <x:v>89</x:v>
      </x:c>
      <x:c r="Q305">
        <x:v>92</x:v>
      </x:c>
      <x:c r="R305">
        <x:v>45</x:v>
      </x:c>
      <x:c r="S305">
        <x:v>84</x:v>
      </x:c>
      <x:c r="T305" s="63" t="n">
        <x:f>MAX(30,MIN(AB305-VLOOKUP(AE305,'AHL_PA_SC_BALANCE'!$A$8:$E$18,2,FALSE),VLOOKUP(AE305,'AHL_PA_SC_BALANCE'!$A$8:$E$18,4,FALSE)))</x:f>
        <x:v>53</x:v>
      </x:c>
      <x:c r="U305" s="63" t="n">
        <x:f>MAX(30,MIN(AC305-VLOOKUP(AE305,'AHL_PA_SC_BALANCE'!$A$8:$E$18,3,FALSE),VLOOKUP(AE305,'AHL_PA_SC_BALANCE'!$A$8:$E$18,5,FALSE)))</x:f>
        <x:v>46</x:v>
      </x:c>
      <x:c r="V305">
        <x:v>65</x:v>
      </x:c>
      <x:c r="W305">
        <x:v>70</x:v>
      </x:c>
      <x:c r="X305">
        <x:v>80</x:v>
      </x:c>
      <x:c r="Y305">
        <x:v>79</x:v>
      </x:c>
      <x:c r="Z305">
        <x:v>51</x:v>
      </x:c>
      <x:c r="AA305">
        <x:v>52</x:v>
      </x:c>
      <x:c r="AB305" s="57" t="n">
        <x:v>53</x:v>
      </x:c>
      <x:c r="AC305" s="57" t="n">
        <x:v>46</x:v>
      </x:c>
      <x:c r="AD305" s="59"/>
      <x:c r="AE305" s="61" t="str">
        <x:f>IF(N(F305)&gt;=10,"NHL_LATEST_10",IF(AND(N(F305)&gt;0,N(G305)&gt;0),"NHL_BOTH_SEASONS",IF(N(G305)&gt;=10,"NHL_PREVIOUS_10",IF(AND(ISNUMBER(AD305),AD305=0,SUM(F305:G305)=0),"FARM_CAREER_0",IF(COUNT(F305:G305)&lt;2,"UNKNOWN_GP",IF(AND(F305=0,G305=0),IF(AD305&gt;=10,"FARM_LEGACY_10",IF(AND(ISNUMBER(AD305),AD305&gt;0),"FARM_CAREER_1_9","FARM_0_0")),IF(F305&gt;=1,IF(F305&lt;=3,"FARM_RECENT_1_3","FARM_RECENT_4_9"),"FARM_PREV_1_9_ONLY")))))))</x:f>
        <x:v>NHL_BOTH_SEASONS</x:v>
      </x:c>
      <x:c r="AF305" s="57" t="n">
        <x:f>AB305-T305</x:f>
        <x:v>0</x:v>
      </x:c>
      <x:c r="AG305" s="57" t="n">
        <x:f>AC305-U305</x:f>
        <x:v>0</x:v>
      </x:c>
    </x:row>
    <x:row r="306">
      <x:c r="A306" t="s">
        <x:v>1324</x:v>
      </x:c>
      <x:c r="C306" t="s">
        <x:v>319</x:v>
      </x:c>
      <x:c r="D306">
        <x:v>8480876</x:v>
      </x:c>
      <x:c r="E306" t="s">
        <x:v>267</x:v>
      </x:c>
      <x:c r="J306" t="s">
        <x:v>2474</x:v>
      </x:c>
      <x:c r="K306">
        <x:v>69</x:v>
      </x:c>
      <x:c r="L306">
        <x:v>95</x:v>
      </x:c>
      <x:c r="M306">
        <x:v>70</x:v>
      </x:c>
      <x:c r="N306">
        <x:v>47</x:v>
      </x:c>
      <x:c r="O306">
        <x:v>95</x:v>
      </x:c>
      <x:c r="P306">
        <x:v>78</x:v>
      </x:c>
      <x:c r="Q306">
        <x:v>78</x:v>
      </x:c>
      <x:c r="R306">
        <x:v>46</x:v>
      </x:c>
      <x:c r="S306">
        <x:v>70</x:v>
      </x:c>
      <x:c r="T306" s="63" t="n">
        <x:f>MAX(30,MIN(AB306-VLOOKUP(AE306,'AHL_PA_SC_BALANCE'!$A$8:$E$18,2,FALSE),VLOOKUP(AE306,'AHL_PA_SC_BALANCE'!$A$8:$E$18,4,FALSE)))</x:f>
        <x:v>48</x:v>
      </x:c>
      <x:c r="U306" s="63" t="n">
        <x:f>MAX(30,MIN(AC306-VLOOKUP(AE306,'AHL_PA_SC_BALANCE'!$A$8:$E$18,3,FALSE),VLOOKUP(AE306,'AHL_PA_SC_BALANCE'!$A$8:$E$18,5,FALSE)))</x:f>
        <x:v>47</x:v>
      </x:c>
      <x:c r="V306">
        <x:v>60</x:v>
      </x:c>
      <x:c r="W306">
        <x:v>55</x:v>
      </x:c>
      <x:c r="X306">
        <x:v>69</x:v>
      </x:c>
      <x:c r="Y306">
        <x:v>68</x:v>
      </x:c>
      <x:c r="Z306">
        <x:v>51</x:v>
      </x:c>
      <x:c r="AA306">
        <x:v>52</x:v>
      </x:c>
      <x:c r="AB306" s="57" t="n">
        <x:v>48</x:v>
      </x:c>
      <x:c r="AC306" s="57" t="n">
        <x:v>47</x:v>
      </x:c>
      <x:c r="AD306" s="59"/>
      <x:c r="AE306" s="61" t="str">
        <x:f>IF(N(F306)&gt;=10,"NHL_LATEST_10",IF(AND(N(F306)&gt;0,N(G306)&gt;0),"NHL_BOTH_SEASONS",IF(N(G306)&gt;=10,"NHL_PREVIOUS_10",IF(AND(ISNUMBER(AD306),AD306=0,SUM(F306:G306)=0),"FARM_CAREER_0",IF(COUNT(F306:G306)&lt;2,"UNKNOWN_GP",IF(AND(F306=0,G306=0),IF(AD306&gt;=10,"FARM_LEGACY_10",IF(AND(ISNUMBER(AD306),AD306&gt;0),"FARM_CAREER_1_9","FARM_0_0")),IF(F306&gt;=1,IF(F306&lt;=3,"FARM_RECENT_1_3","FARM_RECENT_4_9"),"FARM_PREV_1_9_ONLY")))))))</x:f>
        <x:v>UNKNOWN_GP</x:v>
      </x:c>
      <x:c r="AF306" s="57" t="n">
        <x:f>AB306-T306</x:f>
        <x:v>0</x:v>
      </x:c>
      <x:c r="AG306" s="57" t="n">
        <x:f>AC306-U306</x:f>
        <x:v>0</x:v>
      </x:c>
    </x:row>
    <x:row r="307">
      <x:c r="A307" t="s">
        <x:v>1325</x:v>
      </x:c>
      <x:c r="C307" t="s">
        <x:v>331</x:v>
      </x:c>
      <x:c r="D307">
        <x:v>8482171</x:v>
      </x:c>
      <x:c r="E307" t="s">
        <x:v>267</x:v>
      </x:c>
      <x:c r="J307" t="s">
        <x:v>2474</x:v>
      </x:c>
      <x:c r="K307">
        <x:v>79</x:v>
      </x:c>
      <x:c r="L307">
        <x:v>36</x:v>
      </x:c>
      <x:c r="M307">
        <x:v>88</x:v>
      </x:c>
      <x:c r="N307">
        <x:v>34</x:v>
      </x:c>
      <x:c r="O307">
        <x:v>83</x:v>
      </x:c>
      <x:c r="P307">
        <x:v>88</x:v>
      </x:c>
      <x:c r="Q307">
        <x:v>91</x:v>
      </x:c>
      <x:c r="R307">
        <x:v>33</x:v>
      </x:c>
      <x:c r="S307">
        <x:v>30</x:v>
      </x:c>
      <x:c r="T307" s="63" t="n">
        <x:f>MAX(30,MIN(AB307-VLOOKUP(AE307,'AHL_PA_SC_BALANCE'!$A$8:$E$18,2,FALSE),VLOOKUP(AE307,'AHL_PA_SC_BALANCE'!$A$8:$E$18,4,FALSE)))</x:f>
        <x:v>44</x:v>
      </x:c>
      <x:c r="U307" s="63" t="n">
        <x:f>MAX(30,MIN(AC307-VLOOKUP(AE307,'AHL_PA_SC_BALANCE'!$A$8:$E$18,3,FALSE),VLOOKUP(AE307,'AHL_PA_SC_BALANCE'!$A$8:$E$18,5,FALSE)))</x:f>
        <x:v>39</x:v>
      </x:c>
      <x:c r="V307">
        <x:v>66</x:v>
      </x:c>
      <x:c r="W307">
        <x:v>47</x:v>
      </x:c>
      <x:c r="X307">
        <x:v>67</x:v>
      </x:c>
      <x:c r="Y307">
        <x:v>66</x:v>
      </x:c>
      <x:c r="Z307">
        <x:v>51</x:v>
      </x:c>
      <x:c r="AA307">
        <x:v>52</x:v>
      </x:c>
      <x:c r="AB307" s="57" t="n">
        <x:v>44</x:v>
      </x:c>
      <x:c r="AC307" s="57" t="n">
        <x:v>39</x:v>
      </x:c>
      <x:c r="AD307" s="59"/>
      <x:c r="AE307" s="61" t="str">
        <x:f>IF(N(F307)&gt;=10,"NHL_LATEST_10",IF(AND(N(F307)&gt;0,N(G307)&gt;0),"NHL_BOTH_SEASONS",IF(N(G307)&gt;=10,"NHL_PREVIOUS_10",IF(AND(ISNUMBER(AD307),AD307=0,SUM(F307:G307)=0),"FARM_CAREER_0",IF(COUNT(F307:G307)&lt;2,"UNKNOWN_GP",IF(AND(F307=0,G307=0),IF(AD307&gt;=10,"FARM_LEGACY_10",IF(AND(ISNUMBER(AD307),AD307&gt;0),"FARM_CAREER_1_9","FARM_0_0")),IF(F307&gt;=1,IF(F307&lt;=3,"FARM_RECENT_1_3","FARM_RECENT_4_9"),"FARM_PREV_1_9_ONLY")))))))</x:f>
        <x:v>UNKNOWN_GP</x:v>
      </x:c>
      <x:c r="AF307" s="57" t="n">
        <x:f>AB307-T307</x:f>
        <x:v>0</x:v>
      </x:c>
      <x:c r="AG307" s="57" t="n">
        <x:f>AC307-U307</x:f>
        <x:v>0</x:v>
      </x:c>
    </x:row>
    <x:row r="308">
      <x:c r="A308" t="s">
        <x:v>1326</x:v>
      </x:c>
      <x:c r="C308" t="s">
        <x:v>331</x:v>
      </x:c>
      <x:c r="D308">
        <x:v>8484464</x:v>
      </x:c>
      <x:c r="E308" t="s">
        <x:v>267</x:v>
      </x:c>
      <x:c r="J308" t="s">
        <x:v>2474</x:v>
      </x:c>
      <x:c r="K308">
        <x:v>80</x:v>
      </x:c>
      <x:c r="L308">
        <x:v>41</x:v>
      </x:c>
      <x:c r="M308">
        <x:v>83</x:v>
      </x:c>
      <x:c r="N308">
        <x:v>33</x:v>
      </x:c>
      <x:c r="O308">
        <x:v>82</x:v>
      </x:c>
      <x:c r="P308">
        <x:v>88</x:v>
      </x:c>
      <x:c r="Q308">
        <x:v>92</x:v>
      </x:c>
      <x:c r="R308">
        <x:v>34</x:v>
      </x:c>
      <x:c r="S308">
        <x:v>30</x:v>
      </x:c>
      <x:c r="T308" s="63" t="n">
        <x:f>MAX(30,MIN(AB308-VLOOKUP(AE308,'AHL_PA_SC_BALANCE'!$A$8:$E$18,2,FALSE),VLOOKUP(AE308,'AHL_PA_SC_BALANCE'!$A$8:$E$18,4,FALSE)))</x:f>
        <x:v>44</x:v>
      </x:c>
      <x:c r="U308" s="63" t="n">
        <x:f>MAX(30,MIN(AC308-VLOOKUP(AE308,'AHL_PA_SC_BALANCE'!$A$8:$E$18,3,FALSE),VLOOKUP(AE308,'AHL_PA_SC_BALANCE'!$A$8:$E$18,5,FALSE)))</x:f>
        <x:v>40</x:v>
      </x:c>
      <x:c r="V308">
        <x:v>67</x:v>
      </x:c>
      <x:c r="W308">
        <x:v>47</x:v>
      </x:c>
      <x:c r="X308">
        <x:v>65</x:v>
      </x:c>
      <x:c r="Y308">
        <x:v>65</x:v>
      </x:c>
      <x:c r="Z308">
        <x:v>51</x:v>
      </x:c>
      <x:c r="AA308">
        <x:v>52</x:v>
      </x:c>
      <x:c r="AB308" s="57" t="n">
        <x:v>44</x:v>
      </x:c>
      <x:c r="AC308" s="57" t="n">
        <x:v>40</x:v>
      </x:c>
      <x:c r="AD308" s="59"/>
      <x:c r="AE308" s="61" t="str">
        <x:f>IF(N(F308)&gt;=10,"NHL_LATEST_10",IF(AND(N(F308)&gt;0,N(G308)&gt;0),"NHL_BOTH_SEASONS",IF(N(G308)&gt;=10,"NHL_PREVIOUS_10",IF(AND(ISNUMBER(AD308),AD308=0,SUM(F308:G308)=0),"FARM_CAREER_0",IF(COUNT(F308:G308)&lt;2,"UNKNOWN_GP",IF(AND(F308=0,G308=0),IF(AD308&gt;=10,"FARM_LEGACY_10",IF(AND(ISNUMBER(AD308),AD308&gt;0),"FARM_CAREER_1_9","FARM_0_0")),IF(F308&gt;=1,IF(F308&lt;=3,"FARM_RECENT_1_3","FARM_RECENT_4_9"),"FARM_PREV_1_9_ONLY")))))))</x:f>
        <x:v>UNKNOWN_GP</x:v>
      </x:c>
      <x:c r="AF308" s="57" t="n">
        <x:f>AB308-T308</x:f>
        <x:v>0</x:v>
      </x:c>
      <x:c r="AG308" s="57" t="n">
        <x:f>AC308-U308</x:f>
        <x:v>0</x:v>
      </x:c>
    </x:row>
    <x:row r="309">
      <x:c r="A309" t="s">
        <x:v>1327</x:v>
      </x:c>
      <x:c r="C309" t="s">
        <x:v>331</x:v>
      </x:c>
      <x:c r="D309">
        <x:v>8481569</x:v>
      </x:c>
      <x:c r="E309" t="s">
        <x:v>267</x:v>
      </x:c>
      <x:c r="J309" t="s">
        <x:v>2474</x:v>
      </x:c>
      <x:c r="K309">
        <x:v>68</x:v>
      </x:c>
      <x:c r="L309">
        <x:v>39</x:v>
      </x:c>
      <x:c r="M309">
        <x:v>83</x:v>
      </x:c>
      <x:c r="N309">
        <x:v>35</x:v>
      </x:c>
      <x:c r="O309">
        <x:v>77</x:v>
      </x:c>
      <x:c r="P309">
        <x:v>84</x:v>
      </x:c>
      <x:c r="Q309">
        <x:v>88</x:v>
      </x:c>
      <x:c r="R309">
        <x:v>36</x:v>
      </x:c>
      <x:c r="S309">
        <x:v>30</x:v>
      </x:c>
      <x:c r="T309" s="63" t="n">
        <x:f>MAX(30,MIN(AB309-VLOOKUP(AE309,'AHL_PA_SC_BALANCE'!$A$8:$E$18,2,FALSE),VLOOKUP(AE309,'AHL_PA_SC_BALANCE'!$A$8:$E$18,4,FALSE)))</x:f>
        <x:v>48</x:v>
      </x:c>
      <x:c r="U309" s="63" t="n">
        <x:f>MAX(30,MIN(AC309-VLOOKUP(AE309,'AHL_PA_SC_BALANCE'!$A$8:$E$18,3,FALSE),VLOOKUP(AE309,'AHL_PA_SC_BALANCE'!$A$8:$E$18,5,FALSE)))</x:f>
        <x:v>41</x:v>
      </x:c>
      <x:c r="V309">
        <x:v>64</x:v>
      </x:c>
      <x:c r="W309">
        <x:v>49</x:v>
      </x:c>
      <x:c r="X309">
        <x:v>68</x:v>
      </x:c>
      <x:c r="Y309">
        <x:v>69</x:v>
      </x:c>
      <x:c r="Z309">
        <x:v>51</x:v>
      </x:c>
      <x:c r="AA309">
        <x:v>52</x:v>
      </x:c>
      <x:c r="AB309" s="57" t="n">
        <x:v>48</x:v>
      </x:c>
      <x:c r="AC309" s="57" t="n">
        <x:v>41</x:v>
      </x:c>
      <x:c r="AD309" s="59"/>
      <x:c r="AE309" s="61" t="str">
        <x:f>IF(N(F309)&gt;=10,"NHL_LATEST_10",IF(AND(N(F309)&gt;0,N(G309)&gt;0),"NHL_BOTH_SEASONS",IF(N(G309)&gt;=10,"NHL_PREVIOUS_10",IF(AND(ISNUMBER(AD309),AD309=0,SUM(F309:G309)=0),"FARM_CAREER_0",IF(COUNT(F309:G309)&lt;2,"UNKNOWN_GP",IF(AND(F309=0,G309=0),IF(AD309&gt;=10,"FARM_LEGACY_10",IF(AND(ISNUMBER(AD309),AD309&gt;0),"FARM_CAREER_1_9","FARM_0_0")),IF(F309&gt;=1,IF(F309&lt;=3,"FARM_RECENT_1_3","FARM_RECENT_4_9"),"FARM_PREV_1_9_ONLY")))))))</x:f>
        <x:v>UNKNOWN_GP</x:v>
      </x:c>
      <x:c r="AF309" s="57" t="n">
        <x:f>AB309-T309</x:f>
        <x:v>0</x:v>
      </x:c>
      <x:c r="AG309" s="57" t="n">
        <x:f>AC309-U309</x:f>
        <x:v>0</x:v>
      </x:c>
    </x:row>
    <x:row r="310">
      <x:c r="A310" t="s">
        <x:v>1328</x:v>
      </x:c>
      <x:c r="C310" t="s">
        <x:v>331</x:v>
      </x:c>
      <x:c r="D310">
        <x:v>8483687</x:v>
      </x:c>
      <x:c r="E310" t="s">
        <x:v>267</x:v>
      </x:c>
      <x:c r="J310" t="s">
        <x:v>2474</x:v>
      </x:c>
      <x:c r="K310">
        <x:v>78</x:v>
      </x:c>
      <x:c r="L310">
        <x:v>42</x:v>
      </x:c>
      <x:c r="M310">
        <x:v>83</x:v>
      </x:c>
      <x:c r="N310">
        <x:v>33</x:v>
      </x:c>
      <x:c r="O310">
        <x:v>82</x:v>
      </x:c>
      <x:c r="P310">
        <x:v>82</x:v>
      </x:c>
      <x:c r="Q310">
        <x:v>85</x:v>
      </x:c>
      <x:c r="R310">
        <x:v>33</x:v>
      </x:c>
      <x:c r="S310">
        <x:v>30</x:v>
      </x:c>
      <x:c r="T310" s="63" t="n">
        <x:f>MAX(30,MIN(AB310-VLOOKUP(AE310,'AHL_PA_SC_BALANCE'!$A$8:$E$18,2,FALSE),VLOOKUP(AE310,'AHL_PA_SC_BALANCE'!$A$8:$E$18,4,FALSE)))</x:f>
        <x:v>42</x:v>
      </x:c>
      <x:c r="U310" s="63" t="n">
        <x:f>MAX(30,MIN(AC310-VLOOKUP(AE310,'AHL_PA_SC_BALANCE'!$A$8:$E$18,3,FALSE),VLOOKUP(AE310,'AHL_PA_SC_BALANCE'!$A$8:$E$18,5,FALSE)))</x:f>
        <x:v>40</x:v>
      </x:c>
      <x:c r="V310">
        <x:v>69</x:v>
      </x:c>
      <x:c r="W310">
        <x:v>46</x:v>
      </x:c>
      <x:c r="X310">
        <x:v>66</x:v>
      </x:c>
      <x:c r="Y310">
        <x:v>67</x:v>
      </x:c>
      <x:c r="Z310">
        <x:v>51</x:v>
      </x:c>
      <x:c r="AA310">
        <x:v>52</x:v>
      </x:c>
      <x:c r="AB310" s="57" t="n">
        <x:v>42</x:v>
      </x:c>
      <x:c r="AC310" s="57" t="n">
        <x:v>40</x:v>
      </x:c>
      <x:c r="AD310" s="59"/>
      <x:c r="AE310" s="61" t="str">
        <x:f>IF(N(F310)&gt;=10,"NHL_LATEST_10",IF(AND(N(F310)&gt;0,N(G310)&gt;0),"NHL_BOTH_SEASONS",IF(N(G310)&gt;=10,"NHL_PREVIOUS_10",IF(AND(ISNUMBER(AD310),AD310=0,SUM(F310:G310)=0),"FARM_CAREER_0",IF(COUNT(F310:G310)&lt;2,"UNKNOWN_GP",IF(AND(F310=0,G310=0),IF(AD310&gt;=10,"FARM_LEGACY_10",IF(AND(ISNUMBER(AD310),AD310&gt;0),"FARM_CAREER_1_9","FARM_0_0")),IF(F310&gt;=1,IF(F310&lt;=3,"FARM_RECENT_1_3","FARM_RECENT_4_9"),"FARM_PREV_1_9_ONLY")))))))</x:f>
        <x:v>UNKNOWN_GP</x:v>
      </x:c>
      <x:c r="AF310" s="57" t="n">
        <x:f>AB310-T310</x:f>
        <x:v>0</x:v>
      </x:c>
      <x:c r="AG310" s="57" t="n">
        <x:f>AC310-U310</x:f>
        <x:v>0</x:v>
      </x:c>
    </x:row>
    <x:row r="311">
      <x:c r="A311" t="s">
        <x:v>1329</x:v>
      </x:c>
      <x:c r="C311" t="s">
        <x:v>331</x:v>
      </x:c>
      <x:c r="D311">
        <x:v>8477972</x:v>
      </x:c>
      <x:c r="E311" t="s">
        <x:v>267</x:v>
      </x:c>
      <x:c r="J311" t="s">
        <x:v>2474</x:v>
      </x:c>
      <x:c r="K311">
        <x:v>73</x:v>
      </x:c>
      <x:c r="L311">
        <x:v>44</x:v>
      </x:c>
      <x:c r="M311">
        <x:v>88</x:v>
      </x:c>
      <x:c r="N311">
        <x:v>34</x:v>
      </x:c>
      <x:c r="O311">
        <x:v>86</x:v>
      </x:c>
      <x:c r="P311">
        <x:v>74</x:v>
      </x:c>
      <x:c r="Q311">
        <x:v>77</x:v>
      </x:c>
      <x:c r="R311">
        <x:v>34</x:v>
      </x:c>
      <x:c r="S311">
        <x:v>30</x:v>
      </x:c>
      <x:c r="T311" s="63" t="n">
        <x:f>MAX(30,MIN(AB311-VLOOKUP(AE311,'AHL_PA_SC_BALANCE'!$A$8:$E$18,2,FALSE),VLOOKUP(AE311,'AHL_PA_SC_BALANCE'!$A$8:$E$18,4,FALSE)))</x:f>
        <x:v>43</x:v>
      </x:c>
      <x:c r="U311" s="63" t="n">
        <x:f>MAX(30,MIN(AC311-VLOOKUP(AE311,'AHL_PA_SC_BALANCE'!$A$8:$E$18,3,FALSE),VLOOKUP(AE311,'AHL_PA_SC_BALANCE'!$A$8:$E$18,5,FALSE)))</x:f>
        <x:v>40</x:v>
      </x:c>
      <x:c r="V311">
        <x:v>66</x:v>
      </x:c>
      <x:c r="W311">
        <x:v>46</x:v>
      </x:c>
      <x:c r="X311">
        <x:v>72</x:v>
      </x:c>
      <x:c r="Y311">
        <x:v>72</x:v>
      </x:c>
      <x:c r="Z311">
        <x:v>51</x:v>
      </x:c>
      <x:c r="AA311">
        <x:v>52</x:v>
      </x:c>
      <x:c r="AB311" s="57" t="n">
        <x:v>43</x:v>
      </x:c>
      <x:c r="AC311" s="57" t="n">
        <x:v>40</x:v>
      </x:c>
      <x:c r="AD311" s="59"/>
      <x:c r="AE311" s="61" t="str">
        <x:f>IF(N(F311)&gt;=10,"NHL_LATEST_10",IF(AND(N(F311)&gt;0,N(G311)&gt;0),"NHL_BOTH_SEASONS",IF(N(G311)&gt;=10,"NHL_PREVIOUS_10",IF(AND(ISNUMBER(AD311),AD311=0,SUM(F311:G311)=0),"FARM_CAREER_0",IF(COUNT(F311:G311)&lt;2,"UNKNOWN_GP",IF(AND(F311=0,G311=0),IF(AD311&gt;=10,"FARM_LEGACY_10",IF(AND(ISNUMBER(AD311),AD311&gt;0),"FARM_CAREER_1_9","FARM_0_0")),IF(F311&gt;=1,IF(F311&lt;=3,"FARM_RECENT_1_3","FARM_RECENT_4_9"),"FARM_PREV_1_9_ONLY")))))))</x:f>
        <x:v>UNKNOWN_GP</x:v>
      </x:c>
      <x:c r="AF311" s="57" t="n">
        <x:f>AB311-T311</x:f>
        <x:v>0</x:v>
      </x:c>
      <x:c r="AG311" s="57" t="n">
        <x:f>AC311-U311</x:f>
        <x:v>0</x:v>
      </x:c>
    </x:row>
    <x:row r="312">
      <x:c r="A312" t="s">
        <x:v>1330</x:v>
      </x:c>
      <x:c r="C312" t="s">
        <x:v>329</x:v>
      </x:c>
      <x:c r="D312">
        <x:v>8482765</x:v>
      </x:c>
      <x:c r="E312" t="s">
        <x:v>267</x:v>
      </x:c>
      <x:c r="J312" t="s">
        <x:v>2474</x:v>
      </x:c>
      <x:c r="K312">
        <x:v>57</x:v>
      </x:c>
      <x:c r="L312">
        <x:v>31</x:v>
      </x:c>
      <x:c r="M312">
        <x:v>95</x:v>
      </x:c>
      <x:c r="N312">
        <x:v>49</x:v>
      </x:c>
      <x:c r="O312">
        <x:v>75</x:v>
      </x:c>
      <x:c r="P312">
        <x:v>84</x:v>
      </x:c>
      <x:c r="Q312">
        <x:v>91</x:v>
      </x:c>
      <x:c r="R312">
        <x:v>51</x:v>
      </x:c>
      <x:c r="S312">
        <x:v>66</x:v>
      </x:c>
      <x:c r="T312" s="63" t="n">
        <x:f>MAX(30,MIN(AB312-VLOOKUP(AE312,'AHL_PA_SC_BALANCE'!$A$8:$E$18,2,FALSE),VLOOKUP(AE312,'AHL_PA_SC_BALANCE'!$A$8:$E$18,4,FALSE)))</x:f>
        <x:v>48</x:v>
      </x:c>
      <x:c r="U312" s="63" t="n">
        <x:f>MAX(30,MIN(AC312-VLOOKUP(AE312,'AHL_PA_SC_BALANCE'!$A$8:$E$18,3,FALSE),VLOOKUP(AE312,'AHL_PA_SC_BALANCE'!$A$8:$E$18,5,FALSE)))</x:f>
        <x:v>52</x:v>
      </x:c>
      <x:c r="V312">
        <x:v>60</x:v>
      </x:c>
      <x:c r="W312">
        <x:v>57</x:v>
      </x:c>
      <x:c r="X312">
        <x:v>66</x:v>
      </x:c>
      <x:c r="Y312">
        <x:v>67</x:v>
      </x:c>
      <x:c r="Z312">
        <x:v>51</x:v>
      </x:c>
      <x:c r="AA312">
        <x:v>52</x:v>
      </x:c>
      <x:c r="AB312" s="57" t="n">
        <x:v>48</x:v>
      </x:c>
      <x:c r="AC312" s="57" t="n">
        <x:v>52</x:v>
      </x:c>
      <x:c r="AD312" s="59"/>
      <x:c r="AE312" s="61" t="str">
        <x:f>IF(N(F312)&gt;=10,"NHL_LATEST_10",IF(AND(N(F312)&gt;0,N(G312)&gt;0),"NHL_BOTH_SEASONS",IF(N(G312)&gt;=10,"NHL_PREVIOUS_10",IF(AND(ISNUMBER(AD312),AD312=0,SUM(F312:G312)=0),"FARM_CAREER_0",IF(COUNT(F312:G312)&lt;2,"UNKNOWN_GP",IF(AND(F312=0,G312=0),IF(AD312&gt;=10,"FARM_LEGACY_10",IF(AND(ISNUMBER(AD312),AD312&gt;0),"FARM_CAREER_1_9","FARM_0_0")),IF(F312&gt;=1,IF(F312&lt;=3,"FARM_RECENT_1_3","FARM_RECENT_4_9"),"FARM_PREV_1_9_ONLY")))))))</x:f>
        <x:v>UNKNOWN_GP</x:v>
      </x:c>
      <x:c r="AF312" s="57" t="n">
        <x:f>AB312-T312</x:f>
        <x:v>0</x:v>
      </x:c>
      <x:c r="AG312" s="57" t="n">
        <x:f>AC312-U312</x:f>
        <x:v>0</x:v>
      </x:c>
    </x:row>
    <x:row r="313">
      <x:c r="A313" t="s">
        <x:v>1331</x:v>
      </x:c>
      <x:c r="C313" t="s">
        <x:v>319</x:v>
      </x:c>
      <x:c r="D313">
        <x:v>8483428</x:v>
      </x:c>
      <x:c r="E313" t="s">
        <x:v>267</x:v>
      </x:c>
      <x:c r="J313" t="s">
        <x:v>2474</x:v>
      </x:c>
      <x:c r="K313">
        <x:v>68</x:v>
      </x:c>
      <x:c r="L313">
        <x:v>31</x:v>
      </x:c>
      <x:c r="M313">
        <x:v>86</x:v>
      </x:c>
      <x:c r="N313">
        <x:v>47</x:v>
      </x:c>
      <x:c r="O313">
        <x:v>84</x:v>
      </x:c>
      <x:c r="P313">
        <x:v>84</x:v>
      </x:c>
      <x:c r="Q313">
        <x:v>88</x:v>
      </x:c>
      <x:c r="R313">
        <x:v>48</x:v>
      </x:c>
      <x:c r="S313">
        <x:v>70</x:v>
      </x:c>
      <x:c r="T313" s="63" t="n">
        <x:f>MAX(30,MIN(AB313-VLOOKUP(AE313,'AHL_PA_SC_BALANCE'!$A$8:$E$18,2,FALSE),VLOOKUP(AE313,'AHL_PA_SC_BALANCE'!$A$8:$E$18,4,FALSE)))</x:f>
        <x:v>50</x:v>
      </x:c>
      <x:c r="U313" s="63" t="n">
        <x:f>MAX(30,MIN(AC313-VLOOKUP(AE313,'AHL_PA_SC_BALANCE'!$A$8:$E$18,3,FALSE),VLOOKUP(AE313,'AHL_PA_SC_BALANCE'!$A$8:$E$18,5,FALSE)))</x:f>
        <x:v>46</x:v>
      </x:c>
      <x:c r="V313">
        <x:v>63</x:v>
      </x:c>
      <x:c r="W313">
        <x:v>70</x:v>
      </x:c>
      <x:c r="X313">
        <x:v>66</x:v>
      </x:c>
      <x:c r="Y313">
        <x:v>66</x:v>
      </x:c>
      <x:c r="Z313">
        <x:v>51</x:v>
      </x:c>
      <x:c r="AA313">
        <x:v>52</x:v>
      </x:c>
      <x:c r="AB313" s="57" t="n">
        <x:v>50</x:v>
      </x:c>
      <x:c r="AC313" s="57" t="n">
        <x:v>46</x:v>
      </x:c>
      <x:c r="AD313" s="59"/>
      <x:c r="AE313" s="61" t="str">
        <x:f>IF(N(F313)&gt;=10,"NHL_LATEST_10",IF(AND(N(F313)&gt;0,N(G313)&gt;0),"NHL_BOTH_SEASONS",IF(N(G313)&gt;=10,"NHL_PREVIOUS_10",IF(AND(ISNUMBER(AD313),AD313=0,SUM(F313:G313)=0),"FARM_CAREER_0",IF(COUNT(F313:G313)&lt;2,"UNKNOWN_GP",IF(AND(F313=0,G313=0),IF(AD313&gt;=10,"FARM_LEGACY_10",IF(AND(ISNUMBER(AD313),AD313&gt;0),"FARM_CAREER_1_9","FARM_0_0")),IF(F313&gt;=1,IF(F313&lt;=3,"FARM_RECENT_1_3","FARM_RECENT_4_9"),"FARM_PREV_1_9_ONLY")))))))</x:f>
        <x:v>UNKNOWN_GP</x:v>
      </x:c>
      <x:c r="AF313" s="57" t="n">
        <x:f>AB313-T313</x:f>
        <x:v>0</x:v>
      </x:c>
      <x:c r="AG313" s="57" t="n">
        <x:f>AC313-U313</x:f>
        <x:v>0</x:v>
      </x:c>
    </x:row>
    <x:row r="314">
      <x:c r="A314" t="s">
        <x:v>1332</x:v>
      </x:c>
      <x:c r="C314" t="s">
        <x:v>333</x:v>
      </x:c>
      <x:c r="D314">
        <x:v>8476924</x:v>
      </x:c>
      <x:c r="E314" t="s">
        <x:v>267</x:v>
      </x:c>
      <x:c r="J314" t="s">
        <x:v>2474</x:v>
      </x:c>
      <x:c r="K314">
        <x:v>63</x:v>
      </x:c>
      <x:c r="L314">
        <x:v>45</x:v>
      </x:c>
      <x:c r="M314">
        <x:v>77</x:v>
      </x:c>
      <x:c r="N314">
        <x:v>46</x:v>
      </x:c>
      <x:c r="O314">
        <x:v>80</x:v>
      </x:c>
      <x:c r="P314">
        <x:v>88</x:v>
      </x:c>
      <x:c r="Q314">
        <x:v>91</x:v>
      </x:c>
      <x:c r="R314">
        <x:v>45</x:v>
      </x:c>
      <x:c r="S314">
        <x:v>65</x:v>
      </x:c>
      <x:c r="T314" s="63" t="n">
        <x:f>MAX(30,MIN(AB314-VLOOKUP(AE314,'AHL_PA_SC_BALANCE'!$A$8:$E$18,2,FALSE),VLOOKUP(AE314,'AHL_PA_SC_BALANCE'!$A$8:$E$18,4,FALSE)))</x:f>
        <x:v>48</x:v>
      </x:c>
      <x:c r="U314" s="63" t="n">
        <x:f>MAX(30,MIN(AC314-VLOOKUP(AE314,'AHL_PA_SC_BALANCE'!$A$8:$E$18,3,FALSE),VLOOKUP(AE314,'AHL_PA_SC_BALANCE'!$A$8:$E$18,5,FALSE)))</x:f>
        <x:v>49</x:v>
      </x:c>
      <x:c r="V314">
        <x:v>62</x:v>
      </x:c>
      <x:c r="W314">
        <x:v>71</x:v>
      </x:c>
      <x:c r="X314">
        <x:v>78</x:v>
      </x:c>
      <x:c r="Y314">
        <x:v>78</x:v>
      </x:c>
      <x:c r="Z314">
        <x:v>51</x:v>
      </x:c>
      <x:c r="AA314">
        <x:v>52</x:v>
      </x:c>
      <x:c r="AB314" s="57" t="n">
        <x:v>48</x:v>
      </x:c>
      <x:c r="AC314" s="57" t="n">
        <x:v>49</x:v>
      </x:c>
      <x:c r="AD314" s="59"/>
      <x:c r="AE314" s="61" t="str">
        <x:f>IF(N(F314)&gt;=10,"NHL_LATEST_10",IF(AND(N(F314)&gt;0,N(G314)&gt;0),"NHL_BOTH_SEASONS",IF(N(G314)&gt;=10,"NHL_PREVIOUS_10",IF(AND(ISNUMBER(AD314),AD314=0,SUM(F314:G314)=0),"FARM_CAREER_0",IF(COUNT(F314:G314)&lt;2,"UNKNOWN_GP",IF(AND(F314=0,G314=0),IF(AD314&gt;=10,"FARM_LEGACY_10",IF(AND(ISNUMBER(AD314),AD314&gt;0),"FARM_CAREER_1_9","FARM_0_0")),IF(F314&gt;=1,IF(F314&lt;=3,"FARM_RECENT_1_3","FARM_RECENT_4_9"),"FARM_PREV_1_9_ONLY")))))))</x:f>
        <x:v>UNKNOWN_GP</x:v>
      </x:c>
      <x:c r="AF314" s="57" t="n">
        <x:f>AB314-T314</x:f>
        <x:v>0</x:v>
      </x:c>
      <x:c r="AG314" s="57" t="n">
        <x:f>AC314-U314</x:f>
        <x:v>0</x:v>
      </x:c>
    </x:row>
    <x:row r="315">
      <x:c r="A315" t="s">
        <x:v>1333</x:v>
      </x:c>
      <x:c r="C315" t="s">
        <x:v>331</x:v>
      </x:c>
      <x:c r="D315">
        <x:v>8478408</x:v>
      </x:c>
      <x:c r="E315" t="s">
        <x:v>267</x:v>
      </x:c>
      <x:c r="J315" t="s">
        <x:v>2474</x:v>
      </x:c>
      <x:c r="K315">
        <x:v>67</x:v>
      </x:c>
      <x:c r="L315">
        <x:v>35</x:v>
      </x:c>
      <x:c r="M315">
        <x:v>84</x:v>
      </x:c>
      <x:c r="N315">
        <x:v>34</x:v>
      </x:c>
      <x:c r="O315">
        <x:v>80</x:v>
      </x:c>
      <x:c r="P315">
        <x:v>70</x:v>
      </x:c>
      <x:c r="Q315">
        <x:v>69</x:v>
      </x:c>
      <x:c r="R315">
        <x:v>34</x:v>
      </x:c>
      <x:c r="S315">
        <x:v>30</x:v>
      </x:c>
      <x:c r="T315" s="63" t="n">
        <x:f>MAX(30,MIN(AB315-VLOOKUP(AE315,'AHL_PA_SC_BALANCE'!$A$8:$E$18,2,FALSE),VLOOKUP(AE315,'AHL_PA_SC_BALANCE'!$A$8:$E$18,4,FALSE)))</x:f>
        <x:v>47</x:v>
      </x:c>
      <x:c r="U315" s="63" t="n">
        <x:f>MAX(30,MIN(AC315-VLOOKUP(AE315,'AHL_PA_SC_BALANCE'!$A$8:$E$18,3,FALSE),VLOOKUP(AE315,'AHL_PA_SC_BALANCE'!$A$8:$E$18,5,FALSE)))</x:f>
        <x:v>44</x:v>
      </x:c>
      <x:c r="V315">
        <x:v>73</x:v>
      </x:c>
      <x:c r="W315">
        <x:v>46</x:v>
      </x:c>
      <x:c r="X315">
        <x:v>77</x:v>
      </x:c>
      <x:c r="Y315">
        <x:v>73</x:v>
      </x:c>
      <x:c r="Z315">
        <x:v>51</x:v>
      </x:c>
      <x:c r="AA315">
        <x:v>52</x:v>
      </x:c>
      <x:c r="AB315" s="57" t="n">
        <x:v>47</x:v>
      </x:c>
      <x:c r="AC315" s="57" t="n">
        <x:v>44</x:v>
      </x:c>
      <x:c r="AD315" s="59"/>
      <x:c r="AE315" s="61" t="str">
        <x:f>IF(N(F315)&gt;=10,"NHL_LATEST_10",IF(AND(N(F315)&gt;0,N(G315)&gt;0),"NHL_BOTH_SEASONS",IF(N(G315)&gt;=10,"NHL_PREVIOUS_10",IF(AND(ISNUMBER(AD315),AD315=0,SUM(F315:G315)=0),"FARM_CAREER_0",IF(COUNT(F315:G315)&lt;2,"UNKNOWN_GP",IF(AND(F315=0,G315=0),IF(AD315&gt;=10,"FARM_LEGACY_10",IF(AND(ISNUMBER(AD315),AD315&gt;0),"FARM_CAREER_1_9","FARM_0_0")),IF(F315&gt;=1,IF(F315&lt;=3,"FARM_RECENT_1_3","FARM_RECENT_4_9"),"FARM_PREV_1_9_ONLY")))))))</x:f>
        <x:v>UNKNOWN_GP</x:v>
      </x:c>
      <x:c r="AF315" s="57" t="n">
        <x:f>AB315-T315</x:f>
        <x:v>0</x:v>
      </x:c>
      <x:c r="AG315" s="57" t="n">
        <x:f>AC315-U315</x:f>
        <x:v>0</x:v>
      </x:c>
    </x:row>
    <x:row r="316">
      <x:c r="A316" t="s">
        <x:v>1335</x:v>
      </x:c>
      <x:c r="C316" t="s">
        <x:v>358</x:v>
      </x:c>
      <x:c r="D316">
        <x:v>8482132</x:v>
      </x:c>
      <x:c r="E316" t="s">
        <x:v>267</x:v>
      </x:c>
      <x:c r="J316" t="s">
        <x:v>2474</x:v>
      </x:c>
      <x:c r="K316">
        <x:v>68</x:v>
      </x:c>
      <x:c r="L316">
        <x:v>32</x:v>
      </x:c>
      <x:c r="M316">
        <x:v>85</x:v>
      </x:c>
      <x:c r="N316">
        <x:v>48</x:v>
      </x:c>
      <x:c r="O316">
        <x:v>73</x:v>
      </x:c>
      <x:c r="P316">
        <x:v>80</x:v>
      </x:c>
      <x:c r="Q316">
        <x:v>79</x:v>
      </x:c>
      <x:c r="R316">
        <x:v>48</x:v>
      </x:c>
      <x:c r="S316">
        <x:v>62</x:v>
      </x:c>
      <x:c r="T316" s="63" t="n">
        <x:f>MAX(30,MIN(AB316-VLOOKUP(AE316,'AHL_PA_SC_BALANCE'!$A$8:$E$18,2,FALSE),VLOOKUP(AE316,'AHL_PA_SC_BALANCE'!$A$8:$E$18,4,FALSE)))</x:f>
        <x:v>49</x:v>
      </x:c>
      <x:c r="U316" s="63" t="n">
        <x:f>MAX(30,MIN(AC316-VLOOKUP(AE316,'AHL_PA_SC_BALANCE'!$A$8:$E$18,3,FALSE),VLOOKUP(AE316,'AHL_PA_SC_BALANCE'!$A$8:$E$18,5,FALSE)))</x:f>
        <x:v>50</x:v>
      </x:c>
      <x:c r="V316">
        <x:v>61</x:v>
      </x:c>
      <x:c r="W316">
        <x:v>52</x:v>
      </x:c>
      <x:c r="X316">
        <x:v>67</x:v>
      </x:c>
      <x:c r="Y316">
        <x:v>67</x:v>
      </x:c>
      <x:c r="Z316">
        <x:v>51</x:v>
      </x:c>
      <x:c r="AA316">
        <x:v>52</x:v>
      </x:c>
      <x:c r="AB316" s="57" t="n">
        <x:v>49</x:v>
      </x:c>
      <x:c r="AC316" s="57" t="n">
        <x:v>50</x:v>
      </x:c>
      <x:c r="AD316" s="59"/>
      <x:c r="AE316" s="61" t="str">
        <x:f>IF(N(F316)&gt;=10,"NHL_LATEST_10",IF(AND(N(F316)&gt;0,N(G316)&gt;0),"NHL_BOTH_SEASONS",IF(N(G316)&gt;=10,"NHL_PREVIOUS_10",IF(AND(ISNUMBER(AD316),AD316=0,SUM(F316:G316)=0),"FARM_CAREER_0",IF(COUNT(F316:G316)&lt;2,"UNKNOWN_GP",IF(AND(F316=0,G316=0),IF(AD316&gt;=10,"FARM_LEGACY_10",IF(AND(ISNUMBER(AD316),AD316&gt;0),"FARM_CAREER_1_9","FARM_0_0")),IF(F316&gt;=1,IF(F316&lt;=3,"FARM_RECENT_1_3","FARM_RECENT_4_9"),"FARM_PREV_1_9_ONLY")))))))</x:f>
        <x:v>UNKNOWN_GP</x:v>
      </x:c>
      <x:c r="AF316" s="57" t="n">
        <x:f>AB316-T316</x:f>
        <x:v>0</x:v>
      </x:c>
      <x:c r="AG316" s="57" t="n">
        <x:f>AC316-U316</x:f>
        <x:v>0</x:v>
      </x:c>
    </x:row>
    <x:row r="317">
      <x:c r="A317" t="s">
        <x:v>1336</x:v>
      </x:c>
      <x:c r="C317" t="s">
        <x:v>319</x:v>
      </x:c>
      <x:c r="D317">
        <x:v>8482623</x:v>
      </x:c>
      <x:c r="E317" t="s">
        <x:v>267</x:v>
      </x:c>
      <x:c r="J317" t="s">
        <x:v>2474</x:v>
      </x:c>
      <x:c r="K317">
        <x:v>67</x:v>
      </x:c>
      <x:c r="L317">
        <x:v>75</x:v>
      </x:c>
      <x:c r="M317">
        <x:v>78</x:v>
      </x:c>
      <x:c r="N317">
        <x:v>47</x:v>
      </x:c>
      <x:c r="O317">
        <x:v>85</x:v>
      </x:c>
      <x:c r="P317">
        <x:v>81</x:v>
      </x:c>
      <x:c r="Q317">
        <x:v>71</x:v>
      </x:c>
      <x:c r="R317">
        <x:v>47</x:v>
      </x:c>
      <x:c r="S317">
        <x:v>82</x:v>
      </x:c>
      <x:c r="T317" s="63" t="n">
        <x:f>MAX(30,MIN(AB317-VLOOKUP(AE317,'AHL_PA_SC_BALANCE'!$A$8:$E$18,2,FALSE),VLOOKUP(AE317,'AHL_PA_SC_BALANCE'!$A$8:$E$18,4,FALSE)))</x:f>
        <x:v>49</x:v>
      </x:c>
      <x:c r="U317" s="63" t="n">
        <x:f>MAX(30,MIN(AC317-VLOOKUP(AE317,'AHL_PA_SC_BALANCE'!$A$8:$E$18,3,FALSE),VLOOKUP(AE317,'AHL_PA_SC_BALANCE'!$A$8:$E$18,5,FALSE)))</x:f>
        <x:v>49</x:v>
      </x:c>
      <x:c r="V317">
        <x:v>62</x:v>
      </x:c>
      <x:c r="W317">
        <x:v>55</x:v>
      </x:c>
      <x:c r="X317">
        <x:v>70</x:v>
      </x:c>
      <x:c r="Y317">
        <x:v>70</x:v>
      </x:c>
      <x:c r="Z317">
        <x:v>51</x:v>
      </x:c>
      <x:c r="AA317">
        <x:v>52</x:v>
      </x:c>
      <x:c r="AB317" s="57" t="n">
        <x:v>49</x:v>
      </x:c>
      <x:c r="AC317" s="57" t="n">
        <x:v>49</x:v>
      </x:c>
      <x:c r="AD317" s="59"/>
      <x:c r="AE317" s="61" t="str">
        <x:f>IF(N(F317)&gt;=10,"NHL_LATEST_10",IF(AND(N(F317)&gt;0,N(G317)&gt;0),"NHL_BOTH_SEASONS",IF(N(G317)&gt;=10,"NHL_PREVIOUS_10",IF(AND(ISNUMBER(AD317),AD317=0,SUM(F317:G317)=0),"FARM_CAREER_0",IF(COUNT(F317:G317)&lt;2,"UNKNOWN_GP",IF(AND(F317=0,G317=0),IF(AD317&gt;=10,"FARM_LEGACY_10",IF(AND(ISNUMBER(AD317),AD317&gt;0),"FARM_CAREER_1_9","FARM_0_0")),IF(F317&gt;=1,IF(F317&lt;=3,"FARM_RECENT_1_3","FARM_RECENT_4_9"),"FARM_PREV_1_9_ONLY")))))))</x:f>
        <x:v>UNKNOWN_GP</x:v>
      </x:c>
      <x:c r="AF317" s="57" t="n">
        <x:f>AB317-T317</x:f>
        <x:v>0</x:v>
      </x:c>
      <x:c r="AG317" s="57" t="n">
        <x:f>AC317-U317</x:f>
        <x:v>0</x:v>
      </x:c>
    </x:row>
    <x:row r="318">
      <x:c r="A318" t="s">
        <x:v>1337</x:v>
      </x:c>
      <x:c r="C318" t="s">
        <x:v>331</x:v>
      </x:c>
      <x:c r="D318">
        <x:v>8483829</x:v>
      </x:c>
      <x:c r="E318" t="s">
        <x:v>267</x:v>
      </x:c>
      <x:c r="J318" t="s">
        <x:v>2474</x:v>
      </x:c>
      <x:c r="K318">
        <x:v>79</x:v>
      </x:c>
      <x:c r="L318">
        <x:v>34</x:v>
      </x:c>
      <x:c r="M318">
        <x:v>71</x:v>
      </x:c>
      <x:c r="N318">
        <x:v>32</x:v>
      </x:c>
      <x:c r="O318">
        <x:v>82</x:v>
      </x:c>
      <x:c r="P318">
        <x:v>81</x:v>
      </x:c>
      <x:c r="Q318">
        <x:v>85</x:v>
      </x:c>
      <x:c r="R318">
        <x:v>32</x:v>
      </x:c>
      <x:c r="S318">
        <x:v>30</x:v>
      </x:c>
      <x:c r="T318" s="63" t="n">
        <x:f>MAX(30,MIN(AB318-VLOOKUP(AE318,'AHL_PA_SC_BALANCE'!$A$8:$E$18,2,FALSE),VLOOKUP(AE318,'AHL_PA_SC_BALANCE'!$A$8:$E$18,4,FALSE)))</x:f>
        <x:v>42</x:v>
      </x:c>
      <x:c r="U318" s="63" t="n">
        <x:f>MAX(30,MIN(AC318-VLOOKUP(AE318,'AHL_PA_SC_BALANCE'!$A$8:$E$18,3,FALSE),VLOOKUP(AE318,'AHL_PA_SC_BALANCE'!$A$8:$E$18,5,FALSE)))</x:f>
        <x:v>40</x:v>
      </x:c>
      <x:c r="V318">
        <x:v>67</x:v>
      </x:c>
      <x:c r="W318">
        <x:v>46</x:v>
      </x:c>
      <x:c r="X318">
        <x:v>66</x:v>
      </x:c>
      <x:c r="Y318">
        <x:v>67</x:v>
      </x:c>
      <x:c r="Z318">
        <x:v>51</x:v>
      </x:c>
      <x:c r="AA318">
        <x:v>52</x:v>
      </x:c>
      <x:c r="AB318" s="57" t="n">
        <x:v>42</x:v>
      </x:c>
      <x:c r="AC318" s="57" t="n">
        <x:v>40</x:v>
      </x:c>
      <x:c r="AD318" s="59"/>
      <x:c r="AE318" s="61" t="str">
        <x:f>IF(N(F318)&gt;=10,"NHL_LATEST_10",IF(AND(N(F318)&gt;0,N(G318)&gt;0),"NHL_BOTH_SEASONS",IF(N(G318)&gt;=10,"NHL_PREVIOUS_10",IF(AND(ISNUMBER(AD318),AD318=0,SUM(F318:G318)=0),"FARM_CAREER_0",IF(COUNT(F318:G318)&lt;2,"UNKNOWN_GP",IF(AND(F318=0,G318=0),IF(AD318&gt;=10,"FARM_LEGACY_10",IF(AND(ISNUMBER(AD318),AD318&gt;0),"FARM_CAREER_1_9","FARM_0_0")),IF(F318&gt;=1,IF(F318&lt;=3,"FARM_RECENT_1_3","FARM_RECENT_4_9"),"FARM_PREV_1_9_ONLY")))))))</x:f>
        <x:v>UNKNOWN_GP</x:v>
      </x:c>
      <x:c r="AF318" s="57" t="n">
        <x:f>AB318-T318</x:f>
        <x:v>0</x:v>
      </x:c>
      <x:c r="AG318" s="57" t="n">
        <x:f>AC318-U318</x:f>
        <x:v>0</x:v>
      </x:c>
    </x:row>
    <x:row r="319">
      <x:c r="A319" t="s">
        <x:v>1338</x:v>
      </x:c>
      <x:c r="C319" t="s">
        <x:v>319</x:v>
      </x:c>
      <x:c r="D319">
        <x:v>8481726</x:v>
      </x:c>
      <x:c r="E319" t="s">
        <x:v>267</x:v>
      </x:c>
      <x:c r="J319" t="s">
        <x:v>2474</x:v>
      </x:c>
      <x:c r="K319">
        <x:v>73</x:v>
      </x:c>
      <x:c r="L319">
        <x:v>45</x:v>
      </x:c>
      <x:c r="M319">
        <x:v>93</x:v>
      </x:c>
      <x:c r="N319">
        <x:v>46</x:v>
      </x:c>
      <x:c r="O319">
        <x:v>94</x:v>
      </x:c>
      <x:c r="P319">
        <x:v>79</x:v>
      </x:c>
      <x:c r="Q319">
        <x:v>67</x:v>
      </x:c>
      <x:c r="R319">
        <x:v>47</x:v>
      </x:c>
      <x:c r="S319">
        <x:v>68</x:v>
      </x:c>
      <x:c r="T319" s="63" t="n">
        <x:f>MAX(30,MIN(AB319-VLOOKUP(AE319,'AHL_PA_SC_BALANCE'!$A$8:$E$18,2,FALSE),VLOOKUP(AE319,'AHL_PA_SC_BALANCE'!$A$8:$E$18,4,FALSE)))</x:f>
        <x:v>49</x:v>
      </x:c>
      <x:c r="U319" s="63" t="n">
        <x:f>MAX(30,MIN(AC319-VLOOKUP(AE319,'AHL_PA_SC_BALANCE'!$A$8:$E$18,3,FALSE),VLOOKUP(AE319,'AHL_PA_SC_BALANCE'!$A$8:$E$18,5,FALSE)))</x:f>
        <x:v>51</x:v>
      </x:c>
      <x:c r="V319">
        <x:v>63</x:v>
      </x:c>
      <x:c r="W319">
        <x:v>52</x:v>
      </x:c>
      <x:c r="X319">
        <x:v>70</x:v>
      </x:c>
      <x:c r="Y319">
        <x:v>68</x:v>
      </x:c>
      <x:c r="Z319">
        <x:v>51</x:v>
      </x:c>
      <x:c r="AA319">
        <x:v>52</x:v>
      </x:c>
      <x:c r="AB319" s="57" t="n">
        <x:v>49</x:v>
      </x:c>
      <x:c r="AC319" s="57" t="n">
        <x:v>51</x:v>
      </x:c>
      <x:c r="AD319" s="59"/>
      <x:c r="AE319" s="61" t="str">
        <x:f>IF(N(F319)&gt;=10,"NHL_LATEST_10",IF(AND(N(F319)&gt;0,N(G319)&gt;0),"NHL_BOTH_SEASONS",IF(N(G319)&gt;=10,"NHL_PREVIOUS_10",IF(AND(ISNUMBER(AD319),AD319=0,SUM(F319:G319)=0),"FARM_CAREER_0",IF(COUNT(F319:G319)&lt;2,"UNKNOWN_GP",IF(AND(F319=0,G319=0),IF(AD319&gt;=10,"FARM_LEGACY_10",IF(AND(ISNUMBER(AD319),AD319&gt;0),"FARM_CAREER_1_9","FARM_0_0")),IF(F319&gt;=1,IF(F319&lt;=3,"FARM_RECENT_1_3","FARM_RECENT_4_9"),"FARM_PREV_1_9_ONLY")))))))</x:f>
        <x:v>UNKNOWN_GP</x:v>
      </x:c>
      <x:c r="AF319" s="57" t="n">
        <x:f>AB319-T319</x:f>
        <x:v>0</x:v>
      </x:c>
      <x:c r="AG319" s="57" t="n">
        <x:f>AC319-U319</x:f>
        <x:v>0</x:v>
      </x:c>
    </x:row>
    <x:row r="320">
      <x:c r="A320" t="s">
        <x:v>1340</x:v>
      </x:c>
      <x:c r="C320" t="s">
        <x:v>331</x:v>
      </x:c>
      <x:c r="D320">
        <x:v>8483712</x:v>
      </x:c>
      <x:c r="E320" t="s">
        <x:v>267</x:v>
      </x:c>
      <x:c r="J320" t="s">
        <x:v>2474</x:v>
      </x:c>
      <x:c r="K320">
        <x:v>74</x:v>
      </x:c>
      <x:c r="L320">
        <x:v>36</x:v>
      </x:c>
      <x:c r="M320">
        <x:v>86</x:v>
      </x:c>
      <x:c r="N320">
        <x:v>33</x:v>
      </x:c>
      <x:c r="O320">
        <x:v>79</x:v>
      </x:c>
      <x:c r="P320">
        <x:v>76</x:v>
      </x:c>
      <x:c r="Q320">
        <x:v>79</x:v>
      </x:c>
      <x:c r="R320">
        <x:v>34</x:v>
      </x:c>
      <x:c r="S320">
        <x:v>30</x:v>
      </x:c>
      <x:c r="T320" s="63" t="n">
        <x:f>MAX(30,MIN(AB320-VLOOKUP(AE320,'AHL_PA_SC_BALANCE'!$A$8:$E$18,2,FALSE),VLOOKUP(AE320,'AHL_PA_SC_BALANCE'!$A$8:$E$18,4,FALSE)))</x:f>
        <x:v>44</x:v>
      </x:c>
      <x:c r="U320" s="63" t="n">
        <x:f>MAX(30,MIN(AC320-VLOOKUP(AE320,'AHL_PA_SC_BALANCE'!$A$8:$E$18,3,FALSE),VLOOKUP(AE320,'AHL_PA_SC_BALANCE'!$A$8:$E$18,5,FALSE)))</x:f>
        <x:v>41</x:v>
      </x:c>
      <x:c r="V320">
        <x:v>68</x:v>
      </x:c>
      <x:c r="W320">
        <x:v>47</x:v>
      </x:c>
      <x:c r="X320">
        <x:v>65</x:v>
      </x:c>
      <x:c r="Y320">
        <x:v>65</x:v>
      </x:c>
      <x:c r="Z320">
        <x:v>51</x:v>
      </x:c>
      <x:c r="AA320">
        <x:v>52</x:v>
      </x:c>
      <x:c r="AB320" s="57" t="n">
        <x:v>44</x:v>
      </x:c>
      <x:c r="AC320" s="57" t="n">
        <x:v>41</x:v>
      </x:c>
      <x:c r="AD320" s="59"/>
      <x:c r="AE320" s="61" t="str">
        <x:f>IF(N(F320)&gt;=10,"NHL_LATEST_10",IF(AND(N(F320)&gt;0,N(G320)&gt;0),"NHL_BOTH_SEASONS",IF(N(G320)&gt;=10,"NHL_PREVIOUS_10",IF(AND(ISNUMBER(AD320),AD320=0,SUM(F320:G320)=0),"FARM_CAREER_0",IF(COUNT(F320:G320)&lt;2,"UNKNOWN_GP",IF(AND(F320=0,G320=0),IF(AD320&gt;=10,"FARM_LEGACY_10",IF(AND(ISNUMBER(AD320),AD320&gt;0),"FARM_CAREER_1_9","FARM_0_0")),IF(F320&gt;=1,IF(F320&lt;=3,"FARM_RECENT_1_3","FARM_RECENT_4_9"),"FARM_PREV_1_9_ONLY")))))))</x:f>
        <x:v>UNKNOWN_GP</x:v>
      </x:c>
      <x:c r="AF320" s="57" t="n">
        <x:f>AB320-T320</x:f>
        <x:v>0</x:v>
      </x:c>
      <x:c r="AG320" s="57" t="n">
        <x:f>AC320-U320</x:f>
        <x:v>0</x:v>
      </x:c>
    </x:row>
    <x:row r="321">
      <x:c r="A321" t="s">
        <x:v>1341</x:v>
      </x:c>
      <x:c r="C321" t="s">
        <x:v>331</x:v>
      </x:c>
      <x:c r="D321">
        <x:v>8483078</x:v>
      </x:c>
      <x:c r="E321" t="s">
        <x:v>267</x:v>
      </x:c>
      <x:c r="J321" t="s">
        <x:v>2474</x:v>
      </x:c>
      <x:c r="K321">
        <x:v>68</x:v>
      </x:c>
      <x:c r="L321">
        <x:v>39</x:v>
      </x:c>
      <x:c r="M321">
        <x:v>76</x:v>
      </x:c>
      <x:c r="N321">
        <x:v>34</x:v>
      </x:c>
      <x:c r="O321">
        <x:v>79</x:v>
      </x:c>
      <x:c r="P321">
        <x:v>84</x:v>
      </x:c>
      <x:c r="Q321">
        <x:v>88</x:v>
      </x:c>
      <x:c r="R321">
        <x:v>34</x:v>
      </x:c>
      <x:c r="S321">
        <x:v>30</x:v>
      </x:c>
      <x:c r="T321" s="63" t="n">
        <x:f>MAX(30,MIN(AB321-VLOOKUP(AE321,'AHL_PA_SC_BALANCE'!$A$8:$E$18,2,FALSE),VLOOKUP(AE321,'AHL_PA_SC_BALANCE'!$A$8:$E$18,4,FALSE)))</x:f>
        <x:v>45</x:v>
      </x:c>
      <x:c r="U321" s="63" t="n">
        <x:f>MAX(30,MIN(AC321-VLOOKUP(AE321,'AHL_PA_SC_BALANCE'!$A$8:$E$18,3,FALSE),VLOOKUP(AE321,'AHL_PA_SC_BALANCE'!$A$8:$E$18,5,FALSE)))</x:f>
        <x:v>41</x:v>
      </x:c>
      <x:c r="V321">
        <x:v>67</x:v>
      </x:c>
      <x:c r="W321">
        <x:v>48</x:v>
      </x:c>
      <x:c r="X321">
        <x:v>70</x:v>
      </x:c>
      <x:c r="Y321">
        <x:v>69</x:v>
      </x:c>
      <x:c r="Z321">
        <x:v>51</x:v>
      </x:c>
      <x:c r="AA321">
        <x:v>52</x:v>
      </x:c>
      <x:c r="AB321" s="57" t="n">
        <x:v>45</x:v>
      </x:c>
      <x:c r="AC321" s="57" t="n">
        <x:v>41</x:v>
      </x:c>
      <x:c r="AD321" s="59"/>
      <x:c r="AE321" s="61" t="str">
        <x:f>IF(N(F321)&gt;=10,"NHL_LATEST_10",IF(AND(N(F321)&gt;0,N(G321)&gt;0),"NHL_BOTH_SEASONS",IF(N(G321)&gt;=10,"NHL_PREVIOUS_10",IF(AND(ISNUMBER(AD321),AD321=0,SUM(F321:G321)=0),"FARM_CAREER_0",IF(COUNT(F321:G321)&lt;2,"UNKNOWN_GP",IF(AND(F321=0,G321=0),IF(AD321&gt;=10,"FARM_LEGACY_10",IF(AND(ISNUMBER(AD321),AD321&gt;0),"FARM_CAREER_1_9","FARM_0_0")),IF(F321&gt;=1,IF(F321&lt;=3,"FARM_RECENT_1_3","FARM_RECENT_4_9"),"FARM_PREV_1_9_ONLY")))))))</x:f>
        <x:v>UNKNOWN_GP</x:v>
      </x:c>
      <x:c r="AF321" s="57" t="n">
        <x:f>AB321-T321</x:f>
        <x:v>0</x:v>
      </x:c>
      <x:c r="AG321" s="57" t="n">
        <x:f>AC321-U321</x:f>
        <x:v>0</x:v>
      </x:c>
    </x:row>
    <x:row r="322">
      <x:c r="A322" t="s">
        <x:v>1342</x:v>
      </x:c>
      <x:c r="C322" t="s">
        <x:v>331</x:v>
      </x:c>
      <x:c r="D322">
        <x:v>8481547</x:v>
      </x:c>
      <x:c r="E322" t="s">
        <x:v>267</x:v>
      </x:c>
      <x:c r="J322" t="s">
        <x:v>2474</x:v>
      </x:c>
      <x:c r="K322">
        <x:v>75</x:v>
      </x:c>
      <x:c r="L322">
        <x:v>38</x:v>
      </x:c>
      <x:c r="M322">
        <x:v>86</x:v>
      </x:c>
      <x:c r="N322">
        <x:v>32</x:v>
      </x:c>
      <x:c r="O322">
        <x:v>83</x:v>
      </x:c>
      <x:c r="P322">
        <x:v>84</x:v>
      </x:c>
      <x:c r="Q322">
        <x:v>86</x:v>
      </x:c>
      <x:c r="R322">
        <x:v>33</x:v>
      </x:c>
      <x:c r="S322">
        <x:v>30</x:v>
      </x:c>
      <x:c r="T322" s="63" t="n">
        <x:f>MAX(30,MIN(AB322-VLOOKUP(AE322,'AHL_PA_SC_BALANCE'!$A$8:$E$18,2,FALSE),VLOOKUP(AE322,'AHL_PA_SC_BALANCE'!$A$8:$E$18,4,FALSE)))</x:f>
        <x:v>42</x:v>
      </x:c>
      <x:c r="U322" s="63" t="n">
        <x:f>MAX(30,MIN(AC322-VLOOKUP(AE322,'AHL_PA_SC_BALANCE'!$A$8:$E$18,3,FALSE),VLOOKUP(AE322,'AHL_PA_SC_BALANCE'!$A$8:$E$18,5,FALSE)))</x:f>
        <x:v>39</x:v>
      </x:c>
      <x:c r="V322">
        <x:v>68</x:v>
      </x:c>
      <x:c r="W322">
        <x:v>46</x:v>
      </x:c>
      <x:c r="X322">
        <x:v>69</x:v>
      </x:c>
      <x:c r="Y322">
        <x:v>68</x:v>
      </x:c>
      <x:c r="Z322">
        <x:v>51</x:v>
      </x:c>
      <x:c r="AA322">
        <x:v>52</x:v>
      </x:c>
      <x:c r="AB322" s="57" t="n">
        <x:v>42</x:v>
      </x:c>
      <x:c r="AC322" s="57" t="n">
        <x:v>39</x:v>
      </x:c>
      <x:c r="AD322" s="59"/>
      <x:c r="AE322" s="61" t="str">
        <x:f>IF(N(F322)&gt;=10,"NHL_LATEST_10",IF(AND(N(F322)&gt;0,N(G322)&gt;0),"NHL_BOTH_SEASONS",IF(N(G322)&gt;=10,"NHL_PREVIOUS_10",IF(AND(ISNUMBER(AD322),AD322=0,SUM(F322:G322)=0),"FARM_CAREER_0",IF(COUNT(F322:G322)&lt;2,"UNKNOWN_GP",IF(AND(F322=0,G322=0),IF(AD322&gt;=10,"FARM_LEGACY_10",IF(AND(ISNUMBER(AD322),AD322&gt;0),"FARM_CAREER_1_9","FARM_0_0")),IF(F322&gt;=1,IF(F322&lt;=3,"FARM_RECENT_1_3","FARM_RECENT_4_9"),"FARM_PREV_1_9_ONLY")))))))</x:f>
        <x:v>UNKNOWN_GP</x:v>
      </x:c>
      <x:c r="AF322" s="57" t="n">
        <x:f>AB322-T322</x:f>
        <x:v>0</x:v>
      </x:c>
      <x:c r="AG322" s="57" t="n">
        <x:f>AC322-U322</x:f>
        <x:v>0</x:v>
      </x:c>
    </x:row>
    <x:row r="323">
      <x:c r="A323" t="s">
        <x:v>1343</x:v>
      </x:c>
      <x:c r="C323" t="s">
        <x:v>331</x:v>
      </x:c>
      <x:c r="D323">
        <x:v>8484534</x:v>
      </x:c>
      <x:c r="E323" t="s">
        <x:v>267</x:v>
      </x:c>
      <x:c r="J323" t="s">
        <x:v>2474</x:v>
      </x:c>
      <x:c r="K323">
        <x:v>90</x:v>
      </x:c>
      <x:c r="L323">
        <x:v>35</x:v>
      </x:c>
      <x:c r="M323">
        <x:v>70</x:v>
      </x:c>
      <x:c r="N323">
        <x:v>31</x:v>
      </x:c>
      <x:c r="O323">
        <x:v>86</x:v>
      </x:c>
      <x:c r="P323">
        <x:v>77</x:v>
      </x:c>
      <x:c r="Q323">
        <x:v>80</x:v>
      </x:c>
      <x:c r="R323">
        <x:v>30</x:v>
      </x:c>
      <x:c r="S323">
        <x:v>30</x:v>
      </x:c>
      <x:c r="T323" s="63" t="n">
        <x:f>MAX(30,MIN(AB323-VLOOKUP(AE323,'AHL_PA_SC_BALANCE'!$A$8:$E$18,2,FALSE),VLOOKUP(AE323,'AHL_PA_SC_BALANCE'!$A$8:$E$18,4,FALSE)))</x:f>
        <x:v>40</x:v>
      </x:c>
      <x:c r="U323" s="63" t="n">
        <x:f>MAX(30,MIN(AC323-VLOOKUP(AE323,'AHL_PA_SC_BALANCE'!$A$8:$E$18,3,FALSE),VLOOKUP(AE323,'AHL_PA_SC_BALANCE'!$A$8:$E$18,5,FALSE)))</x:f>
        <x:v>39</x:v>
      </x:c>
      <x:c r="V323">
        <x:v>65</x:v>
      </x:c>
      <x:c r="W323">
        <x:v>45</x:v>
      </x:c>
      <x:c r="X323">
        <x:v>66</x:v>
      </x:c>
      <x:c r="Y323">
        <x:v>65</x:v>
      </x:c>
      <x:c r="Z323">
        <x:v>51</x:v>
      </x:c>
      <x:c r="AA323">
        <x:v>52</x:v>
      </x:c>
      <x:c r="AB323" s="57" t="n">
        <x:v>40</x:v>
      </x:c>
      <x:c r="AC323" s="57" t="n">
        <x:v>39</x:v>
      </x:c>
      <x:c r="AD323" s="59"/>
      <x:c r="AE323" s="61" t="str">
        <x:f>IF(N(F323)&gt;=10,"NHL_LATEST_10",IF(AND(N(F323)&gt;0,N(G323)&gt;0),"NHL_BOTH_SEASONS",IF(N(G323)&gt;=10,"NHL_PREVIOUS_10",IF(AND(ISNUMBER(AD323),AD323=0,SUM(F323:G323)=0),"FARM_CAREER_0",IF(COUNT(F323:G323)&lt;2,"UNKNOWN_GP",IF(AND(F323=0,G323=0),IF(AD323&gt;=10,"FARM_LEGACY_10",IF(AND(ISNUMBER(AD323),AD323&gt;0),"FARM_CAREER_1_9","FARM_0_0")),IF(F323&gt;=1,IF(F323&lt;=3,"FARM_RECENT_1_3","FARM_RECENT_4_9"),"FARM_PREV_1_9_ONLY")))))))</x:f>
        <x:v>UNKNOWN_GP</x:v>
      </x:c>
      <x:c r="AF323" s="57" t="n">
        <x:f>AB323-T323</x:f>
        <x:v>0</x:v>
      </x:c>
      <x:c r="AG323" s="57" t="n">
        <x:f>AC323-U323</x:f>
        <x:v>0</x:v>
      </x:c>
    </x:row>
    <x:row r="324">
      <x:c r="A324" t="s">
        <x:v>1344</x:v>
      </x:c>
      <x:c r="C324" t="s">
        <x:v>331</x:v>
      </x:c>
      <x:c r="D324">
        <x:v>8485500</x:v>
      </x:c>
      <x:c r="E324" t="s">
        <x:v>267</x:v>
      </x:c>
      <x:c r="J324" t="s">
        <x:v>2474</x:v>
      </x:c>
      <x:c r="K324">
        <x:v>83</x:v>
      </x:c>
      <x:c r="L324">
        <x:v>39</x:v>
      </x:c>
      <x:c r="M324">
        <x:v>87</x:v>
      </x:c>
      <x:c r="N324">
        <x:v>32</x:v>
      </x:c>
      <x:c r="O324">
        <x:v>85</x:v>
      </x:c>
      <x:c r="P324">
        <x:v>71</x:v>
      </x:c>
      <x:c r="Q324">
        <x:v>74</x:v>
      </x:c>
      <x:c r="R324">
        <x:v>32</x:v>
      </x:c>
      <x:c r="S324">
        <x:v>30</x:v>
      </x:c>
      <x:c r="T324" s="63" t="n">
        <x:f>MAX(30,MIN(AB324-VLOOKUP(AE324,'AHL_PA_SC_BALANCE'!$A$8:$E$18,2,FALSE),VLOOKUP(AE324,'AHL_PA_SC_BALANCE'!$A$8:$E$18,4,FALSE)))</x:f>
        <x:v>41</x:v>
      </x:c>
      <x:c r="U324" s="63" t="n">
        <x:f>MAX(30,MIN(AC324-VLOOKUP(AE324,'AHL_PA_SC_BALANCE'!$A$8:$E$18,3,FALSE),VLOOKUP(AE324,'AHL_PA_SC_BALANCE'!$A$8:$E$18,5,FALSE)))</x:f>
        <x:v>39</x:v>
      </x:c>
      <x:c r="V324">
        <x:v>64</x:v>
      </x:c>
      <x:c r="W324">
        <x:v>45</x:v>
      </x:c>
      <x:c r="X324">
        <x:v>69</x:v>
      </x:c>
      <x:c r="Y324">
        <x:v>69</x:v>
      </x:c>
      <x:c r="Z324">
        <x:v>51</x:v>
      </x:c>
      <x:c r="AA324">
        <x:v>52</x:v>
      </x:c>
      <x:c r="AB324" s="57" t="n">
        <x:v>41</x:v>
      </x:c>
      <x:c r="AC324" s="57" t="n">
        <x:v>39</x:v>
      </x:c>
      <x:c r="AD324" s="59"/>
      <x:c r="AE324" s="61" t="str">
        <x:f>IF(N(F324)&gt;=10,"NHL_LATEST_10",IF(AND(N(F324)&gt;0,N(G324)&gt;0),"NHL_BOTH_SEASONS",IF(N(G324)&gt;=10,"NHL_PREVIOUS_10",IF(AND(ISNUMBER(AD324),AD324=0,SUM(F324:G324)=0),"FARM_CAREER_0",IF(COUNT(F324:G324)&lt;2,"UNKNOWN_GP",IF(AND(F324=0,G324=0),IF(AD324&gt;=10,"FARM_LEGACY_10",IF(AND(ISNUMBER(AD324),AD324&gt;0),"FARM_CAREER_1_9","FARM_0_0")),IF(F324&gt;=1,IF(F324&lt;=3,"FARM_RECENT_1_3","FARM_RECENT_4_9"),"FARM_PREV_1_9_ONLY")))))))</x:f>
        <x:v>UNKNOWN_GP</x:v>
      </x:c>
      <x:c r="AF324" s="57" t="n">
        <x:f>AB324-T324</x:f>
        <x:v>0</x:v>
      </x:c>
      <x:c r="AG324" s="57" t="n">
        <x:f>AC324-U324</x:f>
        <x:v>0</x:v>
      </x:c>
    </x:row>
    <x:row r="325">
      <x:c r="A325" t="s">
        <x:v>1345</x:v>
      </x:c>
      <x:c r="C325" t="s">
        <x:v>331</x:v>
      </x:c>
      <x:c r="D325">
        <x:v>8482920</x:v>
      </x:c>
      <x:c r="E325" t="s">
        <x:v>267</x:v>
      </x:c>
      <x:c r="J325" t="s">
        <x:v>2474</x:v>
      </x:c>
      <x:c r="K325">
        <x:v>67</x:v>
      </x:c>
      <x:c r="L325">
        <x:v>36</x:v>
      </x:c>
      <x:c r="M325">
        <x:v>90</x:v>
      </x:c>
      <x:c r="N325">
        <x:v>34</x:v>
      </x:c>
      <x:c r="O325">
        <x:v>76</x:v>
      </x:c>
      <x:c r="P325">
        <x:v>79</x:v>
      </x:c>
      <x:c r="Q325">
        <x:v>83</x:v>
      </x:c>
      <x:c r="R325">
        <x:v>35</x:v>
      </x:c>
      <x:c r="S325">
        <x:v>30</x:v>
      </x:c>
      <x:c r="T325" s="63" t="n">
        <x:f>MAX(30,MIN(AB325-VLOOKUP(AE325,'AHL_PA_SC_BALANCE'!$A$8:$E$18,2,FALSE),VLOOKUP(AE325,'AHL_PA_SC_BALANCE'!$A$8:$E$18,4,FALSE)))</x:f>
        <x:v>43</x:v>
      </x:c>
      <x:c r="U325" s="63" t="n">
        <x:f>MAX(30,MIN(AC325-VLOOKUP(AE325,'AHL_PA_SC_BALANCE'!$A$8:$E$18,3,FALSE),VLOOKUP(AE325,'AHL_PA_SC_BALANCE'!$A$8:$E$18,5,FALSE)))</x:f>
        <x:v>42</x:v>
      </x:c>
      <x:c r="V325">
        <x:v>68</x:v>
      </x:c>
      <x:c r="W325">
        <x:v>47</x:v>
      </x:c>
      <x:c r="X325">
        <x:v>66</x:v>
      </x:c>
      <x:c r="Y325">
        <x:v>65</x:v>
      </x:c>
      <x:c r="Z325">
        <x:v>51</x:v>
      </x:c>
      <x:c r="AA325">
        <x:v>52</x:v>
      </x:c>
      <x:c r="AB325" s="57" t="n">
        <x:v>43</x:v>
      </x:c>
      <x:c r="AC325" s="57" t="n">
        <x:v>42</x:v>
      </x:c>
      <x:c r="AD325" s="59"/>
      <x:c r="AE325" s="61" t="str">
        <x:f>IF(N(F325)&gt;=10,"NHL_LATEST_10",IF(AND(N(F325)&gt;0,N(G325)&gt;0),"NHL_BOTH_SEASONS",IF(N(G325)&gt;=10,"NHL_PREVIOUS_10",IF(AND(ISNUMBER(AD325),AD325=0,SUM(F325:G325)=0),"FARM_CAREER_0",IF(COUNT(F325:G325)&lt;2,"UNKNOWN_GP",IF(AND(F325=0,G325=0),IF(AD325&gt;=10,"FARM_LEGACY_10",IF(AND(ISNUMBER(AD325),AD325&gt;0),"FARM_CAREER_1_9","FARM_0_0")),IF(F325&gt;=1,IF(F325&lt;=3,"FARM_RECENT_1_3","FARM_RECENT_4_9"),"FARM_PREV_1_9_ONLY")))))))</x:f>
        <x:v>UNKNOWN_GP</x:v>
      </x:c>
      <x:c r="AF325" s="57" t="n">
        <x:f>AB325-T325</x:f>
        <x:v>0</x:v>
      </x:c>
      <x:c r="AG325" s="57" t="n">
        <x:f>AC325-U325</x:f>
        <x:v>0</x:v>
      </x:c>
    </x:row>
    <x:row r="326">
      <x:c r="A326" t="s">
        <x:v>1346</x:v>
      </x:c>
      <x:c r="C326" t="s">
        <x:v>331</x:v>
      </x:c>
      <x:c r="D326">
        <x:v>8483430</x:v>
      </x:c>
      <x:c r="E326" t="s">
        <x:v>267</x:v>
      </x:c>
      <x:c r="J326" t="s">
        <x:v>2474</x:v>
      </x:c>
      <x:c r="K326">
        <x:v>77</x:v>
      </x:c>
      <x:c r="L326">
        <x:v>37</x:v>
      </x:c>
      <x:c r="M326">
        <x:v>88</x:v>
      </x:c>
      <x:c r="N326">
        <x:v>34</x:v>
      </x:c>
      <x:c r="O326">
        <x:v>82</x:v>
      </x:c>
      <x:c r="P326">
        <x:v>85</x:v>
      </x:c>
      <x:c r="Q326">
        <x:v>89</x:v>
      </x:c>
      <x:c r="R326">
        <x:v>33</x:v>
      </x:c>
      <x:c r="S326">
        <x:v>30</x:v>
      </x:c>
      <x:c r="T326" s="63" t="n">
        <x:f>MAX(30,MIN(AB326-VLOOKUP(AE326,'AHL_PA_SC_BALANCE'!$A$8:$E$18,2,FALSE),VLOOKUP(AE326,'AHL_PA_SC_BALANCE'!$A$8:$E$18,4,FALSE)))</x:f>
        <x:v>42</x:v>
      </x:c>
      <x:c r="U326" s="63" t="n">
        <x:f>MAX(30,MIN(AC326-VLOOKUP(AE326,'AHL_PA_SC_BALANCE'!$A$8:$E$18,3,FALSE),VLOOKUP(AE326,'AHL_PA_SC_BALANCE'!$A$8:$E$18,5,FALSE)))</x:f>
        <x:v>41</x:v>
      </x:c>
      <x:c r="V326">
        <x:v>69</x:v>
      </x:c>
      <x:c r="W326">
        <x:v>46</x:v>
      </x:c>
      <x:c r="X326">
        <x:v>65</x:v>
      </x:c>
      <x:c r="Y326">
        <x:v>64</x:v>
      </x:c>
      <x:c r="Z326">
        <x:v>51</x:v>
      </x:c>
      <x:c r="AA326">
        <x:v>52</x:v>
      </x:c>
      <x:c r="AB326" s="57" t="n">
        <x:v>42</x:v>
      </x:c>
      <x:c r="AC326" s="57" t="n">
        <x:v>41</x:v>
      </x:c>
      <x:c r="AD326" s="59"/>
      <x:c r="AE326" s="61" t="str">
        <x:f>IF(N(F326)&gt;=10,"NHL_LATEST_10",IF(AND(N(F326)&gt;0,N(G326)&gt;0),"NHL_BOTH_SEASONS",IF(N(G326)&gt;=10,"NHL_PREVIOUS_10",IF(AND(ISNUMBER(AD326),AD326=0,SUM(F326:G326)=0),"FARM_CAREER_0",IF(COUNT(F326:G326)&lt;2,"UNKNOWN_GP",IF(AND(F326=0,G326=0),IF(AD326&gt;=10,"FARM_LEGACY_10",IF(AND(ISNUMBER(AD326),AD326&gt;0),"FARM_CAREER_1_9","FARM_0_0")),IF(F326&gt;=1,IF(F326&lt;=3,"FARM_RECENT_1_3","FARM_RECENT_4_9"),"FARM_PREV_1_9_ONLY")))))))</x:f>
        <x:v>UNKNOWN_GP</x:v>
      </x:c>
      <x:c r="AF326" s="57" t="n">
        <x:f>AB326-T326</x:f>
        <x:v>0</x:v>
      </x:c>
      <x:c r="AG326" s="57" t="n">
        <x:f>AC326-U326</x:f>
        <x:v>0</x:v>
      </x:c>
    </x:row>
    <x:row r="327">
      <x:c r="A327" t="s">
        <x:v>1347</x:v>
      </x:c>
      <x:c r="C327" t="s">
        <x:v>331</x:v>
      </x:c>
      <x:c r="D327">
        <x:v>8484934</x:v>
      </x:c>
      <x:c r="E327" t="s">
        <x:v>267</x:v>
      </x:c>
      <x:c r="J327" t="s">
        <x:v>2474</x:v>
      </x:c>
      <x:c r="K327">
        <x:v>86</x:v>
      </x:c>
      <x:c r="L327">
        <x:v>35</x:v>
      </x:c>
      <x:c r="M327">
        <x:v>88</x:v>
      </x:c>
      <x:c r="N327">
        <x:v>32</x:v>
      </x:c>
      <x:c r="O327">
        <x:v>89</x:v>
      </x:c>
      <x:c r="P327">
        <x:v>80</x:v>
      </x:c>
      <x:c r="Q327">
        <x:v>82</x:v>
      </x:c>
      <x:c r="R327">
        <x:v>31</x:v>
      </x:c>
      <x:c r="S327">
        <x:v>30</x:v>
      </x:c>
      <x:c r="T327" s="63" t="n">
        <x:f>MAX(30,MIN(AB327-VLOOKUP(AE327,'AHL_PA_SC_BALANCE'!$A$8:$E$18,2,FALSE),VLOOKUP(AE327,'AHL_PA_SC_BALANCE'!$A$8:$E$18,4,FALSE)))</x:f>
        <x:v>42</x:v>
      </x:c>
      <x:c r="U327" s="63" t="n">
        <x:f>MAX(30,MIN(AC327-VLOOKUP(AE327,'AHL_PA_SC_BALANCE'!$A$8:$E$18,3,FALSE),VLOOKUP(AE327,'AHL_PA_SC_BALANCE'!$A$8:$E$18,5,FALSE)))</x:f>
        <x:v>40</x:v>
      </x:c>
      <x:c r="V327">
        <x:v>66</x:v>
      </x:c>
      <x:c r="W327">
        <x:v>46</x:v>
      </x:c>
      <x:c r="X327">
        <x:v>69</x:v>
      </x:c>
      <x:c r="Y327">
        <x:v>69</x:v>
      </x:c>
      <x:c r="Z327">
        <x:v>51</x:v>
      </x:c>
      <x:c r="AA327">
        <x:v>52</x:v>
      </x:c>
      <x:c r="AB327" s="57" t="n">
        <x:v>42</x:v>
      </x:c>
      <x:c r="AC327" s="57" t="n">
        <x:v>40</x:v>
      </x:c>
      <x:c r="AD327" s="59"/>
      <x:c r="AE327" s="61" t="str">
        <x:f>IF(N(F327)&gt;=10,"NHL_LATEST_10",IF(AND(N(F327)&gt;0,N(G327)&gt;0),"NHL_BOTH_SEASONS",IF(N(G327)&gt;=10,"NHL_PREVIOUS_10",IF(AND(ISNUMBER(AD327),AD327=0,SUM(F327:G327)=0),"FARM_CAREER_0",IF(COUNT(F327:G327)&lt;2,"UNKNOWN_GP",IF(AND(F327=0,G327=0),IF(AD327&gt;=10,"FARM_LEGACY_10",IF(AND(ISNUMBER(AD327),AD327&gt;0),"FARM_CAREER_1_9","FARM_0_0")),IF(F327&gt;=1,IF(F327&lt;=3,"FARM_RECENT_1_3","FARM_RECENT_4_9"),"FARM_PREV_1_9_ONLY")))))))</x:f>
        <x:v>UNKNOWN_GP</x:v>
      </x:c>
      <x:c r="AF327" s="57" t="n">
        <x:f>AB327-T327</x:f>
        <x:v>0</x:v>
      </x:c>
      <x:c r="AG327" s="57" t="n">
        <x:f>AC327-U327</x:f>
        <x:v>0</x:v>
      </x:c>
    </x:row>
    <x:row r="328">
      <x:c r="A328" t="s">
        <x:v>1348</x:v>
      </x:c>
      <x:c r="B328" t="s">
        <x:v>584</x:v>
      </x:c>
      <x:c r="C328" t="s">
        <x:v>331</x:v>
      </x:c>
      <x:c r="D328">
        <x:v>8480211</x:v>
      </x:c>
      <x:c r="E328" t="s">
        <x:v>267</x:v>
      </x:c>
      <x:c r="J328" t="s">
        <x:v>2476</x:v>
      </x:c>
      <x:c r="K328">
        <x:v>73</x:v>
      </x:c>
      <x:c r="L328">
        <x:v>38</x:v>
      </x:c>
      <x:c r="M328">
        <x:v>85</x:v>
      </x:c>
      <x:c r="N328">
        <x:v>34</x:v>
      </x:c>
      <x:c r="O328">
        <x:v>83</x:v>
      </x:c>
      <x:c r="P328">
        <x:v>90</x:v>
      </x:c>
      <x:c r="Q328">
        <x:v>93</x:v>
      </x:c>
      <x:c r="R328">
        <x:v>35</x:v>
      </x:c>
      <x:c r="S328">
        <x:v>30</x:v>
      </x:c>
      <x:c r="T328" s="63" t="n">
        <x:f>MAX(30,MIN(AB328-VLOOKUP(AE328,'AHL_PA_SC_BALANCE'!$A$8:$E$18,2,FALSE),VLOOKUP(AE328,'AHL_PA_SC_BALANCE'!$A$8:$E$18,4,FALSE)))</x:f>
        <x:v>43</x:v>
      </x:c>
      <x:c r="U328" s="63" t="n">
        <x:f>MAX(30,MIN(AC328-VLOOKUP(AE328,'AHL_PA_SC_BALANCE'!$A$8:$E$18,3,FALSE),VLOOKUP(AE328,'AHL_PA_SC_BALANCE'!$A$8:$E$18,5,FALSE)))</x:f>
        <x:v>42</x:v>
      </x:c>
      <x:c r="V328">
        <x:v>66</x:v>
      </x:c>
      <x:c r="W328">
        <x:v>48</x:v>
      </x:c>
      <x:c r="X328">
        <x:v>70</x:v>
      </x:c>
      <x:c r="Y328">
        <x:v>71</x:v>
      </x:c>
      <x:c r="Z328">
        <x:v>51</x:v>
      </x:c>
      <x:c r="AA328">
        <x:v>52</x:v>
      </x:c>
      <x:c r="AB328" s="57" t="n">
        <x:v>43</x:v>
      </x:c>
      <x:c r="AC328" s="57" t="n">
        <x:v>42</x:v>
      </x:c>
      <x:c r="AD328" s="59"/>
      <x:c r="AE328" s="61" t="str">
        <x:f>IF(N(F328)&gt;=10,"NHL_LATEST_10",IF(AND(N(F328)&gt;0,N(G328)&gt;0),"NHL_BOTH_SEASONS",IF(N(G328)&gt;=10,"NHL_PREVIOUS_10",IF(AND(ISNUMBER(AD328),AD328=0,SUM(F328:G328)=0),"FARM_CAREER_0",IF(COUNT(F328:G328)&lt;2,"UNKNOWN_GP",IF(AND(F328=0,G328=0),IF(AD328&gt;=10,"FARM_LEGACY_10",IF(AND(ISNUMBER(AD328),AD328&gt;0),"FARM_CAREER_1_9","FARM_0_0")),IF(F328&gt;=1,IF(F328&lt;=3,"FARM_RECENT_1_3","FARM_RECENT_4_9"),"FARM_PREV_1_9_ONLY")))))))</x:f>
        <x:v>UNKNOWN_GP</x:v>
      </x:c>
      <x:c r="AF328" s="57" t="n">
        <x:f>AB328-T328</x:f>
        <x:v>0</x:v>
      </x:c>
      <x:c r="AG328" s="57" t="n">
        <x:f>AC328-U328</x:f>
        <x:v>0</x:v>
      </x:c>
    </x:row>
    <x:row r="329">
      <x:c r="A329" t="s">
        <x:v>1349</x:v>
      </x:c>
      <x:c r="C329" t="s">
        <x:v>319</x:v>
      </x:c>
      <x:c r="D329">
        <x:v>8484509</x:v>
      </x:c>
      <x:c r="E329" t="s">
        <x:v>267</x:v>
      </x:c>
      <x:c r="J329" t="s">
        <x:v>2474</x:v>
      </x:c>
      <x:c r="K329">
        <x:v>65</x:v>
      </x:c>
      <x:c r="L329">
        <x:v>35</x:v>
      </x:c>
      <x:c r="M329">
        <x:v>89</x:v>
      </x:c>
      <x:c r="N329">
        <x:v>48</x:v>
      </x:c>
      <x:c r="O329">
        <x:v>78</x:v>
      </x:c>
      <x:c r="P329">
        <x:v>80</x:v>
      </x:c>
      <x:c r="Q329">
        <x:v>84</x:v>
      </x:c>
      <x:c r="R329">
        <x:v>47</x:v>
      </x:c>
      <x:c r="S329">
        <x:v>81</x:v>
      </x:c>
      <x:c r="T329" s="63" t="n">
        <x:f>MAX(30,MIN(AB329-VLOOKUP(AE329,'AHL_PA_SC_BALANCE'!$A$8:$E$18,2,FALSE),VLOOKUP(AE329,'AHL_PA_SC_BALANCE'!$A$8:$E$18,4,FALSE)))</x:f>
        <x:v>48</x:v>
      </x:c>
      <x:c r="U329" s="63" t="n">
        <x:f>MAX(30,MIN(AC329-VLOOKUP(AE329,'AHL_PA_SC_BALANCE'!$A$8:$E$18,3,FALSE),VLOOKUP(AE329,'AHL_PA_SC_BALANCE'!$A$8:$E$18,5,FALSE)))</x:f>
        <x:v>49</x:v>
      </x:c>
      <x:c r="V329">
        <x:v>64</x:v>
      </x:c>
      <x:c r="W329">
        <x:v>51</x:v>
      </x:c>
      <x:c r="X329">
        <x:v>69</x:v>
      </x:c>
      <x:c r="Y329">
        <x:v>68</x:v>
      </x:c>
      <x:c r="Z329">
        <x:v>51</x:v>
      </x:c>
      <x:c r="AA329">
        <x:v>52</x:v>
      </x:c>
      <x:c r="AB329" s="57" t="n">
        <x:v>48</x:v>
      </x:c>
      <x:c r="AC329" s="57" t="n">
        <x:v>49</x:v>
      </x:c>
      <x:c r="AD329" s="59"/>
      <x:c r="AE329" s="61" t="str">
        <x:f>IF(N(F329)&gt;=10,"NHL_LATEST_10",IF(AND(N(F329)&gt;0,N(G329)&gt;0),"NHL_BOTH_SEASONS",IF(N(G329)&gt;=10,"NHL_PREVIOUS_10",IF(AND(ISNUMBER(AD329),AD329=0,SUM(F329:G329)=0),"FARM_CAREER_0",IF(COUNT(F329:G329)&lt;2,"UNKNOWN_GP",IF(AND(F329=0,G329=0),IF(AD329&gt;=10,"FARM_LEGACY_10",IF(AND(ISNUMBER(AD329),AD329&gt;0),"FARM_CAREER_1_9","FARM_0_0")),IF(F329&gt;=1,IF(F329&lt;=3,"FARM_RECENT_1_3","FARM_RECENT_4_9"),"FARM_PREV_1_9_ONLY")))))))</x:f>
        <x:v>UNKNOWN_GP</x:v>
      </x:c>
      <x:c r="AF329" s="57" t="n">
        <x:f>AB329-T329</x:f>
        <x:v>0</x:v>
      </x:c>
      <x:c r="AG329" s="57" t="n">
        <x:f>AC329-U329</x:f>
        <x:v>0</x:v>
      </x:c>
    </x:row>
    <x:row r="330">
      <x:c r="A330" t="s">
        <x:v>1350</x:v>
      </x:c>
      <x:c r="C330" t="s">
        <x:v>331</x:v>
      </x:c>
      <x:c r="D330">
        <x:v>8484777</x:v>
      </x:c>
      <x:c r="E330" t="s">
        <x:v>267</x:v>
      </x:c>
      <x:c r="J330" t="s">
        <x:v>2474</x:v>
      </x:c>
      <x:c r="K330">
        <x:v>60</x:v>
      </x:c>
      <x:c r="L330">
        <x:v>38</x:v>
      </x:c>
      <x:c r="M330">
        <x:v>88</x:v>
      </x:c>
      <x:c r="N330">
        <x:v>35</x:v>
      </x:c>
      <x:c r="O330">
        <x:v>79</x:v>
      </x:c>
      <x:c r="P330">
        <x:v>75</x:v>
      </x:c>
      <x:c r="Q330">
        <x:v>78</x:v>
      </x:c>
      <x:c r="R330">
        <x:v>36</x:v>
      </x:c>
      <x:c r="S330">
        <x:v>30</x:v>
      </x:c>
      <x:c r="T330" s="63" t="n">
        <x:f>MAX(30,MIN(AB330-VLOOKUP(AE330,'AHL_PA_SC_BALANCE'!$A$8:$E$18,2,FALSE),VLOOKUP(AE330,'AHL_PA_SC_BALANCE'!$A$8:$E$18,4,FALSE)))</x:f>
        <x:v>47</x:v>
      </x:c>
      <x:c r="U330" s="63" t="n">
        <x:f>MAX(30,MIN(AC330-VLOOKUP(AE330,'AHL_PA_SC_BALANCE'!$A$8:$E$18,3,FALSE),VLOOKUP(AE330,'AHL_PA_SC_BALANCE'!$A$8:$E$18,5,FALSE)))</x:f>
        <x:v>42</x:v>
      </x:c>
      <x:c r="V330">
        <x:v>65</x:v>
      </x:c>
      <x:c r="W330">
        <x:v>49</x:v>
      </x:c>
      <x:c r="X330">
        <x:v>64</x:v>
      </x:c>
      <x:c r="Y330">
        <x:v>69</x:v>
      </x:c>
      <x:c r="Z330">
        <x:v>51</x:v>
      </x:c>
      <x:c r="AA330">
        <x:v>52</x:v>
      </x:c>
      <x:c r="AB330" s="57" t="n">
        <x:v>47</x:v>
      </x:c>
      <x:c r="AC330" s="57" t="n">
        <x:v>42</x:v>
      </x:c>
      <x:c r="AD330" s="59"/>
      <x:c r="AE330" s="61" t="str">
        <x:f>IF(N(F330)&gt;=10,"NHL_LATEST_10",IF(AND(N(F330)&gt;0,N(G330)&gt;0),"NHL_BOTH_SEASONS",IF(N(G330)&gt;=10,"NHL_PREVIOUS_10",IF(AND(ISNUMBER(AD330),AD330=0,SUM(F330:G330)=0),"FARM_CAREER_0",IF(COUNT(F330:G330)&lt;2,"UNKNOWN_GP",IF(AND(F330=0,G330=0),IF(AD330&gt;=10,"FARM_LEGACY_10",IF(AND(ISNUMBER(AD330),AD330&gt;0),"FARM_CAREER_1_9","FARM_0_0")),IF(F330&gt;=1,IF(F330&lt;=3,"FARM_RECENT_1_3","FARM_RECENT_4_9"),"FARM_PREV_1_9_ONLY")))))))</x:f>
        <x:v>UNKNOWN_GP</x:v>
      </x:c>
      <x:c r="AF330" s="57" t="n">
        <x:f>AB330-T330</x:f>
        <x:v>0</x:v>
      </x:c>
      <x:c r="AG330" s="57" t="n">
        <x:f>AC330-U330</x:f>
        <x:v>0</x:v>
      </x:c>
    </x:row>
    <x:row r="331">
      <x:c r="A331" t="s">
        <x:v>1351</x:v>
      </x:c>
      <x:c r="C331" t="s">
        <x:v>326</x:v>
      </x:c>
      <x:c r="D331">
        <x:v>8483733</x:v>
      </x:c>
      <x:c r="E331" t="s">
        <x:v>267</x:v>
      </x:c>
      <x:c r="J331" t="s">
        <x:v>2474</x:v>
      </x:c>
      <x:c r="K331">
        <x:v>70</x:v>
      </x:c>
      <x:c r="L331">
        <x:v>79</x:v>
      </x:c>
      <x:c r="M331">
        <x:v>79</x:v>
      </x:c>
      <x:c r="N331">
        <x:v>48</x:v>
      </x:c>
      <x:c r="O331">
        <x:v>80</x:v>
      </x:c>
      <x:c r="P331">
        <x:v>81</x:v>
      </x:c>
      <x:c r="Q331">
        <x:v>76</x:v>
      </x:c>
      <x:c r="R331">
        <x:v>47</x:v>
      </x:c>
      <x:c r="S331">
        <x:v>70</x:v>
      </x:c>
      <x:c r="T331" s="63" t="n">
        <x:f>MAX(30,MIN(AB331-VLOOKUP(AE331,'AHL_PA_SC_BALANCE'!$A$8:$E$18,2,FALSE),VLOOKUP(AE331,'AHL_PA_SC_BALANCE'!$A$8:$E$18,4,FALSE)))</x:f>
        <x:v>50</x:v>
      </x:c>
      <x:c r="U331" s="63" t="n">
        <x:f>MAX(30,MIN(AC331-VLOOKUP(AE331,'AHL_PA_SC_BALANCE'!$A$8:$E$18,3,FALSE),VLOOKUP(AE331,'AHL_PA_SC_BALANCE'!$A$8:$E$18,5,FALSE)))</x:f>
        <x:v>49</x:v>
      </x:c>
      <x:c r="V331">
        <x:v>59</x:v>
      </x:c>
      <x:c r="W331">
        <x:v>51</x:v>
      </x:c>
      <x:c r="X331">
        <x:v>65</x:v>
      </x:c>
      <x:c r="Y331">
        <x:v>64</x:v>
      </x:c>
      <x:c r="Z331">
        <x:v>51</x:v>
      </x:c>
      <x:c r="AA331">
        <x:v>52</x:v>
      </x:c>
      <x:c r="AB331" s="57" t="n">
        <x:v>50</x:v>
      </x:c>
      <x:c r="AC331" s="57" t="n">
        <x:v>49</x:v>
      </x:c>
      <x:c r="AD331" s="59"/>
      <x:c r="AE331" s="61" t="str">
        <x:f>IF(N(F331)&gt;=10,"NHL_LATEST_10",IF(AND(N(F331)&gt;0,N(G331)&gt;0),"NHL_BOTH_SEASONS",IF(N(G331)&gt;=10,"NHL_PREVIOUS_10",IF(AND(ISNUMBER(AD331),AD331=0,SUM(F331:G331)=0),"FARM_CAREER_0",IF(COUNT(F331:G331)&lt;2,"UNKNOWN_GP",IF(AND(F331=0,G331=0),IF(AD331&gt;=10,"FARM_LEGACY_10",IF(AND(ISNUMBER(AD331),AD331&gt;0),"FARM_CAREER_1_9","FARM_0_0")),IF(F331&gt;=1,IF(F331&lt;=3,"FARM_RECENT_1_3","FARM_RECENT_4_9"),"FARM_PREV_1_9_ONLY")))))))</x:f>
        <x:v>UNKNOWN_GP</x:v>
      </x:c>
      <x:c r="AF331" s="57" t="n">
        <x:f>AB331-T331</x:f>
        <x:v>0</x:v>
      </x:c>
      <x:c r="AG331" s="57" t="n">
        <x:f>AC331-U331</x:f>
        <x:v>0</x:v>
      </x:c>
    </x:row>
    <x:row r="332">
      <x:c r="A332" t="s">
        <x:v>1352</x:v>
      </x:c>
      <x:c r="C332" t="s">
        <x:v>331</x:v>
      </x:c>
      <x:c r="D332">
        <x:v>8482731</x:v>
      </x:c>
      <x:c r="E332" t="s">
        <x:v>267</x:v>
      </x:c>
      <x:c r="J332" t="s">
        <x:v>2474</x:v>
      </x:c>
      <x:c r="K332">
        <x:v>75</x:v>
      </x:c>
      <x:c r="L332">
        <x:v>37</x:v>
      </x:c>
      <x:c r="M332">
        <x:v>87</x:v>
      </x:c>
      <x:c r="N332">
        <x:v>33</x:v>
      </x:c>
      <x:c r="O332">
        <x:v>81</x:v>
      </x:c>
      <x:c r="P332">
        <x:v>91</x:v>
      </x:c>
      <x:c r="Q332">
        <x:v>93</x:v>
      </x:c>
      <x:c r="R332">
        <x:v>34</x:v>
      </x:c>
      <x:c r="S332">
        <x:v>30</x:v>
      </x:c>
      <x:c r="T332" s="63" t="n">
        <x:f>MAX(30,MIN(AB332-VLOOKUP(AE332,'AHL_PA_SC_BALANCE'!$A$8:$E$18,2,FALSE),VLOOKUP(AE332,'AHL_PA_SC_BALANCE'!$A$8:$E$18,4,FALSE)))</x:f>
        <x:v>43</x:v>
      </x:c>
      <x:c r="U332" s="63" t="n">
        <x:f>MAX(30,MIN(AC332-VLOOKUP(AE332,'AHL_PA_SC_BALANCE'!$A$8:$E$18,3,FALSE),VLOOKUP(AE332,'AHL_PA_SC_BALANCE'!$A$8:$E$18,5,FALSE)))</x:f>
        <x:v>41</x:v>
      </x:c>
      <x:c r="V332">
        <x:v>66</x:v>
      </x:c>
      <x:c r="W332">
        <x:v>47</x:v>
      </x:c>
      <x:c r="X332">
        <x:v>66</x:v>
      </x:c>
      <x:c r="Y332">
        <x:v>65</x:v>
      </x:c>
      <x:c r="Z332">
        <x:v>51</x:v>
      </x:c>
      <x:c r="AA332">
        <x:v>52</x:v>
      </x:c>
      <x:c r="AB332" s="57" t="n">
        <x:v>43</x:v>
      </x:c>
      <x:c r="AC332" s="57" t="n">
        <x:v>41</x:v>
      </x:c>
      <x:c r="AD332" s="59"/>
      <x:c r="AE332" s="61" t="str">
        <x:f>IF(N(F332)&gt;=10,"NHL_LATEST_10",IF(AND(N(F332)&gt;0,N(G332)&gt;0),"NHL_BOTH_SEASONS",IF(N(G332)&gt;=10,"NHL_PREVIOUS_10",IF(AND(ISNUMBER(AD332),AD332=0,SUM(F332:G332)=0),"FARM_CAREER_0",IF(COUNT(F332:G332)&lt;2,"UNKNOWN_GP",IF(AND(F332=0,G332=0),IF(AD332&gt;=10,"FARM_LEGACY_10",IF(AND(ISNUMBER(AD332),AD332&gt;0),"FARM_CAREER_1_9","FARM_0_0")),IF(F332&gt;=1,IF(F332&lt;=3,"FARM_RECENT_1_3","FARM_RECENT_4_9"),"FARM_PREV_1_9_ONLY")))))))</x:f>
        <x:v>UNKNOWN_GP</x:v>
      </x:c>
      <x:c r="AF332" s="57" t="n">
        <x:f>AB332-T332</x:f>
        <x:v>0</x:v>
      </x:c>
      <x:c r="AG332" s="57" t="n">
        <x:f>AC332-U332</x:f>
        <x:v>0</x:v>
      </x:c>
    </x:row>
    <x:row r="333">
      <x:c r="A333" t="s">
        <x:v>1353</x:v>
      </x:c>
      <x:c r="C333" t="s">
        <x:v>358</x:v>
      </x:c>
      <x:c r="D333">
        <x:v>8479543</x:v>
      </x:c>
      <x:c r="E333" t="s">
        <x:v>267</x:v>
      </x:c>
      <x:c r="J333" t="s">
        <x:v>2474</x:v>
      </x:c>
      <x:c r="K333">
        <x:v>82</x:v>
      </x:c>
      <x:c r="L333">
        <x:v>88</x:v>
      </x:c>
      <x:c r="M333">
        <x:v>75</x:v>
      </x:c>
      <x:c r="N333">
        <x:v>41</x:v>
      </x:c>
      <x:c r="O333">
        <x:v>88</x:v>
      </x:c>
      <x:c r="P333">
        <x:v>75</x:v>
      </x:c>
      <x:c r="Q333">
        <x:v>77</x:v>
      </x:c>
      <x:c r="R333">
        <x:v>42</x:v>
      </x:c>
      <x:c r="S333">
        <x:v>64</x:v>
      </x:c>
      <x:c r="T333" s="63" t="n">
        <x:f>MAX(30,MIN(AB333-VLOOKUP(AE333,'AHL_PA_SC_BALANCE'!$A$8:$E$18,2,FALSE),VLOOKUP(AE333,'AHL_PA_SC_BALANCE'!$A$8:$E$18,4,FALSE)))</x:f>
        <x:v>49</x:v>
      </x:c>
      <x:c r="U333" s="63" t="n">
        <x:f>MAX(30,MIN(AC333-VLOOKUP(AE333,'AHL_PA_SC_BALANCE'!$A$8:$E$18,3,FALSE),VLOOKUP(AE333,'AHL_PA_SC_BALANCE'!$A$8:$E$18,5,FALSE)))</x:f>
        <x:v>49</x:v>
      </x:c>
      <x:c r="V333">
        <x:v>61</x:v>
      </x:c>
      <x:c r="W333">
        <x:v>63</x:v>
      </x:c>
      <x:c r="X333">
        <x:v>73</x:v>
      </x:c>
      <x:c r="Y333">
        <x:v>70</x:v>
      </x:c>
      <x:c r="Z333">
        <x:v>51</x:v>
      </x:c>
      <x:c r="AA333">
        <x:v>52</x:v>
      </x:c>
      <x:c r="AB333" s="57" t="n">
        <x:v>49</x:v>
      </x:c>
      <x:c r="AC333" s="57" t="n">
        <x:v>49</x:v>
      </x:c>
      <x:c r="AD333" s="59"/>
      <x:c r="AE333" s="61" t="str">
        <x:f>IF(N(F333)&gt;=10,"NHL_LATEST_10",IF(AND(N(F333)&gt;0,N(G333)&gt;0),"NHL_BOTH_SEASONS",IF(N(G333)&gt;=10,"NHL_PREVIOUS_10",IF(AND(ISNUMBER(AD333),AD333=0,SUM(F333:G333)=0),"FARM_CAREER_0",IF(COUNT(F333:G333)&lt;2,"UNKNOWN_GP",IF(AND(F333=0,G333=0),IF(AD333&gt;=10,"FARM_LEGACY_10",IF(AND(ISNUMBER(AD333),AD333&gt;0),"FARM_CAREER_1_9","FARM_0_0")),IF(F333&gt;=1,IF(F333&lt;=3,"FARM_RECENT_1_3","FARM_RECENT_4_9"),"FARM_PREV_1_9_ONLY")))))))</x:f>
        <x:v>UNKNOWN_GP</x:v>
      </x:c>
      <x:c r="AF333" s="57" t="n">
        <x:f>AB333-T333</x:f>
        <x:v>0</x:v>
      </x:c>
      <x:c r="AG333" s="57" t="n">
        <x:f>AC333-U333</x:f>
        <x:v>0</x:v>
      </x:c>
    </x:row>
    <x:row r="334">
      <x:c r="A334" t="s">
        <x:v>1354</x:v>
      </x:c>
      <x:c r="C334" t="s">
        <x:v>319</x:v>
      </x:c>
      <x:c r="D334">
        <x:v>8482947</x:v>
      </x:c>
      <x:c r="E334" t="s">
        <x:v>267</x:v>
      </x:c>
      <x:c r="J334" t="s">
        <x:v>2474</x:v>
      </x:c>
      <x:c r="K334">
        <x:v>63</x:v>
      </x:c>
      <x:c r="L334">
        <x:v>36</x:v>
      </x:c>
      <x:c r="M334">
        <x:v>91</x:v>
      </x:c>
      <x:c r="N334">
        <x:v>48</x:v>
      </x:c>
      <x:c r="O334">
        <x:v>78</x:v>
      </x:c>
      <x:c r="P334">
        <x:v>76</x:v>
      </x:c>
      <x:c r="Q334">
        <x:v>78</x:v>
      </x:c>
      <x:c r="R334">
        <x:v>48</x:v>
      </x:c>
      <x:c r="S334">
        <x:v>77</x:v>
      </x:c>
      <x:c r="T334" s="63" t="n">
        <x:f>MAX(30,MIN(AB334-VLOOKUP(AE334,'AHL_PA_SC_BALANCE'!$A$8:$E$18,2,FALSE),VLOOKUP(AE334,'AHL_PA_SC_BALANCE'!$A$8:$E$18,4,FALSE)))</x:f>
        <x:v>50</x:v>
      </x:c>
      <x:c r="U334" s="63" t="n">
        <x:f>MAX(30,MIN(AC334-VLOOKUP(AE334,'AHL_PA_SC_BALANCE'!$A$8:$E$18,3,FALSE),VLOOKUP(AE334,'AHL_PA_SC_BALANCE'!$A$8:$E$18,5,FALSE)))</x:f>
        <x:v>47</x:v>
      </x:c>
      <x:c r="V334">
        <x:v>61</x:v>
      </x:c>
      <x:c r="W334">
        <x:v>51</x:v>
      </x:c>
      <x:c r="X334">
        <x:v>70</x:v>
      </x:c>
      <x:c r="Y334">
        <x:v>69</x:v>
      </x:c>
      <x:c r="Z334">
        <x:v>51</x:v>
      </x:c>
      <x:c r="AA334">
        <x:v>52</x:v>
      </x:c>
      <x:c r="AB334" s="57" t="n">
        <x:v>50</x:v>
      </x:c>
      <x:c r="AC334" s="57" t="n">
        <x:v>47</x:v>
      </x:c>
      <x:c r="AD334" s="59"/>
      <x:c r="AE334" s="61" t="str">
        <x:f>IF(N(F334)&gt;=10,"NHL_LATEST_10",IF(AND(N(F334)&gt;0,N(G334)&gt;0),"NHL_BOTH_SEASONS",IF(N(G334)&gt;=10,"NHL_PREVIOUS_10",IF(AND(ISNUMBER(AD334),AD334=0,SUM(F334:G334)=0),"FARM_CAREER_0",IF(COUNT(F334:G334)&lt;2,"UNKNOWN_GP",IF(AND(F334=0,G334=0),IF(AD334&gt;=10,"FARM_LEGACY_10",IF(AND(ISNUMBER(AD334),AD334&gt;0),"FARM_CAREER_1_9","FARM_0_0")),IF(F334&gt;=1,IF(F334&lt;=3,"FARM_RECENT_1_3","FARM_RECENT_4_9"),"FARM_PREV_1_9_ONLY")))))))</x:f>
        <x:v>UNKNOWN_GP</x:v>
      </x:c>
      <x:c r="AF334" s="57" t="n">
        <x:f>AB334-T334</x:f>
        <x:v>0</x:v>
      </x:c>
      <x:c r="AG334" s="57" t="n">
        <x:f>AC334-U334</x:f>
        <x:v>0</x:v>
      </x:c>
    </x:row>
    <x:row r="335">
      <x:c r="A335" t="s">
        <x:v>1355</x:v>
      </x:c>
      <x:c r="C335" t="s">
        <x:v>331</x:v>
      </x:c>
      <x:c r="D335">
        <x:v>8480321</x:v>
      </x:c>
      <x:c r="E335" t="s">
        <x:v>267</x:v>
      </x:c>
      <x:c r="J335" t="s">
        <x:v>2474</x:v>
      </x:c>
      <x:c r="K335">
        <x:v>77</x:v>
      </x:c>
      <x:c r="L335">
        <x:v>56</x:v>
      </x:c>
      <x:c r="M335">
        <x:v>77</x:v>
      </x:c>
      <x:c r="N335">
        <x:v>32</x:v>
      </x:c>
      <x:c r="O335">
        <x:v>88</x:v>
      </x:c>
      <x:c r="P335">
        <x:v>80</x:v>
      </x:c>
      <x:c r="Q335">
        <x:v>83</x:v>
      </x:c>
      <x:c r="R335">
        <x:v>31</x:v>
      </x:c>
      <x:c r="S335">
        <x:v>30</x:v>
      </x:c>
      <x:c r="T335" s="63" t="n">
        <x:f>MAX(30,MIN(AB335-VLOOKUP(AE335,'AHL_PA_SC_BALANCE'!$A$8:$E$18,2,FALSE),VLOOKUP(AE335,'AHL_PA_SC_BALANCE'!$A$8:$E$18,4,FALSE)))</x:f>
        <x:v>40</x:v>
      </x:c>
      <x:c r="U335" s="63" t="n">
        <x:f>MAX(30,MIN(AC335-VLOOKUP(AE335,'AHL_PA_SC_BALANCE'!$A$8:$E$18,3,FALSE),VLOOKUP(AE335,'AHL_PA_SC_BALANCE'!$A$8:$E$18,5,FALSE)))</x:f>
        <x:v>40</x:v>
      </x:c>
      <x:c r="V335">
        <x:v>67</x:v>
      </x:c>
      <x:c r="W335">
        <x:v>45</x:v>
      </x:c>
      <x:c r="X335">
        <x:v>72</x:v>
      </x:c>
      <x:c r="Y335">
        <x:v>73</x:v>
      </x:c>
      <x:c r="Z335">
        <x:v>51</x:v>
      </x:c>
      <x:c r="AA335">
        <x:v>52</x:v>
      </x:c>
      <x:c r="AB335" s="57" t="n">
        <x:v>40</x:v>
      </x:c>
      <x:c r="AC335" s="57" t="n">
        <x:v>40</x:v>
      </x:c>
      <x:c r="AD335" s="59"/>
      <x:c r="AE335" s="61" t="str">
        <x:f>IF(N(F335)&gt;=10,"NHL_LATEST_10",IF(AND(N(F335)&gt;0,N(G335)&gt;0),"NHL_BOTH_SEASONS",IF(N(G335)&gt;=10,"NHL_PREVIOUS_10",IF(AND(ISNUMBER(AD335),AD335=0,SUM(F335:G335)=0),"FARM_CAREER_0",IF(COUNT(F335:G335)&lt;2,"UNKNOWN_GP",IF(AND(F335=0,G335=0),IF(AD335&gt;=10,"FARM_LEGACY_10",IF(AND(ISNUMBER(AD335),AD335&gt;0),"FARM_CAREER_1_9","FARM_0_0")),IF(F335&gt;=1,IF(F335&lt;=3,"FARM_RECENT_1_3","FARM_RECENT_4_9"),"FARM_PREV_1_9_ONLY")))))))</x:f>
        <x:v>UNKNOWN_GP</x:v>
      </x:c>
      <x:c r="AF335" s="57" t="n">
        <x:f>AB335-T335</x:f>
        <x:v>0</x:v>
      </x:c>
      <x:c r="AG335" s="57" t="n">
        <x:f>AC335-U335</x:f>
        <x:v>0</x:v>
      </x:c>
    </x:row>
    <x:row r="336">
      <x:c r="A336" t="s">
        <x:v>1356</x:v>
      </x:c>
      <x:c r="C336" t="s">
        <x:v>358</x:v>
      </x:c>
      <x:c r="D336">
        <x:v>8483491</x:v>
      </x:c>
      <x:c r="E336" t="s">
        <x:v>267</x:v>
      </x:c>
      <x:c r="J336" t="s">
        <x:v>2474</x:v>
      </x:c>
      <x:c r="K336">
        <x:v>69</x:v>
      </x:c>
      <x:c r="L336">
        <x:v>32</x:v>
      </x:c>
      <x:c r="M336">
        <x:v>92</x:v>
      </x:c>
      <x:c r="N336">
        <x:v>51</x:v>
      </x:c>
      <x:c r="O336">
        <x:v>76</x:v>
      </x:c>
      <x:c r="P336">
        <x:v>78</x:v>
      </x:c>
      <x:c r="Q336">
        <x:v>79</x:v>
      </x:c>
      <x:c r="R336">
        <x:v>49</x:v>
      </x:c>
      <x:c r="S336">
        <x:v>62</x:v>
      </x:c>
      <x:c r="T336" s="63" t="n">
        <x:f>MAX(30,MIN(AB336-VLOOKUP(AE336,'AHL_PA_SC_BALANCE'!$A$8:$E$18,2,FALSE),VLOOKUP(AE336,'AHL_PA_SC_BALANCE'!$A$8:$E$18,4,FALSE)))</x:f>
        <x:v>50</x:v>
      </x:c>
      <x:c r="U336" s="63" t="n">
        <x:f>MAX(30,MIN(AC336-VLOOKUP(AE336,'AHL_PA_SC_BALANCE'!$A$8:$E$18,3,FALSE),VLOOKUP(AE336,'AHL_PA_SC_BALANCE'!$A$8:$E$18,5,FALSE)))</x:f>
        <x:v>54</x:v>
      </x:c>
      <x:c r="V336">
        <x:v>61</x:v>
      </x:c>
      <x:c r="W336">
        <x:v>52</x:v>
      </x:c>
      <x:c r="X336">
        <x:v>66</x:v>
      </x:c>
      <x:c r="Y336">
        <x:v>65</x:v>
      </x:c>
      <x:c r="Z336">
        <x:v>51</x:v>
      </x:c>
      <x:c r="AA336">
        <x:v>52</x:v>
      </x:c>
      <x:c r="AB336" s="57" t="n">
        <x:v>50</x:v>
      </x:c>
      <x:c r="AC336" s="57" t="n">
        <x:v>54</x:v>
      </x:c>
      <x:c r="AD336" s="59"/>
      <x:c r="AE336" s="61" t="str">
        <x:f>IF(N(F336)&gt;=10,"NHL_LATEST_10",IF(AND(N(F336)&gt;0,N(G336)&gt;0),"NHL_BOTH_SEASONS",IF(N(G336)&gt;=10,"NHL_PREVIOUS_10",IF(AND(ISNUMBER(AD336),AD336=0,SUM(F336:G336)=0),"FARM_CAREER_0",IF(COUNT(F336:G336)&lt;2,"UNKNOWN_GP",IF(AND(F336=0,G336=0),IF(AD336&gt;=10,"FARM_LEGACY_10",IF(AND(ISNUMBER(AD336),AD336&gt;0),"FARM_CAREER_1_9","FARM_0_0")),IF(F336&gt;=1,IF(F336&lt;=3,"FARM_RECENT_1_3","FARM_RECENT_4_9"),"FARM_PREV_1_9_ONLY")))))))</x:f>
        <x:v>UNKNOWN_GP</x:v>
      </x:c>
      <x:c r="AF336" s="57" t="n">
        <x:f>AB336-T336</x:f>
        <x:v>0</x:v>
      </x:c>
      <x:c r="AG336" s="57" t="n">
        <x:f>AC336-U336</x:f>
        <x:v>0</x:v>
      </x:c>
    </x:row>
    <x:row r="337">
      <x:c r="A337" t="s">
        <x:v>1357</x:v>
      </x:c>
      <x:c r="C337" t="s">
        <x:v>319</x:v>
      </x:c>
      <x:c r="D337">
        <x:v>8483728</x:v>
      </x:c>
      <x:c r="E337" t="s">
        <x:v>267</x:v>
      </x:c>
      <x:c r="J337" t="s">
        <x:v>2474</x:v>
      </x:c>
      <x:c r="K337">
        <x:v>70</x:v>
      </x:c>
      <x:c r="L337">
        <x:v>34</x:v>
      </x:c>
      <x:c r="M337">
        <x:v>76</x:v>
      </x:c>
      <x:c r="N337">
        <x:v>47</x:v>
      </x:c>
      <x:c r="O337">
        <x:v>78</x:v>
      </x:c>
      <x:c r="P337">
        <x:v>79</x:v>
      </x:c>
      <x:c r="Q337">
        <x:v>84</x:v>
      </x:c>
      <x:c r="R337">
        <x:v>47</x:v>
      </x:c>
      <x:c r="S337">
        <x:v>65</x:v>
      </x:c>
      <x:c r="T337" s="63" t="n">
        <x:f>MAX(30,MIN(AB337-VLOOKUP(AE337,'AHL_PA_SC_BALANCE'!$A$8:$E$18,2,FALSE),VLOOKUP(AE337,'AHL_PA_SC_BALANCE'!$A$8:$E$18,4,FALSE)))</x:f>
        <x:v>49</x:v>
      </x:c>
      <x:c r="U337" s="63" t="n">
        <x:f>MAX(30,MIN(AC337-VLOOKUP(AE337,'AHL_PA_SC_BALANCE'!$A$8:$E$18,3,FALSE),VLOOKUP(AE337,'AHL_PA_SC_BALANCE'!$A$8:$E$18,5,FALSE)))</x:f>
        <x:v>47</x:v>
      </x:c>
      <x:c r="V337">
        <x:v>56</x:v>
      </x:c>
      <x:c r="W337">
        <x:v>55</x:v>
      </x:c>
      <x:c r="X337">
        <x:v>67</x:v>
      </x:c>
      <x:c r="Y337">
        <x:v>67</x:v>
      </x:c>
      <x:c r="Z337">
        <x:v>51</x:v>
      </x:c>
      <x:c r="AA337">
        <x:v>52</x:v>
      </x:c>
      <x:c r="AB337" s="57" t="n">
        <x:v>49</x:v>
      </x:c>
      <x:c r="AC337" s="57" t="n">
        <x:v>47</x:v>
      </x:c>
      <x:c r="AD337" s="59"/>
      <x:c r="AE337" s="61" t="str">
        <x:f>IF(N(F337)&gt;=10,"NHL_LATEST_10",IF(AND(N(F337)&gt;0,N(G337)&gt;0),"NHL_BOTH_SEASONS",IF(N(G337)&gt;=10,"NHL_PREVIOUS_10",IF(AND(ISNUMBER(AD337),AD337=0,SUM(F337:G337)=0),"FARM_CAREER_0",IF(COUNT(F337:G337)&lt;2,"UNKNOWN_GP",IF(AND(F337=0,G337=0),IF(AD337&gt;=10,"FARM_LEGACY_10",IF(AND(ISNUMBER(AD337),AD337&gt;0),"FARM_CAREER_1_9","FARM_0_0")),IF(F337&gt;=1,IF(F337&lt;=3,"FARM_RECENT_1_3","FARM_RECENT_4_9"),"FARM_PREV_1_9_ONLY")))))))</x:f>
        <x:v>UNKNOWN_GP</x:v>
      </x:c>
      <x:c r="AF337" s="57" t="n">
        <x:f>AB337-T337</x:f>
        <x:v>0</x:v>
      </x:c>
      <x:c r="AG337" s="57" t="n">
        <x:f>AC337-U337</x:f>
        <x:v>0</x:v>
      </x:c>
    </x:row>
    <x:row r="338">
      <x:c r="A338" t="s">
        <x:v>1358</x:v>
      </x:c>
      <x:c r="C338" t="s">
        <x:v>326</x:v>
      </x:c>
      <x:c r="D338">
        <x:v>8482460</x:v>
      </x:c>
      <x:c r="E338" t="s">
        <x:v>267</x:v>
      </x:c>
      <x:c r="J338" t="s">
        <x:v>2474</x:v>
      </x:c>
      <x:c r="K338">
        <x:v>84</x:v>
      </x:c>
      <x:c r="L338">
        <x:v>81</x:v>
      </x:c>
      <x:c r="M338">
        <x:v>86</x:v>
      </x:c>
      <x:c r="N338">
        <x:v>46</x:v>
      </x:c>
      <x:c r="O338">
        <x:v>99</x:v>
      </x:c>
      <x:c r="P338">
        <x:v>79</x:v>
      </x:c>
      <x:c r="Q338">
        <x:v>57</x:v>
      </x:c>
      <x:c r="R338">
        <x:v>46</x:v>
      </x:c>
      <x:c r="S338">
        <x:v>68</x:v>
      </x:c>
      <x:c r="T338" s="63" t="n">
        <x:f>MAX(30,MIN(AB338-VLOOKUP(AE338,'AHL_PA_SC_BALANCE'!$A$8:$E$18,2,FALSE),VLOOKUP(AE338,'AHL_PA_SC_BALANCE'!$A$8:$E$18,4,FALSE)))</x:f>
        <x:v>48</x:v>
      </x:c>
      <x:c r="U338" s="63" t="n">
        <x:f>MAX(30,MIN(AC338-VLOOKUP(AE338,'AHL_PA_SC_BALANCE'!$A$8:$E$18,3,FALSE),VLOOKUP(AE338,'AHL_PA_SC_BALANCE'!$A$8:$E$18,5,FALSE)))</x:f>
        <x:v>50</x:v>
      </x:c>
      <x:c r="V338">
        <x:v>60</x:v>
      </x:c>
      <x:c r="W338">
        <x:v>52</x:v>
      </x:c>
      <x:c r="X338">
        <x:v>68</x:v>
      </x:c>
      <x:c r="Y338">
        <x:v>67</x:v>
      </x:c>
      <x:c r="Z338">
        <x:v>47</x:v>
      </x:c>
      <x:c r="AA338">
        <x:v>52</x:v>
      </x:c>
      <x:c r="AB338" s="57" t="n">
        <x:v>48</x:v>
      </x:c>
      <x:c r="AC338" s="57" t="n">
        <x:v>50</x:v>
      </x:c>
      <x:c r="AD338" s="59"/>
      <x:c r="AE338" s="61" t="str">
        <x:f>IF(N(F338)&gt;=10,"NHL_LATEST_10",IF(AND(N(F338)&gt;0,N(G338)&gt;0),"NHL_BOTH_SEASONS",IF(N(G338)&gt;=10,"NHL_PREVIOUS_10",IF(AND(ISNUMBER(AD338),AD338=0,SUM(F338:G338)=0),"FARM_CAREER_0",IF(COUNT(F338:G338)&lt;2,"UNKNOWN_GP",IF(AND(F338=0,G338=0),IF(AD338&gt;=10,"FARM_LEGACY_10",IF(AND(ISNUMBER(AD338),AD338&gt;0),"FARM_CAREER_1_9","FARM_0_0")),IF(F338&gt;=1,IF(F338&lt;=3,"FARM_RECENT_1_3","FARM_RECENT_4_9"),"FARM_PREV_1_9_ONLY")))))))</x:f>
        <x:v>UNKNOWN_GP</x:v>
      </x:c>
      <x:c r="AF338" s="57" t="n">
        <x:f>AB338-T338</x:f>
        <x:v>0</x:v>
      </x:c>
      <x:c r="AG338" s="57" t="n">
        <x:f>AC338-U338</x:f>
        <x:v>0</x:v>
      </x:c>
    </x:row>
    <x:row r="339">
      <x:c r="A339" t="s">
        <x:v>1359</x:v>
      </x:c>
      <x:c r="C339" t="s">
        <x:v>331</x:v>
      </x:c>
      <x:c r="D339">
        <x:v>8476418</x:v>
      </x:c>
      <x:c r="E339" t="s">
        <x:v>267</x:v>
      </x:c>
      <x:c r="J339" t="s">
        <x:v>2474</x:v>
      </x:c>
      <x:c r="K339">
        <x:v>64</x:v>
      </x:c>
      <x:c r="L339">
        <x:v>37</x:v>
      </x:c>
      <x:c r="M339">
        <x:v>86</x:v>
      </x:c>
      <x:c r="N339">
        <x:v>34</x:v>
      </x:c>
      <x:c r="O339">
        <x:v>79</x:v>
      </x:c>
      <x:c r="P339">
        <x:v>87</x:v>
      </x:c>
      <x:c r="Q339">
        <x:v>88</x:v>
      </x:c>
      <x:c r="R339">
        <x:v>33</x:v>
      </x:c>
      <x:c r="S339">
        <x:v>30</x:v>
      </x:c>
      <x:c r="T339" s="63" t="n">
        <x:f>MAX(30,MIN(AB339-VLOOKUP(AE339,'AHL_PA_SC_BALANCE'!$A$8:$E$18,2,FALSE),VLOOKUP(AE339,'AHL_PA_SC_BALANCE'!$A$8:$E$18,4,FALSE)))</x:f>
        <x:v>44</x:v>
      </x:c>
      <x:c r="U339" s="63" t="n">
        <x:f>MAX(30,MIN(AC339-VLOOKUP(AE339,'AHL_PA_SC_BALANCE'!$A$8:$E$18,3,FALSE),VLOOKUP(AE339,'AHL_PA_SC_BALANCE'!$A$8:$E$18,5,FALSE)))</x:f>
        <x:v>41</x:v>
      </x:c>
      <x:c r="V339">
        <x:v>66</x:v>
      </x:c>
      <x:c r="W339">
        <x:v>47</x:v>
      </x:c>
      <x:c r="X339">
        <x:v>78</x:v>
      </x:c>
      <x:c r="Y339">
        <x:v>79</x:v>
      </x:c>
      <x:c r="Z339">
        <x:v>51</x:v>
      </x:c>
      <x:c r="AA339">
        <x:v>52</x:v>
      </x:c>
      <x:c r="AB339" s="57" t="n">
        <x:v>44</x:v>
      </x:c>
      <x:c r="AC339" s="57" t="n">
        <x:v>41</x:v>
      </x:c>
      <x:c r="AD339" s="59"/>
      <x:c r="AE339" s="61" t="str">
        <x:f>IF(N(F339)&gt;=10,"NHL_LATEST_10",IF(AND(N(F339)&gt;0,N(G339)&gt;0),"NHL_BOTH_SEASONS",IF(N(G339)&gt;=10,"NHL_PREVIOUS_10",IF(AND(ISNUMBER(AD339),AD339=0,SUM(F339:G339)=0),"FARM_CAREER_0",IF(COUNT(F339:G339)&lt;2,"UNKNOWN_GP",IF(AND(F339=0,G339=0),IF(AD339&gt;=10,"FARM_LEGACY_10",IF(AND(ISNUMBER(AD339),AD339&gt;0),"FARM_CAREER_1_9","FARM_0_0")),IF(F339&gt;=1,IF(F339&lt;=3,"FARM_RECENT_1_3","FARM_RECENT_4_9"),"FARM_PREV_1_9_ONLY")))))))</x:f>
        <x:v>UNKNOWN_GP</x:v>
      </x:c>
      <x:c r="AF339" s="57" t="n">
        <x:f>AB339-T339</x:f>
        <x:v>0</x:v>
      </x:c>
      <x:c r="AG339" s="57" t="n">
        <x:f>AC339-U339</x:f>
        <x:v>0</x:v>
      </x:c>
    </x:row>
    <x:row r="340">
      <x:c r="A340" t="s">
        <x:v>1360</x:v>
      </x:c>
      <x:c r="C340" t="s">
        <x:v>331</x:v>
      </x:c>
      <x:c r="D340">
        <x:v>8482893</x:v>
      </x:c>
      <x:c r="E340" t="s">
        <x:v>267</x:v>
      </x:c>
      <x:c r="J340" t="s">
        <x:v>2474</x:v>
      </x:c>
      <x:c r="K340">
        <x:v>81</x:v>
      </x:c>
      <x:c r="L340">
        <x:v>38</x:v>
      </x:c>
      <x:c r="M340">
        <x:v>85</x:v>
      </x:c>
      <x:c r="N340">
        <x:v>34</x:v>
      </x:c>
      <x:c r="O340">
        <x:v>89</x:v>
      </x:c>
      <x:c r="P340">
        <x:v>79</x:v>
      </x:c>
      <x:c r="Q340">
        <x:v>82</x:v>
      </x:c>
      <x:c r="R340">
        <x:v>35</x:v>
      </x:c>
      <x:c r="S340">
        <x:v>30</x:v>
      </x:c>
      <x:c r="T340" s="63" t="n">
        <x:f>MAX(30,MIN(AB340-VLOOKUP(AE340,'AHL_PA_SC_BALANCE'!$A$8:$E$18,2,FALSE),VLOOKUP(AE340,'AHL_PA_SC_BALANCE'!$A$8:$E$18,4,FALSE)))</x:f>
        <x:v>44</x:v>
      </x:c>
      <x:c r="U340" s="63" t="n">
        <x:f>MAX(30,MIN(AC340-VLOOKUP(AE340,'AHL_PA_SC_BALANCE'!$A$8:$E$18,3,FALSE),VLOOKUP(AE340,'AHL_PA_SC_BALANCE'!$A$8:$E$18,5,FALSE)))</x:f>
        <x:v>37</x:v>
      </x:c>
      <x:c r="V340">
        <x:v>64</x:v>
      </x:c>
      <x:c r="W340">
        <x:v>46</x:v>
      </x:c>
      <x:c r="X340">
        <x:v>66</x:v>
      </x:c>
      <x:c r="Y340">
        <x:v>65</x:v>
      </x:c>
      <x:c r="Z340">
        <x:v>41</x:v>
      </x:c>
      <x:c r="AA340">
        <x:v>52</x:v>
      </x:c>
      <x:c r="AB340" s="57" t="n">
        <x:v>44</x:v>
      </x:c>
      <x:c r="AC340" s="57" t="n">
        <x:v>37</x:v>
      </x:c>
      <x:c r="AD340" s="59"/>
      <x:c r="AE340" s="61" t="str">
        <x:f>IF(N(F340)&gt;=10,"NHL_LATEST_10",IF(AND(N(F340)&gt;0,N(G340)&gt;0),"NHL_BOTH_SEASONS",IF(N(G340)&gt;=10,"NHL_PREVIOUS_10",IF(AND(ISNUMBER(AD340),AD340=0,SUM(F340:G340)=0),"FARM_CAREER_0",IF(COUNT(F340:G340)&lt;2,"UNKNOWN_GP",IF(AND(F340=0,G340=0),IF(AD340&gt;=10,"FARM_LEGACY_10",IF(AND(ISNUMBER(AD340),AD340&gt;0),"FARM_CAREER_1_9","FARM_0_0")),IF(F340&gt;=1,IF(F340&lt;=3,"FARM_RECENT_1_3","FARM_RECENT_4_9"),"FARM_PREV_1_9_ONLY")))))))</x:f>
        <x:v>UNKNOWN_GP</x:v>
      </x:c>
      <x:c r="AF340" s="57" t="n">
        <x:f>AB340-T340</x:f>
        <x:v>0</x:v>
      </x:c>
      <x:c r="AG340" s="57" t="n">
        <x:f>AC340-U340</x:f>
        <x:v>0</x:v>
      </x:c>
    </x:row>
    <x:row r="341">
      <x:c r="A341" t="s">
        <x:v>1361</x:v>
      </x:c>
      <x:c r="C341" t="s">
        <x:v>331</x:v>
      </x:c>
      <x:c r="D341">
        <x:v>8480887</x:v>
      </x:c>
      <x:c r="E341" t="s">
        <x:v>267</x:v>
      </x:c>
      <x:c r="J341" t="s">
        <x:v>2474</x:v>
      </x:c>
      <x:c r="K341">
        <x:v>70</x:v>
      </x:c>
      <x:c r="L341">
        <x:v>35</x:v>
      </x:c>
      <x:c r="M341">
        <x:v>89</x:v>
      </x:c>
      <x:c r="N341">
        <x:v>33</x:v>
      </x:c>
      <x:c r="O341">
        <x:v>77</x:v>
      </x:c>
      <x:c r="P341">
        <x:v>74</x:v>
      </x:c>
      <x:c r="Q341">
        <x:v>74</x:v>
      </x:c>
      <x:c r="R341">
        <x:v>32</x:v>
      </x:c>
      <x:c r="S341">
        <x:v>30</x:v>
      </x:c>
      <x:c r="T341" s="63" t="n">
        <x:f>MAX(30,MIN(AB341-VLOOKUP(AE341,'AHL_PA_SC_BALANCE'!$A$8:$E$18,2,FALSE),VLOOKUP(AE341,'AHL_PA_SC_BALANCE'!$A$8:$E$18,4,FALSE)))</x:f>
        <x:v>52</x:v>
      </x:c>
      <x:c r="U341" s="63" t="n">
        <x:f>MAX(30,MIN(AC341-VLOOKUP(AE341,'AHL_PA_SC_BALANCE'!$A$8:$E$18,3,FALSE),VLOOKUP(AE341,'AHL_PA_SC_BALANCE'!$A$8:$E$18,5,FALSE)))</x:f>
        <x:v>47</x:v>
      </x:c>
      <x:c r="V341">
        <x:v>73</x:v>
      </x:c>
      <x:c r="W341">
        <x:v>47</x:v>
      </x:c>
      <x:c r="X341">
        <x:v>70</x:v>
      </x:c>
      <x:c r="Y341">
        <x:v>66</x:v>
      </x:c>
      <x:c r="Z341">
        <x:v>51</x:v>
      </x:c>
      <x:c r="AA341">
        <x:v>52</x:v>
      </x:c>
      <x:c r="AB341" s="57" t="n">
        <x:v>52</x:v>
      </x:c>
      <x:c r="AC341" s="57" t="n">
        <x:v>47</x:v>
      </x:c>
      <x:c r="AD341" s="59"/>
      <x:c r="AE341" s="61" t="str">
        <x:f>IF(N(F341)&gt;=10,"NHL_LATEST_10",IF(AND(N(F341)&gt;0,N(G341)&gt;0),"NHL_BOTH_SEASONS",IF(N(G341)&gt;=10,"NHL_PREVIOUS_10",IF(AND(ISNUMBER(AD341),AD341=0,SUM(F341:G341)=0),"FARM_CAREER_0",IF(COUNT(F341:G341)&lt;2,"UNKNOWN_GP",IF(AND(F341=0,G341=0),IF(AD341&gt;=10,"FARM_LEGACY_10",IF(AND(ISNUMBER(AD341),AD341&gt;0),"FARM_CAREER_1_9","FARM_0_0")),IF(F341&gt;=1,IF(F341&lt;=3,"FARM_RECENT_1_3","FARM_RECENT_4_9"),"FARM_PREV_1_9_ONLY")))))))</x:f>
        <x:v>UNKNOWN_GP</x:v>
      </x:c>
      <x:c r="AF341" s="57" t="n">
        <x:f>AB341-T341</x:f>
        <x:v>0</x:v>
      </x:c>
      <x:c r="AG341" s="57" t="n">
        <x:f>AC341-U341</x:f>
        <x:v>0</x:v>
      </x:c>
    </x:row>
    <x:row r="342">
      <x:c r="A342" t="s">
        <x:v>1362</x:v>
      </x:c>
      <x:c r="C342" t="s">
        <x:v>358</x:v>
      </x:c>
      <x:c r="D342">
        <x:v>8482747</x:v>
      </x:c>
      <x:c r="E342" t="s">
        <x:v>267</x:v>
      </x:c>
      <x:c r="J342" t="s">
        <x:v>2474</x:v>
      </x:c>
      <x:c r="K342">
        <x:v>75</x:v>
      </x:c>
      <x:c r="L342">
        <x:v>71</x:v>
      </x:c>
      <x:c r="M342">
        <x:v>87</x:v>
      </x:c>
      <x:c r="N342">
        <x:v>48</x:v>
      </x:c>
      <x:c r="O342">
        <x:v>78</x:v>
      </x:c>
      <x:c r="P342">
        <x:v>79</x:v>
      </x:c>
      <x:c r="Q342">
        <x:v>79</x:v>
      </x:c>
      <x:c r="R342">
        <x:v>47</x:v>
      </x:c>
      <x:c r="S342">
        <x:v>62</x:v>
      </x:c>
      <x:c r="T342" s="63" t="n">
        <x:f>MAX(30,MIN(AB342-VLOOKUP(AE342,'AHL_PA_SC_BALANCE'!$A$8:$E$18,2,FALSE),VLOOKUP(AE342,'AHL_PA_SC_BALANCE'!$A$8:$E$18,4,FALSE)))</x:f>
        <x:v>50</x:v>
      </x:c>
      <x:c r="U342" s="63" t="n">
        <x:f>MAX(30,MIN(AC342-VLOOKUP(AE342,'AHL_PA_SC_BALANCE'!$A$8:$E$18,3,FALSE),VLOOKUP(AE342,'AHL_PA_SC_BALANCE'!$A$8:$E$18,5,FALSE)))</x:f>
        <x:v>51</x:v>
      </x:c>
      <x:c r="V342">
        <x:v>60</x:v>
      </x:c>
      <x:c r="W342">
        <x:v>52</x:v>
      </x:c>
      <x:c r="X342">
        <x:v>67</x:v>
      </x:c>
      <x:c r="Y342">
        <x:v>65</x:v>
      </x:c>
      <x:c r="Z342">
        <x:v>51</x:v>
      </x:c>
      <x:c r="AA342">
        <x:v>52</x:v>
      </x:c>
      <x:c r="AB342" s="57" t="n">
        <x:v>50</x:v>
      </x:c>
      <x:c r="AC342" s="57" t="n">
        <x:v>51</x:v>
      </x:c>
      <x:c r="AD342" s="59"/>
      <x:c r="AE342" s="61" t="str">
        <x:f>IF(N(F342)&gt;=10,"NHL_LATEST_10",IF(AND(N(F342)&gt;0,N(G342)&gt;0),"NHL_BOTH_SEASONS",IF(N(G342)&gt;=10,"NHL_PREVIOUS_10",IF(AND(ISNUMBER(AD342),AD342=0,SUM(F342:G342)=0),"FARM_CAREER_0",IF(COUNT(F342:G342)&lt;2,"UNKNOWN_GP",IF(AND(F342=0,G342=0),IF(AD342&gt;=10,"FARM_LEGACY_10",IF(AND(ISNUMBER(AD342),AD342&gt;0),"FARM_CAREER_1_9","FARM_0_0")),IF(F342&gt;=1,IF(F342&lt;=3,"FARM_RECENT_1_3","FARM_RECENT_4_9"),"FARM_PREV_1_9_ONLY")))))))</x:f>
        <x:v>UNKNOWN_GP</x:v>
      </x:c>
      <x:c r="AF342" s="57" t="n">
        <x:f>AB342-T342</x:f>
        <x:v>0</x:v>
      </x:c>
      <x:c r="AG342" s="57" t="n">
        <x:f>AC342-U342</x:f>
        <x:v>0</x:v>
      </x:c>
    </x:row>
    <x:row r="343">
      <x:c r="A343" t="s">
        <x:v>1363</x:v>
      </x:c>
      <x:c r="C343" t="s">
        <x:v>323</x:v>
      </x:c>
      <x:c r="D343">
        <x:v>8479772</x:v>
      </x:c>
      <x:c r="E343" t="s">
        <x:v>267</x:v>
      </x:c>
      <x:c r="J343" t="s">
        <x:v>2474</x:v>
      </x:c>
      <x:c r="K343">
        <x:v>72</x:v>
      </x:c>
      <x:c r="L343">
        <x:v>81</x:v>
      </x:c>
      <x:c r="M343">
        <x:v>69</x:v>
      </x:c>
      <x:c r="N343">
        <x:v>46</x:v>
      </x:c>
      <x:c r="O343">
        <x:v>92</x:v>
      </x:c>
      <x:c r="P343">
        <x:v>76</x:v>
      </x:c>
      <x:c r="Q343">
        <x:v>32</x:v>
      </x:c>
      <x:c r="R343">
        <x:v>47</x:v>
      </x:c>
      <x:c r="S343">
        <x:v>69</x:v>
      </x:c>
      <x:c r="T343" s="63" t="n">
        <x:f>MAX(30,MIN(AB343-VLOOKUP(AE343,'AHL_PA_SC_BALANCE'!$A$8:$E$18,2,FALSE),VLOOKUP(AE343,'AHL_PA_SC_BALANCE'!$A$8:$E$18,4,FALSE)))</x:f>
        <x:v>50</x:v>
      </x:c>
      <x:c r="U343" s="63" t="n">
        <x:f>MAX(30,MIN(AC343-VLOOKUP(AE343,'AHL_PA_SC_BALANCE'!$A$8:$E$18,3,FALSE),VLOOKUP(AE343,'AHL_PA_SC_BALANCE'!$A$8:$E$18,5,FALSE)))</x:f>
        <x:v>51</x:v>
      </x:c>
      <x:c r="V343">
        <x:v>61</x:v>
      </x:c>
      <x:c r="W343">
        <x:v>53</x:v>
      </x:c>
      <x:c r="X343">
        <x:v>76</x:v>
      </x:c>
      <x:c r="Y343">
        <x:v>71</x:v>
      </x:c>
      <x:c r="Z343">
        <x:v>51</x:v>
      </x:c>
      <x:c r="AA343">
        <x:v>52</x:v>
      </x:c>
      <x:c r="AB343" s="57" t="n">
        <x:v>50</x:v>
      </x:c>
      <x:c r="AC343" s="57" t="n">
        <x:v>51</x:v>
      </x:c>
      <x:c r="AD343" s="59"/>
      <x:c r="AE343" s="61" t="str">
        <x:f>IF(N(F343)&gt;=10,"NHL_LATEST_10",IF(AND(N(F343)&gt;0,N(G343)&gt;0),"NHL_BOTH_SEASONS",IF(N(G343)&gt;=10,"NHL_PREVIOUS_10",IF(AND(ISNUMBER(AD343),AD343=0,SUM(F343:G343)=0),"FARM_CAREER_0",IF(COUNT(F343:G343)&lt;2,"UNKNOWN_GP",IF(AND(F343=0,G343=0),IF(AD343&gt;=10,"FARM_LEGACY_10",IF(AND(ISNUMBER(AD343),AD343&gt;0),"FARM_CAREER_1_9","FARM_0_0")),IF(F343&gt;=1,IF(F343&lt;=3,"FARM_RECENT_1_3","FARM_RECENT_4_9"),"FARM_PREV_1_9_ONLY")))))))</x:f>
        <x:v>UNKNOWN_GP</x:v>
      </x:c>
      <x:c r="AF343" s="57" t="n">
        <x:f>AB343-T343</x:f>
        <x:v>0</x:v>
      </x:c>
      <x:c r="AG343" s="57" t="n">
        <x:f>AC343-U343</x:f>
        <x:v>0</x:v>
      </x:c>
    </x:row>
    <x:row r="344">
      <x:c r="A344" t="s">
        <x:v>1364</x:v>
      </x:c>
      <x:c r="C344" t="s">
        <x:v>319</x:v>
      </x:c>
      <x:c r="D344">
        <x:v>8481543</x:v>
      </x:c>
      <x:c r="E344" t="s">
        <x:v>267</x:v>
      </x:c>
      <x:c r="J344" t="s">
        <x:v>2474</x:v>
      </x:c>
      <x:c r="K344">
        <x:v>66</x:v>
      </x:c>
      <x:c r="L344">
        <x:v>35</x:v>
      </x:c>
      <x:c r="M344">
        <x:v>86</x:v>
      </x:c>
      <x:c r="N344">
        <x:v>47</x:v>
      </x:c>
      <x:c r="O344">
        <x:v>76</x:v>
      </x:c>
      <x:c r="P344">
        <x:v>84</x:v>
      </x:c>
      <x:c r="Q344">
        <x:v>89</x:v>
      </x:c>
      <x:c r="R344">
        <x:v>48</x:v>
      </x:c>
      <x:c r="S344">
        <x:v>81</x:v>
      </x:c>
      <x:c r="T344" s="63" t="n">
        <x:f>MAX(30,MIN(AB344-VLOOKUP(AE344,'AHL_PA_SC_BALANCE'!$A$8:$E$18,2,FALSE),VLOOKUP(AE344,'AHL_PA_SC_BALANCE'!$A$8:$E$18,4,FALSE)))</x:f>
        <x:v>51</x:v>
      </x:c>
      <x:c r="U344" s="63" t="n">
        <x:f>MAX(30,MIN(AC344-VLOOKUP(AE344,'AHL_PA_SC_BALANCE'!$A$8:$E$18,3,FALSE),VLOOKUP(AE344,'AHL_PA_SC_BALANCE'!$A$8:$E$18,5,FALSE)))</x:f>
        <x:v>47</x:v>
      </x:c>
      <x:c r="V344">
        <x:v>59</x:v>
      </x:c>
      <x:c r="W344">
        <x:v>70</x:v>
      </x:c>
      <x:c r="X344">
        <x:v>69</x:v>
      </x:c>
      <x:c r="Y344">
        <x:v>69</x:v>
      </x:c>
      <x:c r="Z344">
        <x:v>51</x:v>
      </x:c>
      <x:c r="AA344">
        <x:v>52</x:v>
      </x:c>
      <x:c r="AB344" s="57" t="n">
        <x:v>51</x:v>
      </x:c>
      <x:c r="AC344" s="57" t="n">
        <x:v>47</x:v>
      </x:c>
      <x:c r="AD344" s="59"/>
      <x:c r="AE344" s="61" t="str">
        <x:f>IF(N(F344)&gt;=10,"NHL_LATEST_10",IF(AND(N(F344)&gt;0,N(G344)&gt;0),"NHL_BOTH_SEASONS",IF(N(G344)&gt;=10,"NHL_PREVIOUS_10",IF(AND(ISNUMBER(AD344),AD344=0,SUM(F344:G344)=0),"FARM_CAREER_0",IF(COUNT(F344:G344)&lt;2,"UNKNOWN_GP",IF(AND(F344=0,G344=0),IF(AD344&gt;=10,"FARM_LEGACY_10",IF(AND(ISNUMBER(AD344),AD344&gt;0),"FARM_CAREER_1_9","FARM_0_0")),IF(F344&gt;=1,IF(F344&lt;=3,"FARM_RECENT_1_3","FARM_RECENT_4_9"),"FARM_PREV_1_9_ONLY")))))))</x:f>
        <x:v>UNKNOWN_GP</x:v>
      </x:c>
      <x:c r="AF344" s="57" t="n">
        <x:f>AB344-T344</x:f>
        <x:v>0</x:v>
      </x:c>
      <x:c r="AG344" s="57" t="n">
        <x:f>AC344-U344</x:f>
        <x:v>0</x:v>
      </x:c>
    </x:row>
    <x:row r="345">
      <x:c r="A345" t="s">
        <x:v>1365</x:v>
      </x:c>
      <x:c r="C345" t="s">
        <x:v>319</x:v>
      </x:c>
      <x:c r="D345">
        <x:v>8476952</x:v>
      </x:c>
      <x:c r="E345" t="s">
        <x:v>267</x:v>
      </x:c>
      <x:c r="J345" t="s">
        <x:v>2474</x:v>
      </x:c>
      <x:c r="K345">
        <x:v>68</x:v>
      </x:c>
      <x:c r="L345">
        <x:v>37</x:v>
      </x:c>
      <x:c r="M345">
        <x:v>76</x:v>
      </x:c>
      <x:c r="N345">
        <x:v>46</x:v>
      </x:c>
      <x:c r="O345">
        <x:v>82</x:v>
      </x:c>
      <x:c r="P345">
        <x:v>84</x:v>
      </x:c>
      <x:c r="Q345">
        <x:v>87</x:v>
      </x:c>
      <x:c r="R345">
        <x:v>47</x:v>
      </x:c>
      <x:c r="S345">
        <x:v>82</x:v>
      </x:c>
      <x:c r="T345" s="63" t="n">
        <x:f>MAX(30,MIN(AB345-VLOOKUP(AE345,'AHL_PA_SC_BALANCE'!$A$8:$E$18,2,FALSE),VLOOKUP(AE345,'AHL_PA_SC_BALANCE'!$A$8:$E$18,4,FALSE)))</x:f>
        <x:v>51</x:v>
      </x:c>
      <x:c r="U345" s="63" t="n">
        <x:f>MAX(30,MIN(AC345-VLOOKUP(AE345,'AHL_PA_SC_BALANCE'!$A$8:$E$18,3,FALSE),VLOOKUP(AE345,'AHL_PA_SC_BALANCE'!$A$8:$E$18,5,FALSE)))</x:f>
        <x:v>49</x:v>
      </x:c>
      <x:c r="V345">
        <x:v>62</x:v>
      </x:c>
      <x:c r="W345">
        <x:v>69</x:v>
      </x:c>
      <x:c r="X345">
        <x:v>76</x:v>
      </x:c>
      <x:c r="Y345">
        <x:v>76</x:v>
      </x:c>
      <x:c r="Z345">
        <x:v>51</x:v>
      </x:c>
      <x:c r="AA345">
        <x:v>52</x:v>
      </x:c>
      <x:c r="AB345" s="57" t="n">
        <x:v>51</x:v>
      </x:c>
      <x:c r="AC345" s="57" t="n">
        <x:v>49</x:v>
      </x:c>
      <x:c r="AD345" s="59"/>
      <x:c r="AE345" s="61" t="str">
        <x:f>IF(N(F345)&gt;=10,"NHL_LATEST_10",IF(AND(N(F345)&gt;0,N(G345)&gt;0),"NHL_BOTH_SEASONS",IF(N(G345)&gt;=10,"NHL_PREVIOUS_10",IF(AND(ISNUMBER(AD345),AD345=0,SUM(F345:G345)=0),"FARM_CAREER_0",IF(COUNT(F345:G345)&lt;2,"UNKNOWN_GP",IF(AND(F345=0,G345=0),IF(AD345&gt;=10,"FARM_LEGACY_10",IF(AND(ISNUMBER(AD345),AD345&gt;0),"FARM_CAREER_1_9","FARM_0_0")),IF(F345&gt;=1,IF(F345&lt;=3,"FARM_RECENT_1_3","FARM_RECENT_4_9"),"FARM_PREV_1_9_ONLY")))))))</x:f>
        <x:v>UNKNOWN_GP</x:v>
      </x:c>
      <x:c r="AF345" s="57" t="n">
        <x:f>AB345-T345</x:f>
        <x:v>0</x:v>
      </x:c>
      <x:c r="AG345" s="57" t="n">
        <x:f>AC345-U345</x:f>
        <x:v>0</x:v>
      </x:c>
    </x:row>
    <x:row r="346">
      <x:c r="A346" t="s">
        <x:v>1366</x:v>
      </x:c>
      <x:c r="C346" t="s">
        <x:v>331</x:v>
      </x:c>
      <x:c r="D346">
        <x:v>8484610</x:v>
      </x:c>
      <x:c r="E346" t="s">
        <x:v>267</x:v>
      </x:c>
      <x:c r="J346" t="s">
        <x:v>2474</x:v>
      </x:c>
      <x:c r="K346">
        <x:v>77</x:v>
      </x:c>
      <x:c r="L346">
        <x:v>43</x:v>
      </x:c>
      <x:c r="M346">
        <x:v>84</x:v>
      </x:c>
      <x:c r="N346">
        <x:v>33</x:v>
      </x:c>
      <x:c r="O346">
        <x:v>76</x:v>
      </x:c>
      <x:c r="P346">
        <x:v>81</x:v>
      </x:c>
      <x:c r="Q346">
        <x:v>85</x:v>
      </x:c>
      <x:c r="R346">
        <x:v>34</x:v>
      </x:c>
      <x:c r="S346">
        <x:v>30</x:v>
      </x:c>
      <x:c r="T346" s="63" t="n">
        <x:f>MAX(30,MIN(AB346-VLOOKUP(AE346,'AHL_PA_SC_BALANCE'!$A$8:$E$18,2,FALSE),VLOOKUP(AE346,'AHL_PA_SC_BALANCE'!$A$8:$E$18,4,FALSE)))</x:f>
        <x:v>42</x:v>
      </x:c>
      <x:c r="U346" s="63" t="n">
        <x:f>MAX(30,MIN(AC346-VLOOKUP(AE346,'AHL_PA_SC_BALANCE'!$A$8:$E$18,3,FALSE),VLOOKUP(AE346,'AHL_PA_SC_BALANCE'!$A$8:$E$18,5,FALSE)))</x:f>
        <x:v>40</x:v>
      </x:c>
      <x:c r="V346">
        <x:v>67</x:v>
      </x:c>
      <x:c r="W346">
        <x:v>46</x:v>
      </x:c>
      <x:c r="X346">
        <x:v>70</x:v>
      </x:c>
      <x:c r="Y346">
        <x:v>69</x:v>
      </x:c>
      <x:c r="Z346">
        <x:v>51</x:v>
      </x:c>
      <x:c r="AA346">
        <x:v>52</x:v>
      </x:c>
      <x:c r="AB346" s="57" t="n">
        <x:v>42</x:v>
      </x:c>
      <x:c r="AC346" s="57" t="n">
        <x:v>40</x:v>
      </x:c>
      <x:c r="AD346" s="59"/>
      <x:c r="AE346" s="61" t="str">
        <x:f>IF(N(F346)&gt;=10,"NHL_LATEST_10",IF(AND(N(F346)&gt;0,N(G346)&gt;0),"NHL_BOTH_SEASONS",IF(N(G346)&gt;=10,"NHL_PREVIOUS_10",IF(AND(ISNUMBER(AD346),AD346=0,SUM(F346:G346)=0),"FARM_CAREER_0",IF(COUNT(F346:G346)&lt;2,"UNKNOWN_GP",IF(AND(F346=0,G346=0),IF(AD346&gt;=10,"FARM_LEGACY_10",IF(AND(ISNUMBER(AD346),AD346&gt;0),"FARM_CAREER_1_9","FARM_0_0")),IF(F346&gt;=1,IF(F346&lt;=3,"FARM_RECENT_1_3","FARM_RECENT_4_9"),"FARM_PREV_1_9_ONLY")))))))</x:f>
        <x:v>UNKNOWN_GP</x:v>
      </x:c>
      <x:c r="AF346" s="57" t="n">
        <x:f>AB346-T346</x:f>
        <x:v>0</x:v>
      </x:c>
      <x:c r="AG346" s="57" t="n">
        <x:f>AC346-U346</x:f>
        <x:v>0</x:v>
      </x:c>
    </x:row>
    <x:row r="347">
      <x:c r="A347" t="s">
        <x:v>1367</x:v>
      </x:c>
      <x:c r="C347" t="s">
        <x:v>331</x:v>
      </x:c>
      <x:c r="D347">
        <x:v>8484163</x:v>
      </x:c>
      <x:c r="E347" t="s">
        <x:v>267</x:v>
      </x:c>
      <x:c r="J347" t="s">
        <x:v>2474</x:v>
      </x:c>
      <x:c r="K347">
        <x:v>76</x:v>
      </x:c>
      <x:c r="L347">
        <x:v>41</x:v>
      </x:c>
      <x:c r="M347">
        <x:v>80</x:v>
      </x:c>
      <x:c r="N347">
        <x:v>34</x:v>
      </x:c>
      <x:c r="O347">
        <x:v>86</x:v>
      </x:c>
      <x:c r="P347">
        <x:v>79</x:v>
      </x:c>
      <x:c r="Q347">
        <x:v>82</x:v>
      </x:c>
      <x:c r="R347">
        <x:v>35</x:v>
      </x:c>
      <x:c r="S347">
        <x:v>30</x:v>
      </x:c>
      <x:c r="T347" s="63" t="n">
        <x:f>MAX(30,MIN(AB347-VLOOKUP(AE347,'AHL_PA_SC_BALANCE'!$A$8:$E$18,2,FALSE),VLOOKUP(AE347,'AHL_PA_SC_BALANCE'!$A$8:$E$18,4,FALSE)))</x:f>
        <x:v>40</x:v>
      </x:c>
      <x:c r="U347" s="63" t="n">
        <x:f>MAX(30,MIN(AC347-VLOOKUP(AE347,'AHL_PA_SC_BALANCE'!$A$8:$E$18,3,FALSE),VLOOKUP(AE347,'AHL_PA_SC_BALANCE'!$A$8:$E$18,5,FALSE)))</x:f>
        <x:v>40</x:v>
      </x:c>
      <x:c r="V347">
        <x:v>69</x:v>
      </x:c>
      <x:c r="W347">
        <x:v>45</x:v>
      </x:c>
      <x:c r="X347">
        <x:v>65</x:v>
      </x:c>
      <x:c r="Y347">
        <x:v>64</x:v>
      </x:c>
      <x:c r="Z347">
        <x:v>51</x:v>
      </x:c>
      <x:c r="AA347">
        <x:v>52</x:v>
      </x:c>
      <x:c r="AB347" s="57" t="n">
        <x:v>40</x:v>
      </x:c>
      <x:c r="AC347" s="57" t="n">
        <x:v>40</x:v>
      </x:c>
      <x:c r="AD347" s="59"/>
      <x:c r="AE347" s="61" t="str">
        <x:f>IF(N(F347)&gt;=10,"NHL_LATEST_10",IF(AND(N(F347)&gt;0,N(G347)&gt;0),"NHL_BOTH_SEASONS",IF(N(G347)&gt;=10,"NHL_PREVIOUS_10",IF(AND(ISNUMBER(AD347),AD347=0,SUM(F347:G347)=0),"FARM_CAREER_0",IF(COUNT(F347:G347)&lt;2,"UNKNOWN_GP",IF(AND(F347=0,G347=0),IF(AD347&gt;=10,"FARM_LEGACY_10",IF(AND(ISNUMBER(AD347),AD347&gt;0),"FARM_CAREER_1_9","FARM_0_0")),IF(F347&gt;=1,IF(F347&lt;=3,"FARM_RECENT_1_3","FARM_RECENT_4_9"),"FARM_PREV_1_9_ONLY")))))))</x:f>
        <x:v>UNKNOWN_GP</x:v>
      </x:c>
      <x:c r="AF347" s="57" t="n">
        <x:f>AB347-T347</x:f>
        <x:v>0</x:v>
      </x:c>
      <x:c r="AG347" s="57" t="n">
        <x:f>AC347-U347</x:f>
        <x:v>0</x:v>
      </x:c>
    </x:row>
    <x:row r="348">
      <x:c r="A348" t="s">
        <x:v>1368</x:v>
      </x:c>
      <x:c r="B348" t="s">
        <x:v>584</x:v>
      </x:c>
      <x:c r="C348" t="s">
        <x:v>331</x:v>
      </x:c>
      <x:c r="D348">
        <x:v>8483407</x:v>
      </x:c>
      <x:c r="E348" t="s">
        <x:v>267</x:v>
      </x:c>
      <x:c r="J348" t="s">
        <x:v>2476</x:v>
      </x:c>
      <x:c r="K348">
        <x:v>76</x:v>
      </x:c>
      <x:c r="L348">
        <x:v>39</x:v>
      </x:c>
      <x:c r="M348">
        <x:v>78</x:v>
      </x:c>
      <x:c r="N348">
        <x:v>34</x:v>
      </x:c>
      <x:c r="O348">
        <x:v>88</x:v>
      </x:c>
      <x:c r="P348">
        <x:v>83</x:v>
      </x:c>
      <x:c r="Q348">
        <x:v>85</x:v>
      </x:c>
      <x:c r="R348">
        <x:v>34</x:v>
      </x:c>
      <x:c r="S348">
        <x:v>30</x:v>
      </x:c>
      <x:c r="T348" s="63" t="n">
        <x:f>MAX(30,MIN(AB348-VLOOKUP(AE348,'AHL_PA_SC_BALANCE'!$A$8:$E$18,2,FALSE),VLOOKUP(AE348,'AHL_PA_SC_BALANCE'!$A$8:$E$18,4,FALSE)))</x:f>
        <x:v>41</x:v>
      </x:c>
      <x:c r="U348" s="63" t="n">
        <x:f>MAX(30,MIN(AC348-VLOOKUP(AE348,'AHL_PA_SC_BALANCE'!$A$8:$E$18,3,FALSE),VLOOKUP(AE348,'AHL_PA_SC_BALANCE'!$A$8:$E$18,5,FALSE)))</x:f>
        <x:v>41</x:v>
      </x:c>
      <x:c r="V348">
        <x:v>67</x:v>
      </x:c>
      <x:c r="W348">
        <x:v>46</x:v>
      </x:c>
      <x:c r="X348">
        <x:v>69</x:v>
      </x:c>
      <x:c r="Y348">
        <x:v>70</x:v>
      </x:c>
      <x:c r="Z348">
        <x:v>51</x:v>
      </x:c>
      <x:c r="AA348">
        <x:v>52</x:v>
      </x:c>
      <x:c r="AB348" s="57" t="n">
        <x:v>41</x:v>
      </x:c>
      <x:c r="AC348" s="57" t="n">
        <x:v>41</x:v>
      </x:c>
      <x:c r="AD348" s="59"/>
      <x:c r="AE348" s="61" t="str">
        <x:f>IF(N(F348)&gt;=10,"NHL_LATEST_10",IF(AND(N(F348)&gt;0,N(G348)&gt;0),"NHL_BOTH_SEASONS",IF(N(G348)&gt;=10,"NHL_PREVIOUS_10",IF(AND(ISNUMBER(AD348),AD348=0,SUM(F348:G348)=0),"FARM_CAREER_0",IF(COUNT(F348:G348)&lt;2,"UNKNOWN_GP",IF(AND(F348=0,G348=0),IF(AD348&gt;=10,"FARM_LEGACY_10",IF(AND(ISNUMBER(AD348),AD348&gt;0),"FARM_CAREER_1_9","FARM_0_0")),IF(F348&gt;=1,IF(F348&lt;=3,"FARM_RECENT_1_3","FARM_RECENT_4_9"),"FARM_PREV_1_9_ONLY")))))))</x:f>
        <x:v>UNKNOWN_GP</x:v>
      </x:c>
      <x:c r="AF348" s="57" t="n">
        <x:f>AB348-T348</x:f>
        <x:v>0</x:v>
      </x:c>
      <x:c r="AG348" s="57" t="n">
        <x:f>AC348-U348</x:f>
        <x:v>0</x:v>
      </x:c>
    </x:row>
    <x:row r="349">
      <x:c r="A349" t="s">
        <x:v>1369</x:v>
      </x:c>
      <x:c r="C349" t="s">
        <x:v>331</x:v>
      </x:c>
      <x:c r="D349">
        <x:v>8485508</x:v>
      </x:c>
      <x:c r="E349" t="s">
        <x:v>267</x:v>
      </x:c>
      <x:c r="J349" t="s">
        <x:v>2474</x:v>
      </x:c>
      <x:c r="K349">
        <x:v>64</x:v>
      </x:c>
      <x:c r="L349">
        <x:v>38</x:v>
      </x:c>
      <x:c r="M349">
        <x:v>85</x:v>
      </x:c>
      <x:c r="N349">
        <x:v>34</x:v>
      </x:c>
      <x:c r="O349">
        <x:v>80</x:v>
      </x:c>
      <x:c r="P349">
        <x:v>72</x:v>
      </x:c>
      <x:c r="Q349">
        <x:v>75</x:v>
      </x:c>
      <x:c r="R349">
        <x:v>35</x:v>
      </x:c>
      <x:c r="S349">
        <x:v>30</x:v>
      </x:c>
      <x:c r="T349" s="63" t="n">
        <x:f>MAX(30,MIN(AB349-VLOOKUP(AE349,'AHL_PA_SC_BALANCE'!$A$8:$E$18,2,FALSE),VLOOKUP(AE349,'AHL_PA_SC_BALANCE'!$A$8:$E$18,4,FALSE)))</x:f>
        <x:v>43</x:v>
      </x:c>
      <x:c r="U349" s="63" t="n">
        <x:f>MAX(30,MIN(AC349-VLOOKUP(AE349,'AHL_PA_SC_BALANCE'!$A$8:$E$18,3,FALSE),VLOOKUP(AE349,'AHL_PA_SC_BALANCE'!$A$8:$E$18,5,FALSE)))</x:f>
        <x:v>42</x:v>
      </x:c>
      <x:c r="V349">
        <x:v>67</x:v>
      </x:c>
      <x:c r="W349">
        <x:v>47</x:v>
      </x:c>
      <x:c r="X349">
        <x:v>68</x:v>
      </x:c>
      <x:c r="Y349">
        <x:v>68</x:v>
      </x:c>
      <x:c r="Z349">
        <x:v>51</x:v>
      </x:c>
      <x:c r="AA349">
        <x:v>52</x:v>
      </x:c>
      <x:c r="AB349" s="57" t="n">
        <x:v>43</x:v>
      </x:c>
      <x:c r="AC349" s="57" t="n">
        <x:v>42</x:v>
      </x:c>
      <x:c r="AD349" s="59"/>
      <x:c r="AE349" s="61" t="str">
        <x:f>IF(N(F349)&gt;=10,"NHL_LATEST_10",IF(AND(N(F349)&gt;0,N(G349)&gt;0),"NHL_BOTH_SEASONS",IF(N(G349)&gt;=10,"NHL_PREVIOUS_10",IF(AND(ISNUMBER(AD349),AD349=0,SUM(F349:G349)=0),"FARM_CAREER_0",IF(COUNT(F349:G349)&lt;2,"UNKNOWN_GP",IF(AND(F349=0,G349=0),IF(AD349&gt;=10,"FARM_LEGACY_10",IF(AND(ISNUMBER(AD349),AD349&gt;0),"FARM_CAREER_1_9","FARM_0_0")),IF(F349&gt;=1,IF(F349&lt;=3,"FARM_RECENT_1_3","FARM_RECENT_4_9"),"FARM_PREV_1_9_ONLY")))))))</x:f>
        <x:v>UNKNOWN_GP</x:v>
      </x:c>
      <x:c r="AF349" s="57" t="n">
        <x:f>AB349-T349</x:f>
        <x:v>0</x:v>
      </x:c>
      <x:c r="AG349" s="57" t="n">
        <x:f>AC349-U349</x:f>
        <x:v>0</x:v>
      </x:c>
    </x:row>
    <x:row r="350">
      <x:c r="A350" t="s">
        <x:v>1370</x:v>
      </x:c>
      <x:c r="B350" t="s">
        <x:v>584</x:v>
      </x:c>
      <x:c r="C350" t="s">
        <x:v>331</x:v>
      </x:c>
      <x:c r="D350">
        <x:v>8484814</x:v>
      </x:c>
      <x:c r="E350" t="s">
        <x:v>267</x:v>
      </x:c>
      <x:c r="J350" t="s">
        <x:v>2476</x:v>
      </x:c>
      <x:c r="K350">
        <x:v>82</x:v>
      </x:c>
      <x:c r="L350">
        <x:v>39</x:v>
      </x:c>
      <x:c r="M350">
        <x:v>92</x:v>
      </x:c>
      <x:c r="N350">
        <x:v>33</x:v>
      </x:c>
      <x:c r="O350">
        <x:v>86</x:v>
      </x:c>
      <x:c r="P350">
        <x:v>72</x:v>
      </x:c>
      <x:c r="Q350">
        <x:v>75</x:v>
      </x:c>
      <x:c r="R350">
        <x:v>34</x:v>
      </x:c>
      <x:c r="S350">
        <x:v>30</x:v>
      </x:c>
      <x:c r="T350" s="63" t="n">
        <x:f>MAX(30,MIN(AB350-VLOOKUP(AE350,'AHL_PA_SC_BALANCE'!$A$8:$E$18,2,FALSE),VLOOKUP(AE350,'AHL_PA_SC_BALANCE'!$A$8:$E$18,4,FALSE)))</x:f>
        <x:v>43</x:v>
      </x:c>
      <x:c r="U350" s="63" t="n">
        <x:f>MAX(30,MIN(AC350-VLOOKUP(AE350,'AHL_PA_SC_BALANCE'!$A$8:$E$18,3,FALSE),VLOOKUP(AE350,'AHL_PA_SC_BALANCE'!$A$8:$E$18,5,FALSE)))</x:f>
        <x:v>37</x:v>
      </x:c>
      <x:c r="V350">
        <x:v>66</x:v>
      </x:c>
      <x:c r="W350">
        <x:v>45</x:v>
      </x:c>
      <x:c r="X350">
        <x:v>68</x:v>
      </x:c>
      <x:c r="Y350">
        <x:v>69</x:v>
      </x:c>
      <x:c r="Z350">
        <x:v>51</x:v>
      </x:c>
      <x:c r="AA350">
        <x:v>52</x:v>
      </x:c>
      <x:c r="AB350" s="57" t="n">
        <x:v>43</x:v>
      </x:c>
      <x:c r="AC350" s="57" t="n">
        <x:v>37</x:v>
      </x:c>
      <x:c r="AD350" s="59"/>
      <x:c r="AE350" s="61" t="str">
        <x:f>IF(N(F350)&gt;=10,"NHL_LATEST_10",IF(AND(N(F350)&gt;0,N(G350)&gt;0),"NHL_BOTH_SEASONS",IF(N(G350)&gt;=10,"NHL_PREVIOUS_10",IF(AND(ISNUMBER(AD350),AD350=0,SUM(F350:G350)=0),"FARM_CAREER_0",IF(COUNT(F350:G350)&lt;2,"UNKNOWN_GP",IF(AND(F350=0,G350=0),IF(AD350&gt;=10,"FARM_LEGACY_10",IF(AND(ISNUMBER(AD350),AD350&gt;0),"FARM_CAREER_1_9","FARM_0_0")),IF(F350&gt;=1,IF(F350&lt;=3,"FARM_RECENT_1_3","FARM_RECENT_4_9"),"FARM_PREV_1_9_ONLY")))))))</x:f>
        <x:v>UNKNOWN_GP</x:v>
      </x:c>
      <x:c r="AF350" s="57" t="n">
        <x:f>AB350-T350</x:f>
        <x:v>0</x:v>
      </x:c>
      <x:c r="AG350" s="57" t="n">
        <x:f>AC350-U350</x:f>
        <x:v>0</x:v>
      </x:c>
    </x:row>
    <x:row r="351">
      <x:c r="A351" t="s">
        <x:v>1371</x:v>
      </x:c>
      <x:c r="C351" t="s">
        <x:v>331</x:v>
      </x:c>
      <x:c r="D351">
        <x:v>8482808</x:v>
      </x:c>
      <x:c r="E351" t="s">
        <x:v>267</x:v>
      </x:c>
      <x:c r="J351" t="s">
        <x:v>2474</x:v>
      </x:c>
      <x:c r="K351">
        <x:v>86</x:v>
      </x:c>
      <x:c r="L351">
        <x:v>36</x:v>
      </x:c>
      <x:c r="M351">
        <x:v>78</x:v>
      </x:c>
      <x:c r="N351">
        <x:v>33</x:v>
      </x:c>
      <x:c r="O351">
        <x:v>85</x:v>
      </x:c>
      <x:c r="P351">
        <x:v>76</x:v>
      </x:c>
      <x:c r="Q351">
        <x:v>78</x:v>
      </x:c>
      <x:c r="R351">
        <x:v>32</x:v>
      </x:c>
      <x:c r="S351">
        <x:v>30</x:v>
      </x:c>
      <x:c r="T351" s="63" t="n">
        <x:f>MAX(30,MIN(AB351-VLOOKUP(AE351,'AHL_PA_SC_BALANCE'!$A$8:$E$18,2,FALSE),VLOOKUP(AE351,'AHL_PA_SC_BALANCE'!$A$8:$E$18,4,FALSE)))</x:f>
        <x:v>43</x:v>
      </x:c>
      <x:c r="U351" s="63" t="n">
        <x:f>MAX(30,MIN(AC351-VLOOKUP(AE351,'AHL_PA_SC_BALANCE'!$A$8:$E$18,3,FALSE),VLOOKUP(AE351,'AHL_PA_SC_BALANCE'!$A$8:$E$18,5,FALSE)))</x:f>
        <x:v>39</x:v>
      </x:c>
      <x:c r="V351">
        <x:v>66</x:v>
      </x:c>
      <x:c r="W351">
        <x:v>46</x:v>
      </x:c>
      <x:c r="X351">
        <x:v>66</x:v>
      </x:c>
      <x:c r="Y351">
        <x:v>67</x:v>
      </x:c>
      <x:c r="Z351">
        <x:v>51</x:v>
      </x:c>
      <x:c r="AA351">
        <x:v>52</x:v>
      </x:c>
      <x:c r="AB351" s="57" t="n">
        <x:v>43</x:v>
      </x:c>
      <x:c r="AC351" s="57" t="n">
        <x:v>39</x:v>
      </x:c>
      <x:c r="AD351" s="59"/>
      <x:c r="AE351" s="61" t="str">
        <x:f>IF(N(F351)&gt;=10,"NHL_LATEST_10",IF(AND(N(F351)&gt;0,N(G351)&gt;0),"NHL_BOTH_SEASONS",IF(N(G351)&gt;=10,"NHL_PREVIOUS_10",IF(AND(ISNUMBER(AD351),AD351=0,SUM(F351:G351)=0),"FARM_CAREER_0",IF(COUNT(F351:G351)&lt;2,"UNKNOWN_GP",IF(AND(F351=0,G351=0),IF(AD351&gt;=10,"FARM_LEGACY_10",IF(AND(ISNUMBER(AD351),AD351&gt;0),"FARM_CAREER_1_9","FARM_0_0")),IF(F351&gt;=1,IF(F351&lt;=3,"FARM_RECENT_1_3","FARM_RECENT_4_9"),"FARM_PREV_1_9_ONLY")))))))</x:f>
        <x:v>UNKNOWN_GP</x:v>
      </x:c>
      <x:c r="AF351" s="57" t="n">
        <x:f>AB351-T351</x:f>
        <x:v>0</x:v>
      </x:c>
      <x:c r="AG351" s="57" t="n">
        <x:f>AC351-U351</x:f>
        <x:v>0</x:v>
      </x:c>
    </x:row>
    <x:row r="352">
      <x:c r="A352" t="s">
        <x:v>1372</x:v>
      </x:c>
      <x:c r="C352" t="s">
        <x:v>331</x:v>
      </x:c>
      <x:c r="D352">
        <x:v>8482187</x:v>
      </x:c>
      <x:c r="E352" t="s">
        <x:v>267</x:v>
      </x:c>
      <x:c r="J352" t="s">
        <x:v>2474</x:v>
      </x:c>
      <x:c r="K352">
        <x:v>74</x:v>
      </x:c>
      <x:c r="L352">
        <x:v>37</x:v>
      </x:c>
      <x:c r="M352">
        <x:v>92</x:v>
      </x:c>
      <x:c r="N352">
        <x:v>34</x:v>
      </x:c>
      <x:c r="O352">
        <x:v>79</x:v>
      </x:c>
      <x:c r="P352">
        <x:v>91</x:v>
      </x:c>
      <x:c r="Q352">
        <x:v>94</x:v>
      </x:c>
      <x:c r="R352">
        <x:v>33</x:v>
      </x:c>
      <x:c r="S352">
        <x:v>30</x:v>
      </x:c>
      <x:c r="T352" s="63" t="n">
        <x:f>MAX(30,MIN(AB352-VLOOKUP(AE352,'AHL_PA_SC_BALANCE'!$A$8:$E$18,2,FALSE),VLOOKUP(AE352,'AHL_PA_SC_BALANCE'!$A$8:$E$18,4,FALSE)))</x:f>
        <x:v>42</x:v>
      </x:c>
      <x:c r="U352" s="63" t="n">
        <x:f>MAX(30,MIN(AC352-VLOOKUP(AE352,'AHL_PA_SC_BALANCE'!$A$8:$E$18,3,FALSE),VLOOKUP(AE352,'AHL_PA_SC_BALANCE'!$A$8:$E$18,5,FALSE)))</x:f>
        <x:v>42</x:v>
      </x:c>
      <x:c r="V352">
        <x:v>68</x:v>
      </x:c>
      <x:c r="W352">
        <x:v>47</x:v>
      </x:c>
      <x:c r="X352">
        <x:v>67</x:v>
      </x:c>
      <x:c r="Y352">
        <x:v>67</x:v>
      </x:c>
      <x:c r="Z352">
        <x:v>51</x:v>
      </x:c>
      <x:c r="AA352">
        <x:v>52</x:v>
      </x:c>
      <x:c r="AB352" s="57" t="n">
        <x:v>42</x:v>
      </x:c>
      <x:c r="AC352" s="57" t="n">
        <x:v>42</x:v>
      </x:c>
      <x:c r="AD352" s="59"/>
      <x:c r="AE352" s="61" t="str">
        <x:f>IF(N(F352)&gt;=10,"NHL_LATEST_10",IF(AND(N(F352)&gt;0,N(G352)&gt;0),"NHL_BOTH_SEASONS",IF(N(G352)&gt;=10,"NHL_PREVIOUS_10",IF(AND(ISNUMBER(AD352),AD352=0,SUM(F352:G352)=0),"FARM_CAREER_0",IF(COUNT(F352:G352)&lt;2,"UNKNOWN_GP",IF(AND(F352=0,G352=0),IF(AD352&gt;=10,"FARM_LEGACY_10",IF(AND(ISNUMBER(AD352),AD352&gt;0),"FARM_CAREER_1_9","FARM_0_0")),IF(F352&gt;=1,IF(F352&lt;=3,"FARM_RECENT_1_3","FARM_RECENT_4_9"),"FARM_PREV_1_9_ONLY")))))))</x:f>
        <x:v>UNKNOWN_GP</x:v>
      </x:c>
      <x:c r="AF352" s="57" t="n">
        <x:f>AB352-T352</x:f>
        <x:v>0</x:v>
      </x:c>
      <x:c r="AG352" s="57" t="n">
        <x:f>AC352-U352</x:f>
        <x:v>0</x:v>
      </x:c>
    </x:row>
    <x:row r="353">
      <x:c r="A353" t="s">
        <x:v>1373</x:v>
      </x:c>
      <x:c r="B353" t="s">
        <x:v>584</x:v>
      </x:c>
      <x:c r="C353" t="s">
        <x:v>331</x:v>
      </x:c>
      <x:c r="D353">
        <x:v>8478981</x:v>
      </x:c>
      <x:c r="E353" t="s">
        <x:v>267</x:v>
      </x:c>
      <x:c r="J353" t="s">
        <x:v>2476</x:v>
      </x:c>
      <x:c r="K353">
        <x:v>74</x:v>
      </x:c>
      <x:c r="L353">
        <x:v>38</x:v>
      </x:c>
      <x:c r="M353">
        <x:v>77</x:v>
      </x:c>
      <x:c r="N353">
        <x:v>33</x:v>
      </x:c>
      <x:c r="O353">
        <x:v>81</x:v>
      </x:c>
      <x:c r="P353">
        <x:v>81</x:v>
      </x:c>
      <x:c r="Q353">
        <x:v>82</x:v>
      </x:c>
      <x:c r="R353">
        <x:v>33</x:v>
      </x:c>
      <x:c r="S353">
        <x:v>30</x:v>
      </x:c>
      <x:c r="T353" s="63" t="n">
        <x:f>MAX(30,MIN(AB353-VLOOKUP(AE353,'AHL_PA_SC_BALANCE'!$A$8:$E$18,2,FALSE),VLOOKUP(AE353,'AHL_PA_SC_BALANCE'!$A$8:$E$18,4,FALSE)))</x:f>
        <x:v>41</x:v>
      </x:c>
      <x:c r="U353" s="63" t="n">
        <x:f>MAX(30,MIN(AC353-VLOOKUP(AE353,'AHL_PA_SC_BALANCE'!$A$8:$E$18,3,FALSE),VLOOKUP(AE353,'AHL_PA_SC_BALANCE'!$A$8:$E$18,5,FALSE)))</x:f>
        <x:v>40</x:v>
      </x:c>
      <x:c r="V353">
        <x:v>67</x:v>
      </x:c>
      <x:c r="W353">
        <x:v>46</x:v>
      </x:c>
      <x:c r="X353">
        <x:v>72</x:v>
      </x:c>
      <x:c r="Y353">
        <x:v>71</x:v>
      </x:c>
      <x:c r="Z353">
        <x:v>51</x:v>
      </x:c>
      <x:c r="AA353">
        <x:v>52</x:v>
      </x:c>
      <x:c r="AB353" s="57" t="n">
        <x:v>41</x:v>
      </x:c>
      <x:c r="AC353" s="57" t="n">
        <x:v>40</x:v>
      </x:c>
      <x:c r="AD353" s="59"/>
      <x:c r="AE353" s="61" t="str">
        <x:f>IF(N(F353)&gt;=10,"NHL_LATEST_10",IF(AND(N(F353)&gt;0,N(G353)&gt;0),"NHL_BOTH_SEASONS",IF(N(G353)&gt;=10,"NHL_PREVIOUS_10",IF(AND(ISNUMBER(AD353),AD353=0,SUM(F353:G353)=0),"FARM_CAREER_0",IF(COUNT(F353:G353)&lt;2,"UNKNOWN_GP",IF(AND(F353=0,G353=0),IF(AD353&gt;=10,"FARM_LEGACY_10",IF(AND(ISNUMBER(AD353),AD353&gt;0),"FARM_CAREER_1_9","FARM_0_0")),IF(F353&gt;=1,IF(F353&lt;=3,"FARM_RECENT_1_3","FARM_RECENT_4_9"),"FARM_PREV_1_9_ONLY")))))))</x:f>
        <x:v>UNKNOWN_GP</x:v>
      </x:c>
      <x:c r="AF353" s="57" t="n">
        <x:f>AB353-T353</x:f>
        <x:v>0</x:v>
      </x:c>
      <x:c r="AG353" s="57" t="n">
        <x:f>AC353-U353</x:f>
        <x:v>0</x:v>
      </x:c>
    </x:row>
    <x:row r="354">
      <x:c r="A354" t="s">
        <x:v>1374</x:v>
      </x:c>
      <x:c r="C354" t="s">
        <x:v>331</x:v>
      </x:c>
      <x:c r="D354">
        <x:v>8482866</x:v>
      </x:c>
      <x:c r="E354" t="s">
        <x:v>267</x:v>
      </x:c>
      <x:c r="J354" t="s">
        <x:v>2474</x:v>
      </x:c>
      <x:c r="K354">
        <x:v>74</x:v>
      </x:c>
      <x:c r="L354">
        <x:v>37</x:v>
      </x:c>
      <x:c r="M354">
        <x:v>77</x:v>
      </x:c>
      <x:c r="N354">
        <x:v>34</x:v>
      </x:c>
      <x:c r="O354">
        <x:v>87</x:v>
      </x:c>
      <x:c r="P354">
        <x:v>85</x:v>
      </x:c>
      <x:c r="Q354">
        <x:v>86</x:v>
      </x:c>
      <x:c r="R354">
        <x:v>35</x:v>
      </x:c>
      <x:c r="S354">
        <x:v>30</x:v>
      </x:c>
      <x:c r="T354" s="63" t="n">
        <x:f>MAX(30,MIN(AB354-VLOOKUP(AE354,'AHL_PA_SC_BALANCE'!$A$8:$E$18,2,FALSE),VLOOKUP(AE354,'AHL_PA_SC_BALANCE'!$A$8:$E$18,4,FALSE)))</x:f>
        <x:v>44</x:v>
      </x:c>
      <x:c r="U354" s="63" t="n">
        <x:f>MAX(30,MIN(AC354-VLOOKUP(AE354,'AHL_PA_SC_BALANCE'!$A$8:$E$18,3,FALSE),VLOOKUP(AE354,'AHL_PA_SC_BALANCE'!$A$8:$E$18,5,FALSE)))</x:f>
        <x:v>40</x:v>
      </x:c>
      <x:c r="V354">
        <x:v>68</x:v>
      </x:c>
      <x:c r="W354">
        <x:v>47</x:v>
      </x:c>
      <x:c r="X354">
        <x:v>67</x:v>
      </x:c>
      <x:c r="Y354">
        <x:v>66</x:v>
      </x:c>
      <x:c r="Z354">
        <x:v>51</x:v>
      </x:c>
      <x:c r="AA354">
        <x:v>52</x:v>
      </x:c>
      <x:c r="AB354" s="57" t="n">
        <x:v>44</x:v>
      </x:c>
      <x:c r="AC354" s="57" t="n">
        <x:v>40</x:v>
      </x:c>
      <x:c r="AD354" s="59"/>
      <x:c r="AE354" s="61" t="str">
        <x:f>IF(N(F354)&gt;=10,"NHL_LATEST_10",IF(AND(N(F354)&gt;0,N(G354)&gt;0),"NHL_BOTH_SEASONS",IF(N(G354)&gt;=10,"NHL_PREVIOUS_10",IF(AND(ISNUMBER(AD354),AD354=0,SUM(F354:G354)=0),"FARM_CAREER_0",IF(COUNT(F354:G354)&lt;2,"UNKNOWN_GP",IF(AND(F354=0,G354=0),IF(AD354&gt;=10,"FARM_LEGACY_10",IF(AND(ISNUMBER(AD354),AD354&gt;0),"FARM_CAREER_1_9","FARM_0_0")),IF(F354&gt;=1,IF(F354&lt;=3,"FARM_RECENT_1_3","FARM_RECENT_4_9"),"FARM_PREV_1_9_ONLY")))))))</x:f>
        <x:v>UNKNOWN_GP</x:v>
      </x:c>
      <x:c r="AF354" s="57" t="n">
        <x:f>AB354-T354</x:f>
        <x:v>0</x:v>
      </x:c>
      <x:c r="AG354" s="57" t="n">
        <x:f>AC354-U354</x:f>
        <x:v>0</x:v>
      </x:c>
    </x:row>
    <x:row r="355">
      <x:c r="A355" t="s">
        <x:v>1375</x:v>
      </x:c>
      <x:c r="C355" t="s">
        <x:v>329</x:v>
      </x:c>
      <x:c r="D355">
        <x:v>8479718</x:v>
      </x:c>
      <x:c r="E355" t="s">
        <x:v>267</x:v>
      </x:c>
      <x:c r="J355" t="s">
        <x:v>2474</x:v>
      </x:c>
      <x:c r="K355">
        <x:v>61</x:v>
      </x:c>
      <x:c r="L355">
        <x:v>36</x:v>
      </x:c>
      <x:c r="M355">
        <x:v>85</x:v>
      </x:c>
      <x:c r="N355">
        <x:v>48</x:v>
      </x:c>
      <x:c r="O355">
        <x:v>75</x:v>
      </x:c>
      <x:c r="P355">
        <x:v>91</x:v>
      </x:c>
      <x:c r="Q355">
        <x:v>95</x:v>
      </x:c>
      <x:c r="R355">
        <x:v>49</x:v>
      </x:c>
      <x:c r="S355">
        <x:v>68</x:v>
      </x:c>
      <x:c r="T355" s="63" t="n">
        <x:f>MAX(30,MIN(AB355-VLOOKUP(AE355,'AHL_PA_SC_BALANCE'!$A$8:$E$18,2,FALSE),VLOOKUP(AE355,'AHL_PA_SC_BALANCE'!$A$8:$E$18,4,FALSE)))</x:f>
        <x:v>52</x:v>
      </x:c>
      <x:c r="U355" s="63" t="n">
        <x:f>MAX(30,MIN(AC355-VLOOKUP(AE355,'AHL_PA_SC_BALANCE'!$A$8:$E$18,3,FALSE),VLOOKUP(AE355,'AHL_PA_SC_BALANCE'!$A$8:$E$18,5,FALSE)))</x:f>
        <x:v>46</x:v>
      </x:c>
      <x:c r="V355">
        <x:v>59</x:v>
      </x:c>
      <x:c r="W355">
        <x:v>72</x:v>
      </x:c>
      <x:c r="X355">
        <x:v>71</x:v>
      </x:c>
      <x:c r="Y355">
        <x:v>72</x:v>
      </x:c>
      <x:c r="Z355">
        <x:v>51</x:v>
      </x:c>
      <x:c r="AA355">
        <x:v>52</x:v>
      </x:c>
      <x:c r="AB355" s="57" t="n">
        <x:v>52</x:v>
      </x:c>
      <x:c r="AC355" s="57" t="n">
        <x:v>46</x:v>
      </x:c>
      <x:c r="AD355" s="59"/>
      <x:c r="AE355" s="61" t="str">
        <x:f>IF(N(F355)&gt;=10,"NHL_LATEST_10",IF(AND(N(F355)&gt;0,N(G355)&gt;0),"NHL_BOTH_SEASONS",IF(N(G355)&gt;=10,"NHL_PREVIOUS_10",IF(AND(ISNUMBER(AD355),AD355=0,SUM(F355:G355)=0),"FARM_CAREER_0",IF(COUNT(F355:G355)&lt;2,"UNKNOWN_GP",IF(AND(F355=0,G355=0),IF(AD355&gt;=10,"FARM_LEGACY_10",IF(AND(ISNUMBER(AD355),AD355&gt;0),"FARM_CAREER_1_9","FARM_0_0")),IF(F355&gt;=1,IF(F355&lt;=3,"FARM_RECENT_1_3","FARM_RECENT_4_9"),"FARM_PREV_1_9_ONLY")))))))</x:f>
        <x:v>UNKNOWN_GP</x:v>
      </x:c>
      <x:c r="AF355" s="57" t="n">
        <x:f>AB355-T355</x:f>
        <x:v>0</x:v>
      </x:c>
      <x:c r="AG355" s="57" t="n">
        <x:f>AC355-U355</x:f>
        <x:v>0</x:v>
      </x:c>
    </x:row>
    <x:row r="356">
      <x:c r="A356" t="s">
        <x:v>1376</x:v>
      </x:c>
      <x:c r="B356" t="s">
        <x:v>584</x:v>
      </x:c>
      <x:c r="C356" t="s">
        <x:v>323</x:v>
      </x:c>
      <x:c r="D356">
        <x:v>8479514</x:v>
      </x:c>
      <x:c r="E356" t="s">
        <x:v>267</x:v>
      </x:c>
      <x:c r="J356" t="s">
        <x:v>2476</x:v>
      </x:c>
      <x:c r="K356">
        <x:v>58</x:v>
      </x:c>
      <x:c r="L356">
        <x:v>36</x:v>
      </x:c>
      <x:c r="M356">
        <x:v>84</x:v>
      </x:c>
      <x:c r="N356">
        <x:v>45</x:v>
      </x:c>
      <x:c r="O356">
        <x:v>79</x:v>
      </x:c>
      <x:c r="P356">
        <x:v>86</x:v>
      </x:c>
      <x:c r="Q356">
        <x:v>91</x:v>
      </x:c>
      <x:c r="R356">
        <x:v>46</x:v>
      </x:c>
      <x:c r="S356">
        <x:v>78</x:v>
      </x:c>
      <x:c r="T356" s="63" t="n">
        <x:f>MAX(30,MIN(AB356-VLOOKUP(AE356,'AHL_PA_SC_BALANCE'!$A$8:$E$18,2,FALSE),VLOOKUP(AE356,'AHL_PA_SC_BALANCE'!$A$8:$E$18,4,FALSE)))</x:f>
        <x:v>47</x:v>
      </x:c>
      <x:c r="U356" s="63" t="n">
        <x:f>MAX(30,MIN(AC356-VLOOKUP(AE356,'AHL_PA_SC_BALANCE'!$A$8:$E$18,3,FALSE),VLOOKUP(AE356,'AHL_PA_SC_BALANCE'!$A$8:$E$18,5,FALSE)))</x:f>
        <x:v>44</x:v>
      </x:c>
      <x:c r="V356">
        <x:v>62</x:v>
      </x:c>
      <x:c r="W356">
        <x:v>67</x:v>
      </x:c>
      <x:c r="X356">
        <x:v>71</x:v>
      </x:c>
      <x:c r="Y356">
        <x:v>71</x:v>
      </x:c>
      <x:c r="Z356">
        <x:v>51</x:v>
      </x:c>
      <x:c r="AA356">
        <x:v>52</x:v>
      </x:c>
      <x:c r="AB356" s="57" t="n">
        <x:v>47</x:v>
      </x:c>
      <x:c r="AC356" s="57" t="n">
        <x:v>44</x:v>
      </x:c>
      <x:c r="AD356" s="59"/>
      <x:c r="AE356" s="61" t="str">
        <x:f>IF(N(F356)&gt;=10,"NHL_LATEST_10",IF(AND(N(F356)&gt;0,N(G356)&gt;0),"NHL_BOTH_SEASONS",IF(N(G356)&gt;=10,"NHL_PREVIOUS_10",IF(AND(ISNUMBER(AD356),AD356=0,SUM(F356:G356)=0),"FARM_CAREER_0",IF(COUNT(F356:G356)&lt;2,"UNKNOWN_GP",IF(AND(F356=0,G356=0),IF(AD356&gt;=10,"FARM_LEGACY_10",IF(AND(ISNUMBER(AD356),AD356&gt;0),"FARM_CAREER_1_9","FARM_0_0")),IF(F356&gt;=1,IF(F356&lt;=3,"FARM_RECENT_1_3","FARM_RECENT_4_9"),"FARM_PREV_1_9_ONLY")))))))</x:f>
        <x:v>UNKNOWN_GP</x:v>
      </x:c>
      <x:c r="AF356" s="57" t="n">
        <x:f>AB356-T356</x:f>
        <x:v>0</x:v>
      </x:c>
      <x:c r="AG356" s="57" t="n">
        <x:f>AC356-U356</x:f>
        <x:v>0</x:v>
      </x:c>
    </x:row>
    <x:row r="357">
      <x:c r="A357" t="s">
        <x:v>1377</x:v>
      </x:c>
      <x:c r="B357" t="s">
        <x:v>361</x:v>
      </x:c>
      <x:c r="C357" t="s">
        <x:v>326</x:v>
      </x:c>
      <x:c r="D357">
        <x:v>8480292</x:v>
      </x:c>
      <x:c r="E357" t="s">
        <x:v>267</x:v>
      </x:c>
      <x:c r="J357" t="s">
        <x:v>2476</x:v>
      </x:c>
      <x:c r="K357">
        <x:v>73</x:v>
      </x:c>
      <x:c r="L357">
        <x:v>33</x:v>
      </x:c>
      <x:c r="M357">
        <x:v>85</x:v>
      </x:c>
      <x:c r="N357">
        <x:v>40</x:v>
      </x:c>
      <x:c r="O357">
        <x:v>76</x:v>
      </x:c>
      <x:c r="P357">
        <x:v>80</x:v>
      </x:c>
      <x:c r="Q357">
        <x:v>84</x:v>
      </x:c>
      <x:c r="R357">
        <x:v>41</x:v>
      </x:c>
      <x:c r="S357">
        <x:v>56</x:v>
      </x:c>
      <x:c r="T357" s="63" t="n">
        <x:f>MAX(30,MIN(AB357-VLOOKUP(AE357,'AHL_PA_SC_BALANCE'!$A$8:$E$18,2,FALSE),VLOOKUP(AE357,'AHL_PA_SC_BALANCE'!$A$8:$E$18,4,FALSE)))</x:f>
        <x:v>48</x:v>
      </x:c>
      <x:c r="U357" s="63" t="n">
        <x:f>MAX(30,MIN(AC357-VLOOKUP(AE357,'AHL_PA_SC_BALANCE'!$A$8:$E$18,3,FALSE),VLOOKUP(AE357,'AHL_PA_SC_BALANCE'!$A$8:$E$18,5,FALSE)))</x:f>
        <x:v>48</x:v>
      </x:c>
      <x:c r="V357">
        <x:v>59</x:v>
      </x:c>
      <x:c r="W357">
        <x:v>63</x:v>
      </x:c>
      <x:c r="X357">
        <x:v>71</x:v>
      </x:c>
      <x:c r="Y357">
        <x:v>70</x:v>
      </x:c>
      <x:c r="Z357">
        <x:v>51</x:v>
      </x:c>
      <x:c r="AA357">
        <x:v>52</x:v>
      </x:c>
      <x:c r="AB357" s="57" t="n">
        <x:v>48</x:v>
      </x:c>
      <x:c r="AC357" s="57" t="n">
        <x:v>48</x:v>
      </x:c>
      <x:c r="AD357" s="59"/>
      <x:c r="AE357" s="61" t="str">
        <x:f>IF(N(F357)&gt;=10,"NHL_LATEST_10",IF(AND(N(F357)&gt;0,N(G357)&gt;0),"NHL_BOTH_SEASONS",IF(N(G357)&gt;=10,"NHL_PREVIOUS_10",IF(AND(ISNUMBER(AD357),AD357=0,SUM(F357:G357)=0),"FARM_CAREER_0",IF(COUNT(F357:G357)&lt;2,"UNKNOWN_GP",IF(AND(F357=0,G357=0),IF(AD357&gt;=10,"FARM_LEGACY_10",IF(AND(ISNUMBER(AD357),AD357&gt;0),"FARM_CAREER_1_9","FARM_0_0")),IF(F357&gt;=1,IF(F357&lt;=3,"FARM_RECENT_1_3","FARM_RECENT_4_9"),"FARM_PREV_1_9_ONLY")))))))</x:f>
        <x:v>UNKNOWN_GP</x:v>
      </x:c>
      <x:c r="AF357" s="57" t="n">
        <x:f>AB357-T357</x:f>
        <x:v>0</x:v>
      </x:c>
      <x:c r="AG357" s="57" t="n">
        <x:f>AC357-U357</x:f>
        <x:v>0</x:v>
      </x:c>
    </x:row>
    <x:row r="358">
      <x:c r="A358" t="s">
        <x:v>1378</x:v>
      </x:c>
      <x:c r="C358" t="s">
        <x:v>319</x:v>
      </x:c>
      <x:c r="D358">
        <x:v>8480021</x:v>
      </x:c>
      <x:c r="E358" t="s">
        <x:v>267</x:v>
      </x:c>
      <x:c r="J358" t="s">
        <x:v>2474</x:v>
      </x:c>
      <x:c r="K358">
        <x:v>65</x:v>
      </x:c>
      <x:c r="L358">
        <x:v>33</x:v>
      </x:c>
      <x:c r="M358">
        <x:v>89</x:v>
      </x:c>
      <x:c r="N358">
        <x:v>48</x:v>
      </x:c>
      <x:c r="O358">
        <x:v>76</x:v>
      </x:c>
      <x:c r="P358">
        <x:v>77</x:v>
      </x:c>
      <x:c r="Q358">
        <x:v>83</x:v>
      </x:c>
      <x:c r="R358">
        <x:v>47</x:v>
      </x:c>
      <x:c r="S358">
        <x:v>77</x:v>
      </x:c>
      <x:c r="T358" s="63" t="n">
        <x:f>MAX(30,MIN(AB358-VLOOKUP(AE358,'AHL_PA_SC_BALANCE'!$A$8:$E$18,2,FALSE),VLOOKUP(AE358,'AHL_PA_SC_BALANCE'!$A$8:$E$18,4,FALSE)))</x:f>
        <x:v>48</x:v>
      </x:c>
      <x:c r="U358" s="63" t="n">
        <x:f>MAX(30,MIN(AC358-VLOOKUP(AE358,'AHL_PA_SC_BALANCE'!$A$8:$E$18,3,FALSE),VLOOKUP(AE358,'AHL_PA_SC_BALANCE'!$A$8:$E$18,5,FALSE)))</x:f>
        <x:v>49</x:v>
      </x:c>
      <x:c r="V358">
        <x:v>61</x:v>
      </x:c>
      <x:c r="W358">
        <x:v>56</x:v>
      </x:c>
      <x:c r="X358">
        <x:v>69</x:v>
      </x:c>
      <x:c r="Y358">
        <x:v>70</x:v>
      </x:c>
      <x:c r="Z358">
        <x:v>51</x:v>
      </x:c>
      <x:c r="AA358">
        <x:v>51</x:v>
      </x:c>
      <x:c r="AB358" s="57" t="n">
        <x:v>48</x:v>
      </x:c>
      <x:c r="AC358" s="57" t="n">
        <x:v>49</x:v>
      </x:c>
      <x:c r="AD358" s="59"/>
      <x:c r="AE358" s="61" t="str">
        <x:f>IF(N(F358)&gt;=10,"NHL_LATEST_10",IF(AND(N(F358)&gt;0,N(G358)&gt;0),"NHL_BOTH_SEASONS",IF(N(G358)&gt;=10,"NHL_PREVIOUS_10",IF(AND(ISNUMBER(AD358),AD358=0,SUM(F358:G358)=0),"FARM_CAREER_0",IF(COUNT(F358:G358)&lt;2,"UNKNOWN_GP",IF(AND(F358=0,G358=0),IF(AD358&gt;=10,"FARM_LEGACY_10",IF(AND(ISNUMBER(AD358),AD358&gt;0),"FARM_CAREER_1_9","FARM_0_0")),IF(F358&gt;=1,IF(F358&lt;=3,"FARM_RECENT_1_3","FARM_RECENT_4_9"),"FARM_PREV_1_9_ONLY")))))))</x:f>
        <x:v>UNKNOWN_GP</x:v>
      </x:c>
      <x:c r="AF358" s="57" t="n">
        <x:f>AB358-T358</x:f>
        <x:v>0</x:v>
      </x:c>
      <x:c r="AG358" s="57" t="n">
        <x:f>AC358-U358</x:f>
        <x:v>0</x:v>
      </x:c>
    </x:row>
    <x:row r="359">
      <x:c r="A359" t="s">
        <x:v>1379</x:v>
      </x:c>
      <x:c r="C359" t="s">
        <x:v>331</x:v>
      </x:c>
      <x:c r="D359">
        <x:v>8484146</x:v>
      </x:c>
      <x:c r="E359" t="s">
        <x:v>267</x:v>
      </x:c>
      <x:c r="J359" t="s">
        <x:v>2474</x:v>
      </x:c>
      <x:c r="K359">
        <x:v>65</x:v>
      </x:c>
      <x:c r="L359">
        <x:v>40</x:v>
      </x:c>
      <x:c r="M359">
        <x:v>80</x:v>
      </x:c>
      <x:c r="N359">
        <x:v>33</x:v>
      </x:c>
      <x:c r="O359">
        <x:v>79</x:v>
      </x:c>
      <x:c r="P359">
        <x:v>84</x:v>
      </x:c>
      <x:c r="Q359">
        <x:v>88</x:v>
      </x:c>
      <x:c r="R359">
        <x:v>34</x:v>
      </x:c>
      <x:c r="S359">
        <x:v>30</x:v>
      </x:c>
      <x:c r="T359" s="63" t="n">
        <x:f>MAX(30,MIN(AB359-VLOOKUP(AE359,'AHL_PA_SC_BALANCE'!$A$8:$E$18,2,FALSE),VLOOKUP(AE359,'AHL_PA_SC_BALANCE'!$A$8:$E$18,4,FALSE)))</x:f>
        <x:v>45</x:v>
      </x:c>
      <x:c r="U359" s="63" t="n">
        <x:f>MAX(30,MIN(AC359-VLOOKUP(AE359,'AHL_PA_SC_BALANCE'!$A$8:$E$18,3,FALSE),VLOOKUP(AE359,'AHL_PA_SC_BALANCE'!$A$8:$E$18,5,FALSE)))</x:f>
        <x:v>41</x:v>
      </x:c>
      <x:c r="V359">
        <x:v>64</x:v>
      </x:c>
      <x:c r="W359">
        <x:v>48</x:v>
      </x:c>
      <x:c r="X359">
        <x:v>65</x:v>
      </x:c>
      <x:c r="Y359">
        <x:v>65</x:v>
      </x:c>
      <x:c r="Z359">
        <x:v>51</x:v>
      </x:c>
      <x:c r="AA359">
        <x:v>51</x:v>
      </x:c>
      <x:c r="AB359" s="57" t="n">
        <x:v>45</x:v>
      </x:c>
      <x:c r="AC359" s="57" t="n">
        <x:v>41</x:v>
      </x:c>
      <x:c r="AD359" s="59"/>
      <x:c r="AE359" s="61" t="str">
        <x:f>IF(N(F359)&gt;=10,"NHL_LATEST_10",IF(AND(N(F359)&gt;0,N(G359)&gt;0),"NHL_BOTH_SEASONS",IF(N(G359)&gt;=10,"NHL_PREVIOUS_10",IF(AND(ISNUMBER(AD359),AD359=0,SUM(F359:G359)=0),"FARM_CAREER_0",IF(COUNT(F359:G359)&lt;2,"UNKNOWN_GP",IF(AND(F359=0,G359=0),IF(AD359&gt;=10,"FARM_LEGACY_10",IF(AND(ISNUMBER(AD359),AD359&gt;0),"FARM_CAREER_1_9","FARM_0_0")),IF(F359&gt;=1,IF(F359&lt;=3,"FARM_RECENT_1_3","FARM_RECENT_4_9"),"FARM_PREV_1_9_ONLY")))))))</x:f>
        <x:v>UNKNOWN_GP</x:v>
      </x:c>
      <x:c r="AF359" s="57" t="n">
        <x:f>AB359-T359</x:f>
        <x:v>0</x:v>
      </x:c>
      <x:c r="AG359" s="57" t="n">
        <x:f>AC359-U359</x:f>
        <x:v>0</x:v>
      </x:c>
    </x:row>
    <x:row r="360">
      <x:c r="A360" t="s">
        <x:v>1380</x:v>
      </x:c>
      <x:c r="C360" t="s">
        <x:v>358</x:v>
      </x:c>
      <x:c r="D360">
        <x:v>8482802</x:v>
      </x:c>
      <x:c r="E360" t="s">
        <x:v>267</x:v>
      </x:c>
      <x:c r="J360" t="s">
        <x:v>2474</x:v>
      </x:c>
      <x:c r="K360">
        <x:v>58</x:v>
      </x:c>
      <x:c r="L360">
        <x:v>33</x:v>
      </x:c>
      <x:c r="M360">
        <x:v>81</x:v>
      </x:c>
      <x:c r="N360">
        <x:v>46</x:v>
      </x:c>
      <x:c r="O360">
        <x:v>76</x:v>
      </x:c>
      <x:c r="P360">
        <x:v>76</x:v>
      </x:c>
      <x:c r="Q360">
        <x:v>78</x:v>
      </x:c>
      <x:c r="R360">
        <x:v>47</x:v>
      </x:c>
      <x:c r="S360">
        <x:v>70</x:v>
      </x:c>
      <x:c r="T360" s="63" t="n">
        <x:f>MAX(30,MIN(AB360-VLOOKUP(AE360,'AHL_PA_SC_BALANCE'!$A$8:$E$18,2,FALSE),VLOOKUP(AE360,'AHL_PA_SC_BALANCE'!$A$8:$E$18,4,FALSE)))</x:f>
        <x:v>45</x:v>
      </x:c>
      <x:c r="U360" s="63" t="n">
        <x:f>MAX(30,MIN(AC360-VLOOKUP(AE360,'AHL_PA_SC_BALANCE'!$A$8:$E$18,3,FALSE),VLOOKUP(AE360,'AHL_PA_SC_BALANCE'!$A$8:$E$18,5,FALSE)))</x:f>
        <x:v>49</x:v>
      </x:c>
      <x:c r="V360">
        <x:v>62</x:v>
      </x:c>
      <x:c r="W360">
        <x:v>69</x:v>
      </x:c>
      <x:c r="X360">
        <x:v>67</x:v>
      </x:c>
      <x:c r="Y360">
        <x:v>68</x:v>
      </x:c>
      <x:c r="Z360">
        <x:v>51</x:v>
      </x:c>
      <x:c r="AA360">
        <x:v>51</x:v>
      </x:c>
      <x:c r="AB360" s="57" t="n">
        <x:v>45</x:v>
      </x:c>
      <x:c r="AC360" s="57" t="n">
        <x:v>49</x:v>
      </x:c>
      <x:c r="AD360" s="59"/>
      <x:c r="AE360" s="61" t="str">
        <x:f>IF(N(F360)&gt;=10,"NHL_LATEST_10",IF(AND(N(F360)&gt;0,N(G360)&gt;0),"NHL_BOTH_SEASONS",IF(N(G360)&gt;=10,"NHL_PREVIOUS_10",IF(AND(ISNUMBER(AD360),AD360=0,SUM(F360:G360)=0),"FARM_CAREER_0",IF(COUNT(F360:G360)&lt;2,"UNKNOWN_GP",IF(AND(F360=0,G360=0),IF(AD360&gt;=10,"FARM_LEGACY_10",IF(AND(ISNUMBER(AD360),AD360&gt;0),"FARM_CAREER_1_9","FARM_0_0")),IF(F360&gt;=1,IF(F360&lt;=3,"FARM_RECENT_1_3","FARM_RECENT_4_9"),"FARM_PREV_1_9_ONLY")))))))</x:f>
        <x:v>UNKNOWN_GP</x:v>
      </x:c>
      <x:c r="AF360" s="57" t="n">
        <x:f>AB360-T360</x:f>
        <x:v>0</x:v>
      </x:c>
      <x:c r="AG360" s="57" t="n">
        <x:f>AC360-U360</x:f>
        <x:v>0</x:v>
      </x:c>
    </x:row>
    <x:row r="361">
      <x:c r="A361" t="s">
        <x:v>1381</x:v>
      </x:c>
      <x:c r="C361" t="s">
        <x:v>333</x:v>
      </x:c>
      <x:c r="D361">
        <x:v>8484392</x:v>
      </x:c>
      <x:c r="E361" t="s">
        <x:v>267</x:v>
      </x:c>
      <x:c r="J361" t="s">
        <x:v>2474</x:v>
      </x:c>
      <x:c r="K361">
        <x:v>69</x:v>
      </x:c>
      <x:c r="L361">
        <x:v>42</x:v>
      </x:c>
      <x:c r="M361">
        <x:v>89</x:v>
      </x:c>
      <x:c r="N361">
        <x:v>46</x:v>
      </x:c>
      <x:c r="O361">
        <x:v>74</x:v>
      </x:c>
      <x:c r="P361">
        <x:v>90</x:v>
      </x:c>
      <x:c r="Q361">
        <x:v>95</x:v>
      </x:c>
      <x:c r="R361">
        <x:v>46</x:v>
      </x:c>
      <x:c r="S361">
        <x:v>71</x:v>
      </x:c>
      <x:c r="T361" s="63" t="n">
        <x:f>MAX(30,MIN(AB361-VLOOKUP(AE361,'AHL_PA_SC_BALANCE'!$A$8:$E$18,2,FALSE),VLOOKUP(AE361,'AHL_PA_SC_BALANCE'!$A$8:$E$18,4,FALSE)))</x:f>
        <x:v>50</x:v>
      </x:c>
      <x:c r="U361" s="63" t="n">
        <x:f>MAX(30,MIN(AC361-VLOOKUP(AE361,'AHL_PA_SC_BALANCE'!$A$8:$E$18,3,FALSE),VLOOKUP(AE361,'AHL_PA_SC_BALANCE'!$A$8:$E$18,5,FALSE)))</x:f>
        <x:v>45</x:v>
      </x:c>
      <x:c r="V361">
        <x:v>60</x:v>
      </x:c>
      <x:c r="W361">
        <x:v>69</x:v>
      </x:c>
      <x:c r="X361">
        <x:v>65</x:v>
      </x:c>
      <x:c r="Y361">
        <x:v>65</x:v>
      </x:c>
      <x:c r="Z361">
        <x:v>51</x:v>
      </x:c>
      <x:c r="AA361">
        <x:v>51</x:v>
      </x:c>
      <x:c r="AB361" s="57" t="n">
        <x:v>50</x:v>
      </x:c>
      <x:c r="AC361" s="57" t="n">
        <x:v>45</x:v>
      </x:c>
      <x:c r="AD361" s="59"/>
      <x:c r="AE361" s="61" t="str">
        <x:f>IF(N(F361)&gt;=10,"NHL_LATEST_10",IF(AND(N(F361)&gt;0,N(G361)&gt;0),"NHL_BOTH_SEASONS",IF(N(G361)&gt;=10,"NHL_PREVIOUS_10",IF(AND(ISNUMBER(AD361),AD361=0,SUM(F361:G361)=0),"FARM_CAREER_0",IF(COUNT(F361:G361)&lt;2,"UNKNOWN_GP",IF(AND(F361=0,G361=0),IF(AD361&gt;=10,"FARM_LEGACY_10",IF(AND(ISNUMBER(AD361),AD361&gt;0),"FARM_CAREER_1_9","FARM_0_0")),IF(F361&gt;=1,IF(F361&lt;=3,"FARM_RECENT_1_3","FARM_RECENT_4_9"),"FARM_PREV_1_9_ONLY")))))))</x:f>
        <x:v>UNKNOWN_GP</x:v>
      </x:c>
      <x:c r="AF361" s="57" t="n">
        <x:f>AB361-T361</x:f>
        <x:v>0</x:v>
      </x:c>
      <x:c r="AG361" s="57" t="n">
        <x:f>AC361-U361</x:f>
        <x:v>0</x:v>
      </x:c>
    </x:row>
    <x:row r="362">
      <x:c r="A362" t="s">
        <x:v>1382</x:v>
      </x:c>
      <x:c r="C362" t="s">
        <x:v>326</x:v>
      </x:c>
      <x:c r="D362">
        <x:v>8480245</x:v>
      </x:c>
      <x:c r="E362" t="s">
        <x:v>267</x:v>
      </x:c>
      <x:c r="J362" t="s">
        <x:v>2474</x:v>
      </x:c>
      <x:c r="K362">
        <x:v>62</x:v>
      </x:c>
      <x:c r="L362">
        <x:v>35</x:v>
      </x:c>
      <x:c r="M362">
        <x:v>86</x:v>
      </x:c>
      <x:c r="N362">
        <x:v>45</x:v>
      </x:c>
      <x:c r="O362">
        <x:v>75</x:v>
      </x:c>
      <x:c r="P362">
        <x:v>80</x:v>
      </x:c>
      <x:c r="Q362">
        <x:v>83</x:v>
      </x:c>
      <x:c r="R362">
        <x:v>46</x:v>
      </x:c>
      <x:c r="S362">
        <x:v>70</x:v>
      </x:c>
      <x:c r="T362" s="63" t="n">
        <x:f>MAX(30,MIN(AB362-VLOOKUP(AE362,'AHL_PA_SC_BALANCE'!$A$8:$E$18,2,FALSE),VLOOKUP(AE362,'AHL_PA_SC_BALANCE'!$A$8:$E$18,4,FALSE)))</x:f>
        <x:v>52</x:v>
      </x:c>
      <x:c r="U362" s="63" t="n">
        <x:f>MAX(30,MIN(AC362-VLOOKUP(AE362,'AHL_PA_SC_BALANCE'!$A$8:$E$18,3,FALSE),VLOOKUP(AE362,'AHL_PA_SC_BALANCE'!$A$8:$E$18,5,FALSE)))</x:f>
        <x:v>51</x:v>
      </x:c>
      <x:c r="V362">
        <x:v>61</x:v>
      </x:c>
      <x:c r="W362">
        <x:v>68</x:v>
      </x:c>
      <x:c r="X362">
        <x:v>70</x:v>
      </x:c>
      <x:c r="Y362">
        <x:v>70</x:v>
      </x:c>
      <x:c r="Z362">
        <x:v>51</x:v>
      </x:c>
      <x:c r="AA362">
        <x:v>51</x:v>
      </x:c>
      <x:c r="AB362" s="57" t="n">
        <x:v>52</x:v>
      </x:c>
      <x:c r="AC362" s="57" t="n">
        <x:v>51</x:v>
      </x:c>
      <x:c r="AD362" s="59"/>
      <x:c r="AE362" s="61" t="str">
        <x:f>IF(N(F362)&gt;=10,"NHL_LATEST_10",IF(AND(N(F362)&gt;0,N(G362)&gt;0),"NHL_BOTH_SEASONS",IF(N(G362)&gt;=10,"NHL_PREVIOUS_10",IF(AND(ISNUMBER(AD362),AD362=0,SUM(F362:G362)=0),"FARM_CAREER_0",IF(COUNT(F362:G362)&lt;2,"UNKNOWN_GP",IF(AND(F362=0,G362=0),IF(AD362&gt;=10,"FARM_LEGACY_10",IF(AND(ISNUMBER(AD362),AD362&gt;0),"FARM_CAREER_1_9","FARM_0_0")),IF(F362&gt;=1,IF(F362&lt;=3,"FARM_RECENT_1_3","FARM_RECENT_4_9"),"FARM_PREV_1_9_ONLY")))))))</x:f>
        <x:v>UNKNOWN_GP</x:v>
      </x:c>
      <x:c r="AF362" s="57" t="n">
        <x:f>AB362-T362</x:f>
        <x:v>0</x:v>
      </x:c>
      <x:c r="AG362" s="57" t="n">
        <x:f>AC362-U362</x:f>
        <x:v>0</x:v>
      </x:c>
    </x:row>
    <x:row r="363">
      <x:c r="A363" t="s">
        <x:v>1384</x:v>
      </x:c>
      <x:c r="C363" t="s">
        <x:v>323</x:v>
      </x:c>
      <x:c r="D363">
        <x:v>8483505</x:v>
      </x:c>
      <x:c r="E363" t="s">
        <x:v>267</x:v>
      </x:c>
      <x:c r="J363" t="s">
        <x:v>2474</x:v>
      </x:c>
      <x:c r="K363">
        <x:v>62</x:v>
      </x:c>
      <x:c r="L363">
        <x:v>35</x:v>
      </x:c>
      <x:c r="M363">
        <x:v>84</x:v>
      </x:c>
      <x:c r="N363">
        <x:v>46</x:v>
      </x:c>
      <x:c r="O363">
        <x:v>75</x:v>
      </x:c>
      <x:c r="P363">
        <x:v>90</x:v>
      </x:c>
      <x:c r="Q363">
        <x:v>94</x:v>
      </x:c>
      <x:c r="R363">
        <x:v>47</x:v>
      </x:c>
      <x:c r="S363">
        <x:v>77</x:v>
      </x:c>
      <x:c r="T363" s="63" t="n">
        <x:f>MAX(30,MIN(AB363-VLOOKUP(AE363,'AHL_PA_SC_BALANCE'!$A$8:$E$18,2,FALSE),VLOOKUP(AE363,'AHL_PA_SC_BALANCE'!$A$8:$E$18,4,FALSE)))</x:f>
        <x:v>53</x:v>
      </x:c>
      <x:c r="U363" s="63" t="n">
        <x:f>MAX(30,MIN(AC363-VLOOKUP(AE363,'AHL_PA_SC_BALANCE'!$A$8:$E$18,3,FALSE),VLOOKUP(AE363,'AHL_PA_SC_BALANCE'!$A$8:$E$18,5,FALSE)))</x:f>
        <x:v>54</x:v>
      </x:c>
      <x:c r="V363">
        <x:v>63</x:v>
      </x:c>
      <x:c r="W363">
        <x:v>69</x:v>
      </x:c>
      <x:c r="X363">
        <x:v>66</x:v>
      </x:c>
      <x:c r="Y363">
        <x:v>64</x:v>
      </x:c>
      <x:c r="Z363">
        <x:v>51</x:v>
      </x:c>
      <x:c r="AA363">
        <x:v>51</x:v>
      </x:c>
      <x:c r="AB363" s="57" t="n">
        <x:v>53</x:v>
      </x:c>
      <x:c r="AC363" s="57" t="n">
        <x:v>54</x:v>
      </x:c>
      <x:c r="AD363" s="59"/>
      <x:c r="AE363" s="61" t="str">
        <x:f>IF(N(F363)&gt;=10,"NHL_LATEST_10",IF(AND(N(F363)&gt;0,N(G363)&gt;0),"NHL_BOTH_SEASONS",IF(N(G363)&gt;=10,"NHL_PREVIOUS_10",IF(AND(ISNUMBER(AD363),AD363=0,SUM(F363:G363)=0),"FARM_CAREER_0",IF(COUNT(F363:G363)&lt;2,"UNKNOWN_GP",IF(AND(F363=0,G363=0),IF(AD363&gt;=10,"FARM_LEGACY_10",IF(AND(ISNUMBER(AD363),AD363&gt;0),"FARM_CAREER_1_9","FARM_0_0")),IF(F363&gt;=1,IF(F363&lt;=3,"FARM_RECENT_1_3","FARM_RECENT_4_9"),"FARM_PREV_1_9_ONLY")))))))</x:f>
        <x:v>UNKNOWN_GP</x:v>
      </x:c>
      <x:c r="AF363" s="57" t="n">
        <x:f>AB363-T363</x:f>
        <x:v>0</x:v>
      </x:c>
      <x:c r="AG363" s="57" t="n">
        <x:f>AC363-U363</x:f>
        <x:v>0</x:v>
      </x:c>
    </x:row>
    <x:row r="364">
      <x:c r="A364" t="s">
        <x:v>1385</x:v>
      </x:c>
      <x:c r="C364" t="s">
        <x:v>319</x:v>
      </x:c>
      <x:c r="D364">
        <x:v>8484214</x:v>
      </x:c>
      <x:c r="E364" t="s">
        <x:v>267</x:v>
      </x:c>
      <x:c r="J364" t="s">
        <x:v>2474</x:v>
      </x:c>
      <x:c r="K364">
        <x:v>63</x:v>
      </x:c>
      <x:c r="L364">
        <x:v>39</x:v>
      </x:c>
      <x:c r="M364">
        <x:v>78</x:v>
      </x:c>
      <x:c r="N364">
        <x:v>46</x:v>
      </x:c>
      <x:c r="O364">
        <x:v>79</x:v>
      </x:c>
      <x:c r="P364">
        <x:v>91</x:v>
      </x:c>
      <x:c r="Q364">
        <x:v>95</x:v>
      </x:c>
      <x:c r="R364">
        <x:v>45</x:v>
      </x:c>
      <x:c r="S364">
        <x:v>65</x:v>
      </x:c>
      <x:c r="T364" s="63" t="n">
        <x:f>MAX(30,MIN(AB364-VLOOKUP(AE364,'AHL_PA_SC_BALANCE'!$A$8:$E$18,2,FALSE),VLOOKUP(AE364,'AHL_PA_SC_BALANCE'!$A$8:$E$18,4,FALSE)))</x:f>
        <x:v>49</x:v>
      </x:c>
      <x:c r="U364" s="63" t="n">
        <x:f>MAX(30,MIN(AC364-VLOOKUP(AE364,'AHL_PA_SC_BALANCE'!$A$8:$E$18,3,FALSE),VLOOKUP(AE364,'AHL_PA_SC_BALANCE'!$A$8:$E$18,5,FALSE)))</x:f>
        <x:v>44</x:v>
      </x:c>
      <x:c r="V364">
        <x:v>63</x:v>
      </x:c>
      <x:c r="W364">
        <x:v>68</x:v>
      </x:c>
      <x:c r="X364">
        <x:v>65</x:v>
      </x:c>
      <x:c r="Y364">
        <x:v>65</x:v>
      </x:c>
      <x:c r="Z364">
        <x:v>51</x:v>
      </x:c>
      <x:c r="AA364">
        <x:v>51</x:v>
      </x:c>
      <x:c r="AB364" s="57" t="n">
        <x:v>49</x:v>
      </x:c>
      <x:c r="AC364" s="57" t="n">
        <x:v>44</x:v>
      </x:c>
      <x:c r="AD364" s="59"/>
      <x:c r="AE364" s="61" t="str">
        <x:f>IF(N(F364)&gt;=10,"NHL_LATEST_10",IF(AND(N(F364)&gt;0,N(G364)&gt;0),"NHL_BOTH_SEASONS",IF(N(G364)&gt;=10,"NHL_PREVIOUS_10",IF(AND(ISNUMBER(AD364),AD364=0,SUM(F364:G364)=0),"FARM_CAREER_0",IF(COUNT(F364:G364)&lt;2,"UNKNOWN_GP",IF(AND(F364=0,G364=0),IF(AD364&gt;=10,"FARM_LEGACY_10",IF(AND(ISNUMBER(AD364),AD364&gt;0),"FARM_CAREER_1_9","FARM_0_0")),IF(F364&gt;=1,IF(F364&lt;=3,"FARM_RECENT_1_3","FARM_RECENT_4_9"),"FARM_PREV_1_9_ONLY")))))))</x:f>
        <x:v>UNKNOWN_GP</x:v>
      </x:c>
      <x:c r="AF364" s="57" t="n">
        <x:f>AB364-T364</x:f>
        <x:v>0</x:v>
      </x:c>
      <x:c r="AG364" s="57" t="n">
        <x:f>AC364-U364</x:f>
        <x:v>0</x:v>
      </x:c>
    </x:row>
    <x:row r="365">
      <x:c r="A365" t="s">
        <x:v>1386</x:v>
      </x:c>
      <x:c r="C365" t="s">
        <x:v>331</x:v>
      </x:c>
      <x:c r="D365">
        <x:v>8480808</x:v>
      </x:c>
      <x:c r="E365" t="s">
        <x:v>267</x:v>
      </x:c>
      <x:c r="J365" t="s">
        <x:v>2474</x:v>
      </x:c>
      <x:c r="K365">
        <x:v>72</x:v>
      </x:c>
      <x:c r="L365">
        <x:v>34</x:v>
      </x:c>
      <x:c r="M365">
        <x:v>72</x:v>
      </x:c>
      <x:c r="N365">
        <x:v>33</x:v>
      </x:c>
      <x:c r="O365">
        <x:v>82</x:v>
      </x:c>
      <x:c r="P365">
        <x:v>82</x:v>
      </x:c>
      <x:c r="Q365">
        <x:v>84</x:v>
      </x:c>
      <x:c r="R365">
        <x:v>32</x:v>
      </x:c>
      <x:c r="S365">
        <x:v>30</x:v>
      </x:c>
      <x:c r="T365" s="63" t="n">
        <x:f>MAX(30,MIN(AB365-VLOOKUP(AE365,'AHL_PA_SC_BALANCE'!$A$8:$E$18,2,FALSE),VLOOKUP(AE365,'AHL_PA_SC_BALANCE'!$A$8:$E$18,4,FALSE)))</x:f>
        <x:v>42</x:v>
      </x:c>
      <x:c r="U365" s="63" t="n">
        <x:f>MAX(30,MIN(AC365-VLOOKUP(AE365,'AHL_PA_SC_BALANCE'!$A$8:$E$18,3,FALSE),VLOOKUP(AE365,'AHL_PA_SC_BALANCE'!$A$8:$E$18,5,FALSE)))</x:f>
        <x:v>40</x:v>
      </x:c>
      <x:c r="V365">
        <x:v>66</x:v>
      </x:c>
      <x:c r="W365">
        <x:v>46</x:v>
      </x:c>
      <x:c r="X365">
        <x:v>69</x:v>
      </x:c>
      <x:c r="Y365">
        <x:v>70</x:v>
      </x:c>
      <x:c r="Z365">
        <x:v>51</x:v>
      </x:c>
      <x:c r="AA365">
        <x:v>51</x:v>
      </x:c>
      <x:c r="AB365" s="57" t="n">
        <x:v>42</x:v>
      </x:c>
      <x:c r="AC365" s="57" t="n">
        <x:v>40</x:v>
      </x:c>
      <x:c r="AD365" s="59"/>
      <x:c r="AE365" s="61" t="str">
        <x:f>IF(N(F365)&gt;=10,"NHL_LATEST_10",IF(AND(N(F365)&gt;0,N(G365)&gt;0),"NHL_BOTH_SEASONS",IF(N(G365)&gt;=10,"NHL_PREVIOUS_10",IF(AND(ISNUMBER(AD365),AD365=0,SUM(F365:G365)=0),"FARM_CAREER_0",IF(COUNT(F365:G365)&lt;2,"UNKNOWN_GP",IF(AND(F365=0,G365=0),IF(AD365&gt;=10,"FARM_LEGACY_10",IF(AND(ISNUMBER(AD365),AD365&gt;0),"FARM_CAREER_1_9","FARM_0_0")),IF(F365&gt;=1,IF(F365&lt;=3,"FARM_RECENT_1_3","FARM_RECENT_4_9"),"FARM_PREV_1_9_ONLY")))))))</x:f>
        <x:v>UNKNOWN_GP</x:v>
      </x:c>
      <x:c r="AF365" s="57" t="n">
        <x:f>AB365-T365</x:f>
        <x:v>0</x:v>
      </x:c>
      <x:c r="AG365" s="57" t="n">
        <x:f>AC365-U365</x:f>
        <x:v>0</x:v>
      </x:c>
    </x:row>
    <x:row r="366">
      <x:c r="A366" t="s">
        <x:v>1387</x:v>
      </x:c>
      <x:c r="C366" t="s">
        <x:v>331</x:v>
      </x:c>
      <x:c r="D366">
        <x:v>8482098</x:v>
      </x:c>
      <x:c r="E366" t="s">
        <x:v>267</x:v>
      </x:c>
      <x:c r="J366" t="s">
        <x:v>2474</x:v>
      </x:c>
      <x:c r="K366">
        <x:v>63</x:v>
      </x:c>
      <x:c r="L366">
        <x:v>40</x:v>
      </x:c>
      <x:c r="M366">
        <x:v>81</x:v>
      </x:c>
      <x:c r="N366">
        <x:v>33</x:v>
      </x:c>
      <x:c r="O366">
        <x:v>79</x:v>
      </x:c>
      <x:c r="P366">
        <x:v>73</x:v>
      </x:c>
      <x:c r="Q366">
        <x:v>76</x:v>
      </x:c>
      <x:c r="R366">
        <x:v>32</x:v>
      </x:c>
      <x:c r="S366">
        <x:v>30</x:v>
      </x:c>
      <x:c r="T366" s="63" t="n">
        <x:f>MAX(30,MIN(AB366-VLOOKUP(AE366,'AHL_PA_SC_BALANCE'!$A$8:$E$18,2,FALSE),VLOOKUP(AE366,'AHL_PA_SC_BALANCE'!$A$8:$E$18,4,FALSE)))</x:f>
        <x:v>42</x:v>
      </x:c>
      <x:c r="U366" s="63" t="n">
        <x:f>MAX(30,MIN(AC366-VLOOKUP(AE366,'AHL_PA_SC_BALANCE'!$A$8:$E$18,3,FALSE),VLOOKUP(AE366,'AHL_PA_SC_BALANCE'!$A$8:$E$18,5,FALSE)))</x:f>
        <x:v>40</x:v>
      </x:c>
      <x:c r="V366">
        <x:v>67</x:v>
      </x:c>
      <x:c r="W366">
        <x:v>46</x:v>
      </x:c>
      <x:c r="X366">
        <x:v>67</x:v>
      </x:c>
      <x:c r="Y366">
        <x:v>66</x:v>
      </x:c>
      <x:c r="Z366">
        <x:v>51</x:v>
      </x:c>
      <x:c r="AA366">
        <x:v>51</x:v>
      </x:c>
      <x:c r="AB366" s="57" t="n">
        <x:v>42</x:v>
      </x:c>
      <x:c r="AC366" s="57" t="n">
        <x:v>40</x:v>
      </x:c>
      <x:c r="AD366" s="59"/>
      <x:c r="AE366" s="61" t="str">
        <x:f>IF(N(F366)&gt;=10,"NHL_LATEST_10",IF(AND(N(F366)&gt;0,N(G366)&gt;0),"NHL_BOTH_SEASONS",IF(N(G366)&gt;=10,"NHL_PREVIOUS_10",IF(AND(ISNUMBER(AD366),AD366=0,SUM(F366:G366)=0),"FARM_CAREER_0",IF(COUNT(F366:G366)&lt;2,"UNKNOWN_GP",IF(AND(F366=0,G366=0),IF(AD366&gt;=10,"FARM_LEGACY_10",IF(AND(ISNUMBER(AD366),AD366&gt;0),"FARM_CAREER_1_9","FARM_0_0")),IF(F366&gt;=1,IF(F366&lt;=3,"FARM_RECENT_1_3","FARM_RECENT_4_9"),"FARM_PREV_1_9_ONLY")))))))</x:f>
        <x:v>UNKNOWN_GP</x:v>
      </x:c>
      <x:c r="AF366" s="57" t="n">
        <x:f>AB366-T366</x:f>
        <x:v>0</x:v>
      </x:c>
      <x:c r="AG366" s="57" t="n">
        <x:f>AC366-U366</x:f>
        <x:v>0</x:v>
      </x:c>
    </x:row>
    <x:row r="367">
      <x:c r="A367" t="s">
        <x:v>1388</x:v>
      </x:c>
      <x:c r="C367" t="s">
        <x:v>331</x:v>
      </x:c>
      <x:c r="D367">
        <x:v>8486178</x:v>
      </x:c>
      <x:c r="E367" t="s">
        <x:v>267</x:v>
      </x:c>
      <x:c r="J367" t="s">
        <x:v>2474</x:v>
      </x:c>
      <x:c r="K367">
        <x:v>67</x:v>
      </x:c>
      <x:c r="L367">
        <x:v>36</x:v>
      </x:c>
      <x:c r="M367">
        <x:v>91</x:v>
      </x:c>
      <x:c r="N367">
        <x:v>33</x:v>
      </x:c>
      <x:c r="O367">
        <x:v>80</x:v>
      </x:c>
      <x:c r="P367">
        <x:v>68</x:v>
      </x:c>
      <x:c r="Q367">
        <x:v>71</x:v>
      </x:c>
      <x:c r="R367">
        <x:v>34</x:v>
      </x:c>
      <x:c r="S367">
        <x:v>30</x:v>
      </x:c>
      <x:c r="T367" s="63" t="n">
        <x:f>MAX(30,MIN(AB367-VLOOKUP(AE367,'AHL_PA_SC_BALANCE'!$A$8:$E$18,2,FALSE),VLOOKUP(AE367,'AHL_PA_SC_BALANCE'!$A$8:$E$18,4,FALSE)))</x:f>
        <x:v>42</x:v>
      </x:c>
      <x:c r="U367" s="63" t="n">
        <x:f>MAX(30,MIN(AC367-VLOOKUP(AE367,'AHL_PA_SC_BALANCE'!$A$8:$E$18,3,FALSE),VLOOKUP(AE367,'AHL_PA_SC_BALANCE'!$A$8:$E$18,5,FALSE)))</x:f>
        <x:v>40</x:v>
      </x:c>
      <x:c r="V367">
        <x:v>66</x:v>
      </x:c>
      <x:c r="W367">
        <x:v>46</x:v>
      </x:c>
      <x:c r="X367">
        <x:v>66</x:v>
      </x:c>
      <x:c r="Y367">
        <x:v>66</x:v>
      </x:c>
      <x:c r="Z367">
        <x:v>51</x:v>
      </x:c>
      <x:c r="AA367">
        <x:v>51</x:v>
      </x:c>
      <x:c r="AB367" s="57" t="n">
        <x:v>42</x:v>
      </x:c>
      <x:c r="AC367" s="57" t="n">
        <x:v>40</x:v>
      </x:c>
      <x:c r="AD367" s="59"/>
      <x:c r="AE367" s="61" t="str">
        <x:f>IF(N(F367)&gt;=10,"NHL_LATEST_10",IF(AND(N(F367)&gt;0,N(G367)&gt;0),"NHL_BOTH_SEASONS",IF(N(G367)&gt;=10,"NHL_PREVIOUS_10",IF(AND(ISNUMBER(AD367),AD367=0,SUM(F367:G367)=0),"FARM_CAREER_0",IF(COUNT(F367:G367)&lt;2,"UNKNOWN_GP",IF(AND(F367=0,G367=0),IF(AD367&gt;=10,"FARM_LEGACY_10",IF(AND(ISNUMBER(AD367),AD367&gt;0),"FARM_CAREER_1_9","FARM_0_0")),IF(F367&gt;=1,IF(F367&lt;=3,"FARM_RECENT_1_3","FARM_RECENT_4_9"),"FARM_PREV_1_9_ONLY")))))))</x:f>
        <x:v>UNKNOWN_GP</x:v>
      </x:c>
      <x:c r="AF367" s="57" t="n">
        <x:f>AB367-T367</x:f>
        <x:v>0</x:v>
      </x:c>
      <x:c r="AG367" s="57" t="n">
        <x:f>AC367-U367</x:f>
        <x:v>0</x:v>
      </x:c>
    </x:row>
    <x:row r="368">
      <x:c r="A368" t="s">
        <x:v>1389</x:v>
      </x:c>
      <x:c r="C368" t="s">
        <x:v>331</x:v>
      </x:c>
      <x:c r="D368">
        <x:v>8480257</x:v>
      </x:c>
      <x:c r="E368" t="s">
        <x:v>267</x:v>
      </x:c>
      <x:c r="J368" t="s">
        <x:v>2474</x:v>
      </x:c>
      <x:c r="K368">
        <x:v>62</x:v>
      </x:c>
      <x:c r="L368">
        <x:v>33</x:v>
      </x:c>
      <x:c r="M368">
        <x:v>91</x:v>
      </x:c>
      <x:c r="N368">
        <x:v>32</x:v>
      </x:c>
      <x:c r="O368">
        <x:v>77</x:v>
      </x:c>
      <x:c r="P368">
        <x:v>72</x:v>
      </x:c>
      <x:c r="Q368">
        <x:v>73</x:v>
      </x:c>
      <x:c r="R368">
        <x:v>33</x:v>
      </x:c>
      <x:c r="S368">
        <x:v>30</x:v>
      </x:c>
      <x:c r="T368" s="63" t="n">
        <x:f>MAX(30,MIN(AB368-VLOOKUP(AE368,'AHL_PA_SC_BALANCE'!$A$8:$E$18,2,FALSE),VLOOKUP(AE368,'AHL_PA_SC_BALANCE'!$A$8:$E$18,4,FALSE)))</x:f>
        <x:v>43</x:v>
      </x:c>
      <x:c r="U368" s="63" t="n">
        <x:f>MAX(30,MIN(AC368-VLOOKUP(AE368,'AHL_PA_SC_BALANCE'!$A$8:$E$18,3,FALSE),VLOOKUP(AE368,'AHL_PA_SC_BALANCE'!$A$8:$E$18,5,FALSE)))</x:f>
        <x:v>39</x:v>
      </x:c>
      <x:c r="V368">
        <x:v>67</x:v>
      </x:c>
      <x:c r="W368">
        <x:v>46</x:v>
      </x:c>
      <x:c r="X368">
        <x:v>70</x:v>
      </x:c>
      <x:c r="Y368">
        <x:v>71</x:v>
      </x:c>
      <x:c r="Z368">
        <x:v>51</x:v>
      </x:c>
      <x:c r="AA368">
        <x:v>51</x:v>
      </x:c>
      <x:c r="AB368" s="57" t="n">
        <x:v>43</x:v>
      </x:c>
      <x:c r="AC368" s="57" t="n">
        <x:v>39</x:v>
      </x:c>
      <x:c r="AD368" s="59"/>
      <x:c r="AE368" s="61" t="str">
        <x:f>IF(N(F368)&gt;=10,"NHL_LATEST_10",IF(AND(N(F368)&gt;0,N(G368)&gt;0),"NHL_BOTH_SEASONS",IF(N(G368)&gt;=10,"NHL_PREVIOUS_10",IF(AND(ISNUMBER(AD368),AD368=0,SUM(F368:G368)=0),"FARM_CAREER_0",IF(COUNT(F368:G368)&lt;2,"UNKNOWN_GP",IF(AND(F368=0,G368=0),IF(AD368&gt;=10,"FARM_LEGACY_10",IF(AND(ISNUMBER(AD368),AD368&gt;0),"FARM_CAREER_1_9","FARM_0_0")),IF(F368&gt;=1,IF(F368&lt;=3,"FARM_RECENT_1_3","FARM_RECENT_4_9"),"FARM_PREV_1_9_ONLY")))))))</x:f>
        <x:v>UNKNOWN_GP</x:v>
      </x:c>
      <x:c r="AF368" s="57" t="n">
        <x:f>AB368-T368</x:f>
        <x:v>0</x:v>
      </x:c>
      <x:c r="AG368" s="57" t="n">
        <x:f>AC368-U368</x:f>
        <x:v>0</x:v>
      </x:c>
    </x:row>
    <x:row r="369">
      <x:c r="A369" t="s">
        <x:v>1390</x:v>
      </x:c>
      <x:c r="C369" t="s">
        <x:v>331</x:v>
      </x:c>
      <x:c r="D369">
        <x:v>8480998</x:v>
      </x:c>
      <x:c r="E369" t="s">
        <x:v>267</x:v>
      </x:c>
      <x:c r="J369" t="s">
        <x:v>2474</x:v>
      </x:c>
      <x:c r="K369">
        <x:v>68</x:v>
      </x:c>
      <x:c r="L369">
        <x:v>33</x:v>
      </x:c>
      <x:c r="M369">
        <x:v>79</x:v>
      </x:c>
      <x:c r="N369">
        <x:v>32</x:v>
      </x:c>
      <x:c r="O369">
        <x:v>79</x:v>
      </x:c>
      <x:c r="P369">
        <x:v>85</x:v>
      </x:c>
      <x:c r="Q369">
        <x:v>89</x:v>
      </x:c>
      <x:c r="R369">
        <x:v>32</x:v>
      </x:c>
      <x:c r="S369">
        <x:v>30</x:v>
      </x:c>
      <x:c r="T369" s="63" t="n">
        <x:f>MAX(30,MIN(AB369-VLOOKUP(AE369,'AHL_PA_SC_BALANCE'!$A$8:$E$18,2,FALSE),VLOOKUP(AE369,'AHL_PA_SC_BALANCE'!$A$8:$E$18,4,FALSE)))</x:f>
        <x:v>43</x:v>
      </x:c>
      <x:c r="U369" s="63" t="n">
        <x:f>MAX(30,MIN(AC369-VLOOKUP(AE369,'AHL_PA_SC_BALANCE'!$A$8:$E$18,3,FALSE),VLOOKUP(AE369,'AHL_PA_SC_BALANCE'!$A$8:$E$18,5,FALSE)))</x:f>
        <x:v>39</x:v>
      </x:c>
      <x:c r="V369">
        <x:v>68</x:v>
      </x:c>
      <x:c r="W369">
        <x:v>46</x:v>
      </x:c>
      <x:c r="X369">
        <x:v>69</x:v>
      </x:c>
      <x:c r="Y369">
        <x:v>69</x:v>
      </x:c>
      <x:c r="Z369">
        <x:v>51</x:v>
      </x:c>
      <x:c r="AA369">
        <x:v>51</x:v>
      </x:c>
      <x:c r="AB369" s="57" t="n">
        <x:v>43</x:v>
      </x:c>
      <x:c r="AC369" s="57" t="n">
        <x:v>39</x:v>
      </x:c>
      <x:c r="AD369" s="59"/>
      <x:c r="AE369" s="61" t="str">
        <x:f>IF(N(F369)&gt;=10,"NHL_LATEST_10",IF(AND(N(F369)&gt;0,N(G369)&gt;0),"NHL_BOTH_SEASONS",IF(N(G369)&gt;=10,"NHL_PREVIOUS_10",IF(AND(ISNUMBER(AD369),AD369=0,SUM(F369:G369)=0),"FARM_CAREER_0",IF(COUNT(F369:G369)&lt;2,"UNKNOWN_GP",IF(AND(F369=0,G369=0),IF(AD369&gt;=10,"FARM_LEGACY_10",IF(AND(ISNUMBER(AD369),AD369&gt;0),"FARM_CAREER_1_9","FARM_0_0")),IF(F369&gt;=1,IF(F369&lt;=3,"FARM_RECENT_1_3","FARM_RECENT_4_9"),"FARM_PREV_1_9_ONLY")))))))</x:f>
        <x:v>UNKNOWN_GP</x:v>
      </x:c>
      <x:c r="AF369" s="57" t="n">
        <x:f>AB369-T369</x:f>
        <x:v>0</x:v>
      </x:c>
      <x:c r="AG369" s="57" t="n">
        <x:f>AC369-U369</x:f>
        <x:v>0</x:v>
      </x:c>
    </x:row>
    <x:row r="370">
      <x:c r="A370" t="s">
        <x:v>1391</x:v>
      </x:c>
      <x:c r="C370" t="s">
        <x:v>331</x:v>
      </x:c>
      <x:c r="D370">
        <x:v>8480075</x:v>
      </x:c>
      <x:c r="E370" t="s">
        <x:v>267</x:v>
      </x:c>
      <x:c r="J370" t="s">
        <x:v>2474</x:v>
      </x:c>
      <x:c r="K370">
        <x:v>71</x:v>
      </x:c>
      <x:c r="L370">
        <x:v>39</x:v>
      </x:c>
      <x:c r="M370">
        <x:v>83</x:v>
      </x:c>
      <x:c r="N370">
        <x:v>32</x:v>
      </x:c>
      <x:c r="O370">
        <x:v>82</x:v>
      </x:c>
      <x:c r="P370">
        <x:v>84</x:v>
      </x:c>
      <x:c r="Q370">
        <x:v>86</x:v>
      </x:c>
      <x:c r="R370">
        <x:v>32</x:v>
      </x:c>
      <x:c r="S370">
        <x:v>30</x:v>
      </x:c>
      <x:c r="T370" s="63" t="n">
        <x:f>MAX(30,MIN(AB370-VLOOKUP(AE370,'AHL_PA_SC_BALANCE'!$A$8:$E$18,2,FALSE),VLOOKUP(AE370,'AHL_PA_SC_BALANCE'!$A$8:$E$18,4,FALSE)))</x:f>
        <x:v>41</x:v>
      </x:c>
      <x:c r="U370" s="63" t="n">
        <x:f>MAX(30,MIN(AC370-VLOOKUP(AE370,'AHL_PA_SC_BALANCE'!$A$8:$E$18,3,FALSE),VLOOKUP(AE370,'AHL_PA_SC_BALANCE'!$A$8:$E$18,5,FALSE)))</x:f>
        <x:v>40</x:v>
      </x:c>
      <x:c r="V370">
        <x:v>69</x:v>
      </x:c>
      <x:c r="W370">
        <x:v>45</x:v>
      </x:c>
      <x:c r="X370">
        <x:v>69</x:v>
      </x:c>
      <x:c r="Y370">
        <x:v>68</x:v>
      </x:c>
      <x:c r="Z370">
        <x:v>51</x:v>
      </x:c>
      <x:c r="AA370">
        <x:v>51</x:v>
      </x:c>
      <x:c r="AB370" s="57" t="n">
        <x:v>41</x:v>
      </x:c>
      <x:c r="AC370" s="57" t="n">
        <x:v>40</x:v>
      </x:c>
      <x:c r="AD370" s="59"/>
      <x:c r="AE370" s="61" t="str">
        <x:f>IF(N(F370)&gt;=10,"NHL_LATEST_10",IF(AND(N(F370)&gt;0,N(G370)&gt;0),"NHL_BOTH_SEASONS",IF(N(G370)&gt;=10,"NHL_PREVIOUS_10",IF(AND(ISNUMBER(AD370),AD370=0,SUM(F370:G370)=0),"FARM_CAREER_0",IF(COUNT(F370:G370)&lt;2,"UNKNOWN_GP",IF(AND(F370=0,G370=0),IF(AD370&gt;=10,"FARM_LEGACY_10",IF(AND(ISNUMBER(AD370),AD370&gt;0),"FARM_CAREER_1_9","FARM_0_0")),IF(F370&gt;=1,IF(F370&lt;=3,"FARM_RECENT_1_3","FARM_RECENT_4_9"),"FARM_PREV_1_9_ONLY")))))))</x:f>
        <x:v>UNKNOWN_GP</x:v>
      </x:c>
      <x:c r="AF370" s="57" t="n">
        <x:f>AB370-T370</x:f>
        <x:v>0</x:v>
      </x:c>
      <x:c r="AG370" s="57" t="n">
        <x:f>AC370-U370</x:f>
        <x:v>0</x:v>
      </x:c>
    </x:row>
    <x:row r="371">
      <x:c r="A371" t="s">
        <x:v>1392</x:v>
      </x:c>
      <x:c r="C371" t="s">
        <x:v>331</x:v>
      </x:c>
      <x:c r="D371">
        <x:v>8479595</x:v>
      </x:c>
      <x:c r="E371" t="s">
        <x:v>267</x:v>
      </x:c>
      <x:c r="J371" t="s">
        <x:v>2474</x:v>
      </x:c>
      <x:c r="K371">
        <x:v>64</x:v>
      </x:c>
      <x:c r="L371">
        <x:v>38</x:v>
      </x:c>
      <x:c r="M371">
        <x:v>92</x:v>
      </x:c>
      <x:c r="N371">
        <x:v>33</x:v>
      </x:c>
      <x:c r="O371">
        <x:v>82</x:v>
      </x:c>
      <x:c r="P371">
        <x:v>80</x:v>
      </x:c>
      <x:c r="Q371">
        <x:v>82</x:v>
      </x:c>
      <x:c r="R371">
        <x:v>34</x:v>
      </x:c>
      <x:c r="S371">
        <x:v>30</x:v>
      </x:c>
      <x:c r="T371" s="63" t="n">
        <x:f>MAX(30,MIN(AB371-VLOOKUP(AE371,'AHL_PA_SC_BALANCE'!$A$8:$E$18,2,FALSE),VLOOKUP(AE371,'AHL_PA_SC_BALANCE'!$A$8:$E$18,4,FALSE)))</x:f>
        <x:v>42</x:v>
      </x:c>
      <x:c r="U371" s="63" t="n">
        <x:f>MAX(30,MIN(AC371-VLOOKUP(AE371,'AHL_PA_SC_BALANCE'!$A$8:$E$18,3,FALSE),VLOOKUP(AE371,'AHL_PA_SC_BALANCE'!$A$8:$E$18,5,FALSE)))</x:f>
        <x:v>40</x:v>
      </x:c>
      <x:c r="V371">
        <x:v>65</x:v>
      </x:c>
      <x:c r="W371">
        <x:v>46</x:v>
      </x:c>
      <x:c r="X371">
        <x:v>72</x:v>
      </x:c>
      <x:c r="Y371">
        <x:v>73</x:v>
      </x:c>
      <x:c r="Z371">
        <x:v>51</x:v>
      </x:c>
      <x:c r="AA371">
        <x:v>51</x:v>
      </x:c>
      <x:c r="AB371" s="57" t="n">
        <x:v>42</x:v>
      </x:c>
      <x:c r="AC371" s="57" t="n">
        <x:v>40</x:v>
      </x:c>
      <x:c r="AD371" s="59"/>
      <x:c r="AE371" s="61" t="str">
        <x:f>IF(N(F371)&gt;=10,"NHL_LATEST_10",IF(AND(N(F371)&gt;0,N(G371)&gt;0),"NHL_BOTH_SEASONS",IF(N(G371)&gt;=10,"NHL_PREVIOUS_10",IF(AND(ISNUMBER(AD371),AD371=0,SUM(F371:G371)=0),"FARM_CAREER_0",IF(COUNT(F371:G371)&lt;2,"UNKNOWN_GP",IF(AND(F371=0,G371=0),IF(AD371&gt;=10,"FARM_LEGACY_10",IF(AND(ISNUMBER(AD371),AD371&gt;0),"FARM_CAREER_1_9","FARM_0_0")),IF(F371&gt;=1,IF(F371&lt;=3,"FARM_RECENT_1_3","FARM_RECENT_4_9"),"FARM_PREV_1_9_ONLY")))))))</x:f>
        <x:v>UNKNOWN_GP</x:v>
      </x:c>
      <x:c r="AF371" s="57" t="n">
        <x:f>AB371-T371</x:f>
        <x:v>0</x:v>
      </x:c>
      <x:c r="AG371" s="57" t="n">
        <x:f>AC371-U371</x:f>
        <x:v>0</x:v>
      </x:c>
    </x:row>
    <x:row r="372">
      <x:c r="A372" t="s">
        <x:v>1393</x:v>
      </x:c>
      <x:c r="C372" t="s">
        <x:v>319</x:v>
      </x:c>
      <x:c r="D372">
        <x:v>8481228</x:v>
      </x:c>
      <x:c r="E372" t="s">
        <x:v>267</x:v>
      </x:c>
      <x:c r="J372" t="s">
        <x:v>2474</x:v>
      </x:c>
      <x:c r="K372">
        <x:v>68</x:v>
      </x:c>
      <x:c r="L372">
        <x:v>39</x:v>
      </x:c>
      <x:c r="M372">
        <x:v>79</x:v>
      </x:c>
      <x:c r="N372">
        <x:v>47</x:v>
      </x:c>
      <x:c r="O372">
        <x:v>80</x:v>
      </x:c>
      <x:c r="P372">
        <x:v>87</x:v>
      </x:c>
      <x:c r="Q372">
        <x:v>92</x:v>
      </x:c>
      <x:c r="R372">
        <x:v>48</x:v>
      </x:c>
      <x:c r="S372">
        <x:v>81</x:v>
      </x:c>
      <x:c r="T372" s="63" t="n">
        <x:f>MAX(30,MIN(AB372-VLOOKUP(AE372,'AHL_PA_SC_BALANCE'!$A$8:$E$18,2,FALSE),VLOOKUP(AE372,'AHL_PA_SC_BALANCE'!$A$8:$E$18,4,FALSE)))</x:f>
        <x:v>48</x:v>
      </x:c>
      <x:c r="U372" s="63" t="n">
        <x:f>MAX(30,MIN(AC372-VLOOKUP(AE372,'AHL_PA_SC_BALANCE'!$A$8:$E$18,3,FALSE),VLOOKUP(AE372,'AHL_PA_SC_BALANCE'!$A$8:$E$18,5,FALSE)))</x:f>
        <x:v>43</x:v>
      </x:c>
      <x:c r="V372">
        <x:v>58</x:v>
      </x:c>
      <x:c r="W372">
        <x:v>67</x:v>
      </x:c>
      <x:c r="X372">
        <x:v>70</x:v>
      </x:c>
      <x:c r="Y372">
        <x:v>69</x:v>
      </x:c>
      <x:c r="Z372">
        <x:v>51</x:v>
      </x:c>
      <x:c r="AA372">
        <x:v>51</x:v>
      </x:c>
      <x:c r="AB372" s="57" t="n">
        <x:v>48</x:v>
      </x:c>
      <x:c r="AC372" s="57" t="n">
        <x:v>43</x:v>
      </x:c>
      <x:c r="AD372" s="59"/>
      <x:c r="AE372" s="61" t="str">
        <x:f>IF(N(F372)&gt;=10,"NHL_LATEST_10",IF(AND(N(F372)&gt;0,N(G372)&gt;0),"NHL_BOTH_SEASONS",IF(N(G372)&gt;=10,"NHL_PREVIOUS_10",IF(AND(ISNUMBER(AD372),AD372=0,SUM(F372:G372)=0),"FARM_CAREER_0",IF(COUNT(F372:G372)&lt;2,"UNKNOWN_GP",IF(AND(F372=0,G372=0),IF(AD372&gt;=10,"FARM_LEGACY_10",IF(AND(ISNUMBER(AD372),AD372&gt;0),"FARM_CAREER_1_9","FARM_0_0")),IF(F372&gt;=1,IF(F372&lt;=3,"FARM_RECENT_1_3","FARM_RECENT_4_9"),"FARM_PREV_1_9_ONLY")))))))</x:f>
        <x:v>UNKNOWN_GP</x:v>
      </x:c>
      <x:c r="AF372" s="57" t="n">
        <x:f>AB372-T372</x:f>
        <x:v>0</x:v>
      </x:c>
      <x:c r="AG372" s="57" t="n">
        <x:f>AC372-U372</x:f>
        <x:v>0</x:v>
      </x:c>
    </x:row>
    <x:row r="373">
      <x:c r="A373" t="s">
        <x:v>1394</x:v>
      </x:c>
      <x:c r="C373" t="s">
        <x:v>331</x:v>
      </x:c>
      <x:c r="D373">
        <x:v>8483427</x:v>
      </x:c>
      <x:c r="E373" t="s">
        <x:v>267</x:v>
      </x:c>
      <x:c r="J373" t="s">
        <x:v>2474</x:v>
      </x:c>
      <x:c r="K373">
        <x:v>73</x:v>
      </x:c>
      <x:c r="L373">
        <x:v>46</x:v>
      </x:c>
      <x:c r="M373">
        <x:v>84</x:v>
      </x:c>
      <x:c r="N373">
        <x:v>32</x:v>
      </x:c>
      <x:c r="O373">
        <x:v>76</x:v>
      </x:c>
      <x:c r="P373">
        <x:v>82</x:v>
      </x:c>
      <x:c r="Q373">
        <x:v>85</x:v>
      </x:c>
      <x:c r="R373">
        <x:v>32</x:v>
      </x:c>
      <x:c r="S373">
        <x:v>30</x:v>
      </x:c>
      <x:c r="T373" s="63" t="n">
        <x:f>MAX(30,MIN(AB373-VLOOKUP(AE373,'AHL_PA_SC_BALANCE'!$A$8:$E$18,2,FALSE),VLOOKUP(AE373,'AHL_PA_SC_BALANCE'!$A$8:$E$18,4,FALSE)))</x:f>
        <x:v>40</x:v>
      </x:c>
      <x:c r="U373" s="63" t="n">
        <x:f>MAX(30,MIN(AC373-VLOOKUP(AE373,'AHL_PA_SC_BALANCE'!$A$8:$E$18,3,FALSE),VLOOKUP(AE373,'AHL_PA_SC_BALANCE'!$A$8:$E$18,5,FALSE)))</x:f>
        <x:v>41</x:v>
      </x:c>
      <x:c r="V373">
        <x:v>66</x:v>
      </x:c>
      <x:c r="W373">
        <x:v>45</x:v>
      </x:c>
      <x:c r="X373">
        <x:v>65</x:v>
      </x:c>
      <x:c r="Y373">
        <x:v>64</x:v>
      </x:c>
      <x:c r="Z373">
        <x:v>51</x:v>
      </x:c>
      <x:c r="AA373">
        <x:v>51</x:v>
      </x:c>
      <x:c r="AB373" s="57" t="n">
        <x:v>40</x:v>
      </x:c>
      <x:c r="AC373" s="57" t="n">
        <x:v>41</x:v>
      </x:c>
      <x:c r="AD373" s="59"/>
      <x:c r="AE373" s="61" t="str">
        <x:f>IF(N(F373)&gt;=10,"NHL_LATEST_10",IF(AND(N(F373)&gt;0,N(G373)&gt;0),"NHL_BOTH_SEASONS",IF(N(G373)&gt;=10,"NHL_PREVIOUS_10",IF(AND(ISNUMBER(AD373),AD373=0,SUM(F373:G373)=0),"FARM_CAREER_0",IF(COUNT(F373:G373)&lt;2,"UNKNOWN_GP",IF(AND(F373=0,G373=0),IF(AD373&gt;=10,"FARM_LEGACY_10",IF(AND(ISNUMBER(AD373),AD373&gt;0),"FARM_CAREER_1_9","FARM_0_0")),IF(F373&gt;=1,IF(F373&lt;=3,"FARM_RECENT_1_3","FARM_RECENT_4_9"),"FARM_PREV_1_9_ONLY")))))))</x:f>
        <x:v>UNKNOWN_GP</x:v>
      </x:c>
      <x:c r="AF373" s="57" t="n">
        <x:f>AB373-T373</x:f>
        <x:v>0</x:v>
      </x:c>
      <x:c r="AG373" s="57" t="n">
        <x:f>AC373-U373</x:f>
        <x:v>0</x:v>
      </x:c>
    </x:row>
    <x:row r="374">
      <x:c r="A374" t="s">
        <x:v>1395</x:v>
      </x:c>
      <x:c r="C374" t="s">
        <x:v>331</x:v>
      </x:c>
      <x:c r="D374">
        <x:v>8482676</x:v>
      </x:c>
      <x:c r="E374" t="s">
        <x:v>267</x:v>
      </x:c>
      <x:c r="J374" t="s">
        <x:v>2474</x:v>
      </x:c>
      <x:c r="K374">
        <x:v>62</x:v>
      </x:c>
      <x:c r="L374">
        <x:v>37</x:v>
      </x:c>
      <x:c r="M374">
        <x:v>85</x:v>
      </x:c>
      <x:c r="N374">
        <x:v>34</x:v>
      </x:c>
      <x:c r="O374">
        <x:v>79</x:v>
      </x:c>
      <x:c r="P374">
        <x:v>80</x:v>
      </x:c>
      <x:c r="Q374">
        <x:v>84</x:v>
      </x:c>
      <x:c r="R374">
        <x:v>35</x:v>
      </x:c>
      <x:c r="S374">
        <x:v>30</x:v>
      </x:c>
      <x:c r="T374" s="63" t="n">
        <x:f>MAX(30,MIN(AB374-VLOOKUP(AE374,'AHL_PA_SC_BALANCE'!$A$8:$E$18,2,FALSE),VLOOKUP(AE374,'AHL_PA_SC_BALANCE'!$A$8:$E$18,4,FALSE)))</x:f>
        <x:v>45</x:v>
      </x:c>
      <x:c r="U374" s="63" t="n">
        <x:f>MAX(30,MIN(AC374-VLOOKUP(AE374,'AHL_PA_SC_BALANCE'!$A$8:$E$18,3,FALSE),VLOOKUP(AE374,'AHL_PA_SC_BALANCE'!$A$8:$E$18,5,FALSE)))</x:f>
        <x:v>41</x:v>
      </x:c>
      <x:c r="V374">
        <x:v>64</x:v>
      </x:c>
      <x:c r="W374">
        <x:v>48</x:v>
      </x:c>
      <x:c r="X374">
        <x:v>65</x:v>
      </x:c>
      <x:c r="Y374">
        <x:v>66</x:v>
      </x:c>
      <x:c r="Z374">
        <x:v>51</x:v>
      </x:c>
      <x:c r="AA374">
        <x:v>51</x:v>
      </x:c>
      <x:c r="AB374" s="57" t="n">
        <x:v>45</x:v>
      </x:c>
      <x:c r="AC374" s="57" t="n">
        <x:v>41</x:v>
      </x:c>
      <x:c r="AD374" s="59"/>
      <x:c r="AE374" s="61" t="str">
        <x:f>IF(N(F374)&gt;=10,"NHL_LATEST_10",IF(AND(N(F374)&gt;0,N(G374)&gt;0),"NHL_BOTH_SEASONS",IF(N(G374)&gt;=10,"NHL_PREVIOUS_10",IF(AND(ISNUMBER(AD374),AD374=0,SUM(F374:G374)=0),"FARM_CAREER_0",IF(COUNT(F374:G374)&lt;2,"UNKNOWN_GP",IF(AND(F374=0,G374=0),IF(AD374&gt;=10,"FARM_LEGACY_10",IF(AND(ISNUMBER(AD374),AD374&gt;0),"FARM_CAREER_1_9","FARM_0_0")),IF(F374&gt;=1,IF(F374&lt;=3,"FARM_RECENT_1_3","FARM_RECENT_4_9"),"FARM_PREV_1_9_ONLY")))))))</x:f>
        <x:v>UNKNOWN_GP</x:v>
      </x:c>
      <x:c r="AF374" s="57" t="n">
        <x:f>AB374-T374</x:f>
        <x:v>0</x:v>
      </x:c>
      <x:c r="AG374" s="57" t="n">
        <x:f>AC374-U374</x:f>
        <x:v>0</x:v>
      </x:c>
    </x:row>
    <x:row r="375">
      <x:c r="A375" t="s">
        <x:v>1396</x:v>
      </x:c>
      <x:c r="C375" t="s">
        <x:v>331</x:v>
      </x:c>
      <x:c r="D375">
        <x:v>8482952</x:v>
      </x:c>
      <x:c r="E375" t="s">
        <x:v>267</x:v>
      </x:c>
      <x:c r="J375" t="s">
        <x:v>2474</x:v>
      </x:c>
      <x:c r="K375">
        <x:v>80</x:v>
      </x:c>
      <x:c r="L375">
        <x:v>39</x:v>
      </x:c>
      <x:c r="M375">
        <x:v>91</x:v>
      </x:c>
      <x:c r="N375">
        <x:v>32</x:v>
      </x:c>
      <x:c r="O375">
        <x:v>81</x:v>
      </x:c>
      <x:c r="P375">
        <x:v>71</x:v>
      </x:c>
      <x:c r="Q375">
        <x:v>74</x:v>
      </x:c>
      <x:c r="R375">
        <x:v>31</x:v>
      </x:c>
      <x:c r="S375">
        <x:v>30</x:v>
      </x:c>
      <x:c r="T375" s="63" t="n">
        <x:f>MAX(30,MIN(AB375-VLOOKUP(AE375,'AHL_PA_SC_BALANCE'!$A$8:$E$18,2,FALSE),VLOOKUP(AE375,'AHL_PA_SC_BALANCE'!$A$8:$E$18,4,FALSE)))</x:f>
        <x:v>42</x:v>
      </x:c>
      <x:c r="U375" s="63" t="n">
        <x:f>MAX(30,MIN(AC375-VLOOKUP(AE375,'AHL_PA_SC_BALANCE'!$A$8:$E$18,3,FALSE),VLOOKUP(AE375,'AHL_PA_SC_BALANCE'!$A$8:$E$18,5,FALSE)))</x:f>
        <x:v>38</x:v>
      </x:c>
      <x:c r="V375">
        <x:v>67</x:v>
      </x:c>
      <x:c r="W375">
        <x:v>45</x:v>
      </x:c>
      <x:c r="X375">
        <x:v>66</x:v>
      </x:c>
      <x:c r="Y375">
        <x:v>65</x:v>
      </x:c>
      <x:c r="Z375">
        <x:v>51</x:v>
      </x:c>
      <x:c r="AA375">
        <x:v>51</x:v>
      </x:c>
      <x:c r="AB375" s="57" t="n">
        <x:v>42</x:v>
      </x:c>
      <x:c r="AC375" s="57" t="n">
        <x:v>38</x:v>
      </x:c>
      <x:c r="AD375" s="59"/>
      <x:c r="AE375" s="61" t="str">
        <x:f>IF(N(F375)&gt;=10,"NHL_LATEST_10",IF(AND(N(F375)&gt;0,N(G375)&gt;0),"NHL_BOTH_SEASONS",IF(N(G375)&gt;=10,"NHL_PREVIOUS_10",IF(AND(ISNUMBER(AD375),AD375=0,SUM(F375:G375)=0),"FARM_CAREER_0",IF(COUNT(F375:G375)&lt;2,"UNKNOWN_GP",IF(AND(F375=0,G375=0),IF(AD375&gt;=10,"FARM_LEGACY_10",IF(AND(ISNUMBER(AD375),AD375&gt;0),"FARM_CAREER_1_9","FARM_0_0")),IF(F375&gt;=1,IF(F375&lt;=3,"FARM_RECENT_1_3","FARM_RECENT_4_9"),"FARM_PREV_1_9_ONLY")))))))</x:f>
        <x:v>UNKNOWN_GP</x:v>
      </x:c>
      <x:c r="AF375" s="57" t="n">
        <x:f>AB375-T375</x:f>
        <x:v>0</x:v>
      </x:c>
      <x:c r="AG375" s="57" t="n">
        <x:f>AC375-U375</x:f>
        <x:v>0</x:v>
      </x:c>
    </x:row>
    <x:row r="376">
      <x:c r="A376" t="s">
        <x:v>1397</x:v>
      </x:c>
      <x:c r="C376" t="s">
        <x:v>319</x:v>
      </x:c>
      <x:c r="D376">
        <x:v>8483481</x:v>
      </x:c>
      <x:c r="E376" t="s">
        <x:v>267</x:v>
      </x:c>
      <x:c r="J376" t="s">
        <x:v>2474</x:v>
      </x:c>
      <x:c r="K376">
        <x:v>57</x:v>
      </x:c>
      <x:c r="L376">
        <x:v>40</x:v>
      </x:c>
      <x:c r="M376">
        <x:v>86</x:v>
      </x:c>
      <x:c r="N376">
        <x:v>46</x:v>
      </x:c>
      <x:c r="O376">
        <x:v>79</x:v>
      </x:c>
      <x:c r="P376">
        <x:v>70</x:v>
      </x:c>
      <x:c r="Q376">
        <x:v>70</x:v>
      </x:c>
      <x:c r="R376">
        <x:v>46</x:v>
      </x:c>
      <x:c r="S376">
        <x:v>71</x:v>
      </x:c>
      <x:c r="T376" s="63" t="n">
        <x:f>MAX(30,MIN(AB376-VLOOKUP(AE376,'AHL_PA_SC_BALANCE'!$A$8:$E$18,2,FALSE),VLOOKUP(AE376,'AHL_PA_SC_BALANCE'!$A$8:$E$18,4,FALSE)))</x:f>
        <x:v>48</x:v>
      </x:c>
      <x:c r="U376" s="63" t="n">
        <x:f>MAX(30,MIN(AC376-VLOOKUP(AE376,'AHL_PA_SC_BALANCE'!$A$8:$E$18,3,FALSE),VLOOKUP(AE376,'AHL_PA_SC_BALANCE'!$A$8:$E$18,5,FALSE)))</x:f>
        <x:v>46</x:v>
      </x:c>
      <x:c r="V376">
        <x:v>57</x:v>
      </x:c>
      <x:c r="W376">
        <x:v>68</x:v>
      </x:c>
      <x:c r="X376">
        <x:v>66</x:v>
      </x:c>
      <x:c r="Y376">
        <x:v>68</x:v>
      </x:c>
      <x:c r="Z376">
        <x:v>51</x:v>
      </x:c>
      <x:c r="AA376">
        <x:v>51</x:v>
      </x:c>
      <x:c r="AB376" s="57" t="n">
        <x:v>48</x:v>
      </x:c>
      <x:c r="AC376" s="57" t="n">
        <x:v>46</x:v>
      </x:c>
      <x:c r="AD376" s="59"/>
      <x:c r="AE376" s="61" t="str">
        <x:f>IF(N(F376)&gt;=10,"NHL_LATEST_10",IF(AND(N(F376)&gt;0,N(G376)&gt;0),"NHL_BOTH_SEASONS",IF(N(G376)&gt;=10,"NHL_PREVIOUS_10",IF(AND(ISNUMBER(AD376),AD376=0,SUM(F376:G376)=0),"FARM_CAREER_0",IF(COUNT(F376:G376)&lt;2,"UNKNOWN_GP",IF(AND(F376=0,G376=0),IF(AD376&gt;=10,"FARM_LEGACY_10",IF(AND(ISNUMBER(AD376),AD376&gt;0),"FARM_CAREER_1_9","FARM_0_0")),IF(F376&gt;=1,IF(F376&lt;=3,"FARM_RECENT_1_3","FARM_RECENT_4_9"),"FARM_PREV_1_9_ONLY")))))))</x:f>
        <x:v>UNKNOWN_GP</x:v>
      </x:c>
      <x:c r="AF376" s="57" t="n">
        <x:f>AB376-T376</x:f>
        <x:v>0</x:v>
      </x:c>
      <x:c r="AG376" s="57" t="n">
        <x:f>AC376-U376</x:f>
        <x:v>0</x:v>
      </x:c>
    </x:row>
    <x:row r="377">
      <x:c r="A377" t="s">
        <x:v>1398</x:v>
      </x:c>
      <x:c r="C377" t="s">
        <x:v>331</x:v>
      </x:c>
      <x:c r="D377">
        <x:v>8483059</x:v>
      </x:c>
      <x:c r="E377" t="s">
        <x:v>267</x:v>
      </x:c>
      <x:c r="J377" t="s">
        <x:v>2474</x:v>
      </x:c>
      <x:c r="K377">
        <x:v>74</x:v>
      </x:c>
      <x:c r="L377">
        <x:v>35</x:v>
      </x:c>
      <x:c r="M377">
        <x:v>89</x:v>
      </x:c>
      <x:c r="N377">
        <x:v>33</x:v>
      </x:c>
      <x:c r="O377">
        <x:v>81</x:v>
      </x:c>
      <x:c r="P377">
        <x:v>81</x:v>
      </x:c>
      <x:c r="Q377">
        <x:v>84</x:v>
      </x:c>
      <x:c r="R377">
        <x:v>32</x:v>
      </x:c>
      <x:c r="S377">
        <x:v>30</x:v>
      </x:c>
      <x:c r="T377" s="63" t="n">
        <x:f>MAX(30,MIN(AB377-VLOOKUP(AE377,'AHL_PA_SC_BALANCE'!$A$8:$E$18,2,FALSE),VLOOKUP(AE377,'AHL_PA_SC_BALANCE'!$A$8:$E$18,4,FALSE)))</x:f>
        <x:v>42</x:v>
      </x:c>
      <x:c r="U377" s="63" t="n">
        <x:f>MAX(30,MIN(AC377-VLOOKUP(AE377,'AHL_PA_SC_BALANCE'!$A$8:$E$18,3,FALSE),VLOOKUP(AE377,'AHL_PA_SC_BALANCE'!$A$8:$E$18,5,FALSE)))</x:f>
        <x:v>40</x:v>
      </x:c>
      <x:c r="V377">
        <x:v>64</x:v>
      </x:c>
      <x:c r="W377">
        <x:v>46</x:v>
      </x:c>
      <x:c r="X377">
        <x:v>67</x:v>
      </x:c>
      <x:c r="Y377">
        <x:v>67</x:v>
      </x:c>
      <x:c r="Z377">
        <x:v>51</x:v>
      </x:c>
      <x:c r="AA377">
        <x:v>51</x:v>
      </x:c>
      <x:c r="AB377" s="57" t="n">
        <x:v>42</x:v>
      </x:c>
      <x:c r="AC377" s="57" t="n">
        <x:v>40</x:v>
      </x:c>
      <x:c r="AD377" s="59"/>
      <x:c r="AE377" s="61" t="str">
        <x:f>IF(N(F377)&gt;=10,"NHL_LATEST_10",IF(AND(N(F377)&gt;0,N(G377)&gt;0),"NHL_BOTH_SEASONS",IF(N(G377)&gt;=10,"NHL_PREVIOUS_10",IF(AND(ISNUMBER(AD377),AD377=0,SUM(F377:G377)=0),"FARM_CAREER_0",IF(COUNT(F377:G377)&lt;2,"UNKNOWN_GP",IF(AND(F377=0,G377=0),IF(AD377&gt;=10,"FARM_LEGACY_10",IF(AND(ISNUMBER(AD377),AD377&gt;0),"FARM_CAREER_1_9","FARM_0_0")),IF(F377&gt;=1,IF(F377&lt;=3,"FARM_RECENT_1_3","FARM_RECENT_4_9"),"FARM_PREV_1_9_ONLY")))))))</x:f>
        <x:v>UNKNOWN_GP</x:v>
      </x:c>
      <x:c r="AF377" s="57" t="n">
        <x:f>AB377-T377</x:f>
        <x:v>0</x:v>
      </x:c>
      <x:c r="AG377" s="57" t="n">
        <x:f>AC377-U377</x:f>
        <x:v>0</x:v>
      </x:c>
    </x:row>
    <x:row r="378">
      <x:c r="A378" t="s">
        <x:v>1399</x:v>
      </x:c>
      <x:c r="C378" t="s">
        <x:v>331</x:v>
      </x:c>
      <x:c r="E378" t="s">
        <x:v>267</x:v>
      </x:c>
      <x:c r="J378" t="s">
        <x:v>2474</x:v>
      </x:c>
      <x:c r="K378">
        <x:v>77</x:v>
      </x:c>
      <x:c r="L378">
        <x:v>44</x:v>
      </x:c>
      <x:c r="M378">
        <x:v>74</x:v>
      </x:c>
      <x:c r="N378">
        <x:v>31</x:v>
      </x:c>
      <x:c r="O378">
        <x:v>85</x:v>
      </x:c>
      <x:c r="P378">
        <x:v>81</x:v>
      </x:c>
      <x:c r="Q378">
        <x:v>87</x:v>
      </x:c>
      <x:c r="R378">
        <x:v>32</x:v>
      </x:c>
      <x:c r="S378">
        <x:v>30</x:v>
      </x:c>
      <x:c r="T378" s="63" t="n">
        <x:f>MAX(30,MIN(AB378-VLOOKUP(AE378,'AHL_PA_SC_BALANCE'!$A$8:$E$18,2,FALSE),VLOOKUP(AE378,'AHL_PA_SC_BALANCE'!$A$8:$E$18,4,FALSE)))</x:f>
        <x:v>40</x:v>
      </x:c>
      <x:c r="U378" s="63" t="n">
        <x:f>MAX(30,MIN(AC378-VLOOKUP(AE378,'AHL_PA_SC_BALANCE'!$A$8:$E$18,3,FALSE),VLOOKUP(AE378,'AHL_PA_SC_BALANCE'!$A$8:$E$18,5,FALSE)))</x:f>
        <x:v>40</x:v>
      </x:c>
      <x:c r="V378">
        <x:v>64</x:v>
      </x:c>
      <x:c r="W378">
        <x:v>45</x:v>
      </x:c>
      <x:c r="X378">
        <x:v>66</x:v>
      </x:c>
      <x:c r="Y378">
        <x:v>66</x:v>
      </x:c>
      <x:c r="Z378">
        <x:v>51</x:v>
      </x:c>
      <x:c r="AA378">
        <x:v>51</x:v>
      </x:c>
      <x:c r="AB378" s="57" t="n">
        <x:v>40</x:v>
      </x:c>
      <x:c r="AC378" s="57" t="n">
        <x:v>40</x:v>
      </x:c>
      <x:c r="AD378" s="59"/>
      <x:c r="AE378" s="61" t="str">
        <x:f>IF(N(F378)&gt;=10,"NHL_LATEST_10",IF(AND(N(F378)&gt;0,N(G378)&gt;0),"NHL_BOTH_SEASONS",IF(N(G378)&gt;=10,"NHL_PREVIOUS_10",IF(AND(ISNUMBER(AD378),AD378=0,SUM(F378:G378)=0),"FARM_CAREER_0",IF(COUNT(F378:G378)&lt;2,"UNKNOWN_GP",IF(AND(F378=0,G378=0),IF(AD378&gt;=10,"FARM_LEGACY_10",IF(AND(ISNUMBER(AD378),AD378&gt;0),"FARM_CAREER_1_9","FARM_0_0")),IF(F378&gt;=1,IF(F378&lt;=3,"FARM_RECENT_1_3","FARM_RECENT_4_9"),"FARM_PREV_1_9_ONLY")))))))</x:f>
        <x:v>UNKNOWN_GP</x:v>
      </x:c>
      <x:c r="AF378" s="57" t="n">
        <x:f>AB378-T378</x:f>
        <x:v>0</x:v>
      </x:c>
      <x:c r="AG378" s="57" t="n">
        <x:f>AC378-U378</x:f>
        <x:v>0</x:v>
      </x:c>
    </x:row>
    <x:row r="379">
      <x:c r="A379" t="s">
        <x:v>1400</x:v>
      </x:c>
      <x:c r="C379" t="s">
        <x:v>331</x:v>
      </x:c>
      <x:c r="D379">
        <x:v>8484174</x:v>
      </x:c>
      <x:c r="E379" t="s">
        <x:v>267</x:v>
      </x:c>
      <x:c r="J379" t="s">
        <x:v>2474</x:v>
      </x:c>
      <x:c r="K379">
        <x:v>77</x:v>
      </x:c>
      <x:c r="L379">
        <x:v>44</x:v>
      </x:c>
      <x:c r="M379">
        <x:v>75</x:v>
      </x:c>
      <x:c r="N379">
        <x:v>32</x:v>
      </x:c>
      <x:c r="O379">
        <x:v>83</x:v>
      </x:c>
      <x:c r="P379">
        <x:v>91</x:v>
      </x:c>
      <x:c r="Q379">
        <x:v>95</x:v>
      </x:c>
      <x:c r="R379">
        <x:v>31</x:v>
      </x:c>
      <x:c r="S379">
        <x:v>30</x:v>
      </x:c>
      <x:c r="T379" s="63" t="n">
        <x:f>MAX(30,MIN(AB379-VLOOKUP(AE379,'AHL_PA_SC_BALANCE'!$A$8:$E$18,2,FALSE),VLOOKUP(AE379,'AHL_PA_SC_BALANCE'!$A$8:$E$18,4,FALSE)))</x:f>
        <x:v>42</x:v>
      </x:c>
      <x:c r="U379" s="63" t="n">
        <x:f>MAX(30,MIN(AC379-VLOOKUP(AE379,'AHL_PA_SC_BALANCE'!$A$8:$E$18,3,FALSE),VLOOKUP(AE379,'AHL_PA_SC_BALANCE'!$A$8:$E$18,5,FALSE)))</x:f>
        <x:v>39</x:v>
      </x:c>
      <x:c r="V379">
        <x:v>67</x:v>
      </x:c>
      <x:c r="W379">
        <x:v>45</x:v>
      </x:c>
      <x:c r="X379">
        <x:v>65</x:v>
      </x:c>
      <x:c r="Y379">
        <x:v>66</x:v>
      </x:c>
      <x:c r="Z379">
        <x:v>51</x:v>
      </x:c>
      <x:c r="AA379">
        <x:v>51</x:v>
      </x:c>
      <x:c r="AB379" s="57" t="n">
        <x:v>42</x:v>
      </x:c>
      <x:c r="AC379" s="57" t="n">
        <x:v>39</x:v>
      </x:c>
      <x:c r="AD379" s="59"/>
      <x:c r="AE379" s="61" t="str">
        <x:f>IF(N(F379)&gt;=10,"NHL_LATEST_10",IF(AND(N(F379)&gt;0,N(G379)&gt;0),"NHL_BOTH_SEASONS",IF(N(G379)&gt;=10,"NHL_PREVIOUS_10",IF(AND(ISNUMBER(AD379),AD379=0,SUM(F379:G379)=0),"FARM_CAREER_0",IF(COUNT(F379:G379)&lt;2,"UNKNOWN_GP",IF(AND(F379=0,G379=0),IF(AD379&gt;=10,"FARM_LEGACY_10",IF(AND(ISNUMBER(AD379),AD379&gt;0),"FARM_CAREER_1_9","FARM_0_0")),IF(F379&gt;=1,IF(F379&lt;=3,"FARM_RECENT_1_3","FARM_RECENT_4_9"),"FARM_PREV_1_9_ONLY")))))))</x:f>
        <x:v>UNKNOWN_GP</x:v>
      </x:c>
      <x:c r="AF379" s="57" t="n">
        <x:f>AB379-T379</x:f>
        <x:v>0</x:v>
      </x:c>
      <x:c r="AG379" s="57" t="n">
        <x:f>AC379-U379</x:f>
        <x:v>0</x:v>
      </x:c>
    </x:row>
    <x:row r="380">
      <x:c r="A380" t="s">
        <x:v>1401</x:v>
      </x:c>
      <x:c r="C380" t="s">
        <x:v>358</x:v>
      </x:c>
      <x:c r="D380">
        <x:v>8482631</x:v>
      </x:c>
      <x:c r="E380" t="s">
        <x:v>267</x:v>
      </x:c>
      <x:c r="J380" t="s">
        <x:v>2474</x:v>
      </x:c>
      <x:c r="K380">
        <x:v>70</x:v>
      </x:c>
      <x:c r="L380">
        <x:v>39</x:v>
      </x:c>
      <x:c r="M380">
        <x:v>89</x:v>
      </x:c>
      <x:c r="N380">
        <x:v>45</x:v>
      </x:c>
      <x:c r="O380">
        <x:v>84</x:v>
      </x:c>
      <x:c r="P380">
        <x:v>85</x:v>
      </x:c>
      <x:c r="Q380">
        <x:v>89</x:v>
      </x:c>
      <x:c r="R380">
        <x:v>46</x:v>
      </x:c>
      <x:c r="S380">
        <x:v>73</x:v>
      </x:c>
      <x:c r="T380" s="63" t="n">
        <x:f>MAX(30,MIN(AB380-VLOOKUP(AE380,'AHL_PA_SC_BALANCE'!$A$8:$E$18,2,FALSE),VLOOKUP(AE380,'AHL_PA_SC_BALANCE'!$A$8:$E$18,4,FALSE)))</x:f>
        <x:v>43</x:v>
      </x:c>
      <x:c r="U380" s="63" t="n">
        <x:f>MAX(30,MIN(AC380-VLOOKUP(AE380,'AHL_PA_SC_BALANCE'!$A$8:$E$18,3,FALSE),VLOOKUP(AE380,'AHL_PA_SC_BALANCE'!$A$8:$E$18,5,FALSE)))</x:f>
        <x:v>47</x:v>
      </x:c>
      <x:c r="V380">
        <x:v>62</x:v>
      </x:c>
      <x:c r="W380">
        <x:v>65</x:v>
      </x:c>
      <x:c r="X380">
        <x:v>70</x:v>
      </x:c>
      <x:c r="Y380">
        <x:v>70</x:v>
      </x:c>
      <x:c r="Z380">
        <x:v>51</x:v>
      </x:c>
      <x:c r="AA380">
        <x:v>51</x:v>
      </x:c>
      <x:c r="AB380" s="57" t="n">
        <x:v>43</x:v>
      </x:c>
      <x:c r="AC380" s="57" t="n">
        <x:v>47</x:v>
      </x:c>
      <x:c r="AD380" s="59"/>
      <x:c r="AE380" s="61" t="str">
        <x:f>IF(N(F380)&gt;=10,"NHL_LATEST_10",IF(AND(N(F380)&gt;0,N(G380)&gt;0),"NHL_BOTH_SEASONS",IF(N(G380)&gt;=10,"NHL_PREVIOUS_10",IF(AND(ISNUMBER(AD380),AD380=0,SUM(F380:G380)=0),"FARM_CAREER_0",IF(COUNT(F380:G380)&lt;2,"UNKNOWN_GP",IF(AND(F380=0,G380=0),IF(AD380&gt;=10,"FARM_LEGACY_10",IF(AND(ISNUMBER(AD380),AD380&gt;0),"FARM_CAREER_1_9","FARM_0_0")),IF(F380&gt;=1,IF(F380&lt;=3,"FARM_RECENT_1_3","FARM_RECENT_4_9"),"FARM_PREV_1_9_ONLY")))))))</x:f>
        <x:v>UNKNOWN_GP</x:v>
      </x:c>
      <x:c r="AF380" s="57" t="n">
        <x:f>AB380-T380</x:f>
        <x:v>0</x:v>
      </x:c>
      <x:c r="AG380" s="57" t="n">
        <x:f>AC380-U380</x:f>
        <x:v>0</x:v>
      </x:c>
    </x:row>
    <x:row r="381">
      <x:c r="A381" t="s">
        <x:v>1402</x:v>
      </x:c>
      <x:c r="C381" t="s">
        <x:v>331</x:v>
      </x:c>
      <x:c r="D381">
        <x:v>8484196</x:v>
      </x:c>
      <x:c r="E381" t="s">
        <x:v>267</x:v>
      </x:c>
      <x:c r="J381" t="s">
        <x:v>2474</x:v>
      </x:c>
      <x:c r="K381">
        <x:v>64</x:v>
      </x:c>
      <x:c r="L381">
        <x:v>37</x:v>
      </x:c>
      <x:c r="M381">
        <x:v>89</x:v>
      </x:c>
      <x:c r="N381">
        <x:v>33</x:v>
      </x:c>
      <x:c r="O381">
        <x:v>80</x:v>
      </x:c>
      <x:c r="P381">
        <x:v>82</x:v>
      </x:c>
      <x:c r="Q381">
        <x:v>86</x:v>
      </x:c>
      <x:c r="R381">
        <x:v>34</x:v>
      </x:c>
      <x:c r="S381">
        <x:v>30</x:v>
      </x:c>
      <x:c r="T381" s="63" t="n">
        <x:f>MAX(30,MIN(AB381-VLOOKUP(AE381,'AHL_PA_SC_BALANCE'!$A$8:$E$18,2,FALSE),VLOOKUP(AE381,'AHL_PA_SC_BALANCE'!$A$8:$E$18,4,FALSE)))</x:f>
        <x:v>45</x:v>
      </x:c>
      <x:c r="U381" s="63" t="n">
        <x:f>MAX(30,MIN(AC381-VLOOKUP(AE381,'AHL_PA_SC_BALANCE'!$A$8:$E$18,3,FALSE),VLOOKUP(AE381,'AHL_PA_SC_BALANCE'!$A$8:$E$18,5,FALSE)))</x:f>
        <x:v>40</x:v>
      </x:c>
      <x:c r="V381">
        <x:v>65</x:v>
      </x:c>
      <x:c r="W381">
        <x:v>47</x:v>
      </x:c>
      <x:c r="X381">
        <x:v>65</x:v>
      </x:c>
      <x:c r="Y381">
        <x:v>64</x:v>
      </x:c>
      <x:c r="Z381">
        <x:v>51</x:v>
      </x:c>
      <x:c r="AA381">
        <x:v>51</x:v>
      </x:c>
      <x:c r="AB381" s="57" t="n">
        <x:v>45</x:v>
      </x:c>
      <x:c r="AC381" s="57" t="n">
        <x:v>40</x:v>
      </x:c>
      <x:c r="AD381" s="59"/>
      <x:c r="AE381" s="61" t="str">
        <x:f>IF(N(F381)&gt;=10,"NHL_LATEST_10",IF(AND(N(F381)&gt;0,N(G381)&gt;0),"NHL_BOTH_SEASONS",IF(N(G381)&gt;=10,"NHL_PREVIOUS_10",IF(AND(ISNUMBER(AD381),AD381=0,SUM(F381:G381)=0),"FARM_CAREER_0",IF(COUNT(F381:G381)&lt;2,"UNKNOWN_GP",IF(AND(F381=0,G381=0),IF(AD381&gt;=10,"FARM_LEGACY_10",IF(AND(ISNUMBER(AD381),AD381&gt;0),"FARM_CAREER_1_9","FARM_0_0")),IF(F381&gt;=1,IF(F381&lt;=3,"FARM_RECENT_1_3","FARM_RECENT_4_9"),"FARM_PREV_1_9_ONLY")))))))</x:f>
        <x:v>UNKNOWN_GP</x:v>
      </x:c>
      <x:c r="AF381" s="57" t="n">
        <x:f>AB381-T381</x:f>
        <x:v>0</x:v>
      </x:c>
      <x:c r="AG381" s="57" t="n">
        <x:f>AC381-U381</x:f>
        <x:v>0</x:v>
      </x:c>
    </x:row>
    <x:row r="382">
      <x:c r="A382" t="s">
        <x:v>1403</x:v>
      </x:c>
      <x:c r="C382" t="s">
        <x:v>331</x:v>
      </x:c>
      <x:c r="D382">
        <x:v>8482693</x:v>
      </x:c>
      <x:c r="E382" t="s">
        <x:v>267</x:v>
      </x:c>
      <x:c r="J382" t="s">
        <x:v>2474</x:v>
      </x:c>
      <x:c r="K382">
        <x:v>86</x:v>
      </x:c>
      <x:c r="L382">
        <x:v>40</x:v>
      </x:c>
      <x:c r="M382">
        <x:v>74</x:v>
      </x:c>
      <x:c r="N382">
        <x:v>32</x:v>
      </x:c>
      <x:c r="O382">
        <x:v>89</x:v>
      </x:c>
      <x:c r="P382">
        <x:v>80</x:v>
      </x:c>
      <x:c r="Q382">
        <x:v>83</x:v>
      </x:c>
      <x:c r="R382">
        <x:v>33</x:v>
      </x:c>
      <x:c r="S382">
        <x:v>30</x:v>
      </x:c>
      <x:c r="T382" s="63" t="n">
        <x:f>MAX(30,MIN(AB382-VLOOKUP(AE382,'AHL_PA_SC_BALANCE'!$A$8:$E$18,2,FALSE),VLOOKUP(AE382,'AHL_PA_SC_BALANCE'!$A$8:$E$18,4,FALSE)))</x:f>
        <x:v>40</x:v>
      </x:c>
      <x:c r="U382" s="63" t="n">
        <x:f>MAX(30,MIN(AC382-VLOOKUP(AE382,'AHL_PA_SC_BALANCE'!$A$8:$E$18,3,FALSE),VLOOKUP(AE382,'AHL_PA_SC_BALANCE'!$A$8:$E$18,5,FALSE)))</x:f>
        <x:v>38</x:v>
      </x:c>
      <x:c r="V382">
        <x:v>64</x:v>
      </x:c>
      <x:c r="W382">
        <x:v>44</x:v>
      </x:c>
      <x:c r="X382">
        <x:v>66</x:v>
      </x:c>
      <x:c r="Y382">
        <x:v>65</x:v>
      </x:c>
      <x:c r="Z382">
        <x:v>51</x:v>
      </x:c>
      <x:c r="AA382">
        <x:v>51</x:v>
      </x:c>
      <x:c r="AB382" s="57" t="n">
        <x:v>40</x:v>
      </x:c>
      <x:c r="AC382" s="57" t="n">
        <x:v>38</x:v>
      </x:c>
      <x:c r="AD382" s="59"/>
      <x:c r="AE382" s="61" t="str">
        <x:f>IF(N(F382)&gt;=10,"NHL_LATEST_10",IF(AND(N(F382)&gt;0,N(G382)&gt;0),"NHL_BOTH_SEASONS",IF(N(G382)&gt;=10,"NHL_PREVIOUS_10",IF(AND(ISNUMBER(AD382),AD382=0,SUM(F382:G382)=0),"FARM_CAREER_0",IF(COUNT(F382:G382)&lt;2,"UNKNOWN_GP",IF(AND(F382=0,G382=0),IF(AD382&gt;=10,"FARM_LEGACY_10",IF(AND(ISNUMBER(AD382),AD382&gt;0),"FARM_CAREER_1_9","FARM_0_0")),IF(F382&gt;=1,IF(F382&lt;=3,"FARM_RECENT_1_3","FARM_RECENT_4_9"),"FARM_PREV_1_9_ONLY")))))))</x:f>
        <x:v>UNKNOWN_GP</x:v>
      </x:c>
      <x:c r="AF382" s="57" t="n">
        <x:f>AB382-T382</x:f>
        <x:v>0</x:v>
      </x:c>
      <x:c r="AG382" s="57" t="n">
        <x:f>AC382-U382</x:f>
        <x:v>0</x:v>
      </x:c>
    </x:row>
    <x:row r="383">
      <x:c r="A383" t="s">
        <x:v>1404</x:v>
      </x:c>
      <x:c r="C383" t="s">
        <x:v>319</x:v>
      </x:c>
      <x:c r="D383">
        <x:v>8481019</x:v>
      </x:c>
      <x:c r="E383" t="s">
        <x:v>267</x:v>
      </x:c>
      <x:c r="J383" t="s">
        <x:v>2474</x:v>
      </x:c>
      <x:c r="K383">
        <x:v>62</x:v>
      </x:c>
      <x:c r="L383">
        <x:v>70</x:v>
      </x:c>
      <x:c r="M383">
        <x:v>90</x:v>
      </x:c>
      <x:c r="N383">
        <x:v>46</x:v>
      </x:c>
      <x:c r="O383">
        <x:v>84</x:v>
      </x:c>
      <x:c r="P383">
        <x:v>78</x:v>
      </x:c>
      <x:c r="Q383">
        <x:v>80</x:v>
      </x:c>
      <x:c r="R383">
        <x:v>46</x:v>
      </x:c>
      <x:c r="S383">
        <x:v>84</x:v>
      </x:c>
      <x:c r="T383" s="63" t="n">
        <x:f>MAX(30,MIN(AB383-VLOOKUP(AE383,'AHL_PA_SC_BALANCE'!$A$8:$E$18,2,FALSE),VLOOKUP(AE383,'AHL_PA_SC_BALANCE'!$A$8:$E$18,4,FALSE)))</x:f>
        <x:v>51</x:v>
      </x:c>
      <x:c r="U383" s="63" t="n">
        <x:f>MAX(30,MIN(AC383-VLOOKUP(AE383,'AHL_PA_SC_BALANCE'!$A$8:$E$18,3,FALSE),VLOOKUP(AE383,'AHL_PA_SC_BALANCE'!$A$8:$E$18,5,FALSE)))</x:f>
        <x:v>50</x:v>
      </x:c>
      <x:c r="V383">
        <x:v>64</x:v>
      </x:c>
      <x:c r="W383">
        <x:v>68</x:v>
      </x:c>
      <x:c r="X383">
        <x:v>70</x:v>
      </x:c>
      <x:c r="Y383">
        <x:v>68</x:v>
      </x:c>
      <x:c r="Z383">
        <x:v>51</x:v>
      </x:c>
      <x:c r="AA383">
        <x:v>51</x:v>
      </x:c>
      <x:c r="AB383" s="57" t="n">
        <x:v>51</x:v>
      </x:c>
      <x:c r="AC383" s="57" t="n">
        <x:v>50</x:v>
      </x:c>
      <x:c r="AD383" s="59"/>
      <x:c r="AE383" s="61" t="str">
        <x:f>IF(N(F383)&gt;=10,"NHL_LATEST_10",IF(AND(N(F383)&gt;0,N(G383)&gt;0),"NHL_BOTH_SEASONS",IF(N(G383)&gt;=10,"NHL_PREVIOUS_10",IF(AND(ISNUMBER(AD383),AD383=0,SUM(F383:G383)=0),"FARM_CAREER_0",IF(COUNT(F383:G383)&lt;2,"UNKNOWN_GP",IF(AND(F383=0,G383=0),IF(AD383&gt;=10,"FARM_LEGACY_10",IF(AND(ISNUMBER(AD383),AD383&gt;0),"FARM_CAREER_1_9","FARM_0_0")),IF(F383&gt;=1,IF(F383&lt;=3,"FARM_RECENT_1_3","FARM_RECENT_4_9"),"FARM_PREV_1_9_ONLY")))))))</x:f>
        <x:v>UNKNOWN_GP</x:v>
      </x:c>
      <x:c r="AF383" s="57" t="n">
        <x:f>AB383-T383</x:f>
        <x:v>0</x:v>
      </x:c>
      <x:c r="AG383" s="57" t="n">
        <x:f>AC383-U383</x:f>
        <x:v>0</x:v>
      </x:c>
    </x:row>
    <x:row r="384">
      <x:c r="A384" t="s">
        <x:v>1405</x:v>
      </x:c>
      <x:c r="C384" t="s">
        <x:v>358</x:v>
      </x:c>
      <x:c r="D384">
        <x:v>8481550</x:v>
      </x:c>
      <x:c r="E384" t="s">
        <x:v>267</x:v>
      </x:c>
      <x:c r="J384" t="s">
        <x:v>2474</x:v>
      </x:c>
      <x:c r="K384">
        <x:v>67</x:v>
      </x:c>
      <x:c r="L384">
        <x:v>34</x:v>
      </x:c>
      <x:c r="M384">
        <x:v>83</x:v>
      </x:c>
      <x:c r="N384">
        <x:v>45</x:v>
      </x:c>
      <x:c r="O384">
        <x:v>76</x:v>
      </x:c>
      <x:c r="P384">
        <x:v>87</x:v>
      </x:c>
      <x:c r="Q384">
        <x:v>91</x:v>
      </x:c>
      <x:c r="R384">
        <x:v>44</x:v>
      </x:c>
      <x:c r="S384">
        <x:v>57</x:v>
      </x:c>
      <x:c r="T384" s="63" t="n">
        <x:f>MAX(30,MIN(AB384-VLOOKUP(AE384,'AHL_PA_SC_BALANCE'!$A$8:$E$18,2,FALSE),VLOOKUP(AE384,'AHL_PA_SC_BALANCE'!$A$8:$E$18,4,FALSE)))</x:f>
        <x:v>48</x:v>
      </x:c>
      <x:c r="U384" s="63" t="n">
        <x:f>MAX(30,MIN(AC384-VLOOKUP(AE384,'AHL_PA_SC_BALANCE'!$A$8:$E$18,3,FALSE),VLOOKUP(AE384,'AHL_PA_SC_BALANCE'!$A$8:$E$18,5,FALSE)))</x:f>
        <x:v>48</x:v>
      </x:c>
      <x:c r="V384">
        <x:v>59</x:v>
      </x:c>
      <x:c r="W384">
        <x:v>68</x:v>
      </x:c>
      <x:c r="X384">
        <x:v>68</x:v>
      </x:c>
      <x:c r="Y384">
        <x:v>67</x:v>
      </x:c>
      <x:c r="Z384">
        <x:v>51</x:v>
      </x:c>
      <x:c r="AA384">
        <x:v>51</x:v>
      </x:c>
      <x:c r="AB384" s="57" t="n">
        <x:v>48</x:v>
      </x:c>
      <x:c r="AC384" s="57" t="n">
        <x:v>48</x:v>
      </x:c>
      <x:c r="AD384" s="59"/>
      <x:c r="AE384" s="61" t="str">
        <x:f>IF(N(F384)&gt;=10,"NHL_LATEST_10",IF(AND(N(F384)&gt;0,N(G384)&gt;0),"NHL_BOTH_SEASONS",IF(N(G384)&gt;=10,"NHL_PREVIOUS_10",IF(AND(ISNUMBER(AD384),AD384=0,SUM(F384:G384)=0),"FARM_CAREER_0",IF(COUNT(F384:G384)&lt;2,"UNKNOWN_GP",IF(AND(F384=0,G384=0),IF(AD384&gt;=10,"FARM_LEGACY_10",IF(AND(ISNUMBER(AD384),AD384&gt;0),"FARM_CAREER_1_9","FARM_0_0")),IF(F384&gt;=1,IF(F384&lt;=3,"FARM_RECENT_1_3","FARM_RECENT_4_9"),"FARM_PREV_1_9_ONLY")))))))</x:f>
        <x:v>UNKNOWN_GP</x:v>
      </x:c>
      <x:c r="AF384" s="57" t="n">
        <x:f>AB384-T384</x:f>
        <x:v>0</x:v>
      </x:c>
      <x:c r="AG384" s="57" t="n">
        <x:f>AC384-U384</x:f>
        <x:v>0</x:v>
      </x:c>
    </x:row>
    <x:row r="385">
      <x:c r="A385" t="s">
        <x:v>1406</x:v>
      </x:c>
      <x:c r="C385" t="s">
        <x:v>331</x:v>
      </x:c>
      <x:c r="D385">
        <x:v>8482692</x:v>
      </x:c>
      <x:c r="E385" t="s">
        <x:v>267</x:v>
      </x:c>
      <x:c r="J385" t="s">
        <x:v>2474</x:v>
      </x:c>
      <x:c r="K385">
        <x:v>66</x:v>
      </x:c>
      <x:c r="L385">
        <x:v>39</x:v>
      </x:c>
      <x:c r="M385">
        <x:v>89</x:v>
      </x:c>
      <x:c r="N385">
        <x:v>34</x:v>
      </x:c>
      <x:c r="O385">
        <x:v>78</x:v>
      </x:c>
      <x:c r="P385">
        <x:v>90</x:v>
      </x:c>
      <x:c r="Q385">
        <x:v>94</x:v>
      </x:c>
      <x:c r="R385">
        <x:v>33</x:v>
      </x:c>
      <x:c r="S385">
        <x:v>30</x:v>
      </x:c>
      <x:c r="T385" s="63" t="n">
        <x:f>MAX(30,MIN(AB385-VLOOKUP(AE385,'AHL_PA_SC_BALANCE'!$A$8:$E$18,2,FALSE),VLOOKUP(AE385,'AHL_PA_SC_BALANCE'!$A$8:$E$18,4,FALSE)))</x:f>
        <x:v>42</x:v>
      </x:c>
      <x:c r="U385" s="63" t="n">
        <x:f>MAX(30,MIN(AC385-VLOOKUP(AE385,'AHL_PA_SC_BALANCE'!$A$8:$E$18,3,FALSE),VLOOKUP(AE385,'AHL_PA_SC_BALANCE'!$A$8:$E$18,5,FALSE)))</x:f>
        <x:v>41</x:v>
      </x:c>
      <x:c r="V385">
        <x:v>64</x:v>
      </x:c>
      <x:c r="W385">
        <x:v>46</x:v>
      </x:c>
      <x:c r="X385">
        <x:v>65</x:v>
      </x:c>
      <x:c r="Y385">
        <x:v>65</x:v>
      </x:c>
      <x:c r="Z385">
        <x:v>51</x:v>
      </x:c>
      <x:c r="AA385">
        <x:v>51</x:v>
      </x:c>
      <x:c r="AB385" s="57" t="n">
        <x:v>42</x:v>
      </x:c>
      <x:c r="AC385" s="57" t="n">
        <x:v>41</x:v>
      </x:c>
      <x:c r="AD385" s="59"/>
      <x:c r="AE385" s="61" t="str">
        <x:f>IF(N(F385)&gt;=10,"NHL_LATEST_10",IF(AND(N(F385)&gt;0,N(G385)&gt;0),"NHL_BOTH_SEASONS",IF(N(G385)&gt;=10,"NHL_PREVIOUS_10",IF(AND(ISNUMBER(AD385),AD385=0,SUM(F385:G385)=0),"FARM_CAREER_0",IF(COUNT(F385:G385)&lt;2,"UNKNOWN_GP",IF(AND(F385=0,G385=0),IF(AD385&gt;=10,"FARM_LEGACY_10",IF(AND(ISNUMBER(AD385),AD385&gt;0),"FARM_CAREER_1_9","FARM_0_0")),IF(F385&gt;=1,IF(F385&lt;=3,"FARM_RECENT_1_3","FARM_RECENT_4_9"),"FARM_PREV_1_9_ONLY")))))))</x:f>
        <x:v>UNKNOWN_GP</x:v>
      </x:c>
      <x:c r="AF385" s="57" t="n">
        <x:f>AB385-T385</x:f>
        <x:v>0</x:v>
      </x:c>
      <x:c r="AG385" s="57" t="n">
        <x:f>AC385-U385</x:f>
        <x:v>0</x:v>
      </x:c>
    </x:row>
    <x:row r="386">
      <x:c r="A386" t="s">
        <x:v>1407</x:v>
      </x:c>
      <x:c r="C386" t="s">
        <x:v>358</x:v>
      </x:c>
      <x:c r="D386">
        <x:v>8483395</x:v>
      </x:c>
      <x:c r="E386" t="s">
        <x:v>267</x:v>
      </x:c>
      <x:c r="J386" t="s">
        <x:v>2474</x:v>
      </x:c>
      <x:c r="K386">
        <x:v>65</x:v>
      </x:c>
      <x:c r="L386">
        <x:v>34</x:v>
      </x:c>
      <x:c r="M386">
        <x:v>85</x:v>
      </x:c>
      <x:c r="N386">
        <x:v>46</x:v>
      </x:c>
      <x:c r="O386">
        <x:v>77</x:v>
      </x:c>
      <x:c r="P386">
        <x:v>79</x:v>
      </x:c>
      <x:c r="Q386">
        <x:v>82</x:v>
      </x:c>
      <x:c r="R386">
        <x:v>46</x:v>
      </x:c>
      <x:c r="S386">
        <x:v>65</x:v>
      </x:c>
      <x:c r="T386" s="63" t="n">
        <x:f>MAX(30,MIN(AB386-VLOOKUP(AE386,'AHL_PA_SC_BALANCE'!$A$8:$E$18,2,FALSE),VLOOKUP(AE386,'AHL_PA_SC_BALANCE'!$A$8:$E$18,4,FALSE)))</x:f>
        <x:v>50</x:v>
      </x:c>
      <x:c r="U386" s="63" t="n">
        <x:f>MAX(30,MIN(AC386-VLOOKUP(AE386,'AHL_PA_SC_BALANCE'!$A$8:$E$18,3,FALSE),VLOOKUP(AE386,'AHL_PA_SC_BALANCE'!$A$8:$E$18,5,FALSE)))</x:f>
        <x:v>50</x:v>
      </x:c>
      <x:c r="V386">
        <x:v>60</x:v>
      </x:c>
      <x:c r="W386">
        <x:v>52</x:v>
      </x:c>
      <x:c r="X386">
        <x:v>69</x:v>
      </x:c>
      <x:c r="Y386">
        <x:v>68</x:v>
      </x:c>
      <x:c r="Z386">
        <x:v>51</x:v>
      </x:c>
      <x:c r="AA386">
        <x:v>51</x:v>
      </x:c>
      <x:c r="AB386" s="57" t="n">
        <x:v>50</x:v>
      </x:c>
      <x:c r="AC386" s="57" t="n">
        <x:v>50</x:v>
      </x:c>
      <x:c r="AD386" s="59"/>
      <x:c r="AE386" s="61" t="str">
        <x:f>IF(N(F386)&gt;=10,"NHL_LATEST_10",IF(AND(N(F386)&gt;0,N(G386)&gt;0),"NHL_BOTH_SEASONS",IF(N(G386)&gt;=10,"NHL_PREVIOUS_10",IF(AND(ISNUMBER(AD386),AD386=0,SUM(F386:G386)=0),"FARM_CAREER_0",IF(COUNT(F386:G386)&lt;2,"UNKNOWN_GP",IF(AND(F386=0,G386=0),IF(AD386&gt;=10,"FARM_LEGACY_10",IF(AND(ISNUMBER(AD386),AD386&gt;0),"FARM_CAREER_1_9","FARM_0_0")),IF(F386&gt;=1,IF(F386&lt;=3,"FARM_RECENT_1_3","FARM_RECENT_4_9"),"FARM_PREV_1_9_ONLY")))))))</x:f>
        <x:v>UNKNOWN_GP</x:v>
      </x:c>
      <x:c r="AF386" s="57" t="n">
        <x:f>AB386-T386</x:f>
        <x:v>0</x:v>
      </x:c>
      <x:c r="AG386" s="57" t="n">
        <x:f>AC386-U386</x:f>
        <x:v>0</x:v>
      </x:c>
    </x:row>
    <x:row r="387">
      <x:c r="A387" t="s">
        <x:v>1408</x:v>
      </x:c>
      <x:c r="C387" t="s">
        <x:v>319</x:v>
      </x:c>
      <x:c r="D387">
        <x:v>8480851</x:v>
      </x:c>
      <x:c r="E387" t="s">
        <x:v>267</x:v>
      </x:c>
      <x:c r="J387" t="s">
        <x:v>2474</x:v>
      </x:c>
      <x:c r="K387">
        <x:v>71</x:v>
      </x:c>
      <x:c r="L387">
        <x:v>72</x:v>
      </x:c>
      <x:c r="M387">
        <x:v>86</x:v>
      </x:c>
      <x:c r="N387">
        <x:v>45</x:v>
      </x:c>
      <x:c r="O387">
        <x:v>77</x:v>
      </x:c>
      <x:c r="P387">
        <x:v>75</x:v>
      </x:c>
      <x:c r="Q387">
        <x:v>76</x:v>
      </x:c>
      <x:c r="R387">
        <x:v>44</x:v>
      </x:c>
      <x:c r="S387">
        <x:v>71</x:v>
      </x:c>
      <x:c r="T387" s="63" t="n">
        <x:f>MAX(30,MIN(AB387-VLOOKUP(AE387,'AHL_PA_SC_BALANCE'!$A$8:$E$18,2,FALSE),VLOOKUP(AE387,'AHL_PA_SC_BALANCE'!$A$8:$E$18,4,FALSE)))</x:f>
        <x:v>49</x:v>
      </x:c>
      <x:c r="U387" s="63" t="n">
        <x:f>MAX(30,MIN(AC387-VLOOKUP(AE387,'AHL_PA_SC_BALANCE'!$A$8:$E$18,3,FALSE),VLOOKUP(AE387,'AHL_PA_SC_BALANCE'!$A$8:$E$18,5,FALSE)))</x:f>
        <x:v>49</x:v>
      </x:c>
      <x:c r="V387">
        <x:v>62</x:v>
      </x:c>
      <x:c r="W387">
        <x:v>66</x:v>
      </x:c>
      <x:c r="X387">
        <x:v>70</x:v>
      </x:c>
      <x:c r="Y387">
        <x:v>67</x:v>
      </x:c>
      <x:c r="Z387">
        <x:v>51</x:v>
      </x:c>
      <x:c r="AA387">
        <x:v>51</x:v>
      </x:c>
      <x:c r="AB387" s="57" t="n">
        <x:v>49</x:v>
      </x:c>
      <x:c r="AC387" s="57" t="n">
        <x:v>49</x:v>
      </x:c>
      <x:c r="AD387" s="59"/>
      <x:c r="AE387" s="61" t="str">
        <x:f>IF(N(F387)&gt;=10,"NHL_LATEST_10",IF(AND(N(F387)&gt;0,N(G387)&gt;0),"NHL_BOTH_SEASONS",IF(N(G387)&gt;=10,"NHL_PREVIOUS_10",IF(AND(ISNUMBER(AD387),AD387=0,SUM(F387:G387)=0),"FARM_CAREER_0",IF(COUNT(F387:G387)&lt;2,"UNKNOWN_GP",IF(AND(F387=0,G387=0),IF(AD387&gt;=10,"FARM_LEGACY_10",IF(AND(ISNUMBER(AD387),AD387&gt;0),"FARM_CAREER_1_9","FARM_0_0")),IF(F387&gt;=1,IF(F387&lt;=3,"FARM_RECENT_1_3","FARM_RECENT_4_9"),"FARM_PREV_1_9_ONLY")))))))</x:f>
        <x:v>UNKNOWN_GP</x:v>
      </x:c>
      <x:c r="AF387" s="57" t="n">
        <x:f>AB387-T387</x:f>
        <x:v>0</x:v>
      </x:c>
      <x:c r="AG387" s="57" t="n">
        <x:f>AC387-U387</x:f>
        <x:v>0</x:v>
      </x:c>
    </x:row>
    <x:row r="388">
      <x:c r="A388" t="s">
        <x:v>1409</x:v>
      </x:c>
      <x:c r="C388" t="s">
        <x:v>358</x:v>
      </x:c>
      <x:c r="D388">
        <x:v>8481732</x:v>
      </x:c>
      <x:c r="E388" t="s">
        <x:v>267</x:v>
      </x:c>
      <x:c r="J388" t="s">
        <x:v>2474</x:v>
      </x:c>
      <x:c r="K388">
        <x:v>72</x:v>
      </x:c>
      <x:c r="L388">
        <x:v>73</x:v>
      </x:c>
      <x:c r="M388">
        <x:v>81</x:v>
      </x:c>
      <x:c r="N388">
        <x:v>46</x:v>
      </x:c>
      <x:c r="O388">
        <x:v>84</x:v>
      </x:c>
      <x:c r="P388">
        <x:v>89</x:v>
      </x:c>
      <x:c r="Q388">
        <x:v>95</x:v>
      </x:c>
      <x:c r="R388">
        <x:v>46</x:v>
      </x:c>
      <x:c r="S388">
        <x:v>71</x:v>
      </x:c>
      <x:c r="T388" s="63" t="n">
        <x:f>MAX(30,MIN(AB388-VLOOKUP(AE388,'AHL_PA_SC_BALANCE'!$A$8:$E$18,2,FALSE),VLOOKUP(AE388,'AHL_PA_SC_BALANCE'!$A$8:$E$18,4,FALSE)))</x:f>
        <x:v>50</x:v>
      </x:c>
      <x:c r="U388" s="63" t="n">
        <x:f>MAX(30,MIN(AC388-VLOOKUP(AE388,'AHL_PA_SC_BALANCE'!$A$8:$E$18,3,FALSE),VLOOKUP(AE388,'AHL_PA_SC_BALANCE'!$A$8:$E$18,5,FALSE)))</x:f>
        <x:v>51</x:v>
      </x:c>
      <x:c r="V388">
        <x:v>61</x:v>
      </x:c>
      <x:c r="W388">
        <x:v>68</x:v>
      </x:c>
      <x:c r="X388">
        <x:v>69</x:v>
      </x:c>
      <x:c r="Y388">
        <x:v>68</x:v>
      </x:c>
      <x:c r="Z388">
        <x:v>51</x:v>
      </x:c>
      <x:c r="AA388">
        <x:v>51</x:v>
      </x:c>
      <x:c r="AB388" s="57" t="n">
        <x:v>50</x:v>
      </x:c>
      <x:c r="AC388" s="57" t="n">
        <x:v>51</x:v>
      </x:c>
      <x:c r="AD388" s="59"/>
      <x:c r="AE388" s="61" t="str">
        <x:f>IF(N(F388)&gt;=10,"NHL_LATEST_10",IF(AND(N(F388)&gt;0,N(G388)&gt;0),"NHL_BOTH_SEASONS",IF(N(G388)&gt;=10,"NHL_PREVIOUS_10",IF(AND(ISNUMBER(AD388),AD388=0,SUM(F388:G388)=0),"FARM_CAREER_0",IF(COUNT(F388:G388)&lt;2,"UNKNOWN_GP",IF(AND(F388=0,G388=0),IF(AD388&gt;=10,"FARM_LEGACY_10",IF(AND(ISNUMBER(AD388),AD388&gt;0),"FARM_CAREER_1_9","FARM_0_0")),IF(F388&gt;=1,IF(F388&lt;=3,"FARM_RECENT_1_3","FARM_RECENT_4_9"),"FARM_PREV_1_9_ONLY")))))))</x:f>
        <x:v>UNKNOWN_GP</x:v>
      </x:c>
      <x:c r="AF388" s="57" t="n">
        <x:f>AB388-T388</x:f>
        <x:v>0</x:v>
      </x:c>
      <x:c r="AG388" s="57" t="n">
        <x:f>AC388-U388</x:f>
        <x:v>0</x:v>
      </x:c>
    </x:row>
    <x:row r="389">
      <x:c r="A389" t="s">
        <x:v>1410</x:v>
      </x:c>
      <x:c r="C389" t="s">
        <x:v>333</x:v>
      </x:c>
      <x:c r="D389">
        <x:v>8481827</x:v>
      </x:c>
      <x:c r="E389" t="s">
        <x:v>267</x:v>
      </x:c>
      <x:c r="J389" t="s">
        <x:v>2474</x:v>
      </x:c>
      <x:c r="K389">
        <x:v>76</x:v>
      </x:c>
      <x:c r="L389">
        <x:v>39</x:v>
      </x:c>
      <x:c r="M389">
        <x:v>76</x:v>
      </x:c>
      <x:c r="N389">
        <x:v>46</x:v>
      </x:c>
      <x:c r="O389">
        <x:v>77</x:v>
      </x:c>
      <x:c r="P389">
        <x:v>84</x:v>
      </x:c>
      <x:c r="Q389">
        <x:v>86</x:v>
      </x:c>
      <x:c r="R389">
        <x:v>45</x:v>
      </x:c>
      <x:c r="S389">
        <x:v>64</x:v>
      </x:c>
      <x:c r="T389" s="63" t="n">
        <x:f>MAX(30,MIN(AB389-VLOOKUP(AE389,'AHL_PA_SC_BALANCE'!$A$8:$E$18,2,FALSE),VLOOKUP(AE389,'AHL_PA_SC_BALANCE'!$A$8:$E$18,4,FALSE)))</x:f>
        <x:v>49</x:v>
      </x:c>
      <x:c r="U389" s="63" t="n">
        <x:f>MAX(30,MIN(AC389-VLOOKUP(AE389,'AHL_PA_SC_BALANCE'!$A$8:$E$18,3,FALSE),VLOOKUP(AE389,'AHL_PA_SC_BALANCE'!$A$8:$E$18,5,FALSE)))</x:f>
        <x:v>46</x:v>
      </x:c>
      <x:c r="V389">
        <x:v>58</x:v>
      </x:c>
      <x:c r="W389">
        <x:v>69</x:v>
      </x:c>
      <x:c r="X389">
        <x:v>68</x:v>
      </x:c>
      <x:c r="Y389">
        <x:v>67</x:v>
      </x:c>
      <x:c r="Z389">
        <x:v>51</x:v>
      </x:c>
      <x:c r="AA389">
        <x:v>51</x:v>
      </x:c>
      <x:c r="AB389" s="57" t="n">
        <x:v>49</x:v>
      </x:c>
      <x:c r="AC389" s="57" t="n">
        <x:v>46</x:v>
      </x:c>
      <x:c r="AD389" s="59"/>
      <x:c r="AE389" s="61" t="str">
        <x:f>IF(N(F389)&gt;=10,"NHL_LATEST_10",IF(AND(N(F389)&gt;0,N(G389)&gt;0),"NHL_BOTH_SEASONS",IF(N(G389)&gt;=10,"NHL_PREVIOUS_10",IF(AND(ISNUMBER(AD389),AD389=0,SUM(F389:G389)=0),"FARM_CAREER_0",IF(COUNT(F389:G389)&lt;2,"UNKNOWN_GP",IF(AND(F389=0,G389=0),IF(AD389&gt;=10,"FARM_LEGACY_10",IF(AND(ISNUMBER(AD389),AD389&gt;0),"FARM_CAREER_1_9","FARM_0_0")),IF(F389&gt;=1,IF(F389&lt;=3,"FARM_RECENT_1_3","FARM_RECENT_4_9"),"FARM_PREV_1_9_ONLY")))))))</x:f>
        <x:v>UNKNOWN_GP</x:v>
      </x:c>
      <x:c r="AF389" s="57" t="n">
        <x:f>AB389-T389</x:f>
        <x:v>0</x:v>
      </x:c>
      <x:c r="AG389" s="57" t="n">
        <x:f>AC389-U389</x:f>
        <x:v>0</x:v>
      </x:c>
    </x:row>
    <x:row r="390">
      <x:c r="A390" t="s">
        <x:v>1411</x:v>
      </x:c>
      <x:c r="C390" t="s">
        <x:v>326</x:v>
      </x:c>
      <x:c r="D390">
        <x:v>8482763</x:v>
      </x:c>
      <x:c r="E390" t="s">
        <x:v>267</x:v>
      </x:c>
      <x:c r="J390" t="s">
        <x:v>2474</x:v>
      </x:c>
      <x:c r="K390">
        <x:v>60</x:v>
      </x:c>
      <x:c r="L390">
        <x:v>39</x:v>
      </x:c>
      <x:c r="M390">
        <x:v>80</x:v>
      </x:c>
      <x:c r="N390">
        <x:v>46</x:v>
      </x:c>
      <x:c r="O390">
        <x:v>75</x:v>
      </x:c>
      <x:c r="P390">
        <x:v>83</x:v>
      </x:c>
      <x:c r="Q390">
        <x:v>86</x:v>
      </x:c>
      <x:c r="R390">
        <x:v>45</x:v>
      </x:c>
      <x:c r="S390">
        <x:v>71</x:v>
      </x:c>
      <x:c r="T390" s="63" t="n">
        <x:f>MAX(30,MIN(AB390-VLOOKUP(AE390,'AHL_PA_SC_BALANCE'!$A$8:$E$18,2,FALSE),VLOOKUP(AE390,'AHL_PA_SC_BALANCE'!$A$8:$E$18,4,FALSE)))</x:f>
        <x:v>50</x:v>
      </x:c>
      <x:c r="U390" s="63" t="n">
        <x:f>MAX(30,MIN(AC390-VLOOKUP(AE390,'AHL_PA_SC_BALANCE'!$A$8:$E$18,3,FALSE),VLOOKUP(AE390,'AHL_PA_SC_BALANCE'!$A$8:$E$18,5,FALSE)))</x:f>
        <x:v>48</x:v>
      </x:c>
      <x:c r="V390">
        <x:v>59</x:v>
      </x:c>
      <x:c r="W390">
        <x:v>69</x:v>
      </x:c>
      <x:c r="X390">
        <x:v>67</x:v>
      </x:c>
      <x:c r="Y390">
        <x:v>66</x:v>
      </x:c>
      <x:c r="Z390">
        <x:v>51</x:v>
      </x:c>
      <x:c r="AA390">
        <x:v>51</x:v>
      </x:c>
      <x:c r="AB390" s="57" t="n">
        <x:v>50</x:v>
      </x:c>
      <x:c r="AC390" s="57" t="n">
        <x:v>48</x:v>
      </x:c>
      <x:c r="AD390" s="59"/>
      <x:c r="AE390" s="61" t="str">
        <x:f>IF(N(F390)&gt;=10,"NHL_LATEST_10",IF(AND(N(F390)&gt;0,N(G390)&gt;0),"NHL_BOTH_SEASONS",IF(N(G390)&gt;=10,"NHL_PREVIOUS_10",IF(AND(ISNUMBER(AD390),AD390=0,SUM(F390:G390)=0),"FARM_CAREER_0",IF(COUNT(F390:G390)&lt;2,"UNKNOWN_GP",IF(AND(F390=0,G390=0),IF(AD390&gt;=10,"FARM_LEGACY_10",IF(AND(ISNUMBER(AD390),AD390&gt;0),"FARM_CAREER_1_9","FARM_0_0")),IF(F390&gt;=1,IF(F390&lt;=3,"FARM_RECENT_1_3","FARM_RECENT_4_9"),"FARM_PREV_1_9_ONLY")))))))</x:f>
        <x:v>UNKNOWN_GP</x:v>
      </x:c>
      <x:c r="AF390" s="57" t="n">
        <x:f>AB390-T390</x:f>
        <x:v>0</x:v>
      </x:c>
      <x:c r="AG390" s="57" t="n">
        <x:f>AC390-U390</x:f>
        <x:v>0</x:v>
      </x:c>
    </x:row>
    <x:row r="391">
      <x:c r="A391" t="s">
        <x:v>1412</x:v>
      </x:c>
      <x:c r="C391" t="s">
        <x:v>319</x:v>
      </x:c>
      <x:c r="D391">
        <x:v>8480853</x:v>
      </x:c>
      <x:c r="E391" t="s">
        <x:v>267</x:v>
      </x:c>
      <x:c r="J391" t="s">
        <x:v>2474</x:v>
      </x:c>
      <x:c r="K391">
        <x:v>64</x:v>
      </x:c>
      <x:c r="L391">
        <x:v>34</x:v>
      </x:c>
      <x:c r="M391">
        <x:v>91</x:v>
      </x:c>
      <x:c r="N391">
        <x:v>47</x:v>
      </x:c>
      <x:c r="O391">
        <x:v>79</x:v>
      </x:c>
      <x:c r="P391">
        <x:v>86</x:v>
      </x:c>
      <x:c r="Q391">
        <x:v>89</x:v>
      </x:c>
      <x:c r="R391">
        <x:v>48</x:v>
      </x:c>
      <x:c r="S391">
        <x:v>59</x:v>
      </x:c>
      <x:c r="T391" s="63" t="n">
        <x:f>MAX(30,MIN(AB391-VLOOKUP(AE391,'AHL_PA_SC_BALANCE'!$A$8:$E$18,2,FALSE),VLOOKUP(AE391,'AHL_PA_SC_BALANCE'!$A$8:$E$18,4,FALSE)))</x:f>
        <x:v>50</x:v>
      </x:c>
      <x:c r="U391" s="63" t="n">
        <x:f>MAX(30,MIN(AC391-VLOOKUP(AE391,'AHL_PA_SC_BALANCE'!$A$8:$E$18,3,FALSE),VLOOKUP(AE391,'AHL_PA_SC_BALANCE'!$A$8:$E$18,5,FALSE)))</x:f>
        <x:v>51</x:v>
      </x:c>
      <x:c r="V391">
        <x:v>61</x:v>
      </x:c>
      <x:c r="W391">
        <x:v>68</x:v>
      </x:c>
      <x:c r="X391">
        <x:v>69</x:v>
      </x:c>
      <x:c r="Y391">
        <x:v>69</x:v>
      </x:c>
      <x:c r="Z391">
        <x:v>51</x:v>
      </x:c>
      <x:c r="AA391">
        <x:v>51</x:v>
      </x:c>
      <x:c r="AB391" s="57" t="n">
        <x:v>50</x:v>
      </x:c>
      <x:c r="AC391" s="57" t="n">
        <x:v>51</x:v>
      </x:c>
      <x:c r="AD391" s="59"/>
      <x:c r="AE391" s="61" t="str">
        <x:f>IF(N(F391)&gt;=10,"NHL_LATEST_10",IF(AND(N(F391)&gt;0,N(G391)&gt;0),"NHL_BOTH_SEASONS",IF(N(G391)&gt;=10,"NHL_PREVIOUS_10",IF(AND(ISNUMBER(AD391),AD391=0,SUM(F391:G391)=0),"FARM_CAREER_0",IF(COUNT(F391:G391)&lt;2,"UNKNOWN_GP",IF(AND(F391=0,G391=0),IF(AD391&gt;=10,"FARM_LEGACY_10",IF(AND(ISNUMBER(AD391),AD391&gt;0),"FARM_CAREER_1_9","FARM_0_0")),IF(F391&gt;=1,IF(F391&lt;=3,"FARM_RECENT_1_3","FARM_RECENT_4_9"),"FARM_PREV_1_9_ONLY")))))))</x:f>
        <x:v>UNKNOWN_GP</x:v>
      </x:c>
      <x:c r="AF391" s="57" t="n">
        <x:f>AB391-T391</x:f>
        <x:v>0</x:v>
      </x:c>
      <x:c r="AG391" s="57" t="n">
        <x:f>AC391-U391</x:f>
        <x:v>0</x:v>
      </x:c>
    </x:row>
    <x:row r="392">
      <x:c r="A392" t="s">
        <x:v>1413</x:v>
      </x:c>
      <x:c r="C392" t="s">
        <x:v>326</x:v>
      </x:c>
      <x:c r="D392">
        <x:v>8481703</x:v>
      </x:c>
      <x:c r="E392" t="s">
        <x:v>267</x:v>
      </x:c>
      <x:c r="J392" t="s">
        <x:v>2474</x:v>
      </x:c>
      <x:c r="K392">
        <x:v>63</x:v>
      </x:c>
      <x:c r="L392">
        <x:v>36</x:v>
      </x:c>
      <x:c r="M392">
        <x:v>89</x:v>
      </x:c>
      <x:c r="N392">
        <x:v>46</x:v>
      </x:c>
      <x:c r="O392">
        <x:v>76</x:v>
      </x:c>
      <x:c r="P392">
        <x:v>82</x:v>
      </x:c>
      <x:c r="Q392">
        <x:v>85</x:v>
      </x:c>
      <x:c r="R392">
        <x:v>46</x:v>
      </x:c>
      <x:c r="S392">
        <x:v>60</x:v>
      </x:c>
      <x:c r="T392" s="63" t="n">
        <x:f>MAX(30,MIN(AB392-VLOOKUP(AE392,'AHL_PA_SC_BALANCE'!$A$8:$E$18,2,FALSE),VLOOKUP(AE392,'AHL_PA_SC_BALANCE'!$A$8:$E$18,4,FALSE)))</x:f>
        <x:v>51</x:v>
      </x:c>
      <x:c r="U392" s="63" t="n">
        <x:f>MAX(30,MIN(AC392-VLOOKUP(AE392,'AHL_PA_SC_BALANCE'!$A$8:$E$18,3,FALSE),VLOOKUP(AE392,'AHL_PA_SC_BALANCE'!$A$8:$E$18,5,FALSE)))</x:f>
        <x:v>52</x:v>
      </x:c>
      <x:c r="V392">
        <x:v>63</x:v>
      </x:c>
      <x:c r="W392">
        <x:v>69</x:v>
      </x:c>
      <x:c r="X392">
        <x:v>70</x:v>
      </x:c>
      <x:c r="Y392">
        <x:v>69</x:v>
      </x:c>
      <x:c r="Z392">
        <x:v>51</x:v>
      </x:c>
      <x:c r="AA392">
        <x:v>51</x:v>
      </x:c>
      <x:c r="AB392" s="57" t="n">
        <x:v>51</x:v>
      </x:c>
      <x:c r="AC392" s="57" t="n">
        <x:v>52</x:v>
      </x:c>
      <x:c r="AD392" s="59"/>
      <x:c r="AE392" s="61" t="str">
        <x:f>IF(N(F392)&gt;=10,"NHL_LATEST_10",IF(AND(N(F392)&gt;0,N(G392)&gt;0),"NHL_BOTH_SEASONS",IF(N(G392)&gt;=10,"NHL_PREVIOUS_10",IF(AND(ISNUMBER(AD392),AD392=0,SUM(F392:G392)=0),"FARM_CAREER_0",IF(COUNT(F392:G392)&lt;2,"UNKNOWN_GP",IF(AND(F392=0,G392=0),IF(AD392&gt;=10,"FARM_LEGACY_10",IF(AND(ISNUMBER(AD392),AD392&gt;0),"FARM_CAREER_1_9","FARM_0_0")),IF(F392&gt;=1,IF(F392&lt;=3,"FARM_RECENT_1_3","FARM_RECENT_4_9"),"FARM_PREV_1_9_ONLY")))))))</x:f>
        <x:v>UNKNOWN_GP</x:v>
      </x:c>
      <x:c r="AF392" s="57" t="n">
        <x:f>AB392-T392</x:f>
        <x:v>0</x:v>
      </x:c>
      <x:c r="AG392" s="57" t="n">
        <x:f>AC392-U392</x:f>
        <x:v>0</x:v>
      </x:c>
    </x:row>
    <x:row r="393">
      <x:c r="A393" t="s">
        <x:v>1414</x:v>
      </x:c>
      <x:c r="C393" t="s">
        <x:v>329</x:v>
      </x:c>
      <x:c r="D393">
        <x:v>8477353</x:v>
      </x:c>
      <x:c r="E393" t="s">
        <x:v>267</x:v>
      </x:c>
      <x:c r="J393" t="s">
        <x:v>2474</x:v>
      </x:c>
      <x:c r="K393">
        <x:v>68</x:v>
      </x:c>
      <x:c r="L393">
        <x:v>34</x:v>
      </x:c>
      <x:c r="M393">
        <x:v>83</x:v>
      </x:c>
      <x:c r="N393">
        <x:v>40</x:v>
      </x:c>
      <x:c r="O393">
        <x:v>77</x:v>
      </x:c>
      <x:c r="P393">
        <x:v>74</x:v>
      </x:c>
      <x:c r="Q393">
        <x:v>74</x:v>
      </x:c>
      <x:c r="R393">
        <x:v>39</x:v>
      </x:c>
      <x:c r="S393">
        <x:v>81</x:v>
      </x:c>
      <x:c r="T393" s="63" t="n">
        <x:f>MAX(30,MIN(AB393-VLOOKUP(AE393,'AHL_PA_SC_BALANCE'!$A$8:$E$18,2,FALSE),VLOOKUP(AE393,'AHL_PA_SC_BALANCE'!$A$8:$E$18,4,FALSE)))</x:f>
        <x:v>47</x:v>
      </x:c>
      <x:c r="U393" s="63" t="n">
        <x:f>MAX(30,MIN(AC393-VLOOKUP(AE393,'AHL_PA_SC_BALANCE'!$A$8:$E$18,3,FALSE),VLOOKUP(AE393,'AHL_PA_SC_BALANCE'!$A$8:$E$18,5,FALSE)))</x:f>
        <x:v>50</x:v>
      </x:c>
      <x:c r="V393">
        <x:v>69</x:v>
      </x:c>
      <x:c r="W393">
        <x:v>61</x:v>
      </x:c>
      <x:c r="X393">
        <x:v>79</x:v>
      </x:c>
      <x:c r="Y393">
        <x:v>76</x:v>
      </x:c>
      <x:c r="Z393">
        <x:v>51</x:v>
      </x:c>
      <x:c r="AA393">
        <x:v>51</x:v>
      </x:c>
      <x:c r="AB393" s="57" t="n">
        <x:v>47</x:v>
      </x:c>
      <x:c r="AC393" s="57" t="n">
        <x:v>50</x:v>
      </x:c>
      <x:c r="AD393" s="59"/>
      <x:c r="AE393" s="61" t="str">
        <x:f>IF(N(F393)&gt;=10,"NHL_LATEST_10",IF(AND(N(F393)&gt;0,N(G393)&gt;0),"NHL_BOTH_SEASONS",IF(N(G393)&gt;=10,"NHL_PREVIOUS_10",IF(AND(ISNUMBER(AD393),AD393=0,SUM(F393:G393)=0),"FARM_CAREER_0",IF(COUNT(F393:G393)&lt;2,"UNKNOWN_GP",IF(AND(F393=0,G393=0),IF(AD393&gt;=10,"FARM_LEGACY_10",IF(AND(ISNUMBER(AD393),AD393&gt;0),"FARM_CAREER_1_9","FARM_0_0")),IF(F393&gt;=1,IF(F393&lt;=3,"FARM_RECENT_1_3","FARM_RECENT_4_9"),"FARM_PREV_1_9_ONLY")))))))</x:f>
        <x:v>UNKNOWN_GP</x:v>
      </x:c>
      <x:c r="AF393" s="57" t="n">
        <x:f>AB393-T393</x:f>
        <x:v>0</x:v>
      </x:c>
      <x:c r="AG393" s="57" t="n">
        <x:f>AC393-U393</x:f>
        <x:v>0</x:v>
      </x:c>
    </x:row>
    <x:row r="394">
      <x:c r="A394" t="s">
        <x:v>1415</x:v>
      </x:c>
      <x:c r="C394" t="s">
        <x:v>331</x:v>
      </x:c>
      <x:c r="D394">
        <x:v>8485138</x:v>
      </x:c>
      <x:c r="E394" t="s">
        <x:v>267</x:v>
      </x:c>
      <x:c r="J394" t="s">
        <x:v>2474</x:v>
      </x:c>
      <x:c r="K394">
        <x:v>63</x:v>
      </x:c>
      <x:c r="L394">
        <x:v>40</x:v>
      </x:c>
      <x:c r="M394">
        <x:v>85</x:v>
      </x:c>
      <x:c r="N394">
        <x:v>33</x:v>
      </x:c>
      <x:c r="O394">
        <x:v>86</x:v>
      </x:c>
      <x:c r="P394">
        <x:v>85</x:v>
      </x:c>
      <x:c r="Q394">
        <x:v>89</x:v>
      </x:c>
      <x:c r="R394">
        <x:v>32</x:v>
      </x:c>
      <x:c r="S394">
        <x:v>30</x:v>
      </x:c>
      <x:c r="T394" s="63" t="n">
        <x:f>MAX(30,MIN(AB394-VLOOKUP(AE394,'AHL_PA_SC_BALANCE'!$A$8:$E$18,2,FALSE),VLOOKUP(AE394,'AHL_PA_SC_BALANCE'!$A$8:$E$18,4,FALSE)))</x:f>
        <x:v>42</x:v>
      </x:c>
      <x:c r="U394" s="63" t="n">
        <x:f>MAX(30,MIN(AC394-VLOOKUP(AE394,'AHL_PA_SC_BALANCE'!$A$8:$E$18,3,FALSE),VLOOKUP(AE394,'AHL_PA_SC_BALANCE'!$A$8:$E$18,5,FALSE)))</x:f>
        <x:v>40</x:v>
      </x:c>
      <x:c r="V394">
        <x:v>67</x:v>
      </x:c>
      <x:c r="W394">
        <x:v>46</x:v>
      </x:c>
      <x:c r="X394">
        <x:v>66</x:v>
      </x:c>
      <x:c r="Y394">
        <x:v>65</x:v>
      </x:c>
      <x:c r="Z394">
        <x:v>51</x:v>
      </x:c>
      <x:c r="AA394">
        <x:v>51</x:v>
      </x:c>
      <x:c r="AB394" s="57" t="n">
        <x:v>42</x:v>
      </x:c>
      <x:c r="AC394" s="57" t="n">
        <x:v>40</x:v>
      </x:c>
      <x:c r="AD394" s="59"/>
      <x:c r="AE394" s="61" t="str">
        <x:f>IF(N(F394)&gt;=10,"NHL_LATEST_10",IF(AND(N(F394)&gt;0,N(G394)&gt;0),"NHL_BOTH_SEASONS",IF(N(G394)&gt;=10,"NHL_PREVIOUS_10",IF(AND(ISNUMBER(AD394),AD394=0,SUM(F394:G394)=0),"FARM_CAREER_0",IF(COUNT(F394:G394)&lt;2,"UNKNOWN_GP",IF(AND(F394=0,G394=0),IF(AD394&gt;=10,"FARM_LEGACY_10",IF(AND(ISNUMBER(AD394),AD394&gt;0),"FARM_CAREER_1_9","FARM_0_0")),IF(F394&gt;=1,IF(F394&lt;=3,"FARM_RECENT_1_3","FARM_RECENT_4_9"),"FARM_PREV_1_9_ONLY")))))))</x:f>
        <x:v>UNKNOWN_GP</x:v>
      </x:c>
      <x:c r="AF394" s="57" t="n">
        <x:f>AB394-T394</x:f>
        <x:v>0</x:v>
      </x:c>
      <x:c r="AG394" s="57" t="n">
        <x:f>AC394-U394</x:f>
        <x:v>0</x:v>
      </x:c>
    </x:row>
    <x:row r="395">
      <x:c r="A395" t="s">
        <x:v>1416</x:v>
      </x:c>
      <x:c r="C395" t="s">
        <x:v>319</x:v>
      </x:c>
      <x:c r="D395">
        <x:v>8483695</x:v>
      </x:c>
      <x:c r="E395" t="s">
        <x:v>267</x:v>
      </x:c>
      <x:c r="J395" t="s">
        <x:v>2474</x:v>
      </x:c>
      <x:c r="K395">
        <x:v>58</x:v>
      </x:c>
      <x:c r="L395">
        <x:v>33</x:v>
      </x:c>
      <x:c r="M395">
        <x:v>86</x:v>
      </x:c>
      <x:c r="N395">
        <x:v>48</x:v>
      </x:c>
      <x:c r="O395">
        <x:v>77</x:v>
      </x:c>
      <x:c r="P395">
        <x:v>81</x:v>
      </x:c>
      <x:c r="Q395">
        <x:v>83</x:v>
      </x:c>
      <x:c r="R395">
        <x:v>47</x:v>
      </x:c>
      <x:c r="S395">
        <x:v>79</x:v>
      </x:c>
      <x:c r="T395" s="63" t="n">
        <x:f>MAX(30,MIN(AB395-VLOOKUP(AE395,'AHL_PA_SC_BALANCE'!$A$8:$E$18,2,FALSE),VLOOKUP(AE395,'AHL_PA_SC_BALANCE'!$A$8:$E$18,4,FALSE)))</x:f>
        <x:v>50</x:v>
      </x:c>
      <x:c r="U395" s="63" t="n">
        <x:f>MAX(30,MIN(AC395-VLOOKUP(AE395,'AHL_PA_SC_BALANCE'!$A$8:$E$18,3,FALSE),VLOOKUP(AE395,'AHL_PA_SC_BALANCE'!$A$8:$E$18,5,FALSE)))</x:f>
        <x:v>46</x:v>
      </x:c>
      <x:c r="V395">
        <x:v>59</x:v>
      </x:c>
      <x:c r="W395">
        <x:v>71</x:v>
      </x:c>
      <x:c r="X395">
        <x:v>66</x:v>
      </x:c>
      <x:c r="Y395">
        <x:v>66</x:v>
      </x:c>
      <x:c r="Z395">
        <x:v>51</x:v>
      </x:c>
      <x:c r="AA395">
        <x:v>51</x:v>
      </x:c>
      <x:c r="AB395" s="57" t="n">
        <x:v>50</x:v>
      </x:c>
      <x:c r="AC395" s="57" t="n">
        <x:v>46</x:v>
      </x:c>
      <x:c r="AD395" s="59"/>
      <x:c r="AE395" s="61" t="str">
        <x:f>IF(N(F395)&gt;=10,"NHL_LATEST_10",IF(AND(N(F395)&gt;0,N(G395)&gt;0),"NHL_BOTH_SEASONS",IF(N(G395)&gt;=10,"NHL_PREVIOUS_10",IF(AND(ISNUMBER(AD395),AD395=0,SUM(F395:G395)=0),"FARM_CAREER_0",IF(COUNT(F395:G395)&lt;2,"UNKNOWN_GP",IF(AND(F395=0,G395=0),IF(AD395&gt;=10,"FARM_LEGACY_10",IF(AND(ISNUMBER(AD395),AD395&gt;0),"FARM_CAREER_1_9","FARM_0_0")),IF(F395&gt;=1,IF(F395&lt;=3,"FARM_RECENT_1_3","FARM_RECENT_4_9"),"FARM_PREV_1_9_ONLY")))))))</x:f>
        <x:v>UNKNOWN_GP</x:v>
      </x:c>
      <x:c r="AF395" s="57" t="n">
        <x:f>AB395-T395</x:f>
        <x:v>0</x:v>
      </x:c>
      <x:c r="AG395" s="57" t="n">
        <x:f>AC395-U395</x:f>
        <x:v>0</x:v>
      </x:c>
    </x:row>
    <x:row r="396">
      <x:c r="A396" t="s">
        <x:v>1417</x:v>
      </x:c>
      <x:c r="C396" t="s">
        <x:v>331</x:v>
      </x:c>
      <x:c r="D396">
        <x:v>8482901</x:v>
      </x:c>
      <x:c r="E396" t="s">
        <x:v>267</x:v>
      </x:c>
      <x:c r="J396" t="s">
        <x:v>2474</x:v>
      </x:c>
      <x:c r="K396">
        <x:v>72</x:v>
      </x:c>
      <x:c r="L396">
        <x:v>43</x:v>
      </x:c>
      <x:c r="M396">
        <x:v>72</x:v>
      </x:c>
      <x:c r="N396">
        <x:v>32</x:v>
      </x:c>
      <x:c r="O396">
        <x:v>86</x:v>
      </x:c>
      <x:c r="P396">
        <x:v>87</x:v>
      </x:c>
      <x:c r="Q396">
        <x:v>93</x:v>
      </x:c>
      <x:c r="R396">
        <x:v>33</x:v>
      </x:c>
      <x:c r="S396">
        <x:v>30</x:v>
      </x:c>
      <x:c r="T396" s="63" t="n">
        <x:f>MAX(30,MIN(AB396-VLOOKUP(AE396,'AHL_PA_SC_BALANCE'!$A$8:$E$18,2,FALSE),VLOOKUP(AE396,'AHL_PA_SC_BALANCE'!$A$8:$E$18,4,FALSE)))</x:f>
        <x:v>41</x:v>
      </x:c>
      <x:c r="U396" s="63" t="n">
        <x:f>MAX(30,MIN(AC396-VLOOKUP(AE396,'AHL_PA_SC_BALANCE'!$A$8:$E$18,3,FALSE),VLOOKUP(AE396,'AHL_PA_SC_BALANCE'!$A$8:$E$18,5,FALSE)))</x:f>
        <x:v>39</x:v>
      </x:c>
      <x:c r="V396">
        <x:v>64</x:v>
      </x:c>
      <x:c r="W396">
        <x:v>45</x:v>
      </x:c>
      <x:c r="X396">
        <x:v>66</x:v>
      </x:c>
      <x:c r="Y396">
        <x:v>66</x:v>
      </x:c>
      <x:c r="Z396">
        <x:v>51</x:v>
      </x:c>
      <x:c r="AA396">
        <x:v>51</x:v>
      </x:c>
      <x:c r="AB396" s="57" t="n">
        <x:v>41</x:v>
      </x:c>
      <x:c r="AC396" s="57" t="n">
        <x:v>39</x:v>
      </x:c>
      <x:c r="AD396" s="59"/>
      <x:c r="AE396" s="61" t="str">
        <x:f>IF(N(F396)&gt;=10,"NHL_LATEST_10",IF(AND(N(F396)&gt;0,N(G396)&gt;0),"NHL_BOTH_SEASONS",IF(N(G396)&gt;=10,"NHL_PREVIOUS_10",IF(AND(ISNUMBER(AD396),AD396=0,SUM(F396:G396)=0),"FARM_CAREER_0",IF(COUNT(F396:G396)&lt;2,"UNKNOWN_GP",IF(AND(F396=0,G396=0),IF(AD396&gt;=10,"FARM_LEGACY_10",IF(AND(ISNUMBER(AD396),AD396&gt;0),"FARM_CAREER_1_9","FARM_0_0")),IF(F396&gt;=1,IF(F396&lt;=3,"FARM_RECENT_1_3","FARM_RECENT_4_9"),"FARM_PREV_1_9_ONLY")))))))</x:f>
        <x:v>UNKNOWN_GP</x:v>
      </x:c>
      <x:c r="AF396" s="57" t="n">
        <x:f>AB396-T396</x:f>
        <x:v>0</x:v>
      </x:c>
      <x:c r="AG396" s="57" t="n">
        <x:f>AC396-U396</x:f>
        <x:v>0</x:v>
      </x:c>
    </x:row>
    <x:row r="397">
      <x:c r="A397" t="s">
        <x:v>1418</x:v>
      </x:c>
      <x:c r="C397" t="s">
        <x:v>331</x:v>
      </x:c>
      <x:c r="D397">
        <x:v>8480886</x:v>
      </x:c>
      <x:c r="E397" t="s">
        <x:v>267</x:v>
      </x:c>
      <x:c r="J397" t="s">
        <x:v>2474</x:v>
      </x:c>
      <x:c r="K397">
        <x:v>79</x:v>
      </x:c>
      <x:c r="L397">
        <x:v>39</x:v>
      </x:c>
      <x:c r="M397">
        <x:v>74</x:v>
      </x:c>
      <x:c r="N397">
        <x:v>30</x:v>
      </x:c>
      <x:c r="O397">
        <x:v>84</x:v>
      </x:c>
      <x:c r="P397">
        <x:v>72</x:v>
      </x:c>
      <x:c r="Q397">
        <x:v>74</x:v>
      </x:c>
      <x:c r="R397">
        <x:v>31</x:v>
      </x:c>
      <x:c r="S397">
        <x:v>30</x:v>
      </x:c>
      <x:c r="T397" s="63" t="n">
        <x:f>MAX(30,MIN(AB397-VLOOKUP(AE397,'AHL_PA_SC_BALANCE'!$A$8:$E$18,2,FALSE),VLOOKUP(AE397,'AHL_PA_SC_BALANCE'!$A$8:$E$18,4,FALSE)))</x:f>
        <x:v>39</x:v>
      </x:c>
      <x:c r="U397" s="63" t="n">
        <x:f>MAX(30,MIN(AC397-VLOOKUP(AE397,'AHL_PA_SC_BALANCE'!$A$8:$E$18,3,FALSE),VLOOKUP(AE397,'AHL_PA_SC_BALANCE'!$A$8:$E$18,5,FALSE)))</x:f>
        <x:v>38</x:v>
      </x:c>
      <x:c r="V397">
        <x:v>66</x:v>
      </x:c>
      <x:c r="W397">
        <x:v>44</x:v>
      </x:c>
      <x:c r="X397">
        <x:v>69</x:v>
      </x:c>
      <x:c r="Y397">
        <x:v>70</x:v>
      </x:c>
      <x:c r="Z397">
        <x:v>51</x:v>
      </x:c>
      <x:c r="AA397">
        <x:v>51</x:v>
      </x:c>
      <x:c r="AB397" s="57" t="n">
        <x:v>39</x:v>
      </x:c>
      <x:c r="AC397" s="57" t="n">
        <x:v>38</x:v>
      </x:c>
      <x:c r="AD397" s="59"/>
      <x:c r="AE397" s="61" t="str">
        <x:f>IF(N(F397)&gt;=10,"NHL_LATEST_10",IF(AND(N(F397)&gt;0,N(G397)&gt;0),"NHL_BOTH_SEASONS",IF(N(G397)&gt;=10,"NHL_PREVIOUS_10",IF(AND(ISNUMBER(AD397),AD397=0,SUM(F397:G397)=0),"FARM_CAREER_0",IF(COUNT(F397:G397)&lt;2,"UNKNOWN_GP",IF(AND(F397=0,G397=0),IF(AD397&gt;=10,"FARM_LEGACY_10",IF(AND(ISNUMBER(AD397),AD397&gt;0),"FARM_CAREER_1_9","FARM_0_0")),IF(F397&gt;=1,IF(F397&lt;=3,"FARM_RECENT_1_3","FARM_RECENT_4_9"),"FARM_PREV_1_9_ONLY")))))))</x:f>
        <x:v>UNKNOWN_GP</x:v>
      </x:c>
      <x:c r="AF397" s="57" t="n">
        <x:f>AB397-T397</x:f>
        <x:v>0</x:v>
      </x:c>
      <x:c r="AG397" s="57" t="n">
        <x:f>AC397-U397</x:f>
        <x:v>0</x:v>
      </x:c>
    </x:row>
    <x:row r="398">
      <x:c r="A398" t="s">
        <x:v>1419</x:v>
      </x:c>
      <x:c r="C398" t="s">
        <x:v>331</x:v>
      </x:c>
      <x:c r="D398">
        <x:v>8482686</x:v>
      </x:c>
      <x:c r="E398" t="s">
        <x:v>267</x:v>
      </x:c>
      <x:c r="J398" t="s">
        <x:v>2474</x:v>
      </x:c>
      <x:c r="K398">
        <x:v>70</x:v>
      </x:c>
      <x:c r="L398">
        <x:v>36</x:v>
      </x:c>
      <x:c r="M398">
        <x:v>86</x:v>
      </x:c>
      <x:c r="N398">
        <x:v>32</x:v>
      </x:c>
      <x:c r="O398">
        <x:v>77</x:v>
      </x:c>
      <x:c r="P398">
        <x:v>83</x:v>
      </x:c>
      <x:c r="Q398">
        <x:v>87</x:v>
      </x:c>
      <x:c r="R398">
        <x:v>32</x:v>
      </x:c>
      <x:c r="S398">
        <x:v>30</x:v>
      </x:c>
      <x:c r="T398" s="63" t="n">
        <x:f>MAX(30,MIN(AB398-VLOOKUP(AE398,'AHL_PA_SC_BALANCE'!$A$8:$E$18,2,FALSE),VLOOKUP(AE398,'AHL_PA_SC_BALANCE'!$A$8:$E$18,4,FALSE)))</x:f>
        <x:v>42</x:v>
      </x:c>
      <x:c r="U398" s="63" t="n">
        <x:f>MAX(30,MIN(AC398-VLOOKUP(AE398,'AHL_PA_SC_BALANCE'!$A$8:$E$18,3,FALSE),VLOOKUP(AE398,'AHL_PA_SC_BALANCE'!$A$8:$E$18,5,FALSE)))</x:f>
        <x:v>40</x:v>
      </x:c>
      <x:c r="V398">
        <x:v>66</x:v>
      </x:c>
      <x:c r="W398">
        <x:v>46</x:v>
      </x:c>
      <x:c r="X398">
        <x:v>66</x:v>
      </x:c>
      <x:c r="Y398">
        <x:v>66</x:v>
      </x:c>
      <x:c r="Z398">
        <x:v>51</x:v>
      </x:c>
      <x:c r="AA398">
        <x:v>51</x:v>
      </x:c>
      <x:c r="AB398" s="57" t="n">
        <x:v>42</x:v>
      </x:c>
      <x:c r="AC398" s="57" t="n">
        <x:v>40</x:v>
      </x:c>
      <x:c r="AD398" s="59"/>
      <x:c r="AE398" s="61" t="str">
        <x:f>IF(N(F398)&gt;=10,"NHL_LATEST_10",IF(AND(N(F398)&gt;0,N(G398)&gt;0),"NHL_BOTH_SEASONS",IF(N(G398)&gt;=10,"NHL_PREVIOUS_10",IF(AND(ISNUMBER(AD398),AD398=0,SUM(F398:G398)=0),"FARM_CAREER_0",IF(COUNT(F398:G398)&lt;2,"UNKNOWN_GP",IF(AND(F398=0,G398=0),IF(AD398&gt;=10,"FARM_LEGACY_10",IF(AND(ISNUMBER(AD398),AD398&gt;0),"FARM_CAREER_1_9","FARM_0_0")),IF(F398&gt;=1,IF(F398&lt;=3,"FARM_RECENT_1_3","FARM_RECENT_4_9"),"FARM_PREV_1_9_ONLY")))))))</x:f>
        <x:v>UNKNOWN_GP</x:v>
      </x:c>
      <x:c r="AF398" s="57" t="n">
        <x:f>AB398-T398</x:f>
        <x:v>0</x:v>
      </x:c>
      <x:c r="AG398" s="57" t="n">
        <x:f>AC398-U398</x:f>
        <x:v>0</x:v>
      </x:c>
    </x:row>
    <x:row r="399">
      <x:c r="A399" t="s">
        <x:v>1420</x:v>
      </x:c>
      <x:c r="C399" t="s">
        <x:v>339</x:v>
      </x:c>
      <x:c r="D399">
        <x:v>8482698</x:v>
      </x:c>
      <x:c r="E399" t="s">
        <x:v>267</x:v>
      </x:c>
      <x:c r="J399" t="s">
        <x:v>2474</x:v>
      </x:c>
      <x:c r="K399">
        <x:v>71</x:v>
      </x:c>
      <x:c r="L399">
        <x:v>38</x:v>
      </x:c>
      <x:c r="M399">
        <x:v>80</x:v>
      </x:c>
      <x:c r="N399">
        <x:v>46</x:v>
      </x:c>
      <x:c r="O399">
        <x:v>79</x:v>
      </x:c>
      <x:c r="P399">
        <x:v>81</x:v>
      </x:c>
      <x:c r="Q399">
        <x:v>83</x:v>
      </x:c>
      <x:c r="R399">
        <x:v>46</x:v>
      </x:c>
      <x:c r="S399">
        <x:v>73</x:v>
      </x:c>
      <x:c r="T399" s="63" t="n">
        <x:f>MAX(30,MIN(AB399-VLOOKUP(AE399,'AHL_PA_SC_BALANCE'!$A$8:$E$18,2,FALSE),VLOOKUP(AE399,'AHL_PA_SC_BALANCE'!$A$8:$E$18,4,FALSE)))</x:f>
        <x:v>48</x:v>
      </x:c>
      <x:c r="U399" s="63" t="n">
        <x:f>MAX(30,MIN(AC399-VLOOKUP(AE399,'AHL_PA_SC_BALANCE'!$A$8:$E$18,3,FALSE),VLOOKUP(AE399,'AHL_PA_SC_BALANCE'!$A$8:$E$18,5,FALSE)))</x:f>
        <x:v>46</x:v>
      </x:c>
      <x:c r="V399">
        <x:v>57</x:v>
      </x:c>
      <x:c r="W399">
        <x:v>69</x:v>
      </x:c>
      <x:c r="X399">
        <x:v>67</x:v>
      </x:c>
      <x:c r="Y399">
        <x:v>67</x:v>
      </x:c>
      <x:c r="Z399">
        <x:v>51</x:v>
      </x:c>
      <x:c r="AA399">
        <x:v>51</x:v>
      </x:c>
      <x:c r="AB399" s="57" t="n">
        <x:v>48</x:v>
      </x:c>
      <x:c r="AC399" s="57" t="n">
        <x:v>46</x:v>
      </x:c>
      <x:c r="AD399" s="59"/>
      <x:c r="AE399" s="61" t="str">
        <x:f>IF(N(F399)&gt;=10,"NHL_LATEST_10",IF(AND(N(F399)&gt;0,N(G399)&gt;0),"NHL_BOTH_SEASONS",IF(N(G399)&gt;=10,"NHL_PREVIOUS_10",IF(AND(ISNUMBER(AD399),AD399=0,SUM(F399:G399)=0),"FARM_CAREER_0",IF(COUNT(F399:G399)&lt;2,"UNKNOWN_GP",IF(AND(F399=0,G399=0),IF(AD399&gt;=10,"FARM_LEGACY_10",IF(AND(ISNUMBER(AD399),AD399&gt;0),"FARM_CAREER_1_9","FARM_0_0")),IF(F399&gt;=1,IF(F399&lt;=3,"FARM_RECENT_1_3","FARM_RECENT_4_9"),"FARM_PREV_1_9_ONLY")))))))</x:f>
        <x:v>UNKNOWN_GP</x:v>
      </x:c>
      <x:c r="AF399" s="57" t="n">
        <x:f>AB399-T399</x:f>
        <x:v>0</x:v>
      </x:c>
      <x:c r="AG399" s="57" t="n">
        <x:f>AC399-U399</x:f>
        <x:v>0</x:v>
      </x:c>
    </x:row>
    <x:row r="400">
      <x:c r="A400" t="s">
        <x:v>1421</x:v>
      </x:c>
      <x:c r="C400" t="s">
        <x:v>331</x:v>
      </x:c>
      <x:c r="D400">
        <x:v>8483109</x:v>
      </x:c>
      <x:c r="E400" t="s">
        <x:v>267</x:v>
      </x:c>
      <x:c r="J400" t="s">
        <x:v>2474</x:v>
      </x:c>
      <x:c r="K400">
        <x:v>77</x:v>
      </x:c>
      <x:c r="L400">
        <x:v>39</x:v>
      </x:c>
      <x:c r="M400">
        <x:v>71</x:v>
      </x:c>
      <x:c r="N400">
        <x:v>32</x:v>
      </x:c>
      <x:c r="O400">
        <x:v>79</x:v>
      </x:c>
      <x:c r="P400">
        <x:v>74</x:v>
      </x:c>
      <x:c r="Q400">
        <x:v>76</x:v>
      </x:c>
      <x:c r="R400">
        <x:v>32</x:v>
      </x:c>
      <x:c r="S400">
        <x:v>30</x:v>
      </x:c>
      <x:c r="T400" s="63" t="n">
        <x:f>MAX(30,MIN(AB400-VLOOKUP(AE400,'AHL_PA_SC_BALANCE'!$A$8:$E$18,2,FALSE),VLOOKUP(AE400,'AHL_PA_SC_BALANCE'!$A$8:$E$18,4,FALSE)))</x:f>
        <x:v>40</x:v>
      </x:c>
      <x:c r="U400" s="63" t="n">
        <x:f>MAX(30,MIN(AC400-VLOOKUP(AE400,'AHL_PA_SC_BALANCE'!$A$8:$E$18,3,FALSE),VLOOKUP(AE400,'AHL_PA_SC_BALANCE'!$A$8:$E$18,5,FALSE)))</x:f>
        <x:v>37</x:v>
      </x:c>
      <x:c r="V400">
        <x:v>67</x:v>
      </x:c>
      <x:c r="W400">
        <x:v>44</x:v>
      </x:c>
      <x:c r="X400">
        <x:v>68</x:v>
      </x:c>
      <x:c r="Y400">
        <x:v>67</x:v>
      </x:c>
      <x:c r="Z400">
        <x:v>51</x:v>
      </x:c>
      <x:c r="AA400">
        <x:v>51</x:v>
      </x:c>
      <x:c r="AB400" s="57" t="n">
        <x:v>40</x:v>
      </x:c>
      <x:c r="AC400" s="57" t="n">
        <x:v>37</x:v>
      </x:c>
      <x:c r="AD400" s="59"/>
      <x:c r="AE400" s="61" t="str">
        <x:f>IF(N(F400)&gt;=10,"NHL_LATEST_10",IF(AND(N(F400)&gt;0,N(G400)&gt;0),"NHL_BOTH_SEASONS",IF(N(G400)&gt;=10,"NHL_PREVIOUS_10",IF(AND(ISNUMBER(AD400),AD400=0,SUM(F400:G400)=0),"FARM_CAREER_0",IF(COUNT(F400:G400)&lt;2,"UNKNOWN_GP",IF(AND(F400=0,G400=0),IF(AD400&gt;=10,"FARM_LEGACY_10",IF(AND(ISNUMBER(AD400),AD400&gt;0),"FARM_CAREER_1_9","FARM_0_0")),IF(F400&gt;=1,IF(F400&lt;=3,"FARM_RECENT_1_3","FARM_RECENT_4_9"),"FARM_PREV_1_9_ONLY")))))))</x:f>
        <x:v>UNKNOWN_GP</x:v>
      </x:c>
      <x:c r="AF400" s="57" t="n">
        <x:f>AB400-T400</x:f>
        <x:v>0</x:v>
      </x:c>
      <x:c r="AG400" s="57" t="n">
        <x:f>AC400-U400</x:f>
        <x:v>0</x:v>
      </x:c>
    </x:row>
    <x:row r="401">
      <x:c r="A401" t="s">
        <x:v>1422</x:v>
      </x:c>
      <x:c r="C401" t="s">
        <x:v>358</x:v>
      </x:c>
      <x:c r="D401">
        <x:v>8477631</x:v>
      </x:c>
      <x:c r="E401" t="s">
        <x:v>267</x:v>
      </x:c>
      <x:c r="J401" t="s">
        <x:v>2474</x:v>
      </x:c>
      <x:c r="K401">
        <x:v>87</x:v>
      </x:c>
      <x:c r="L401">
        <x:v>81</x:v>
      </x:c>
      <x:c r="M401">
        <x:v>71</x:v>
      </x:c>
      <x:c r="N401">
        <x:v>39</x:v>
      </x:c>
      <x:c r="O401">
        <x:v>87</x:v>
      </x:c>
      <x:c r="P401">
        <x:v>77</x:v>
      </x:c>
      <x:c r="Q401">
        <x:v>78</x:v>
      </x:c>
      <x:c r="R401">
        <x:v>38</x:v>
      </x:c>
      <x:c r="S401">
        <x:v>59</x:v>
      </x:c>
      <x:c r="T401" s="63" t="n">
        <x:f>MAX(30,MIN(AB401-VLOOKUP(AE401,'AHL_PA_SC_BALANCE'!$A$8:$E$18,2,FALSE),VLOOKUP(AE401,'AHL_PA_SC_BALANCE'!$A$8:$E$18,4,FALSE)))</x:f>
        <x:v>42</x:v>
      </x:c>
      <x:c r="U401" s="63" t="n">
        <x:f>MAX(30,MIN(AC401-VLOOKUP(AE401,'AHL_PA_SC_BALANCE'!$A$8:$E$18,3,FALSE),VLOOKUP(AE401,'AHL_PA_SC_BALANCE'!$A$8:$E$18,5,FALSE)))</x:f>
        <x:v>40</x:v>
      </x:c>
      <x:c r="V401">
        <x:v>63</x:v>
      </x:c>
      <x:c r="W401">
        <x:v>60</x:v>
      </x:c>
      <x:c r="X401">
        <x:v>74</x:v>
      </x:c>
      <x:c r="Y401">
        <x:v>73</x:v>
      </x:c>
      <x:c r="Z401">
        <x:v>51</x:v>
      </x:c>
      <x:c r="AA401">
        <x:v>51</x:v>
      </x:c>
      <x:c r="AB401" s="57" t="n">
        <x:v>42</x:v>
      </x:c>
      <x:c r="AC401" s="57" t="n">
        <x:v>40</x:v>
      </x:c>
      <x:c r="AD401" s="59"/>
      <x:c r="AE401" s="61" t="str">
        <x:f>IF(N(F401)&gt;=10,"NHL_LATEST_10",IF(AND(N(F401)&gt;0,N(G401)&gt;0),"NHL_BOTH_SEASONS",IF(N(G401)&gt;=10,"NHL_PREVIOUS_10",IF(AND(ISNUMBER(AD401),AD401=0,SUM(F401:G401)=0),"FARM_CAREER_0",IF(COUNT(F401:G401)&lt;2,"UNKNOWN_GP",IF(AND(F401=0,G401=0),IF(AD401&gt;=10,"FARM_LEGACY_10",IF(AND(ISNUMBER(AD401),AD401&gt;0),"FARM_CAREER_1_9","FARM_0_0")),IF(F401&gt;=1,IF(F401&lt;=3,"FARM_RECENT_1_3","FARM_RECENT_4_9"),"FARM_PREV_1_9_ONLY")))))))</x:f>
        <x:v>UNKNOWN_GP</x:v>
      </x:c>
      <x:c r="AF401" s="57" t="n">
        <x:f>AB401-T401</x:f>
        <x:v>0</x:v>
      </x:c>
      <x:c r="AG401" s="57" t="n">
        <x:f>AC401-U401</x:f>
        <x:v>0</x:v>
      </x:c>
    </x:row>
    <x:row r="402">
      <x:c r="A402" t="s">
        <x:v>1423</x:v>
      </x:c>
      <x:c r="C402" t="s">
        <x:v>331</x:v>
      </x:c>
      <x:c r="D402">
        <x:v>8480241</x:v>
      </x:c>
      <x:c r="E402" t="s">
        <x:v>267</x:v>
      </x:c>
      <x:c r="J402" t="s">
        <x:v>2474</x:v>
      </x:c>
      <x:c r="K402">
        <x:v>74</x:v>
      </x:c>
      <x:c r="L402">
        <x:v>40</x:v>
      </x:c>
      <x:c r="M402">
        <x:v>86</x:v>
      </x:c>
      <x:c r="N402">
        <x:v>33</x:v>
      </x:c>
      <x:c r="O402">
        <x:v>82</x:v>
      </x:c>
      <x:c r="P402">
        <x:v>72</x:v>
      </x:c>
      <x:c r="Q402">
        <x:v>75</x:v>
      </x:c>
      <x:c r="R402">
        <x:v>32</x:v>
      </x:c>
      <x:c r="S402">
        <x:v>30</x:v>
      </x:c>
      <x:c r="T402" s="63" t="n">
        <x:f>MAX(30,MIN(AB402-VLOOKUP(AE402,'AHL_PA_SC_BALANCE'!$A$8:$E$18,2,FALSE),VLOOKUP(AE402,'AHL_PA_SC_BALANCE'!$A$8:$E$18,4,FALSE)))</x:f>
        <x:v>42</x:v>
      </x:c>
      <x:c r="U402" s="63" t="n">
        <x:f>MAX(30,MIN(AC402-VLOOKUP(AE402,'AHL_PA_SC_BALANCE'!$A$8:$E$18,3,FALSE),VLOOKUP(AE402,'AHL_PA_SC_BALANCE'!$A$8:$E$18,5,FALSE)))</x:f>
        <x:v>37</x:v>
      </x:c>
      <x:c r="V402">
        <x:v>67</x:v>
      </x:c>
      <x:c r="W402">
        <x:v>44</x:v>
      </x:c>
      <x:c r="X402">
        <x:v>69</x:v>
      </x:c>
      <x:c r="Y402">
        <x:v>68</x:v>
      </x:c>
      <x:c r="Z402">
        <x:v>51</x:v>
      </x:c>
      <x:c r="AA402">
        <x:v>51</x:v>
      </x:c>
      <x:c r="AB402" s="57" t="n">
        <x:v>42</x:v>
      </x:c>
      <x:c r="AC402" s="57" t="n">
        <x:v>37</x:v>
      </x:c>
      <x:c r="AD402" s="59"/>
      <x:c r="AE402" s="61" t="str">
        <x:f>IF(N(F402)&gt;=10,"NHL_LATEST_10",IF(AND(N(F402)&gt;0,N(G402)&gt;0),"NHL_BOTH_SEASONS",IF(N(G402)&gt;=10,"NHL_PREVIOUS_10",IF(AND(ISNUMBER(AD402),AD402=0,SUM(F402:G402)=0),"FARM_CAREER_0",IF(COUNT(F402:G402)&lt;2,"UNKNOWN_GP",IF(AND(F402=0,G402=0),IF(AD402&gt;=10,"FARM_LEGACY_10",IF(AND(ISNUMBER(AD402),AD402&gt;0),"FARM_CAREER_1_9","FARM_0_0")),IF(F402&gt;=1,IF(F402&lt;=3,"FARM_RECENT_1_3","FARM_RECENT_4_9"),"FARM_PREV_1_9_ONLY")))))))</x:f>
        <x:v>UNKNOWN_GP</x:v>
      </x:c>
      <x:c r="AF402" s="57" t="n">
        <x:f>AB402-T402</x:f>
        <x:v>0</x:v>
      </x:c>
      <x:c r="AG402" s="57" t="n">
        <x:f>AC402-U402</x:f>
        <x:v>0</x:v>
      </x:c>
    </x:row>
    <x:row r="403">
      <x:c r="A403" t="s">
        <x:v>1424</x:v>
      </x:c>
      <x:c r="C403" t="s">
        <x:v>358</x:v>
      </x:c>
      <x:c r="D403">
        <x:v>8484200</x:v>
      </x:c>
      <x:c r="E403" t="s">
        <x:v>267</x:v>
      </x:c>
      <x:c r="J403" t="s">
        <x:v>2474</x:v>
      </x:c>
      <x:c r="K403">
        <x:v>61</x:v>
      </x:c>
      <x:c r="L403">
        <x:v>42</x:v>
      </x:c>
      <x:c r="M403">
        <x:v>81</x:v>
      </x:c>
      <x:c r="N403">
        <x:v>46</x:v>
      </x:c>
      <x:c r="O403">
        <x:v>83</x:v>
      </x:c>
      <x:c r="P403">
        <x:v>83</x:v>
      </x:c>
      <x:c r="Q403">
        <x:v>87</x:v>
      </x:c>
      <x:c r="R403">
        <x:v>45</x:v>
      </x:c>
      <x:c r="S403">
        <x:v>69</x:v>
      </x:c>
      <x:c r="T403" s="63" t="n">
        <x:f>MAX(30,MIN(AB403-VLOOKUP(AE403,'AHL_PA_SC_BALANCE'!$A$8:$E$18,2,FALSE),VLOOKUP(AE403,'AHL_PA_SC_BALANCE'!$A$8:$E$18,4,FALSE)))</x:f>
        <x:v>47</x:v>
      </x:c>
      <x:c r="U403" s="63" t="n">
        <x:f>MAX(30,MIN(AC403-VLOOKUP(AE403,'AHL_PA_SC_BALANCE'!$A$8:$E$18,3,FALSE),VLOOKUP(AE403,'AHL_PA_SC_BALANCE'!$A$8:$E$18,5,FALSE)))</x:f>
        <x:v>46</x:v>
      </x:c>
      <x:c r="V403">
        <x:v>58</x:v>
      </x:c>
      <x:c r="W403">
        <x:v>68</x:v>
      </x:c>
      <x:c r="X403">
        <x:v>65</x:v>
      </x:c>
      <x:c r="Y403">
        <x:v>64</x:v>
      </x:c>
      <x:c r="Z403">
        <x:v>51</x:v>
      </x:c>
      <x:c r="AA403">
        <x:v>51</x:v>
      </x:c>
      <x:c r="AB403" s="57" t="n">
        <x:v>47</x:v>
      </x:c>
      <x:c r="AC403" s="57" t="n">
        <x:v>46</x:v>
      </x:c>
      <x:c r="AD403" s="59"/>
      <x:c r="AE403" s="61" t="str">
        <x:f>IF(N(F403)&gt;=10,"NHL_LATEST_10",IF(AND(N(F403)&gt;0,N(G403)&gt;0),"NHL_BOTH_SEASONS",IF(N(G403)&gt;=10,"NHL_PREVIOUS_10",IF(AND(ISNUMBER(AD403),AD403=0,SUM(F403:G403)=0),"FARM_CAREER_0",IF(COUNT(F403:G403)&lt;2,"UNKNOWN_GP",IF(AND(F403=0,G403=0),IF(AD403&gt;=10,"FARM_LEGACY_10",IF(AND(ISNUMBER(AD403),AD403&gt;0),"FARM_CAREER_1_9","FARM_0_0")),IF(F403&gt;=1,IF(F403&lt;=3,"FARM_RECENT_1_3","FARM_RECENT_4_9"),"FARM_PREV_1_9_ONLY")))))))</x:f>
        <x:v>UNKNOWN_GP</x:v>
      </x:c>
      <x:c r="AF403" s="57" t="n">
        <x:f>AB403-T403</x:f>
        <x:v>0</x:v>
      </x:c>
      <x:c r="AG403" s="57" t="n">
        <x:f>AC403-U403</x:f>
        <x:v>0</x:v>
      </x:c>
    </x:row>
    <x:row r="404">
      <x:c r="A404" t="s">
        <x:v>1425</x:v>
      </x:c>
      <x:c r="C404" t="s">
        <x:v>333</x:v>
      </x:c>
      <x:c r="D404">
        <x:v>8481712</x:v>
      </x:c>
      <x:c r="E404" t="s">
        <x:v>267</x:v>
      </x:c>
      <x:c r="J404" t="s">
        <x:v>2474</x:v>
      </x:c>
      <x:c r="K404">
        <x:v>60</x:v>
      </x:c>
      <x:c r="L404">
        <x:v>37</x:v>
      </x:c>
      <x:c r="M404">
        <x:v>88</x:v>
      </x:c>
      <x:c r="N404">
        <x:v>46</x:v>
      </x:c>
      <x:c r="O404">
        <x:v>79</x:v>
      </x:c>
      <x:c r="P404">
        <x:v>87</x:v>
      </x:c>
      <x:c r="Q404">
        <x:v>89</x:v>
      </x:c>
      <x:c r="R404">
        <x:v>46</x:v>
      </x:c>
      <x:c r="S404">
        <x:v>71</x:v>
      </x:c>
      <x:c r="T404" s="63" t="n">
        <x:f>MAX(30,MIN(AB404-VLOOKUP(AE404,'AHL_PA_SC_BALANCE'!$A$8:$E$18,2,FALSE),VLOOKUP(AE404,'AHL_PA_SC_BALANCE'!$A$8:$E$18,4,FALSE)))</x:f>
        <x:v>50</x:v>
      </x:c>
      <x:c r="U404" s="63" t="n">
        <x:f>MAX(30,MIN(AC404-VLOOKUP(AE404,'AHL_PA_SC_BALANCE'!$A$8:$E$18,3,FALSE),VLOOKUP(AE404,'AHL_PA_SC_BALANCE'!$A$8:$E$18,5,FALSE)))</x:f>
        <x:v>47</x:v>
      </x:c>
      <x:c r="V404">
        <x:v>59</x:v>
      </x:c>
      <x:c r="W404">
        <x:v>71</x:v>
      </x:c>
      <x:c r="X404">
        <x:v>69</x:v>
      </x:c>
      <x:c r="Y404">
        <x:v>68</x:v>
      </x:c>
      <x:c r="Z404">
        <x:v>51</x:v>
      </x:c>
      <x:c r="AA404">
        <x:v>51</x:v>
      </x:c>
      <x:c r="AB404" s="57" t="n">
        <x:v>50</x:v>
      </x:c>
      <x:c r="AC404" s="57" t="n">
        <x:v>47</x:v>
      </x:c>
      <x:c r="AD404" s="59"/>
      <x:c r="AE404" s="61" t="str">
        <x:f>IF(N(F404)&gt;=10,"NHL_LATEST_10",IF(AND(N(F404)&gt;0,N(G404)&gt;0),"NHL_BOTH_SEASONS",IF(N(G404)&gt;=10,"NHL_PREVIOUS_10",IF(AND(ISNUMBER(AD404),AD404=0,SUM(F404:G404)=0),"FARM_CAREER_0",IF(COUNT(F404:G404)&lt;2,"UNKNOWN_GP",IF(AND(F404=0,G404=0),IF(AD404&gt;=10,"FARM_LEGACY_10",IF(AND(ISNUMBER(AD404),AD404&gt;0),"FARM_CAREER_1_9","FARM_0_0")),IF(F404&gt;=1,IF(F404&lt;=3,"FARM_RECENT_1_3","FARM_RECENT_4_9"),"FARM_PREV_1_9_ONLY")))))))</x:f>
        <x:v>UNKNOWN_GP</x:v>
      </x:c>
      <x:c r="AF404" s="57" t="n">
        <x:f>AB404-T404</x:f>
        <x:v>0</x:v>
      </x:c>
      <x:c r="AG404" s="57" t="n">
        <x:f>AC404-U404</x:f>
        <x:v>0</x:v>
      </x:c>
    </x:row>
    <x:row r="405">
      <x:c r="A405" t="s">
        <x:v>1426</x:v>
      </x:c>
      <x:c r="C405" t="s">
        <x:v>358</x:v>
      </x:c>
      <x:c r="D405">
        <x:v>8477255</x:v>
      </x:c>
      <x:c r="E405" t="s">
        <x:v>267</x:v>
      </x:c>
      <x:c r="J405" t="s">
        <x:v>2474</x:v>
      </x:c>
      <x:c r="K405">
        <x:v>71</x:v>
      </x:c>
      <x:c r="L405">
        <x:v>76</x:v>
      </x:c>
      <x:c r="M405">
        <x:v>73</x:v>
      </x:c>
      <x:c r="N405">
        <x:v>39</x:v>
      </x:c>
      <x:c r="O405">
        <x:v>83</x:v>
      </x:c>
      <x:c r="P405">
        <x:v>76</x:v>
      </x:c>
      <x:c r="Q405">
        <x:v>78</x:v>
      </x:c>
      <x:c r="R405">
        <x:v>38</x:v>
      </x:c>
      <x:c r="S405">
        <x:v>59</x:v>
      </x:c>
      <x:c r="T405" s="63" t="n">
        <x:f>MAX(30,MIN(AB405-VLOOKUP(AE405,'AHL_PA_SC_BALANCE'!$A$8:$E$18,2,FALSE),VLOOKUP(AE405,'AHL_PA_SC_BALANCE'!$A$8:$E$18,4,FALSE)))</x:f>
        <x:v>40</x:v>
      </x:c>
      <x:c r="U405" s="63" t="n">
        <x:f>MAX(30,MIN(AC405-VLOOKUP(AE405,'AHL_PA_SC_BALANCE'!$A$8:$E$18,3,FALSE),VLOOKUP(AE405,'AHL_PA_SC_BALANCE'!$A$8:$E$18,5,FALSE)))</x:f>
        <x:v>43</x:v>
      </x:c>
      <x:c r="V405">
        <x:v>58</x:v>
      </x:c>
      <x:c r="W405">
        <x:v>61</x:v>
      </x:c>
      <x:c r="X405">
        <x:v>80</x:v>
      </x:c>
      <x:c r="Y405">
        <x:v>81</x:v>
      </x:c>
      <x:c r="Z405">
        <x:v>51</x:v>
      </x:c>
      <x:c r="AA405">
        <x:v>51</x:v>
      </x:c>
      <x:c r="AB405" s="57" t="n">
        <x:v>40</x:v>
      </x:c>
      <x:c r="AC405" s="57" t="n">
        <x:v>43</x:v>
      </x:c>
      <x:c r="AD405" s="59"/>
      <x:c r="AE405" s="61" t="str">
        <x:f>IF(N(F405)&gt;=10,"NHL_LATEST_10",IF(AND(N(F405)&gt;0,N(G405)&gt;0),"NHL_BOTH_SEASONS",IF(N(G405)&gt;=10,"NHL_PREVIOUS_10",IF(AND(ISNUMBER(AD405),AD405=0,SUM(F405:G405)=0),"FARM_CAREER_0",IF(COUNT(F405:G405)&lt;2,"UNKNOWN_GP",IF(AND(F405=0,G405=0),IF(AD405&gt;=10,"FARM_LEGACY_10",IF(AND(ISNUMBER(AD405),AD405&gt;0),"FARM_CAREER_1_9","FARM_0_0")),IF(F405&gt;=1,IF(F405&lt;=3,"FARM_RECENT_1_3","FARM_RECENT_4_9"),"FARM_PREV_1_9_ONLY")))))))</x:f>
        <x:v>UNKNOWN_GP</x:v>
      </x:c>
      <x:c r="AF405" s="57" t="n">
        <x:f>AB405-T405</x:f>
        <x:v>0</x:v>
      </x:c>
      <x:c r="AG405" s="57" t="n">
        <x:f>AC405-U405</x:f>
        <x:v>0</x:v>
      </x:c>
    </x:row>
    <x:row r="406">
      <x:c r="A406" t="s">
        <x:v>1427</x:v>
      </x:c>
      <x:c r="C406" t="s">
        <x:v>331</x:v>
      </x:c>
      <x:c r="D406">
        <x:v>8476421</x:v>
      </x:c>
      <x:c r="E406" t="s">
        <x:v>267</x:v>
      </x:c>
      <x:c r="J406" t="s">
        <x:v>2474</x:v>
      </x:c>
      <x:c r="K406">
        <x:v>74</x:v>
      </x:c>
      <x:c r="L406">
        <x:v>45</x:v>
      </x:c>
      <x:c r="M406">
        <x:v>81</x:v>
      </x:c>
      <x:c r="N406">
        <x:v>32</x:v>
      </x:c>
      <x:c r="O406">
        <x:v>82</x:v>
      </x:c>
      <x:c r="P406">
        <x:v>81</x:v>
      </x:c>
      <x:c r="Q406">
        <x:v>83</x:v>
      </x:c>
      <x:c r="R406">
        <x:v>32</x:v>
      </x:c>
      <x:c r="S406">
        <x:v>30</x:v>
      </x:c>
      <x:c r="T406" s="63" t="n">
        <x:f>MAX(30,MIN(AB406-VLOOKUP(AE406,'AHL_PA_SC_BALANCE'!$A$8:$E$18,2,FALSE),VLOOKUP(AE406,'AHL_PA_SC_BALANCE'!$A$8:$E$18,4,FALSE)))</x:f>
        <x:v>41</x:v>
      </x:c>
      <x:c r="U406" s="63" t="n">
        <x:f>MAX(30,MIN(AC406-VLOOKUP(AE406,'AHL_PA_SC_BALANCE'!$A$8:$E$18,3,FALSE),VLOOKUP(AE406,'AHL_PA_SC_BALANCE'!$A$8:$E$18,5,FALSE)))</x:f>
        <x:v>37</x:v>
      </x:c>
      <x:c r="V406">
        <x:v>64</x:v>
      </x:c>
      <x:c r="W406">
        <x:v>44</x:v>
      </x:c>
      <x:c r="X406">
        <x:v>78</x:v>
      </x:c>
      <x:c r="Y406">
        <x:v>77</x:v>
      </x:c>
      <x:c r="Z406">
        <x:v>40</x:v>
      </x:c>
      <x:c r="AA406">
        <x:v>51</x:v>
      </x:c>
      <x:c r="AB406" s="57" t="n">
        <x:v>41</x:v>
      </x:c>
      <x:c r="AC406" s="57" t="n">
        <x:v>37</x:v>
      </x:c>
      <x:c r="AD406" s="59"/>
      <x:c r="AE406" s="61" t="str">
        <x:f>IF(N(F406)&gt;=10,"NHL_LATEST_10",IF(AND(N(F406)&gt;0,N(G406)&gt;0),"NHL_BOTH_SEASONS",IF(N(G406)&gt;=10,"NHL_PREVIOUS_10",IF(AND(ISNUMBER(AD406),AD406=0,SUM(F406:G406)=0),"FARM_CAREER_0",IF(COUNT(F406:G406)&lt;2,"UNKNOWN_GP",IF(AND(F406=0,G406=0),IF(AD406&gt;=10,"FARM_LEGACY_10",IF(AND(ISNUMBER(AD406),AD406&gt;0),"FARM_CAREER_1_9","FARM_0_0")),IF(F406&gt;=1,IF(F406&lt;=3,"FARM_RECENT_1_3","FARM_RECENT_4_9"),"FARM_PREV_1_9_ONLY")))))))</x:f>
        <x:v>UNKNOWN_GP</x:v>
      </x:c>
      <x:c r="AF406" s="57" t="n">
        <x:f>AB406-T406</x:f>
        <x:v>0</x:v>
      </x:c>
      <x:c r="AG406" s="57" t="n">
        <x:f>AC406-U406</x:f>
        <x:v>0</x:v>
      </x:c>
    </x:row>
    <x:row r="407">
      <x:c r="A407" t="s">
        <x:v>1428</x:v>
      </x:c>
      <x:c r="C407" t="s">
        <x:v>331</x:v>
      </x:c>
      <x:c r="D407">
        <x:v>8482922</x:v>
      </x:c>
      <x:c r="E407" t="s">
        <x:v>267</x:v>
      </x:c>
      <x:c r="J407" t="s">
        <x:v>2474</x:v>
      </x:c>
      <x:c r="K407">
        <x:v>70</x:v>
      </x:c>
      <x:c r="L407">
        <x:v>37</x:v>
      </x:c>
      <x:c r="M407">
        <x:v>91</x:v>
      </x:c>
      <x:c r="N407">
        <x:v>33</x:v>
      </x:c>
      <x:c r="O407">
        <x:v>82</x:v>
      </x:c>
      <x:c r="P407">
        <x:v>88</x:v>
      </x:c>
      <x:c r="Q407">
        <x:v>92</x:v>
      </x:c>
      <x:c r="R407">
        <x:v>33</x:v>
      </x:c>
      <x:c r="S407">
        <x:v>30</x:v>
      </x:c>
      <x:c r="T407" s="63" t="n">
        <x:f>MAX(30,MIN(AB407-VLOOKUP(AE407,'AHL_PA_SC_BALANCE'!$A$8:$E$18,2,FALSE),VLOOKUP(AE407,'AHL_PA_SC_BALANCE'!$A$8:$E$18,4,FALSE)))</x:f>
        <x:v>40</x:v>
      </x:c>
      <x:c r="U407" s="63" t="n">
        <x:f>MAX(30,MIN(AC407-VLOOKUP(AE407,'AHL_PA_SC_BALANCE'!$A$8:$E$18,3,FALSE),VLOOKUP(AE407,'AHL_PA_SC_BALANCE'!$A$8:$E$18,5,FALSE)))</x:f>
        <x:v>40</x:v>
      </x:c>
      <x:c r="V407">
        <x:v>68</x:v>
      </x:c>
      <x:c r="W407">
        <x:v>45</x:v>
      </x:c>
      <x:c r="X407">
        <x:v>66</x:v>
      </x:c>
      <x:c r="Y407">
        <x:v>67</x:v>
      </x:c>
      <x:c r="Z407">
        <x:v>51</x:v>
      </x:c>
      <x:c r="AA407">
        <x:v>51</x:v>
      </x:c>
      <x:c r="AB407" s="57" t="n">
        <x:v>40</x:v>
      </x:c>
      <x:c r="AC407" s="57" t="n">
        <x:v>40</x:v>
      </x:c>
      <x:c r="AD407" s="59"/>
      <x:c r="AE407" s="61" t="str">
        <x:f>IF(N(F407)&gt;=10,"NHL_LATEST_10",IF(AND(N(F407)&gt;0,N(G407)&gt;0),"NHL_BOTH_SEASONS",IF(N(G407)&gt;=10,"NHL_PREVIOUS_10",IF(AND(ISNUMBER(AD407),AD407=0,SUM(F407:G407)=0),"FARM_CAREER_0",IF(COUNT(F407:G407)&lt;2,"UNKNOWN_GP",IF(AND(F407=0,G407=0),IF(AD407&gt;=10,"FARM_LEGACY_10",IF(AND(ISNUMBER(AD407),AD407&gt;0),"FARM_CAREER_1_9","FARM_0_0")),IF(F407&gt;=1,IF(F407&lt;=3,"FARM_RECENT_1_3","FARM_RECENT_4_9"),"FARM_PREV_1_9_ONLY")))))))</x:f>
        <x:v>UNKNOWN_GP</x:v>
      </x:c>
      <x:c r="AF407" s="57" t="n">
        <x:f>AB407-T407</x:f>
        <x:v>0</x:v>
      </x:c>
      <x:c r="AG407" s="57" t="n">
        <x:f>AC407-U407</x:f>
        <x:v>0</x:v>
      </x:c>
    </x:row>
    <x:row r="408">
      <x:c r="A408" t="s">
        <x:v>1429</x:v>
      </x:c>
      <x:c r="C408" t="s">
        <x:v>331</x:v>
      </x:c>
      <x:c r="D408">
        <x:v>8481774</x:v>
      </x:c>
      <x:c r="E408" t="s">
        <x:v>267</x:v>
      </x:c>
      <x:c r="J408" t="s">
        <x:v>2474</x:v>
      </x:c>
      <x:c r="K408">
        <x:v>73</x:v>
      </x:c>
      <x:c r="L408">
        <x:v>35</x:v>
      </x:c>
      <x:c r="M408">
        <x:v>90</x:v>
      </x:c>
      <x:c r="N408">
        <x:v>32</x:v>
      </x:c>
      <x:c r="O408">
        <x:v>77</x:v>
      </x:c>
      <x:c r="P408">
        <x:v>74</x:v>
      </x:c>
      <x:c r="Q408">
        <x:v>77</x:v>
      </x:c>
      <x:c r="R408">
        <x:v>32</x:v>
      </x:c>
      <x:c r="S408">
        <x:v>30</x:v>
      </x:c>
      <x:c r="T408" s="63" t="n">
        <x:f>MAX(30,MIN(AB408-VLOOKUP(AE408,'AHL_PA_SC_BALANCE'!$A$8:$E$18,2,FALSE),VLOOKUP(AE408,'AHL_PA_SC_BALANCE'!$A$8:$E$18,4,FALSE)))</x:f>
        <x:v>40</x:v>
      </x:c>
      <x:c r="U408" s="63" t="n">
        <x:f>MAX(30,MIN(AC408-VLOOKUP(AE408,'AHL_PA_SC_BALANCE'!$A$8:$E$18,3,FALSE),VLOOKUP(AE408,'AHL_PA_SC_BALANCE'!$A$8:$E$18,5,FALSE)))</x:f>
        <x:v>37</x:v>
      </x:c>
      <x:c r="V408">
        <x:v>66</x:v>
      </x:c>
      <x:c r="W408">
        <x:v>44</x:v>
      </x:c>
      <x:c r="X408">
        <x:v>68</x:v>
      </x:c>
      <x:c r="Y408">
        <x:v>69</x:v>
      </x:c>
      <x:c r="Z408">
        <x:v>51</x:v>
      </x:c>
      <x:c r="AA408">
        <x:v>51</x:v>
      </x:c>
      <x:c r="AB408" s="57" t="n">
        <x:v>40</x:v>
      </x:c>
      <x:c r="AC408" s="57" t="n">
        <x:v>37</x:v>
      </x:c>
      <x:c r="AD408" s="59"/>
      <x:c r="AE408" s="61" t="str">
        <x:f>IF(N(F408)&gt;=10,"NHL_LATEST_10",IF(AND(N(F408)&gt;0,N(G408)&gt;0),"NHL_BOTH_SEASONS",IF(N(G408)&gt;=10,"NHL_PREVIOUS_10",IF(AND(ISNUMBER(AD408),AD408=0,SUM(F408:G408)=0),"FARM_CAREER_0",IF(COUNT(F408:G408)&lt;2,"UNKNOWN_GP",IF(AND(F408=0,G408=0),IF(AD408&gt;=10,"FARM_LEGACY_10",IF(AND(ISNUMBER(AD408),AD408&gt;0),"FARM_CAREER_1_9","FARM_0_0")),IF(F408&gt;=1,IF(F408&lt;=3,"FARM_RECENT_1_3","FARM_RECENT_4_9"),"FARM_PREV_1_9_ONLY")))))))</x:f>
        <x:v>UNKNOWN_GP</x:v>
      </x:c>
      <x:c r="AF408" s="57" t="n">
        <x:f>AB408-T408</x:f>
        <x:v>0</x:v>
      </x:c>
      <x:c r="AG408" s="57" t="n">
        <x:f>AC408-U408</x:f>
        <x:v>0</x:v>
      </x:c>
    </x:row>
    <x:row r="409">
      <x:c r="A409" t="s">
        <x:v>1430</x:v>
      </x:c>
      <x:c r="C409" t="s">
        <x:v>331</x:v>
      </x:c>
      <x:c r="D409">
        <x:v>8482194</x:v>
      </x:c>
      <x:c r="E409" t="s">
        <x:v>267</x:v>
      </x:c>
      <x:c r="J409" t="s">
        <x:v>2474</x:v>
      </x:c>
      <x:c r="K409">
        <x:v>64</x:v>
      </x:c>
      <x:c r="L409">
        <x:v>40</x:v>
      </x:c>
      <x:c r="M409">
        <x:v>76</x:v>
      </x:c>
      <x:c r="N409">
        <x:v>34</x:v>
      </x:c>
      <x:c r="O409">
        <x:v>79</x:v>
      </x:c>
      <x:c r="P409">
        <x:v>89</x:v>
      </x:c>
      <x:c r="Q409">
        <x:v>93</x:v>
      </x:c>
      <x:c r="R409">
        <x:v>33</x:v>
      </x:c>
      <x:c r="S409">
        <x:v>30</x:v>
      </x:c>
      <x:c r="T409" s="63" t="n">
        <x:f>MAX(30,MIN(AB409-VLOOKUP(AE409,'AHL_PA_SC_BALANCE'!$A$8:$E$18,2,FALSE),VLOOKUP(AE409,'AHL_PA_SC_BALANCE'!$A$8:$E$18,4,FALSE)))</x:f>
        <x:v>42</x:v>
      </x:c>
      <x:c r="U409" s="63" t="n">
        <x:f>MAX(30,MIN(AC409-VLOOKUP(AE409,'AHL_PA_SC_BALANCE'!$A$8:$E$18,3,FALSE),VLOOKUP(AE409,'AHL_PA_SC_BALANCE'!$A$8:$E$18,5,FALSE)))</x:f>
        <x:v>42</x:v>
      </x:c>
      <x:c r="V409">
        <x:v>65</x:v>
      </x:c>
      <x:c r="W409">
        <x:v>47</x:v>
      </x:c>
      <x:c r="X409">
        <x:v>66</x:v>
      </x:c>
      <x:c r="Y409">
        <x:v>66</x:v>
      </x:c>
      <x:c r="Z409">
        <x:v>51</x:v>
      </x:c>
      <x:c r="AA409">
        <x:v>51</x:v>
      </x:c>
      <x:c r="AB409" s="57" t="n">
        <x:v>42</x:v>
      </x:c>
      <x:c r="AC409" s="57" t="n">
        <x:v>42</x:v>
      </x:c>
      <x:c r="AD409" s="59"/>
      <x:c r="AE409" s="61" t="str">
        <x:f>IF(N(F409)&gt;=10,"NHL_LATEST_10",IF(AND(N(F409)&gt;0,N(G409)&gt;0),"NHL_BOTH_SEASONS",IF(N(G409)&gt;=10,"NHL_PREVIOUS_10",IF(AND(ISNUMBER(AD409),AD409=0,SUM(F409:G409)=0),"FARM_CAREER_0",IF(COUNT(F409:G409)&lt;2,"UNKNOWN_GP",IF(AND(F409=0,G409=0),IF(AD409&gt;=10,"FARM_LEGACY_10",IF(AND(ISNUMBER(AD409),AD409&gt;0),"FARM_CAREER_1_9","FARM_0_0")),IF(F409&gt;=1,IF(F409&lt;=3,"FARM_RECENT_1_3","FARM_RECENT_4_9"),"FARM_PREV_1_9_ONLY")))))))</x:f>
        <x:v>UNKNOWN_GP</x:v>
      </x:c>
      <x:c r="AF409" s="57" t="n">
        <x:f>AB409-T409</x:f>
        <x:v>0</x:v>
      </x:c>
      <x:c r="AG409" s="57" t="n">
        <x:f>AC409-U409</x:f>
        <x:v>0</x:v>
      </x:c>
    </x:row>
    <x:row r="410">
      <x:c r="A410" t="s">
        <x:v>1431</x:v>
      </x:c>
      <x:c r="C410" t="s">
        <x:v>331</x:v>
      </x:c>
      <x:c r="D410">
        <x:v>8485457</x:v>
      </x:c>
      <x:c r="E410" t="s">
        <x:v>267</x:v>
      </x:c>
      <x:c r="J410" t="s">
        <x:v>2474</x:v>
      </x:c>
      <x:c r="K410">
        <x:v>73</x:v>
      </x:c>
      <x:c r="L410">
        <x:v>43</x:v>
      </x:c>
      <x:c r="M410">
        <x:v>77</x:v>
      </x:c>
      <x:c r="N410">
        <x:v>32</x:v>
      </x:c>
      <x:c r="O410">
        <x:v>87</x:v>
      </x:c>
      <x:c r="P410">
        <x:v>74</x:v>
      </x:c>
      <x:c r="Q410">
        <x:v>77</x:v>
      </x:c>
      <x:c r="R410">
        <x:v>32</x:v>
      </x:c>
      <x:c r="S410">
        <x:v>30</x:v>
      </x:c>
      <x:c r="T410" s="63" t="n">
        <x:f>MAX(30,MIN(AB410-VLOOKUP(AE410,'AHL_PA_SC_BALANCE'!$A$8:$E$18,2,FALSE),VLOOKUP(AE410,'AHL_PA_SC_BALANCE'!$A$8:$E$18,4,FALSE)))</x:f>
        <x:v>39</x:v>
      </x:c>
      <x:c r="U410" s="63" t="n">
        <x:f>MAX(30,MIN(AC410-VLOOKUP(AE410,'AHL_PA_SC_BALANCE'!$A$8:$E$18,3,FALSE),VLOOKUP(AE410,'AHL_PA_SC_BALANCE'!$A$8:$E$18,5,FALSE)))</x:f>
        <x:v>40</x:v>
      </x:c>
      <x:c r="V410">
        <x:v>65</x:v>
      </x:c>
      <x:c r="W410">
        <x:v>45</x:v>
      </x:c>
      <x:c r="X410">
        <x:v>69</x:v>
      </x:c>
      <x:c r="Y410">
        <x:v>68</x:v>
      </x:c>
      <x:c r="Z410">
        <x:v>51</x:v>
      </x:c>
      <x:c r="AA410">
        <x:v>51</x:v>
      </x:c>
      <x:c r="AB410" s="57" t="n">
        <x:v>39</x:v>
      </x:c>
      <x:c r="AC410" s="57" t="n">
        <x:v>40</x:v>
      </x:c>
      <x:c r="AD410" s="59"/>
      <x:c r="AE410" s="61" t="str">
        <x:f>IF(N(F410)&gt;=10,"NHL_LATEST_10",IF(AND(N(F410)&gt;0,N(G410)&gt;0),"NHL_BOTH_SEASONS",IF(N(G410)&gt;=10,"NHL_PREVIOUS_10",IF(AND(ISNUMBER(AD410),AD410=0,SUM(F410:G410)=0),"FARM_CAREER_0",IF(COUNT(F410:G410)&lt;2,"UNKNOWN_GP",IF(AND(F410=0,G410=0),IF(AD410&gt;=10,"FARM_LEGACY_10",IF(AND(ISNUMBER(AD410),AD410&gt;0),"FARM_CAREER_1_9","FARM_0_0")),IF(F410&gt;=1,IF(F410&lt;=3,"FARM_RECENT_1_3","FARM_RECENT_4_9"),"FARM_PREV_1_9_ONLY")))))))</x:f>
        <x:v>UNKNOWN_GP</x:v>
      </x:c>
      <x:c r="AF410" s="57" t="n">
        <x:f>AB410-T410</x:f>
        <x:v>0</x:v>
      </x:c>
      <x:c r="AG410" s="57" t="n">
        <x:f>AC410-U410</x:f>
        <x:v>0</x:v>
      </x:c>
    </x:row>
    <x:row r="411">
      <x:c r="A411" t="s">
        <x:v>1432</x:v>
      </x:c>
      <x:c r="C411" t="s">
        <x:v>331</x:v>
      </x:c>
      <x:c r="D411">
        <x:v>8484433</x:v>
      </x:c>
      <x:c r="E411" t="s">
        <x:v>267</x:v>
      </x:c>
      <x:c r="J411" t="s">
        <x:v>2474</x:v>
      </x:c>
      <x:c r="K411">
        <x:v>63</x:v>
      </x:c>
      <x:c r="L411">
        <x:v>40</x:v>
      </x:c>
      <x:c r="M411">
        <x:v>82</x:v>
      </x:c>
      <x:c r="N411">
        <x:v>34</x:v>
      </x:c>
      <x:c r="O411">
        <x:v>80</x:v>
      </x:c>
      <x:c r="P411">
        <x:v>78</x:v>
      </x:c>
      <x:c r="Q411">
        <x:v>81</x:v>
      </x:c>
      <x:c r="R411">
        <x:v>35</x:v>
      </x:c>
      <x:c r="S411">
        <x:v>30</x:v>
      </x:c>
      <x:c r="T411" s="63" t="n">
        <x:f>MAX(30,MIN(AB411-VLOOKUP(AE411,'AHL_PA_SC_BALANCE'!$A$8:$E$18,2,FALSE),VLOOKUP(AE411,'AHL_PA_SC_BALANCE'!$A$8:$E$18,4,FALSE)))</x:f>
        <x:v>42</x:v>
      </x:c>
      <x:c r="U411" s="63" t="n">
        <x:f>MAX(30,MIN(AC411-VLOOKUP(AE411,'AHL_PA_SC_BALANCE'!$A$8:$E$18,3,FALSE),VLOOKUP(AE411,'AHL_PA_SC_BALANCE'!$A$8:$E$18,5,FALSE)))</x:f>
        <x:v>42</x:v>
      </x:c>
      <x:c r="V411">
        <x:v>66</x:v>
      </x:c>
      <x:c r="W411">
        <x:v>47</x:v>
      </x:c>
      <x:c r="X411">
        <x:v>65</x:v>
      </x:c>
      <x:c r="Y411">
        <x:v>66</x:v>
      </x:c>
      <x:c r="Z411">
        <x:v>51</x:v>
      </x:c>
      <x:c r="AA411">
        <x:v>51</x:v>
      </x:c>
      <x:c r="AB411" s="57" t="n">
        <x:v>42</x:v>
      </x:c>
      <x:c r="AC411" s="57" t="n">
        <x:v>42</x:v>
      </x:c>
      <x:c r="AD411" s="59"/>
      <x:c r="AE411" s="61" t="str">
        <x:f>IF(N(F411)&gt;=10,"NHL_LATEST_10",IF(AND(N(F411)&gt;0,N(G411)&gt;0),"NHL_BOTH_SEASONS",IF(N(G411)&gt;=10,"NHL_PREVIOUS_10",IF(AND(ISNUMBER(AD411),AD411=0,SUM(F411:G411)=0),"FARM_CAREER_0",IF(COUNT(F411:G411)&lt;2,"UNKNOWN_GP",IF(AND(F411=0,G411=0),IF(AD411&gt;=10,"FARM_LEGACY_10",IF(AND(ISNUMBER(AD411),AD411&gt;0),"FARM_CAREER_1_9","FARM_0_0")),IF(F411&gt;=1,IF(F411&lt;=3,"FARM_RECENT_1_3","FARM_RECENT_4_9"),"FARM_PREV_1_9_ONLY")))))))</x:f>
        <x:v>UNKNOWN_GP</x:v>
      </x:c>
      <x:c r="AF411" s="57" t="n">
        <x:f>AB411-T411</x:f>
        <x:v>0</x:v>
      </x:c>
      <x:c r="AG411" s="57" t="n">
        <x:f>AC411-U411</x:f>
        <x:v>0</x:v>
      </x:c>
    </x:row>
    <x:row r="412">
      <x:c r="A412" t="s">
        <x:v>1433</x:v>
      </x:c>
      <x:c r="C412" t="s">
        <x:v>323</x:v>
      </x:c>
      <x:c r="D412">
        <x:v>8481538</x:v>
      </x:c>
      <x:c r="E412" t="s">
        <x:v>267</x:v>
      </x:c>
      <x:c r="J412" t="s">
        <x:v>2474</x:v>
      </x:c>
      <x:c r="K412">
        <x:v>69</x:v>
      </x:c>
      <x:c r="L412">
        <x:v>33</x:v>
      </x:c>
      <x:c r="M412">
        <x:v>90</x:v>
      </x:c>
      <x:c r="N412">
        <x:v>45</x:v>
      </x:c>
      <x:c r="O412">
        <x:v>85</x:v>
      </x:c>
      <x:c r="P412">
        <x:v>91</x:v>
      </x:c>
      <x:c r="Q412">
        <x:v>95</x:v>
      </x:c>
      <x:c r="R412">
        <x:v>44</x:v>
      </x:c>
      <x:c r="S412">
        <x:v>71</x:v>
      </x:c>
      <x:c r="T412" s="63" t="n">
        <x:f>MAX(30,MIN(AB412-VLOOKUP(AE412,'AHL_PA_SC_BALANCE'!$A$8:$E$18,2,FALSE),VLOOKUP(AE412,'AHL_PA_SC_BALANCE'!$A$8:$E$18,4,FALSE)))</x:f>
        <x:v>45</x:v>
      </x:c>
      <x:c r="U412" s="63" t="n">
        <x:f>MAX(30,MIN(AC412-VLOOKUP(AE412,'AHL_PA_SC_BALANCE'!$A$8:$E$18,3,FALSE),VLOOKUP(AE412,'AHL_PA_SC_BALANCE'!$A$8:$E$18,5,FALSE)))</x:f>
        <x:v>45</x:v>
      </x:c>
      <x:c r="V412">
        <x:v>62</x:v>
      </x:c>
      <x:c r="W412">
        <x:v>65</x:v>
      </x:c>
      <x:c r="X412">
        <x:v>68</x:v>
      </x:c>
      <x:c r="Y412">
        <x:v>68</x:v>
      </x:c>
      <x:c r="Z412">
        <x:v>51</x:v>
      </x:c>
      <x:c r="AA412">
        <x:v>51</x:v>
      </x:c>
      <x:c r="AB412" s="57" t="n">
        <x:v>45</x:v>
      </x:c>
      <x:c r="AC412" s="57" t="n">
        <x:v>45</x:v>
      </x:c>
      <x:c r="AD412" s="59"/>
      <x:c r="AE412" s="61" t="str">
        <x:f>IF(N(F412)&gt;=10,"NHL_LATEST_10",IF(AND(N(F412)&gt;0,N(G412)&gt;0),"NHL_BOTH_SEASONS",IF(N(G412)&gt;=10,"NHL_PREVIOUS_10",IF(AND(ISNUMBER(AD412),AD412=0,SUM(F412:G412)=0),"FARM_CAREER_0",IF(COUNT(F412:G412)&lt;2,"UNKNOWN_GP",IF(AND(F412=0,G412=0),IF(AD412&gt;=10,"FARM_LEGACY_10",IF(AND(ISNUMBER(AD412),AD412&gt;0),"FARM_CAREER_1_9","FARM_0_0")),IF(F412&gt;=1,IF(F412&lt;=3,"FARM_RECENT_1_3","FARM_RECENT_4_9"),"FARM_PREV_1_9_ONLY")))))))</x:f>
        <x:v>UNKNOWN_GP</x:v>
      </x:c>
      <x:c r="AF412" s="57" t="n">
        <x:f>AB412-T412</x:f>
        <x:v>0</x:v>
      </x:c>
      <x:c r="AG412" s="57" t="n">
        <x:f>AC412-U412</x:f>
        <x:v>0</x:v>
      </x:c>
    </x:row>
    <x:row r="413">
      <x:c r="A413" t="s">
        <x:v>1434</x:v>
      </x:c>
      <x:c r="C413" t="s">
        <x:v>331</x:v>
      </x:c>
      <x:c r="D413">
        <x:v>8482804</x:v>
      </x:c>
      <x:c r="E413" t="s">
        <x:v>267</x:v>
      </x:c>
      <x:c r="J413" t="s">
        <x:v>2474</x:v>
      </x:c>
      <x:c r="K413">
        <x:v>75</x:v>
      </x:c>
      <x:c r="L413">
        <x:v>43</x:v>
      </x:c>
      <x:c r="M413">
        <x:v>73</x:v>
      </x:c>
      <x:c r="N413">
        <x:v>32</x:v>
      </x:c>
      <x:c r="O413">
        <x:v>84</x:v>
      </x:c>
      <x:c r="P413">
        <x:v>75</x:v>
      </x:c>
      <x:c r="Q413">
        <x:v>78</x:v>
      </x:c>
      <x:c r="R413">
        <x:v>33</x:v>
      </x:c>
      <x:c r="S413">
        <x:v>30</x:v>
      </x:c>
      <x:c r="T413" s="63" t="n">
        <x:f>MAX(30,MIN(AB413-VLOOKUP(AE413,'AHL_PA_SC_BALANCE'!$A$8:$E$18,2,FALSE),VLOOKUP(AE413,'AHL_PA_SC_BALANCE'!$A$8:$E$18,4,FALSE)))</x:f>
        <x:v>41</x:v>
      </x:c>
      <x:c r="U413" s="63" t="n">
        <x:f>MAX(30,MIN(AC413-VLOOKUP(AE413,'AHL_PA_SC_BALANCE'!$A$8:$E$18,3,FALSE),VLOOKUP(AE413,'AHL_PA_SC_BALANCE'!$A$8:$E$18,5,FALSE)))</x:f>
        <x:v>40</x:v>
      </x:c>
      <x:c r="V413">
        <x:v>67</x:v>
      </x:c>
      <x:c r="W413">
        <x:v>45</x:v>
      </x:c>
      <x:c r="X413">
        <x:v>65</x:v>
      </x:c>
      <x:c r="Y413">
        <x:v>66</x:v>
      </x:c>
      <x:c r="Z413">
        <x:v>51</x:v>
      </x:c>
      <x:c r="AA413">
        <x:v>51</x:v>
      </x:c>
      <x:c r="AB413" s="57" t="n">
        <x:v>41</x:v>
      </x:c>
      <x:c r="AC413" s="57" t="n">
        <x:v>40</x:v>
      </x:c>
      <x:c r="AD413" s="59"/>
      <x:c r="AE413" s="61" t="str">
        <x:f>IF(N(F413)&gt;=10,"NHL_LATEST_10",IF(AND(N(F413)&gt;0,N(G413)&gt;0),"NHL_BOTH_SEASONS",IF(N(G413)&gt;=10,"NHL_PREVIOUS_10",IF(AND(ISNUMBER(AD413),AD413=0,SUM(F413:G413)=0),"FARM_CAREER_0",IF(COUNT(F413:G413)&lt;2,"UNKNOWN_GP",IF(AND(F413=0,G413=0),IF(AD413&gt;=10,"FARM_LEGACY_10",IF(AND(ISNUMBER(AD413),AD413&gt;0),"FARM_CAREER_1_9","FARM_0_0")),IF(F413&gt;=1,IF(F413&lt;=3,"FARM_RECENT_1_3","FARM_RECENT_4_9"),"FARM_PREV_1_9_ONLY")))))))</x:f>
        <x:v>UNKNOWN_GP</x:v>
      </x:c>
      <x:c r="AF413" s="57" t="n">
        <x:f>AB413-T413</x:f>
        <x:v>0</x:v>
      </x:c>
      <x:c r="AG413" s="57" t="n">
        <x:f>AC413-U413</x:f>
        <x:v>0</x:v>
      </x:c>
    </x:row>
    <x:row r="414">
      <x:c r="A414" t="s">
        <x:v>1435</x:v>
      </x:c>
      <x:c r="C414" t="s">
        <x:v>331</x:v>
      </x:c>
      <x:c r="D414">
        <x:v>8484922</x:v>
      </x:c>
      <x:c r="E414" t="s">
        <x:v>267</x:v>
      </x:c>
      <x:c r="J414" t="s">
        <x:v>2474</x:v>
      </x:c>
      <x:c r="K414">
        <x:v>81</x:v>
      </x:c>
      <x:c r="L414">
        <x:v>46</x:v>
      </x:c>
      <x:c r="M414">
        <x:v>90</x:v>
      </x:c>
      <x:c r="N414">
        <x:v>32</x:v>
      </x:c>
      <x:c r="O414">
        <x:v>79</x:v>
      </x:c>
      <x:c r="P414">
        <x:v>71</x:v>
      </x:c>
      <x:c r="Q414">
        <x:v>72</x:v>
      </x:c>
      <x:c r="R414">
        <x:v>32</x:v>
      </x:c>
      <x:c r="S414">
        <x:v>30</x:v>
      </x:c>
      <x:c r="T414" s="63" t="n">
        <x:f>MAX(30,MIN(AB414-VLOOKUP(AE414,'AHL_PA_SC_BALANCE'!$A$8:$E$18,2,FALSE),VLOOKUP(AE414,'AHL_PA_SC_BALANCE'!$A$8:$E$18,4,FALSE)))</x:f>
        <x:v>39</x:v>
      </x:c>
      <x:c r="U414" s="63" t="n">
        <x:f>MAX(30,MIN(AC414-VLOOKUP(AE414,'AHL_PA_SC_BALANCE'!$A$8:$E$18,3,FALSE),VLOOKUP(AE414,'AHL_PA_SC_BALANCE'!$A$8:$E$18,5,FALSE)))</x:f>
        <x:v>38</x:v>
      </x:c>
      <x:c r="V414">
        <x:v>65</x:v>
      </x:c>
      <x:c r="W414">
        <x:v>44</x:v>
      </x:c>
      <x:c r="X414">
        <x:v>69</x:v>
      </x:c>
      <x:c r="Y414">
        <x:v>68</x:v>
      </x:c>
      <x:c r="Z414">
        <x:v>51</x:v>
      </x:c>
      <x:c r="AA414">
        <x:v>51</x:v>
      </x:c>
      <x:c r="AB414" s="57" t="n">
        <x:v>39</x:v>
      </x:c>
      <x:c r="AC414" s="57" t="n">
        <x:v>38</x:v>
      </x:c>
      <x:c r="AD414" s="59"/>
      <x:c r="AE414" s="61" t="str">
        <x:f>IF(N(F414)&gt;=10,"NHL_LATEST_10",IF(AND(N(F414)&gt;0,N(G414)&gt;0),"NHL_BOTH_SEASONS",IF(N(G414)&gt;=10,"NHL_PREVIOUS_10",IF(AND(ISNUMBER(AD414),AD414=0,SUM(F414:G414)=0),"FARM_CAREER_0",IF(COUNT(F414:G414)&lt;2,"UNKNOWN_GP",IF(AND(F414=0,G414=0),IF(AD414&gt;=10,"FARM_LEGACY_10",IF(AND(ISNUMBER(AD414),AD414&gt;0),"FARM_CAREER_1_9","FARM_0_0")),IF(F414&gt;=1,IF(F414&lt;=3,"FARM_RECENT_1_3","FARM_RECENT_4_9"),"FARM_PREV_1_9_ONLY")))))))</x:f>
        <x:v>UNKNOWN_GP</x:v>
      </x:c>
      <x:c r="AF414" s="57" t="n">
        <x:f>AB414-T414</x:f>
        <x:v>0</x:v>
      </x:c>
      <x:c r="AG414" s="57" t="n">
        <x:f>AC414-U414</x:f>
        <x:v>0</x:v>
      </x:c>
    </x:row>
    <x:row r="415">
      <x:c r="A415" t="s">
        <x:v>1436</x:v>
      </x:c>
      <x:c r="C415" t="s">
        <x:v>326</x:v>
      </x:c>
      <x:c r="D415">
        <x:v>8483442</x:v>
      </x:c>
      <x:c r="E415" t="s">
        <x:v>267</x:v>
      </x:c>
      <x:c r="J415" t="s">
        <x:v>2474</x:v>
      </x:c>
      <x:c r="K415">
        <x:v>59</x:v>
      </x:c>
      <x:c r="L415">
        <x:v>39</x:v>
      </x:c>
      <x:c r="M415">
        <x:v>90</x:v>
      </x:c>
      <x:c r="N415">
        <x:v>45</x:v>
      </x:c>
      <x:c r="O415">
        <x:v>73</x:v>
      </x:c>
      <x:c r="P415">
        <x:v>87</x:v>
      </x:c>
      <x:c r="Q415">
        <x:v>90</x:v>
      </x:c>
      <x:c r="R415">
        <x:v>45</x:v>
      </x:c>
      <x:c r="S415">
        <x:v>65</x:v>
      </x:c>
      <x:c r="T415" s="63" t="n">
        <x:f>MAX(30,MIN(AB415-VLOOKUP(AE415,'AHL_PA_SC_BALANCE'!$A$8:$E$18,2,FALSE),VLOOKUP(AE415,'AHL_PA_SC_BALANCE'!$A$8:$E$18,4,FALSE)))</x:f>
        <x:v>50</x:v>
      </x:c>
      <x:c r="U415" s="63" t="n">
        <x:f>MAX(30,MIN(AC415-VLOOKUP(AE415,'AHL_PA_SC_BALANCE'!$A$8:$E$18,3,FALSE),VLOOKUP(AE415,'AHL_PA_SC_BALANCE'!$A$8:$E$18,5,FALSE)))</x:f>
        <x:v>45</x:v>
      </x:c>
      <x:c r="V415">
        <x:v>62</x:v>
      </x:c>
      <x:c r="W415">
        <x:v>66</x:v>
      </x:c>
      <x:c r="X415">
        <x:v>65</x:v>
      </x:c>
      <x:c r="Y415">
        <x:v>64</x:v>
      </x:c>
      <x:c r="Z415">
        <x:v>51</x:v>
      </x:c>
      <x:c r="AA415">
        <x:v>51</x:v>
      </x:c>
      <x:c r="AB415" s="57" t="n">
        <x:v>50</x:v>
      </x:c>
      <x:c r="AC415" s="57" t="n">
        <x:v>45</x:v>
      </x:c>
      <x:c r="AD415" s="59"/>
      <x:c r="AE415" s="61" t="str">
        <x:f>IF(N(F415)&gt;=10,"NHL_LATEST_10",IF(AND(N(F415)&gt;0,N(G415)&gt;0),"NHL_BOTH_SEASONS",IF(N(G415)&gt;=10,"NHL_PREVIOUS_10",IF(AND(ISNUMBER(AD415),AD415=0,SUM(F415:G415)=0),"FARM_CAREER_0",IF(COUNT(F415:G415)&lt;2,"UNKNOWN_GP",IF(AND(F415=0,G415=0),IF(AD415&gt;=10,"FARM_LEGACY_10",IF(AND(ISNUMBER(AD415),AD415&gt;0),"FARM_CAREER_1_9","FARM_0_0")),IF(F415&gt;=1,IF(F415&lt;=3,"FARM_RECENT_1_3","FARM_RECENT_4_9"),"FARM_PREV_1_9_ONLY")))))))</x:f>
        <x:v>UNKNOWN_GP</x:v>
      </x:c>
      <x:c r="AF415" s="57" t="n">
        <x:f>AB415-T415</x:f>
        <x:v>0</x:v>
      </x:c>
      <x:c r="AG415" s="57" t="n">
        <x:f>AC415-U415</x:f>
        <x:v>0</x:v>
      </x:c>
    </x:row>
    <x:row r="416">
      <x:c r="A416" t="s">
        <x:v>1438</x:v>
      </x:c>
      <x:c r="C416" t="s">
        <x:v>323</x:v>
      </x:c>
      <x:c r="D416">
        <x:v>8468503</x:v>
      </x:c>
      <x:c r="E416" t="s">
        <x:v>267</x:v>
      </x:c>
      <x:c r="J416" t="s">
        <x:v>2474</x:v>
      </x:c>
      <x:c r="K416">
        <x:v>70</x:v>
      </x:c>
      <x:c r="L416">
        <x:v>36</x:v>
      </x:c>
      <x:c r="M416">
        <x:v>80</x:v>
      </x:c>
      <x:c r="N416">
        <x:v>46</x:v>
      </x:c>
      <x:c r="O416">
        <x:v>76</x:v>
      </x:c>
      <x:c r="P416">
        <x:v>83</x:v>
      </x:c>
      <x:c r="Q416">
        <x:v>84</x:v>
      </x:c>
      <x:c r="R416">
        <x:v>47</x:v>
      </x:c>
      <x:c r="S416">
        <x:v>76</x:v>
      </x:c>
      <x:c r="T416" s="63" t="n">
        <x:f>MAX(30,MIN(AB416-VLOOKUP(AE416,'AHL_PA_SC_BALANCE'!$A$8:$E$18,2,FALSE),VLOOKUP(AE416,'AHL_PA_SC_BALANCE'!$A$8:$E$18,4,FALSE)))</x:f>
        <x:v>47</x:v>
      </x:c>
      <x:c r="U416" s="63" t="n">
        <x:f>MAX(30,MIN(AC416-VLOOKUP(AE416,'AHL_PA_SC_BALANCE'!$A$8:$E$18,3,FALSE),VLOOKUP(AE416,'AHL_PA_SC_BALANCE'!$A$8:$E$18,5,FALSE)))</x:f>
        <x:v>45</x:v>
      </x:c>
      <x:c r="V416">
        <x:v>60</x:v>
      </x:c>
      <x:c r="W416">
        <x:v>67</x:v>
      </x:c>
      <x:c r="X416">
        <x:v>70</x:v>
      </x:c>
      <x:c r="Y416">
        <x:v>71</x:v>
      </x:c>
      <x:c r="Z416">
        <x:v>51</x:v>
      </x:c>
      <x:c r="AA416">
        <x:v>51</x:v>
      </x:c>
      <x:c r="AB416" s="57" t="n">
        <x:v>47</x:v>
      </x:c>
      <x:c r="AC416" s="57" t="n">
        <x:v>45</x:v>
      </x:c>
      <x:c r="AD416" s="59"/>
      <x:c r="AE416" s="61" t="str">
        <x:f>IF(N(F416)&gt;=10,"NHL_LATEST_10",IF(AND(N(F416)&gt;0,N(G416)&gt;0),"NHL_BOTH_SEASONS",IF(N(G416)&gt;=10,"NHL_PREVIOUS_10",IF(AND(ISNUMBER(AD416),AD416=0,SUM(F416:G416)=0),"FARM_CAREER_0",IF(COUNT(F416:G416)&lt;2,"UNKNOWN_GP",IF(AND(F416=0,G416=0),IF(AD416&gt;=10,"FARM_LEGACY_10",IF(AND(ISNUMBER(AD416),AD416&gt;0),"FARM_CAREER_1_9","FARM_0_0")),IF(F416&gt;=1,IF(F416&lt;=3,"FARM_RECENT_1_3","FARM_RECENT_4_9"),"FARM_PREV_1_9_ONLY")))))))</x:f>
        <x:v>UNKNOWN_GP</x:v>
      </x:c>
      <x:c r="AF416" s="57" t="n">
        <x:f>AB416-T416</x:f>
        <x:v>0</x:v>
      </x:c>
      <x:c r="AG416" s="57" t="n">
        <x:f>AC416-U416</x:f>
        <x:v>0</x:v>
      </x:c>
    </x:row>
    <x:row r="417">
      <x:c r="A417" t="s">
        <x:v>1439</x:v>
      </x:c>
      <x:c r="C417" t="s">
        <x:v>331</x:v>
      </x:c>
      <x:c r="D417">
        <x:v>8483085</x:v>
      </x:c>
      <x:c r="E417" t="s">
        <x:v>267</x:v>
      </x:c>
      <x:c r="J417" t="s">
        <x:v>2474</x:v>
      </x:c>
      <x:c r="K417">
        <x:v>67</x:v>
      </x:c>
      <x:c r="L417">
        <x:v>41</x:v>
      </x:c>
      <x:c r="M417">
        <x:v>79</x:v>
      </x:c>
      <x:c r="N417">
        <x:v>33</x:v>
      </x:c>
      <x:c r="O417">
        <x:v>83</x:v>
      </x:c>
      <x:c r="P417">
        <x:v>80</x:v>
      </x:c>
      <x:c r="Q417">
        <x:v>84</x:v>
      </x:c>
      <x:c r="R417">
        <x:v>34</x:v>
      </x:c>
      <x:c r="S417">
        <x:v>30</x:v>
      </x:c>
      <x:c r="T417" s="63" t="n">
        <x:f>MAX(30,MIN(AB417-VLOOKUP(AE417,'AHL_PA_SC_BALANCE'!$A$8:$E$18,2,FALSE),VLOOKUP(AE417,'AHL_PA_SC_BALANCE'!$A$8:$E$18,4,FALSE)))</x:f>
        <x:v>40</x:v>
      </x:c>
      <x:c r="U417" s="63" t="n">
        <x:f>MAX(30,MIN(AC417-VLOOKUP(AE417,'AHL_PA_SC_BALANCE'!$A$8:$E$18,3,FALSE),VLOOKUP(AE417,'AHL_PA_SC_BALANCE'!$A$8:$E$18,5,FALSE)))</x:f>
        <x:v>39</x:v>
      </x:c>
      <x:c r="V417">
        <x:v>67</x:v>
      </x:c>
      <x:c r="W417">
        <x:v>44</x:v>
      </x:c>
      <x:c r="X417">
        <x:v>65</x:v>
      </x:c>
      <x:c r="Y417">
        <x:v>65</x:v>
      </x:c>
      <x:c r="Z417">
        <x:v>51</x:v>
      </x:c>
      <x:c r="AA417">
        <x:v>51</x:v>
      </x:c>
      <x:c r="AB417" s="57" t="n">
        <x:v>40</x:v>
      </x:c>
      <x:c r="AC417" s="57" t="n">
        <x:v>39</x:v>
      </x:c>
      <x:c r="AD417" s="59"/>
      <x:c r="AE417" s="61" t="str">
        <x:f>IF(N(F417)&gt;=10,"NHL_LATEST_10",IF(AND(N(F417)&gt;0,N(G417)&gt;0),"NHL_BOTH_SEASONS",IF(N(G417)&gt;=10,"NHL_PREVIOUS_10",IF(AND(ISNUMBER(AD417),AD417=0,SUM(F417:G417)=0),"FARM_CAREER_0",IF(COUNT(F417:G417)&lt;2,"UNKNOWN_GP",IF(AND(F417=0,G417=0),IF(AD417&gt;=10,"FARM_LEGACY_10",IF(AND(ISNUMBER(AD417),AD417&gt;0),"FARM_CAREER_1_9","FARM_0_0")),IF(F417&gt;=1,IF(F417&lt;=3,"FARM_RECENT_1_3","FARM_RECENT_4_9"),"FARM_PREV_1_9_ONLY")))))))</x:f>
        <x:v>UNKNOWN_GP</x:v>
      </x:c>
      <x:c r="AF417" s="57" t="n">
        <x:f>AB417-T417</x:f>
        <x:v>0</x:v>
      </x:c>
      <x:c r="AG417" s="57" t="n">
        <x:f>AC417-U417</x:f>
        <x:v>0</x:v>
      </x:c>
    </x:row>
    <x:row r="418">
      <x:c r="A418" t="s">
        <x:v>1440</x:v>
      </x:c>
      <x:c r="C418" t="s">
        <x:v>331</x:v>
      </x:c>
      <x:c r="D418">
        <x:v>8482096</x:v>
      </x:c>
      <x:c r="E418" t="s">
        <x:v>267</x:v>
      </x:c>
      <x:c r="J418" t="s">
        <x:v>2474</x:v>
      </x:c>
      <x:c r="K418">
        <x:v>62</x:v>
      </x:c>
      <x:c r="L418">
        <x:v>37</x:v>
      </x:c>
      <x:c r="M418">
        <x:v>79</x:v>
      </x:c>
      <x:c r="N418">
        <x:v>34</x:v>
      </x:c>
      <x:c r="O418">
        <x:v>77</x:v>
      </x:c>
      <x:c r="P418">
        <x:v>73</x:v>
      </x:c>
      <x:c r="Q418">
        <x:v>76</x:v>
      </x:c>
      <x:c r="R418">
        <x:v>34</x:v>
      </x:c>
      <x:c r="S418">
        <x:v>30</x:v>
      </x:c>
      <x:c r="T418" s="63" t="n">
        <x:f>MAX(30,MIN(AB418-VLOOKUP(AE418,'AHL_PA_SC_BALANCE'!$A$8:$E$18,2,FALSE),VLOOKUP(AE418,'AHL_PA_SC_BALANCE'!$A$8:$E$18,4,FALSE)))</x:f>
        <x:v>44</x:v>
      </x:c>
      <x:c r="U418" s="63" t="n">
        <x:f>MAX(30,MIN(AC418-VLOOKUP(AE418,'AHL_PA_SC_BALANCE'!$A$8:$E$18,3,FALSE),VLOOKUP(AE418,'AHL_PA_SC_BALANCE'!$A$8:$E$18,5,FALSE)))</x:f>
        <x:v>39</x:v>
      </x:c>
      <x:c r="V418">
        <x:v>66</x:v>
      </x:c>
      <x:c r="W418">
        <x:v>46</x:v>
      </x:c>
      <x:c r="X418">
        <x:v>66</x:v>
      </x:c>
      <x:c r="Y418">
        <x:v>65</x:v>
      </x:c>
      <x:c r="Z418">
        <x:v>51</x:v>
      </x:c>
      <x:c r="AA418">
        <x:v>51</x:v>
      </x:c>
      <x:c r="AB418" s="57" t="n">
        <x:v>44</x:v>
      </x:c>
      <x:c r="AC418" s="57" t="n">
        <x:v>39</x:v>
      </x:c>
      <x:c r="AD418" s="59"/>
      <x:c r="AE418" s="61" t="str">
        <x:f>IF(N(F418)&gt;=10,"NHL_LATEST_10",IF(AND(N(F418)&gt;0,N(G418)&gt;0),"NHL_BOTH_SEASONS",IF(N(G418)&gt;=10,"NHL_PREVIOUS_10",IF(AND(ISNUMBER(AD418),AD418=0,SUM(F418:G418)=0),"FARM_CAREER_0",IF(COUNT(F418:G418)&lt;2,"UNKNOWN_GP",IF(AND(F418=0,G418=0),IF(AD418&gt;=10,"FARM_LEGACY_10",IF(AND(ISNUMBER(AD418),AD418&gt;0),"FARM_CAREER_1_9","FARM_0_0")),IF(F418&gt;=1,IF(F418&lt;=3,"FARM_RECENT_1_3","FARM_RECENT_4_9"),"FARM_PREV_1_9_ONLY")))))))</x:f>
        <x:v>UNKNOWN_GP</x:v>
      </x:c>
      <x:c r="AF418" s="57" t="n">
        <x:f>AB418-T418</x:f>
        <x:v>0</x:v>
      </x:c>
      <x:c r="AG418" s="57" t="n">
        <x:f>AC418-U418</x:f>
        <x:v>0</x:v>
      </x:c>
    </x:row>
    <x:row r="419">
      <x:c r="A419" t="s">
        <x:v>1441</x:v>
      </x:c>
      <x:c r="C419" t="s">
        <x:v>319</x:v>
      </x:c>
      <x:c r="D419">
        <x:v>8483397</x:v>
      </x:c>
      <x:c r="E419" t="s">
        <x:v>267</x:v>
      </x:c>
      <x:c r="J419" t="s">
        <x:v>2474</x:v>
      </x:c>
      <x:c r="K419">
        <x:v>68</x:v>
      </x:c>
      <x:c r="L419">
        <x:v>38</x:v>
      </x:c>
      <x:c r="M419">
        <x:v>89</x:v>
      </x:c>
      <x:c r="N419">
        <x:v>45</x:v>
      </x:c>
      <x:c r="O419">
        <x:v>79</x:v>
      </x:c>
      <x:c r="P419">
        <x:v>78</x:v>
      </x:c>
      <x:c r="Q419">
        <x:v>80</x:v>
      </x:c>
      <x:c r="R419">
        <x:v>45</x:v>
      </x:c>
      <x:c r="S419">
        <x:v>71</x:v>
      </x:c>
      <x:c r="T419" s="63" t="n">
        <x:f>MAX(30,MIN(AB419-VLOOKUP(AE419,'AHL_PA_SC_BALANCE'!$A$8:$E$18,2,FALSE),VLOOKUP(AE419,'AHL_PA_SC_BALANCE'!$A$8:$E$18,4,FALSE)))</x:f>
        <x:v>48</x:v>
      </x:c>
      <x:c r="U419" s="63" t="n">
        <x:f>MAX(30,MIN(AC419-VLOOKUP(AE419,'AHL_PA_SC_BALANCE'!$A$8:$E$18,3,FALSE),VLOOKUP(AE419,'AHL_PA_SC_BALANCE'!$A$8:$E$18,5,FALSE)))</x:f>
        <x:v>49</x:v>
      </x:c>
      <x:c r="V419">
        <x:v>61</x:v>
      </x:c>
      <x:c r="W419">
        <x:v>67</x:v>
      </x:c>
      <x:c r="X419">
        <x:v>70</x:v>
      </x:c>
      <x:c r="Y419">
        <x:v>69</x:v>
      </x:c>
      <x:c r="Z419">
        <x:v>51</x:v>
      </x:c>
      <x:c r="AA419">
        <x:v>51</x:v>
      </x:c>
      <x:c r="AB419" s="57" t="n">
        <x:v>48</x:v>
      </x:c>
      <x:c r="AC419" s="57" t="n">
        <x:v>49</x:v>
      </x:c>
      <x:c r="AD419" s="59"/>
      <x:c r="AE419" s="61" t="str">
        <x:f>IF(N(F419)&gt;=10,"NHL_LATEST_10",IF(AND(N(F419)&gt;0,N(G419)&gt;0),"NHL_BOTH_SEASONS",IF(N(G419)&gt;=10,"NHL_PREVIOUS_10",IF(AND(ISNUMBER(AD419),AD419=0,SUM(F419:G419)=0),"FARM_CAREER_0",IF(COUNT(F419:G419)&lt;2,"UNKNOWN_GP",IF(AND(F419=0,G419=0),IF(AD419&gt;=10,"FARM_LEGACY_10",IF(AND(ISNUMBER(AD419),AD419&gt;0),"FARM_CAREER_1_9","FARM_0_0")),IF(F419&gt;=1,IF(F419&lt;=3,"FARM_RECENT_1_3","FARM_RECENT_4_9"),"FARM_PREV_1_9_ONLY")))))))</x:f>
        <x:v>UNKNOWN_GP</x:v>
      </x:c>
      <x:c r="AF419" s="57" t="n">
        <x:f>AB419-T419</x:f>
        <x:v>0</x:v>
      </x:c>
      <x:c r="AG419" s="57" t="n">
        <x:f>AC419-U419</x:f>
        <x:v>0</x:v>
      </x:c>
    </x:row>
    <x:row r="420">
      <x:c r="A420" t="s">
        <x:v>1442</x:v>
      </x:c>
      <x:c r="C420" t="s">
        <x:v>331</x:v>
      </x:c>
      <x:c r="D420">
        <x:v>8484741</x:v>
      </x:c>
      <x:c r="E420" t="s">
        <x:v>267</x:v>
      </x:c>
      <x:c r="J420" t="s">
        <x:v>2474</x:v>
      </x:c>
      <x:c r="K420">
        <x:v>70</x:v>
      </x:c>
      <x:c r="L420">
        <x:v>39</x:v>
      </x:c>
      <x:c r="M420">
        <x:v>91</x:v>
      </x:c>
      <x:c r="N420">
        <x:v>32</x:v>
      </x:c>
      <x:c r="O420">
        <x:v>76</x:v>
      </x:c>
      <x:c r="P420">
        <x:v>77</x:v>
      </x:c>
      <x:c r="Q420">
        <x:v>80</x:v>
      </x:c>
      <x:c r="R420">
        <x:v>32</x:v>
      </x:c>
      <x:c r="S420">
        <x:v>30</x:v>
      </x:c>
      <x:c r="T420" s="63" t="n">
        <x:f>MAX(30,MIN(AB420-VLOOKUP(AE420,'AHL_PA_SC_BALANCE'!$A$8:$E$18,2,FALSE),VLOOKUP(AE420,'AHL_PA_SC_BALANCE'!$A$8:$E$18,4,FALSE)))</x:f>
        <x:v>41</x:v>
      </x:c>
      <x:c r="U420" s="63" t="n">
        <x:f>MAX(30,MIN(AC420-VLOOKUP(AE420,'AHL_PA_SC_BALANCE'!$A$8:$E$18,3,FALSE),VLOOKUP(AE420,'AHL_PA_SC_BALANCE'!$A$8:$E$18,5,FALSE)))</x:f>
        <x:v>40</x:v>
      </x:c>
      <x:c r="V420">
        <x:v>65</x:v>
      </x:c>
      <x:c r="W420">
        <x:v>46</x:v>
      </x:c>
      <x:c r="X420">
        <x:v>70</x:v>
      </x:c>
      <x:c r="Y420">
        <x:v>70</x:v>
      </x:c>
      <x:c r="Z420">
        <x:v>51</x:v>
      </x:c>
      <x:c r="AA420">
        <x:v>51</x:v>
      </x:c>
      <x:c r="AB420" s="57" t="n">
        <x:v>41</x:v>
      </x:c>
      <x:c r="AC420" s="57" t="n">
        <x:v>40</x:v>
      </x:c>
      <x:c r="AD420" s="59"/>
      <x:c r="AE420" s="61" t="str">
        <x:f>IF(N(F420)&gt;=10,"NHL_LATEST_10",IF(AND(N(F420)&gt;0,N(G420)&gt;0),"NHL_BOTH_SEASONS",IF(N(G420)&gt;=10,"NHL_PREVIOUS_10",IF(AND(ISNUMBER(AD420),AD420=0,SUM(F420:G420)=0),"FARM_CAREER_0",IF(COUNT(F420:G420)&lt;2,"UNKNOWN_GP",IF(AND(F420=0,G420=0),IF(AD420&gt;=10,"FARM_LEGACY_10",IF(AND(ISNUMBER(AD420),AD420&gt;0),"FARM_CAREER_1_9","FARM_0_0")),IF(F420&gt;=1,IF(F420&lt;=3,"FARM_RECENT_1_3","FARM_RECENT_4_9"),"FARM_PREV_1_9_ONLY")))))))</x:f>
        <x:v>UNKNOWN_GP</x:v>
      </x:c>
      <x:c r="AF420" s="57" t="n">
        <x:f>AB420-T420</x:f>
        <x:v>0</x:v>
      </x:c>
      <x:c r="AG420" s="57" t="n">
        <x:f>AC420-U420</x:f>
        <x:v>0</x:v>
      </x:c>
    </x:row>
    <x:row r="421">
      <x:c r="A421" t="s">
        <x:v>1443</x:v>
      </x:c>
      <x:c r="C421" t="s">
        <x:v>331</x:v>
      </x:c>
      <x:c r="D421">
        <x:v>8484202</x:v>
      </x:c>
      <x:c r="E421" t="s">
        <x:v>267</x:v>
      </x:c>
      <x:c r="J421" t="s">
        <x:v>2474</x:v>
      </x:c>
      <x:c r="K421">
        <x:v>65</x:v>
      </x:c>
      <x:c r="L421">
        <x:v>39</x:v>
      </x:c>
      <x:c r="M421">
        <x:v>81</x:v>
      </x:c>
      <x:c r="N421">
        <x:v>34</x:v>
      </x:c>
      <x:c r="O421">
        <x:v>79</x:v>
      </x:c>
      <x:c r="P421">
        <x:v>81</x:v>
      </x:c>
      <x:c r="Q421">
        <x:v>85</x:v>
      </x:c>
      <x:c r="R421">
        <x:v>35</x:v>
      </x:c>
      <x:c r="S421">
        <x:v>30</x:v>
      </x:c>
      <x:c r="T421" s="63" t="n">
        <x:f>MAX(30,MIN(AB421-VLOOKUP(AE421,'AHL_PA_SC_BALANCE'!$A$8:$E$18,2,FALSE),VLOOKUP(AE421,'AHL_PA_SC_BALANCE'!$A$8:$E$18,4,FALSE)))</x:f>
        <x:v>45</x:v>
      </x:c>
      <x:c r="U421" s="63" t="n">
        <x:f>MAX(30,MIN(AC421-VLOOKUP(AE421,'AHL_PA_SC_BALANCE'!$A$8:$E$18,3,FALSE),VLOOKUP(AE421,'AHL_PA_SC_BALANCE'!$A$8:$E$18,5,FALSE)))</x:f>
        <x:v>40</x:v>
      </x:c>
      <x:c r="V421">
        <x:v>65</x:v>
      </x:c>
      <x:c r="W421">
        <x:v>47</x:v>
      </x:c>
      <x:c r="X421">
        <x:v>65</x:v>
      </x:c>
      <x:c r="Y421">
        <x:v>65</x:v>
      </x:c>
      <x:c r="Z421">
        <x:v>51</x:v>
      </x:c>
      <x:c r="AA421">
        <x:v>51</x:v>
      </x:c>
      <x:c r="AB421" s="57" t="n">
        <x:v>45</x:v>
      </x:c>
      <x:c r="AC421" s="57" t="n">
        <x:v>40</x:v>
      </x:c>
      <x:c r="AD421" s="59"/>
      <x:c r="AE421" s="61" t="str">
        <x:f>IF(N(F421)&gt;=10,"NHL_LATEST_10",IF(AND(N(F421)&gt;0,N(G421)&gt;0),"NHL_BOTH_SEASONS",IF(N(G421)&gt;=10,"NHL_PREVIOUS_10",IF(AND(ISNUMBER(AD421),AD421=0,SUM(F421:G421)=0),"FARM_CAREER_0",IF(COUNT(F421:G421)&lt;2,"UNKNOWN_GP",IF(AND(F421=0,G421=0),IF(AD421&gt;=10,"FARM_LEGACY_10",IF(AND(ISNUMBER(AD421),AD421&gt;0),"FARM_CAREER_1_9","FARM_0_0")),IF(F421&gt;=1,IF(F421&lt;=3,"FARM_RECENT_1_3","FARM_RECENT_4_9"),"FARM_PREV_1_9_ONLY")))))))</x:f>
        <x:v>UNKNOWN_GP</x:v>
      </x:c>
      <x:c r="AF421" s="57" t="n">
        <x:f>AB421-T421</x:f>
        <x:v>0</x:v>
      </x:c>
      <x:c r="AG421" s="57" t="n">
        <x:f>AC421-U421</x:f>
        <x:v>0</x:v>
      </x:c>
    </x:row>
    <x:row r="422">
      <x:c r="A422" t="s">
        <x:v>1444</x:v>
      </x:c>
      <x:c r="C422" t="s">
        <x:v>331</x:v>
      </x:c>
      <x:c r="D422">
        <x:v>8481715</x:v>
      </x:c>
      <x:c r="E422" t="s">
        <x:v>267</x:v>
      </x:c>
      <x:c r="J422" t="s">
        <x:v>2474</x:v>
      </x:c>
      <x:c r="K422">
        <x:v>71</x:v>
      </x:c>
      <x:c r="L422">
        <x:v>39</x:v>
      </x:c>
      <x:c r="M422">
        <x:v>77</x:v>
      </x:c>
      <x:c r="N422">
        <x:v>33</x:v>
      </x:c>
      <x:c r="O422">
        <x:v>79</x:v>
      </x:c>
      <x:c r="P422">
        <x:v>87</x:v>
      </x:c>
      <x:c r="Q422">
        <x:v>89</x:v>
      </x:c>
      <x:c r="R422">
        <x:v>33</x:v>
      </x:c>
      <x:c r="S422">
        <x:v>30</x:v>
      </x:c>
      <x:c r="T422" s="63" t="n">
        <x:f>MAX(30,MIN(AB422-VLOOKUP(AE422,'AHL_PA_SC_BALANCE'!$A$8:$E$18,2,FALSE),VLOOKUP(AE422,'AHL_PA_SC_BALANCE'!$A$8:$E$18,4,FALSE)))</x:f>
        <x:v>43</x:v>
      </x:c>
      <x:c r="U422" s="63" t="n">
        <x:f>MAX(30,MIN(AC422-VLOOKUP(AE422,'AHL_PA_SC_BALANCE'!$A$8:$E$18,3,FALSE),VLOOKUP(AE422,'AHL_PA_SC_BALANCE'!$A$8:$E$18,5,FALSE)))</x:f>
        <x:v>42</x:v>
      </x:c>
      <x:c r="V422">
        <x:v>65</x:v>
      </x:c>
      <x:c r="W422">
        <x:v>47</x:v>
      </x:c>
      <x:c r="X422">
        <x:v>68</x:v>
      </x:c>
      <x:c r="Y422">
        <x:v>67</x:v>
      </x:c>
      <x:c r="Z422">
        <x:v>51</x:v>
      </x:c>
      <x:c r="AA422">
        <x:v>51</x:v>
      </x:c>
      <x:c r="AB422" s="57" t="n">
        <x:v>43</x:v>
      </x:c>
      <x:c r="AC422" s="57" t="n">
        <x:v>42</x:v>
      </x:c>
      <x:c r="AD422" s="59"/>
      <x:c r="AE422" s="61" t="str">
        <x:f>IF(N(F422)&gt;=10,"NHL_LATEST_10",IF(AND(N(F422)&gt;0,N(G422)&gt;0),"NHL_BOTH_SEASONS",IF(N(G422)&gt;=10,"NHL_PREVIOUS_10",IF(AND(ISNUMBER(AD422),AD422=0,SUM(F422:G422)=0),"FARM_CAREER_0",IF(COUNT(F422:G422)&lt;2,"UNKNOWN_GP",IF(AND(F422=0,G422=0),IF(AD422&gt;=10,"FARM_LEGACY_10",IF(AND(ISNUMBER(AD422),AD422&gt;0),"FARM_CAREER_1_9","FARM_0_0")),IF(F422&gt;=1,IF(F422&lt;=3,"FARM_RECENT_1_3","FARM_RECENT_4_9"),"FARM_PREV_1_9_ONLY")))))))</x:f>
        <x:v>UNKNOWN_GP</x:v>
      </x:c>
      <x:c r="AF422" s="57" t="n">
        <x:f>AB422-T422</x:f>
        <x:v>0</x:v>
      </x:c>
      <x:c r="AG422" s="57" t="n">
        <x:f>AC422-U422</x:f>
        <x:v>0</x:v>
      </x:c>
    </x:row>
    <x:row r="423">
      <x:c r="A423" t="s">
        <x:v>1445</x:v>
      </x:c>
      <x:c r="C423" t="s">
        <x:v>331</x:v>
      </x:c>
      <x:c r="D423">
        <x:v>8482890</x:v>
      </x:c>
      <x:c r="E423" t="s">
        <x:v>267</x:v>
      </x:c>
      <x:c r="J423" t="s">
        <x:v>2474</x:v>
      </x:c>
      <x:c r="K423">
        <x:v>69</x:v>
      </x:c>
      <x:c r="L423">
        <x:v>34</x:v>
      </x:c>
      <x:c r="M423">
        <x:v>84</x:v>
      </x:c>
      <x:c r="N423">
        <x:v>34</x:v>
      </x:c>
      <x:c r="O423">
        <x:v>78</x:v>
      </x:c>
      <x:c r="P423">
        <x:v>82</x:v>
      </x:c>
      <x:c r="Q423">
        <x:v>83</x:v>
      </x:c>
      <x:c r="R423">
        <x:v>35</x:v>
      </x:c>
      <x:c r="S423">
        <x:v>30</x:v>
      </x:c>
      <x:c r="T423" s="63" t="n">
        <x:f>MAX(30,MIN(AB423-VLOOKUP(AE423,'AHL_PA_SC_BALANCE'!$A$8:$E$18,2,FALSE),VLOOKUP(AE423,'AHL_PA_SC_BALANCE'!$A$8:$E$18,4,FALSE)))</x:f>
        <x:v>44</x:v>
      </x:c>
      <x:c r="U423" s="63" t="n">
        <x:f>MAX(30,MIN(AC423-VLOOKUP(AE423,'AHL_PA_SC_BALANCE'!$A$8:$E$18,3,FALSE),VLOOKUP(AE423,'AHL_PA_SC_BALANCE'!$A$8:$E$18,5,FALSE)))</x:f>
        <x:v>42</x:v>
      </x:c>
      <x:c r="V423">
        <x:v>64</x:v>
      </x:c>
      <x:c r="W423">
        <x:v>48</x:v>
      </x:c>
      <x:c r="X423">
        <x:v>66</x:v>
      </x:c>
      <x:c r="Y423">
        <x:v>66</x:v>
      </x:c>
      <x:c r="Z423">
        <x:v>51</x:v>
      </x:c>
      <x:c r="AA423">
        <x:v>51</x:v>
      </x:c>
      <x:c r="AB423" s="57" t="n">
        <x:v>44</x:v>
      </x:c>
      <x:c r="AC423" s="57" t="n">
        <x:v>42</x:v>
      </x:c>
      <x:c r="AD423" s="59"/>
      <x:c r="AE423" s="61" t="str">
        <x:f>IF(N(F423)&gt;=10,"NHL_LATEST_10",IF(AND(N(F423)&gt;0,N(G423)&gt;0),"NHL_BOTH_SEASONS",IF(N(G423)&gt;=10,"NHL_PREVIOUS_10",IF(AND(ISNUMBER(AD423),AD423=0,SUM(F423:G423)=0),"FARM_CAREER_0",IF(COUNT(F423:G423)&lt;2,"UNKNOWN_GP",IF(AND(F423=0,G423=0),IF(AD423&gt;=10,"FARM_LEGACY_10",IF(AND(ISNUMBER(AD423),AD423&gt;0),"FARM_CAREER_1_9","FARM_0_0")),IF(F423&gt;=1,IF(F423&lt;=3,"FARM_RECENT_1_3","FARM_RECENT_4_9"),"FARM_PREV_1_9_ONLY")))))))</x:f>
        <x:v>UNKNOWN_GP</x:v>
      </x:c>
      <x:c r="AF423" s="57" t="n">
        <x:f>AB423-T423</x:f>
        <x:v>0</x:v>
      </x:c>
      <x:c r="AG423" s="57" t="n">
        <x:f>AC423-U423</x:f>
        <x:v>0</x:v>
      </x:c>
    </x:row>
    <x:row r="424">
      <x:c r="A424" t="s">
        <x:v>1446</x:v>
      </x:c>
      <x:c r="B424" t="s">
        <x:v>584</x:v>
      </x:c>
      <x:c r="C424" t="s">
        <x:v>319</x:v>
      </x:c>
      <x:c r="D424">
        <x:v>8478912</x:v>
      </x:c>
      <x:c r="E424" t="s">
        <x:v>267</x:v>
      </x:c>
      <x:c r="J424" t="s">
        <x:v>2476</x:v>
      </x:c>
      <x:c r="K424">
        <x:v>65</x:v>
      </x:c>
      <x:c r="L424">
        <x:v>34</x:v>
      </x:c>
      <x:c r="M424">
        <x:v>85</x:v>
      </x:c>
      <x:c r="N424">
        <x:v>45</x:v>
      </x:c>
      <x:c r="O424">
        <x:v>80</x:v>
      </x:c>
      <x:c r="P424">
        <x:v>91</x:v>
      </x:c>
      <x:c r="Q424">
        <x:v>95</x:v>
      </x:c>
      <x:c r="R424">
        <x:v>45</x:v>
      </x:c>
      <x:c r="S424">
        <x:v>62</x:v>
      </x:c>
      <x:c r="T424" s="63" t="n">
        <x:f>MAX(30,MIN(AB424-VLOOKUP(AE424,'AHL_PA_SC_BALANCE'!$A$8:$E$18,2,FALSE),VLOOKUP(AE424,'AHL_PA_SC_BALANCE'!$A$8:$E$18,4,FALSE)))</x:f>
        <x:v>46</x:v>
      </x:c>
      <x:c r="U424" s="63" t="n">
        <x:f>MAX(30,MIN(AC424-VLOOKUP(AE424,'AHL_PA_SC_BALANCE'!$A$8:$E$18,3,FALSE),VLOOKUP(AE424,'AHL_PA_SC_BALANCE'!$A$8:$E$18,5,FALSE)))</x:f>
        <x:v>44</x:v>
      </x:c>
      <x:c r="V424">
        <x:v>63</x:v>
      </x:c>
      <x:c r="W424">
        <x:v>66</x:v>
      </x:c>
      <x:c r="X424">
        <x:v>72</x:v>
      </x:c>
      <x:c r="Y424">
        <x:v>71</x:v>
      </x:c>
      <x:c r="Z424">
        <x:v>51</x:v>
      </x:c>
      <x:c r="AA424">
        <x:v>51</x:v>
      </x:c>
      <x:c r="AB424" s="57" t="n">
        <x:v>46</x:v>
      </x:c>
      <x:c r="AC424" s="57" t="n">
        <x:v>44</x:v>
      </x:c>
      <x:c r="AD424" s="59"/>
      <x:c r="AE424" s="61" t="str">
        <x:f>IF(N(F424)&gt;=10,"NHL_LATEST_10",IF(AND(N(F424)&gt;0,N(G424)&gt;0),"NHL_BOTH_SEASONS",IF(N(G424)&gt;=10,"NHL_PREVIOUS_10",IF(AND(ISNUMBER(AD424),AD424=0,SUM(F424:G424)=0),"FARM_CAREER_0",IF(COUNT(F424:G424)&lt;2,"UNKNOWN_GP",IF(AND(F424=0,G424=0),IF(AD424&gt;=10,"FARM_LEGACY_10",IF(AND(ISNUMBER(AD424),AD424&gt;0),"FARM_CAREER_1_9","FARM_0_0")),IF(F424&gt;=1,IF(F424&lt;=3,"FARM_RECENT_1_3","FARM_RECENT_4_9"),"FARM_PREV_1_9_ONLY")))))))</x:f>
        <x:v>UNKNOWN_GP</x:v>
      </x:c>
      <x:c r="AF424" s="57" t="n">
        <x:f>AB424-T424</x:f>
        <x:v>0</x:v>
      </x:c>
      <x:c r="AG424" s="57" t="n">
        <x:f>AC424-U424</x:f>
        <x:v>0</x:v>
      </x:c>
    </x:row>
    <x:row r="425">
      <x:c r="A425" t="s">
        <x:v>1447</x:v>
      </x:c>
      <x:c r="C425" t="s">
        <x:v>331</x:v>
      </x:c>
      <x:c r="D425">
        <x:v>8485019</x:v>
      </x:c>
      <x:c r="E425" t="s">
        <x:v>267</x:v>
      </x:c>
      <x:c r="J425" t="s">
        <x:v>2474</x:v>
      </x:c>
      <x:c r="K425">
        <x:v>69</x:v>
      </x:c>
      <x:c r="L425">
        <x:v>48</x:v>
      </x:c>
      <x:c r="M425">
        <x:v>74</x:v>
      </x:c>
      <x:c r="N425">
        <x:v>33</x:v>
      </x:c>
      <x:c r="O425">
        <x:v>80</x:v>
      </x:c>
      <x:c r="P425">
        <x:v>86</x:v>
      </x:c>
      <x:c r="Q425">
        <x:v>90</x:v>
      </x:c>
      <x:c r="R425">
        <x:v>34</x:v>
      </x:c>
      <x:c r="S425">
        <x:v>30</x:v>
      </x:c>
      <x:c r="T425" s="63" t="n">
        <x:f>MAX(30,MIN(AB425-VLOOKUP(AE425,'AHL_PA_SC_BALANCE'!$A$8:$E$18,2,FALSE),VLOOKUP(AE425,'AHL_PA_SC_BALANCE'!$A$8:$E$18,4,FALSE)))</x:f>
        <x:v>43</x:v>
      </x:c>
      <x:c r="U425" s="63" t="n">
        <x:f>MAX(30,MIN(AC425-VLOOKUP(AE425,'AHL_PA_SC_BALANCE'!$A$8:$E$18,3,FALSE),VLOOKUP(AE425,'AHL_PA_SC_BALANCE'!$A$8:$E$18,5,FALSE)))</x:f>
        <x:v>39</x:v>
      </x:c>
      <x:c r="V425">
        <x:v>67</x:v>
      </x:c>
      <x:c r="W425">
        <x:v>46</x:v>
      </x:c>
      <x:c r="X425">
        <x:v>65</x:v>
      </x:c>
      <x:c r="Y425">
        <x:v>65</x:v>
      </x:c>
      <x:c r="Z425">
        <x:v>51</x:v>
      </x:c>
      <x:c r="AA425">
        <x:v>51</x:v>
      </x:c>
      <x:c r="AB425" s="57" t="n">
        <x:v>43</x:v>
      </x:c>
      <x:c r="AC425" s="57" t="n">
        <x:v>39</x:v>
      </x:c>
      <x:c r="AD425" s="59"/>
      <x:c r="AE425" s="61" t="str">
        <x:f>IF(N(F425)&gt;=10,"NHL_LATEST_10",IF(AND(N(F425)&gt;0,N(G425)&gt;0),"NHL_BOTH_SEASONS",IF(N(G425)&gt;=10,"NHL_PREVIOUS_10",IF(AND(ISNUMBER(AD425),AD425=0,SUM(F425:G425)=0),"FARM_CAREER_0",IF(COUNT(F425:G425)&lt;2,"UNKNOWN_GP",IF(AND(F425=0,G425=0),IF(AD425&gt;=10,"FARM_LEGACY_10",IF(AND(ISNUMBER(AD425),AD425&gt;0),"FARM_CAREER_1_9","FARM_0_0")),IF(F425&gt;=1,IF(F425&lt;=3,"FARM_RECENT_1_3","FARM_RECENT_4_9"),"FARM_PREV_1_9_ONLY")))))))</x:f>
        <x:v>UNKNOWN_GP</x:v>
      </x:c>
      <x:c r="AF425" s="57" t="n">
        <x:f>AB425-T425</x:f>
        <x:v>0</x:v>
      </x:c>
      <x:c r="AG425" s="57" t="n">
        <x:f>AC425-U425</x:f>
        <x:v>0</x:v>
      </x:c>
    </x:row>
    <x:row r="426">
      <x:c r="A426" t="s">
        <x:v>1448</x:v>
      </x:c>
      <x:c r="C426" t="s">
        <x:v>358</x:v>
      </x:c>
      <x:c r="D426">
        <x:v>8484275</x:v>
      </x:c>
      <x:c r="E426" t="s">
        <x:v>267</x:v>
      </x:c>
      <x:c r="J426" t="s">
        <x:v>2474</x:v>
      </x:c>
      <x:c r="K426">
        <x:v>58</x:v>
      </x:c>
      <x:c r="L426">
        <x:v>34</x:v>
      </x:c>
      <x:c r="M426">
        <x:v>88</x:v>
      </x:c>
      <x:c r="N426">
        <x:v>42</x:v>
      </x:c>
      <x:c r="O426">
        <x:v>82</x:v>
      </x:c>
      <x:c r="P426">
        <x:v>81</x:v>
      </x:c>
      <x:c r="Q426">
        <x:v>86</x:v>
      </x:c>
      <x:c r="R426">
        <x:v>43</x:v>
      </x:c>
      <x:c r="S426">
        <x:v>67</x:v>
      </x:c>
      <x:c r="T426" s="63" t="n">
        <x:f>MAX(30,MIN(AB426-VLOOKUP(AE426,'AHL_PA_SC_BALANCE'!$A$8:$E$18,2,FALSE),VLOOKUP(AE426,'AHL_PA_SC_BALANCE'!$A$8:$E$18,4,FALSE)))</x:f>
        <x:v>43</x:v>
      </x:c>
      <x:c r="U426" s="63" t="n">
        <x:f>MAX(30,MIN(AC426-VLOOKUP(AE426,'AHL_PA_SC_BALANCE'!$A$8:$E$18,3,FALSE),VLOOKUP(AE426,'AHL_PA_SC_BALANCE'!$A$8:$E$18,5,FALSE)))</x:f>
        <x:v>44</x:v>
      </x:c>
      <x:c r="V426">
        <x:v>57</x:v>
      </x:c>
      <x:c r="W426">
        <x:v>64</x:v>
      </x:c>
      <x:c r="X426">
        <x:v>69</x:v>
      </x:c>
      <x:c r="Y426">
        <x:v>69</x:v>
      </x:c>
      <x:c r="Z426">
        <x:v>51</x:v>
      </x:c>
      <x:c r="AA426">
        <x:v>51</x:v>
      </x:c>
      <x:c r="AB426" s="57" t="n">
        <x:v>43</x:v>
      </x:c>
      <x:c r="AC426" s="57" t="n">
        <x:v>44</x:v>
      </x:c>
      <x:c r="AD426" s="59"/>
      <x:c r="AE426" s="61" t="str">
        <x:f>IF(N(F426)&gt;=10,"NHL_LATEST_10",IF(AND(N(F426)&gt;0,N(G426)&gt;0),"NHL_BOTH_SEASONS",IF(N(G426)&gt;=10,"NHL_PREVIOUS_10",IF(AND(ISNUMBER(AD426),AD426=0,SUM(F426:G426)=0),"FARM_CAREER_0",IF(COUNT(F426:G426)&lt;2,"UNKNOWN_GP",IF(AND(F426=0,G426=0),IF(AD426&gt;=10,"FARM_LEGACY_10",IF(AND(ISNUMBER(AD426),AD426&gt;0),"FARM_CAREER_1_9","FARM_0_0")),IF(F426&gt;=1,IF(F426&lt;=3,"FARM_RECENT_1_3","FARM_RECENT_4_9"),"FARM_PREV_1_9_ONLY")))))))</x:f>
        <x:v>UNKNOWN_GP</x:v>
      </x:c>
      <x:c r="AF426" s="57" t="n">
        <x:f>AB426-T426</x:f>
        <x:v>0</x:v>
      </x:c>
      <x:c r="AG426" s="57" t="n">
        <x:f>AC426-U426</x:f>
        <x:v>0</x:v>
      </x:c>
    </x:row>
    <x:row r="427">
      <x:c r="A427" t="s">
        <x:v>1449</x:v>
      </x:c>
      <x:c r="C427" t="s">
        <x:v>331</x:v>
      </x:c>
      <x:c r="D427">
        <x:v>8481570</x:v>
      </x:c>
      <x:c r="E427" t="s">
        <x:v>267</x:v>
      </x:c>
      <x:c r="J427" t="s">
        <x:v>2474</x:v>
      </x:c>
      <x:c r="K427">
        <x:v>84</x:v>
      </x:c>
      <x:c r="L427">
        <x:v>46</x:v>
      </x:c>
      <x:c r="M427">
        <x:v>84</x:v>
      </x:c>
      <x:c r="N427">
        <x:v>31</x:v>
      </x:c>
      <x:c r="O427">
        <x:v>87</x:v>
      </x:c>
      <x:c r="P427">
        <x:v>79</x:v>
      </x:c>
      <x:c r="Q427">
        <x:v>80</x:v>
      </x:c>
      <x:c r="R427">
        <x:v>32</x:v>
      </x:c>
      <x:c r="S427">
        <x:v>30</x:v>
      </x:c>
      <x:c r="T427" s="63" t="n">
        <x:f>MAX(30,MIN(AB427-VLOOKUP(AE427,'AHL_PA_SC_BALANCE'!$A$8:$E$18,2,FALSE),VLOOKUP(AE427,'AHL_PA_SC_BALANCE'!$A$8:$E$18,4,FALSE)))</x:f>
        <x:v>40</x:v>
      </x:c>
      <x:c r="U427" s="63" t="n">
        <x:f>MAX(30,MIN(AC427-VLOOKUP(AE427,'AHL_PA_SC_BALANCE'!$A$8:$E$18,3,FALSE),VLOOKUP(AE427,'AHL_PA_SC_BALANCE'!$A$8:$E$18,5,FALSE)))</x:f>
        <x:v>37</x:v>
      </x:c>
      <x:c r="V427">
        <x:v>66</x:v>
      </x:c>
      <x:c r="W427">
        <x:v>44</x:v>
      </x:c>
      <x:c r="X427">
        <x:v>68</x:v>
      </x:c>
      <x:c r="Y427">
        <x:v>67</x:v>
      </x:c>
      <x:c r="Z427">
        <x:v>51</x:v>
      </x:c>
      <x:c r="AA427">
        <x:v>51</x:v>
      </x:c>
      <x:c r="AB427" s="57" t="n">
        <x:v>40</x:v>
      </x:c>
      <x:c r="AC427" s="57" t="n">
        <x:v>37</x:v>
      </x:c>
      <x:c r="AD427" s="59"/>
      <x:c r="AE427" s="61" t="str">
        <x:f>IF(N(F427)&gt;=10,"NHL_LATEST_10",IF(AND(N(F427)&gt;0,N(G427)&gt;0),"NHL_BOTH_SEASONS",IF(N(G427)&gt;=10,"NHL_PREVIOUS_10",IF(AND(ISNUMBER(AD427),AD427=0,SUM(F427:G427)=0),"FARM_CAREER_0",IF(COUNT(F427:G427)&lt;2,"UNKNOWN_GP",IF(AND(F427=0,G427=0),IF(AD427&gt;=10,"FARM_LEGACY_10",IF(AND(ISNUMBER(AD427),AD427&gt;0),"FARM_CAREER_1_9","FARM_0_0")),IF(F427&gt;=1,IF(F427&lt;=3,"FARM_RECENT_1_3","FARM_RECENT_4_9"),"FARM_PREV_1_9_ONLY")))))))</x:f>
        <x:v>UNKNOWN_GP</x:v>
      </x:c>
      <x:c r="AF427" s="57" t="n">
        <x:f>AB427-T427</x:f>
        <x:v>0</x:v>
      </x:c>
      <x:c r="AG427" s="57" t="n">
        <x:f>AC427-U427</x:f>
        <x:v>0</x:v>
      </x:c>
    </x:row>
    <x:row r="428">
      <x:c r="A428" t="s">
        <x:v>1450</x:v>
      </x:c>
      <x:c r="C428" t="s">
        <x:v>331</x:v>
      </x:c>
      <x:c r="D428">
        <x:v>8484772</x:v>
      </x:c>
      <x:c r="E428" t="s">
        <x:v>267</x:v>
      </x:c>
      <x:c r="J428" t="s">
        <x:v>2474</x:v>
      </x:c>
      <x:c r="K428">
        <x:v>69</x:v>
      </x:c>
      <x:c r="L428">
        <x:v>36</x:v>
      </x:c>
      <x:c r="M428">
        <x:v>90</x:v>
      </x:c>
      <x:c r="N428">
        <x:v>33</x:v>
      </x:c>
      <x:c r="O428">
        <x:v>77</x:v>
      </x:c>
      <x:c r="P428">
        <x:v>74</x:v>
      </x:c>
      <x:c r="Q428">
        <x:v>77</x:v>
      </x:c>
      <x:c r="R428">
        <x:v>33</x:v>
      </x:c>
      <x:c r="S428">
        <x:v>30</x:v>
      </x:c>
      <x:c r="T428" s="63" t="n">
        <x:f>MAX(30,MIN(AB428-VLOOKUP(AE428,'AHL_PA_SC_BALANCE'!$A$8:$E$18,2,FALSE),VLOOKUP(AE428,'AHL_PA_SC_BALANCE'!$A$8:$E$18,4,FALSE)))</x:f>
        <x:v>43</x:v>
      </x:c>
      <x:c r="U428" s="63" t="n">
        <x:f>MAX(30,MIN(AC428-VLOOKUP(AE428,'AHL_PA_SC_BALANCE'!$A$8:$E$18,3,FALSE),VLOOKUP(AE428,'AHL_PA_SC_BALANCE'!$A$8:$E$18,5,FALSE)))</x:f>
        <x:v>39</x:v>
      </x:c>
      <x:c r="V428">
        <x:v>67</x:v>
      </x:c>
      <x:c r="W428">
        <x:v>46</x:v>
      </x:c>
      <x:c r="X428">
        <x:v>64</x:v>
      </x:c>
      <x:c r="Y428">
        <x:v>64</x:v>
      </x:c>
      <x:c r="Z428">
        <x:v>51</x:v>
      </x:c>
      <x:c r="AA428">
        <x:v>51</x:v>
      </x:c>
      <x:c r="AB428" s="57" t="n">
        <x:v>43</x:v>
      </x:c>
      <x:c r="AC428" s="57" t="n">
        <x:v>39</x:v>
      </x:c>
      <x:c r="AD428" s="59"/>
      <x:c r="AE428" s="61" t="str">
        <x:f>IF(N(F428)&gt;=10,"NHL_LATEST_10",IF(AND(N(F428)&gt;0,N(G428)&gt;0),"NHL_BOTH_SEASONS",IF(N(G428)&gt;=10,"NHL_PREVIOUS_10",IF(AND(ISNUMBER(AD428),AD428=0,SUM(F428:G428)=0),"FARM_CAREER_0",IF(COUNT(F428:G428)&lt;2,"UNKNOWN_GP",IF(AND(F428=0,G428=0),IF(AD428&gt;=10,"FARM_LEGACY_10",IF(AND(ISNUMBER(AD428),AD428&gt;0),"FARM_CAREER_1_9","FARM_0_0")),IF(F428&gt;=1,IF(F428&lt;=3,"FARM_RECENT_1_3","FARM_RECENT_4_9"),"FARM_PREV_1_9_ONLY")))))))</x:f>
        <x:v>UNKNOWN_GP</x:v>
      </x:c>
      <x:c r="AF428" s="57" t="n">
        <x:f>AB428-T428</x:f>
        <x:v>0</x:v>
      </x:c>
      <x:c r="AG428" s="57" t="n">
        <x:f>AC428-U428</x:f>
        <x:v>0</x:v>
      </x:c>
    </x:row>
    <x:row r="429">
      <x:c r="A429" t="s">
        <x:v>1451</x:v>
      </x:c>
      <x:c r="C429" t="s">
        <x:v>319</x:v>
      </x:c>
      <x:c r="D429">
        <x:v>8483675</x:v>
      </x:c>
      <x:c r="E429" t="s">
        <x:v>267</x:v>
      </x:c>
      <x:c r="J429" t="s">
        <x:v>2474</x:v>
      </x:c>
      <x:c r="K429">
        <x:v>64</x:v>
      </x:c>
      <x:c r="L429">
        <x:v>38</x:v>
      </x:c>
      <x:c r="M429">
        <x:v>84</x:v>
      </x:c>
      <x:c r="N429">
        <x:v>46</x:v>
      </x:c>
      <x:c r="O429">
        <x:v>82</x:v>
      </x:c>
      <x:c r="P429">
        <x:v>87</x:v>
      </x:c>
      <x:c r="Q429">
        <x:v>91</x:v>
      </x:c>
      <x:c r="R429">
        <x:v>47</x:v>
      </x:c>
      <x:c r="S429">
        <x:v>65</x:v>
      </x:c>
      <x:c r="T429" s="63" t="n">
        <x:f>MAX(30,MIN(AB429-VLOOKUP(AE429,'AHL_PA_SC_BALANCE'!$A$8:$E$18,2,FALSE),VLOOKUP(AE429,'AHL_PA_SC_BALANCE'!$A$8:$E$18,4,FALSE)))</x:f>
        <x:v>48</x:v>
      </x:c>
      <x:c r="U429" s="63" t="n">
        <x:f>MAX(30,MIN(AC429-VLOOKUP(AE429,'AHL_PA_SC_BALANCE'!$A$8:$E$18,3,FALSE),VLOOKUP(AE429,'AHL_PA_SC_BALANCE'!$A$8:$E$18,5,FALSE)))</x:f>
        <x:v>44</x:v>
      </x:c>
      <x:c r="V429">
        <x:v>58</x:v>
      </x:c>
      <x:c r="W429">
        <x:v>67</x:v>
      </x:c>
      <x:c r="X429">
        <x:v>65</x:v>
      </x:c>
      <x:c r="Y429">
        <x:v>65</x:v>
      </x:c>
      <x:c r="Z429">
        <x:v>51</x:v>
      </x:c>
      <x:c r="AA429">
        <x:v>51</x:v>
      </x:c>
      <x:c r="AB429" s="57" t="n">
        <x:v>48</x:v>
      </x:c>
      <x:c r="AC429" s="57" t="n">
        <x:v>44</x:v>
      </x:c>
      <x:c r="AD429" s="59"/>
      <x:c r="AE429" s="61" t="str">
        <x:f>IF(N(F429)&gt;=10,"NHL_LATEST_10",IF(AND(N(F429)&gt;0,N(G429)&gt;0),"NHL_BOTH_SEASONS",IF(N(G429)&gt;=10,"NHL_PREVIOUS_10",IF(AND(ISNUMBER(AD429),AD429=0,SUM(F429:G429)=0),"FARM_CAREER_0",IF(COUNT(F429:G429)&lt;2,"UNKNOWN_GP",IF(AND(F429=0,G429=0),IF(AD429&gt;=10,"FARM_LEGACY_10",IF(AND(ISNUMBER(AD429),AD429&gt;0),"FARM_CAREER_1_9","FARM_0_0")),IF(F429&gt;=1,IF(F429&lt;=3,"FARM_RECENT_1_3","FARM_RECENT_4_9"),"FARM_PREV_1_9_ONLY")))))))</x:f>
        <x:v>UNKNOWN_GP</x:v>
      </x:c>
      <x:c r="AF429" s="57" t="n">
        <x:f>AB429-T429</x:f>
        <x:v>0</x:v>
      </x:c>
      <x:c r="AG429" s="57" t="n">
        <x:f>AC429-U429</x:f>
        <x:v>0</x:v>
      </x:c>
    </x:row>
    <x:row r="430">
      <x:c r="A430" t="s">
        <x:v>1452</x:v>
      </x:c>
      <x:c r="C430" t="s">
        <x:v>319</x:v>
      </x:c>
      <x:c r="D430">
        <x:v>8484406</x:v>
      </x:c>
      <x:c r="E430" t="s">
        <x:v>267</x:v>
      </x:c>
      <x:c r="J430" t="s">
        <x:v>2474</x:v>
      </x:c>
      <x:c r="K430">
        <x:v>69</x:v>
      </x:c>
      <x:c r="L430">
        <x:v>37</x:v>
      </x:c>
      <x:c r="M430">
        <x:v>86</x:v>
      </x:c>
      <x:c r="N430">
        <x:v>45</x:v>
      </x:c>
      <x:c r="O430">
        <x:v>74</x:v>
      </x:c>
      <x:c r="P430">
        <x:v>88</x:v>
      </x:c>
      <x:c r="Q430">
        <x:v>91</x:v>
      </x:c>
      <x:c r="R430">
        <x:v>46</x:v>
      </x:c>
      <x:c r="S430">
        <x:v>82</x:v>
      </x:c>
      <x:c r="T430" s="63" t="n">
        <x:f>MAX(30,MIN(AB430-VLOOKUP(AE430,'AHL_PA_SC_BALANCE'!$A$8:$E$18,2,FALSE),VLOOKUP(AE430,'AHL_PA_SC_BALANCE'!$A$8:$E$18,4,FALSE)))</x:f>
        <x:v>46</x:v>
      </x:c>
      <x:c r="U430" s="63" t="n">
        <x:f>MAX(30,MIN(AC430-VLOOKUP(AE430,'AHL_PA_SC_BALANCE'!$A$8:$E$18,3,FALSE),VLOOKUP(AE430,'AHL_PA_SC_BALANCE'!$A$8:$E$18,5,FALSE)))</x:f>
        <x:v>45</x:v>
      </x:c>
      <x:c r="V430">
        <x:v>66</x:v>
      </x:c>
      <x:c r="W430">
        <x:v>67</x:v>
      </x:c>
      <x:c r="X430">
        <x:v>66</x:v>
      </x:c>
      <x:c r="Y430">
        <x:v>67</x:v>
      </x:c>
      <x:c r="Z430">
        <x:v>51</x:v>
      </x:c>
      <x:c r="AA430">
        <x:v>51</x:v>
      </x:c>
      <x:c r="AB430" s="57" t="n">
        <x:v>46</x:v>
      </x:c>
      <x:c r="AC430" s="57" t="n">
        <x:v>45</x:v>
      </x:c>
      <x:c r="AD430" s="59"/>
      <x:c r="AE430" s="61" t="str">
        <x:f>IF(N(F430)&gt;=10,"NHL_LATEST_10",IF(AND(N(F430)&gt;0,N(G430)&gt;0),"NHL_BOTH_SEASONS",IF(N(G430)&gt;=10,"NHL_PREVIOUS_10",IF(AND(ISNUMBER(AD430),AD430=0,SUM(F430:G430)=0),"FARM_CAREER_0",IF(COUNT(F430:G430)&lt;2,"UNKNOWN_GP",IF(AND(F430=0,G430=0),IF(AD430&gt;=10,"FARM_LEGACY_10",IF(AND(ISNUMBER(AD430),AD430&gt;0),"FARM_CAREER_1_9","FARM_0_0")),IF(F430&gt;=1,IF(F430&lt;=3,"FARM_RECENT_1_3","FARM_RECENT_4_9"),"FARM_PREV_1_9_ONLY")))))))</x:f>
        <x:v>UNKNOWN_GP</x:v>
      </x:c>
      <x:c r="AF430" s="57" t="n">
        <x:f>AB430-T430</x:f>
        <x:v>0</x:v>
      </x:c>
      <x:c r="AG430" s="57" t="n">
        <x:f>AC430-U430</x:f>
        <x:v>0</x:v>
      </x:c>
    </x:row>
    <x:row r="431">
      <x:c r="A431" t="s">
        <x:v>1453</x:v>
      </x:c>
      <x:c r="C431" t="s">
        <x:v>319</x:v>
      </x:c>
      <x:c r="D431">
        <x:v>8482759</x:v>
      </x:c>
      <x:c r="E431" t="s">
        <x:v>267</x:v>
      </x:c>
      <x:c r="J431" t="s">
        <x:v>2474</x:v>
      </x:c>
      <x:c r="K431">
        <x:v>63</x:v>
      </x:c>
      <x:c r="L431">
        <x:v>37</x:v>
      </x:c>
      <x:c r="M431">
        <x:v>88</x:v>
      </x:c>
      <x:c r="N431">
        <x:v>47</x:v>
      </x:c>
      <x:c r="O431">
        <x:v>79</x:v>
      </x:c>
      <x:c r="P431">
        <x:v>92</x:v>
      </x:c>
      <x:c r="Q431">
        <x:v>96</x:v>
      </x:c>
      <x:c r="R431">
        <x:v>48</x:v>
      </x:c>
      <x:c r="S431">
        <x:v>68</x:v>
      </x:c>
      <x:c r="T431" s="63" t="n">
        <x:f>MAX(30,MIN(AB431-VLOOKUP(AE431,'AHL_PA_SC_BALANCE'!$A$8:$E$18,2,FALSE),VLOOKUP(AE431,'AHL_PA_SC_BALANCE'!$A$8:$E$18,4,FALSE)))</x:f>
        <x:v>51</x:v>
      </x:c>
      <x:c r="U431" s="63" t="n">
        <x:f>MAX(30,MIN(AC431-VLOOKUP(AE431,'AHL_PA_SC_BALANCE'!$A$8:$E$18,3,FALSE),VLOOKUP(AE431,'AHL_PA_SC_BALANCE'!$A$8:$E$18,5,FALSE)))</x:f>
        <x:v>45</x:v>
      </x:c>
      <x:c r="V431">
        <x:v>58</x:v>
      </x:c>
      <x:c r="W431">
        <x:v>70</x:v>
      </x:c>
      <x:c r="X431">
        <x:v>65</x:v>
      </x:c>
      <x:c r="Y431">
        <x:v>64</x:v>
      </x:c>
      <x:c r="Z431">
        <x:v>51</x:v>
      </x:c>
      <x:c r="AA431">
        <x:v>51</x:v>
      </x:c>
      <x:c r="AB431" s="57" t="n">
        <x:v>51</x:v>
      </x:c>
      <x:c r="AC431" s="57" t="n">
        <x:v>45</x:v>
      </x:c>
      <x:c r="AD431" s="59"/>
      <x:c r="AE431" s="61" t="str">
        <x:f>IF(N(F431)&gt;=10,"NHL_LATEST_10",IF(AND(N(F431)&gt;0,N(G431)&gt;0),"NHL_BOTH_SEASONS",IF(N(G431)&gt;=10,"NHL_PREVIOUS_10",IF(AND(ISNUMBER(AD431),AD431=0,SUM(F431:G431)=0),"FARM_CAREER_0",IF(COUNT(F431:G431)&lt;2,"UNKNOWN_GP",IF(AND(F431=0,G431=0),IF(AD431&gt;=10,"FARM_LEGACY_10",IF(AND(ISNUMBER(AD431),AD431&gt;0),"FARM_CAREER_1_9","FARM_0_0")),IF(F431&gt;=1,IF(F431&lt;=3,"FARM_RECENT_1_3","FARM_RECENT_4_9"),"FARM_PREV_1_9_ONLY")))))))</x:f>
        <x:v>UNKNOWN_GP</x:v>
      </x:c>
      <x:c r="AF431" s="57" t="n">
        <x:f>AB431-T431</x:f>
        <x:v>0</x:v>
      </x:c>
      <x:c r="AG431" s="57" t="n">
        <x:f>AC431-U431</x:f>
        <x:v>0</x:v>
      </x:c>
    </x:row>
    <x:row r="432">
      <x:c r="A432" t="s">
        <x:v>1454</x:v>
      </x:c>
      <x:c r="C432" t="s">
        <x:v>326</x:v>
      </x:c>
      <x:c r="D432">
        <x:v>8480441</x:v>
      </x:c>
      <x:c r="E432" t="s">
        <x:v>267</x:v>
      </x:c>
      <x:c r="J432" t="s">
        <x:v>2474</x:v>
      </x:c>
      <x:c r="K432">
        <x:v>67</x:v>
      </x:c>
      <x:c r="L432">
        <x:v>35</x:v>
      </x:c>
      <x:c r="M432">
        <x:v>75</x:v>
      </x:c>
      <x:c r="N432">
        <x:v>46</x:v>
      </x:c>
      <x:c r="O432">
        <x:v>74</x:v>
      </x:c>
      <x:c r="P432">
        <x:v>91</x:v>
      </x:c>
      <x:c r="Q432">
        <x:v>95</x:v>
      </x:c>
      <x:c r="R432">
        <x:v>46</x:v>
      </x:c>
      <x:c r="S432">
        <x:v>54</x:v>
      </x:c>
      <x:c r="T432" s="63" t="n">
        <x:f>MAX(30,MIN(AB432-VLOOKUP(AE432,'AHL_PA_SC_BALANCE'!$A$8:$E$18,2,FALSE),VLOOKUP(AE432,'AHL_PA_SC_BALANCE'!$A$8:$E$18,4,FALSE)))</x:f>
        <x:v>49</x:v>
      </x:c>
      <x:c r="U432" s="63" t="n">
        <x:f>MAX(30,MIN(AC432-VLOOKUP(AE432,'AHL_PA_SC_BALANCE'!$A$8:$E$18,3,FALSE),VLOOKUP(AE432,'AHL_PA_SC_BALANCE'!$A$8:$E$18,5,FALSE)))</x:f>
        <x:v>50</x:v>
      </x:c>
      <x:c r="V432">
        <x:v>61</x:v>
      </x:c>
      <x:c r="W432">
        <x:v>69</x:v>
      </x:c>
      <x:c r="X432">
        <x:v>69</x:v>
      </x:c>
      <x:c r="Y432">
        <x:v>70</x:v>
      </x:c>
      <x:c r="Z432">
        <x:v>51</x:v>
      </x:c>
      <x:c r="AA432">
        <x:v>51</x:v>
      </x:c>
      <x:c r="AB432" s="57" t="n">
        <x:v>49</x:v>
      </x:c>
      <x:c r="AC432" s="57" t="n">
        <x:v>50</x:v>
      </x:c>
      <x:c r="AD432" s="59"/>
      <x:c r="AE432" s="61" t="str">
        <x:f>IF(N(F432)&gt;=10,"NHL_LATEST_10",IF(AND(N(F432)&gt;0,N(G432)&gt;0),"NHL_BOTH_SEASONS",IF(N(G432)&gt;=10,"NHL_PREVIOUS_10",IF(AND(ISNUMBER(AD432),AD432=0,SUM(F432:G432)=0),"FARM_CAREER_0",IF(COUNT(F432:G432)&lt;2,"UNKNOWN_GP",IF(AND(F432=0,G432=0),IF(AD432&gt;=10,"FARM_LEGACY_10",IF(AND(ISNUMBER(AD432),AD432&gt;0),"FARM_CAREER_1_9","FARM_0_0")),IF(F432&gt;=1,IF(F432&lt;=3,"FARM_RECENT_1_3","FARM_RECENT_4_9"),"FARM_PREV_1_9_ONLY")))))))</x:f>
        <x:v>UNKNOWN_GP</x:v>
      </x:c>
      <x:c r="AF432" s="57" t="n">
        <x:f>AB432-T432</x:f>
        <x:v>0</x:v>
      </x:c>
      <x:c r="AG432" s="57" t="n">
        <x:f>AC432-U432</x:f>
        <x:v>0</x:v>
      </x:c>
    </x:row>
    <x:row r="433">
      <x:c r="A433" t="s">
        <x:v>1455</x:v>
      </x:c>
      <x:c r="C433" t="s">
        <x:v>333</x:v>
      </x:c>
      <x:c r="D433">
        <x:v>8482682</x:v>
      </x:c>
      <x:c r="E433" t="s">
        <x:v>267</x:v>
      </x:c>
      <x:c r="J433" t="s">
        <x:v>2474</x:v>
      </x:c>
      <x:c r="K433">
        <x:v>61</x:v>
      </x:c>
      <x:c r="L433">
        <x:v>35</x:v>
      </x:c>
      <x:c r="M433">
        <x:v>87</x:v>
      </x:c>
      <x:c r="N433">
        <x:v>47</x:v>
      </x:c>
      <x:c r="O433">
        <x:v>78</x:v>
      </x:c>
      <x:c r="P433">
        <x:v>88</x:v>
      </x:c>
      <x:c r="Q433">
        <x:v>93</x:v>
      </x:c>
      <x:c r="R433">
        <x:v>48</x:v>
      </x:c>
      <x:c r="S433">
        <x:v>73</x:v>
      </x:c>
      <x:c r="T433" s="63" t="n">
        <x:f>MAX(30,MIN(AB433-VLOOKUP(AE433,'AHL_PA_SC_BALANCE'!$A$8:$E$18,2,FALSE),VLOOKUP(AE433,'AHL_PA_SC_BALANCE'!$A$8:$E$18,4,FALSE)))</x:f>
        <x:v>50</x:v>
      </x:c>
      <x:c r="U433" s="63" t="n">
        <x:f>MAX(30,MIN(AC433-VLOOKUP(AE433,'AHL_PA_SC_BALANCE'!$A$8:$E$18,3,FALSE),VLOOKUP(AE433,'AHL_PA_SC_BALANCE'!$A$8:$E$18,5,FALSE)))</x:f>
        <x:v>45</x:v>
      </x:c>
      <x:c r="V433">
        <x:v>61</x:v>
      </x:c>
      <x:c r="W433">
        <x:v>70</x:v>
      </x:c>
      <x:c r="X433">
        <x:v>66</x:v>
      </x:c>
      <x:c r="Y433">
        <x:v>66</x:v>
      </x:c>
      <x:c r="Z433">
        <x:v>51</x:v>
      </x:c>
      <x:c r="AA433">
        <x:v>51</x:v>
      </x:c>
      <x:c r="AB433" s="57" t="n">
        <x:v>50</x:v>
      </x:c>
      <x:c r="AC433" s="57" t="n">
        <x:v>45</x:v>
      </x:c>
      <x:c r="AD433" s="59"/>
      <x:c r="AE433" s="61" t="str">
        <x:f>IF(N(F433)&gt;=10,"NHL_LATEST_10",IF(AND(N(F433)&gt;0,N(G433)&gt;0),"NHL_BOTH_SEASONS",IF(N(G433)&gt;=10,"NHL_PREVIOUS_10",IF(AND(ISNUMBER(AD433),AD433=0,SUM(F433:G433)=0),"FARM_CAREER_0",IF(COUNT(F433:G433)&lt;2,"UNKNOWN_GP",IF(AND(F433=0,G433=0),IF(AD433&gt;=10,"FARM_LEGACY_10",IF(AND(ISNUMBER(AD433),AD433&gt;0),"FARM_CAREER_1_9","FARM_0_0")),IF(F433&gt;=1,IF(F433&lt;=3,"FARM_RECENT_1_3","FARM_RECENT_4_9"),"FARM_PREV_1_9_ONLY")))))))</x:f>
        <x:v>UNKNOWN_GP</x:v>
      </x:c>
      <x:c r="AF433" s="57" t="n">
        <x:f>AB433-T433</x:f>
        <x:v>0</x:v>
      </x:c>
      <x:c r="AG433" s="57" t="n">
        <x:f>AC433-U433</x:f>
        <x:v>0</x:v>
      </x:c>
    </x:row>
    <x:row r="434">
      <x:c r="A434" t="s">
        <x:v>1456</x:v>
      </x:c>
      <x:c r="C434" t="s">
        <x:v>323</x:v>
      </x:c>
      <x:c r="D434">
        <x:v>8484797</x:v>
      </x:c>
      <x:c r="E434" t="s">
        <x:v>267</x:v>
      </x:c>
      <x:c r="J434" t="s">
        <x:v>2474</x:v>
      </x:c>
      <x:c r="K434">
        <x:v>72</x:v>
      </x:c>
      <x:c r="L434">
        <x:v>37</x:v>
      </x:c>
      <x:c r="M434">
        <x:v>88</x:v>
      </x:c>
      <x:c r="N434">
        <x:v>45</x:v>
      </x:c>
      <x:c r="O434">
        <x:v>77</x:v>
      </x:c>
      <x:c r="P434">
        <x:v>91</x:v>
      </x:c>
      <x:c r="Q434">
        <x:v>95</x:v>
      </x:c>
      <x:c r="R434">
        <x:v>44</x:v>
      </x:c>
      <x:c r="S434">
        <x:v>80</x:v>
      </x:c>
      <x:c r="T434" s="63" t="n">
        <x:f>MAX(30,MIN(AB434-VLOOKUP(AE434,'AHL_PA_SC_BALANCE'!$A$8:$E$18,2,FALSE),VLOOKUP(AE434,'AHL_PA_SC_BALANCE'!$A$8:$E$18,4,FALSE)))</x:f>
        <x:v>51</x:v>
      </x:c>
      <x:c r="U434" s="63" t="n">
        <x:f>MAX(30,MIN(AC434-VLOOKUP(AE434,'AHL_PA_SC_BALANCE'!$A$8:$E$18,3,FALSE),VLOOKUP(AE434,'AHL_PA_SC_BALANCE'!$A$8:$E$18,5,FALSE)))</x:f>
        <x:v>45</x:v>
      </x:c>
      <x:c r="V434">
        <x:v>58</x:v>
      </x:c>
      <x:c r="W434">
        <x:v>66</x:v>
      </x:c>
      <x:c r="X434">
        <x:v>64</x:v>
      </x:c>
      <x:c r="Y434">
        <x:v>65</x:v>
      </x:c>
      <x:c r="Z434">
        <x:v>51</x:v>
      </x:c>
      <x:c r="AA434">
        <x:v>51</x:v>
      </x:c>
      <x:c r="AB434" s="57" t="n">
        <x:v>51</x:v>
      </x:c>
      <x:c r="AC434" s="57" t="n">
        <x:v>45</x:v>
      </x:c>
      <x:c r="AD434" s="59"/>
      <x:c r="AE434" s="61" t="str">
        <x:f>IF(N(F434)&gt;=10,"NHL_LATEST_10",IF(AND(N(F434)&gt;0,N(G434)&gt;0),"NHL_BOTH_SEASONS",IF(N(G434)&gt;=10,"NHL_PREVIOUS_10",IF(AND(ISNUMBER(AD434),AD434=0,SUM(F434:G434)=0),"FARM_CAREER_0",IF(COUNT(F434:G434)&lt;2,"UNKNOWN_GP",IF(AND(F434=0,G434=0),IF(AD434&gt;=10,"FARM_LEGACY_10",IF(AND(ISNUMBER(AD434),AD434&gt;0),"FARM_CAREER_1_9","FARM_0_0")),IF(F434&gt;=1,IF(F434&lt;=3,"FARM_RECENT_1_3","FARM_RECENT_4_9"),"FARM_PREV_1_9_ONLY")))))))</x:f>
        <x:v>UNKNOWN_GP</x:v>
      </x:c>
      <x:c r="AF434" s="57" t="n">
        <x:f>AB434-T434</x:f>
        <x:v>0</x:v>
      </x:c>
      <x:c r="AG434" s="57" t="n">
        <x:f>AC434-U434</x:f>
        <x:v>0</x:v>
      </x:c>
    </x:row>
    <x:row r="435">
      <x:c r="A435" t="s">
        <x:v>1457</x:v>
      </x:c>
      <x:c r="C435" t="s">
        <x:v>358</x:v>
      </x:c>
      <x:c r="D435">
        <x:v>8482766</x:v>
      </x:c>
      <x:c r="E435" t="s">
        <x:v>267</x:v>
      </x:c>
      <x:c r="J435" t="s">
        <x:v>2474</x:v>
      </x:c>
      <x:c r="K435">
        <x:v>58</x:v>
      </x:c>
      <x:c r="L435">
        <x:v>35</x:v>
      </x:c>
      <x:c r="M435">
        <x:v>83</x:v>
      </x:c>
      <x:c r="N435">
        <x:v>47</x:v>
      </x:c>
      <x:c r="O435">
        <x:v>79</x:v>
      </x:c>
      <x:c r="P435">
        <x:v>91</x:v>
      </x:c>
      <x:c r="Q435">
        <x:v>94</x:v>
      </x:c>
      <x:c r="R435">
        <x:v>48</x:v>
      </x:c>
      <x:c r="S435">
        <x:v>72</x:v>
      </x:c>
      <x:c r="T435" s="63" t="n">
        <x:f>MAX(30,MIN(AB435-VLOOKUP(AE435,'AHL_PA_SC_BALANCE'!$A$8:$E$18,2,FALSE),VLOOKUP(AE435,'AHL_PA_SC_BALANCE'!$A$8:$E$18,4,FALSE)))</x:f>
        <x:v>51</x:v>
      </x:c>
      <x:c r="U435" s="63" t="n">
        <x:f>MAX(30,MIN(AC435-VLOOKUP(AE435,'AHL_PA_SC_BALANCE'!$A$8:$E$18,3,FALSE),VLOOKUP(AE435,'AHL_PA_SC_BALANCE'!$A$8:$E$18,5,FALSE)))</x:f>
        <x:v>43</x:v>
      </x:c>
      <x:c r="V435">
        <x:v>60</x:v>
      </x:c>
      <x:c r="W435">
        <x:v>68</x:v>
      </x:c>
      <x:c r="X435">
        <x:v>66</x:v>
      </x:c>
      <x:c r="Y435">
        <x:v>66</x:v>
      </x:c>
      <x:c r="Z435">
        <x:v>51</x:v>
      </x:c>
      <x:c r="AA435">
        <x:v>51</x:v>
      </x:c>
      <x:c r="AB435" s="57" t="n">
        <x:v>51</x:v>
      </x:c>
      <x:c r="AC435" s="57" t="n">
        <x:v>43</x:v>
      </x:c>
      <x:c r="AD435" s="59"/>
      <x:c r="AE435" s="61" t="str">
        <x:f>IF(N(F435)&gt;=10,"NHL_LATEST_10",IF(AND(N(F435)&gt;0,N(G435)&gt;0),"NHL_BOTH_SEASONS",IF(N(G435)&gt;=10,"NHL_PREVIOUS_10",IF(AND(ISNUMBER(AD435),AD435=0,SUM(F435:G435)=0),"FARM_CAREER_0",IF(COUNT(F435:G435)&lt;2,"UNKNOWN_GP",IF(AND(F435=0,G435=0),IF(AD435&gt;=10,"FARM_LEGACY_10",IF(AND(ISNUMBER(AD435),AD435&gt;0),"FARM_CAREER_1_9","FARM_0_0")),IF(F435&gt;=1,IF(F435&lt;=3,"FARM_RECENT_1_3","FARM_RECENT_4_9"),"FARM_PREV_1_9_ONLY")))))))</x:f>
        <x:v>UNKNOWN_GP</x:v>
      </x:c>
      <x:c r="AF435" s="57" t="n">
        <x:f>AB435-T435</x:f>
        <x:v>0</x:v>
      </x:c>
      <x:c r="AG435" s="57" t="n">
        <x:f>AC435-U435</x:f>
        <x:v>0</x:v>
      </x:c>
    </x:row>
    <x:row r="436">
      <x:c r="A436" t="s">
        <x:v>1458</x:v>
      </x:c>
      <x:c r="C436" t="s">
        <x:v>331</x:v>
      </x:c>
      <x:c r="D436">
        <x:v>8483546</x:v>
      </x:c>
      <x:c r="E436" t="s">
        <x:v>267</x:v>
      </x:c>
      <x:c r="J436" t="s">
        <x:v>2474</x:v>
      </x:c>
      <x:c r="K436">
        <x:v>67</x:v>
      </x:c>
      <x:c r="L436">
        <x:v>39</x:v>
      </x:c>
      <x:c r="M436">
        <x:v>74</x:v>
      </x:c>
      <x:c r="N436">
        <x:v>33</x:v>
      </x:c>
      <x:c r="O436">
        <x:v>79</x:v>
      </x:c>
      <x:c r="P436">
        <x:v>79</x:v>
      </x:c>
      <x:c r="Q436">
        <x:v>79</x:v>
      </x:c>
      <x:c r="R436">
        <x:v>33</x:v>
      </x:c>
      <x:c r="S436">
        <x:v>30</x:v>
      </x:c>
      <x:c r="T436" s="63" t="n">
        <x:f>MAX(30,MIN(AB436-VLOOKUP(AE436,'AHL_PA_SC_BALANCE'!$A$8:$E$18,2,FALSE),VLOOKUP(AE436,'AHL_PA_SC_BALANCE'!$A$8:$E$18,4,FALSE)))</x:f>
        <x:v>44</x:v>
      </x:c>
      <x:c r="U436" s="63" t="n">
        <x:f>MAX(30,MIN(AC436-VLOOKUP(AE436,'AHL_PA_SC_BALANCE'!$A$8:$E$18,3,FALSE),VLOOKUP(AE436,'AHL_PA_SC_BALANCE'!$A$8:$E$18,5,FALSE)))</x:f>
        <x:v>38</x:v>
      </x:c>
      <x:c r="V436">
        <x:v>63</x:v>
      </x:c>
      <x:c r="W436">
        <x:v>46</x:v>
      </x:c>
      <x:c r="X436">
        <x:v>70</x:v>
      </x:c>
      <x:c r="Y436">
        <x:v>69</x:v>
      </x:c>
      <x:c r="Z436">
        <x:v>51</x:v>
      </x:c>
      <x:c r="AA436">
        <x:v>51</x:v>
      </x:c>
      <x:c r="AB436" s="57" t="n">
        <x:v>44</x:v>
      </x:c>
      <x:c r="AC436" s="57" t="n">
        <x:v>38</x:v>
      </x:c>
      <x:c r="AD436" s="59"/>
      <x:c r="AE436" s="61" t="str">
        <x:f>IF(N(F436)&gt;=10,"NHL_LATEST_10",IF(AND(N(F436)&gt;0,N(G436)&gt;0),"NHL_BOTH_SEASONS",IF(N(G436)&gt;=10,"NHL_PREVIOUS_10",IF(AND(ISNUMBER(AD436),AD436=0,SUM(F436:G436)=0),"FARM_CAREER_0",IF(COUNT(F436:G436)&lt;2,"UNKNOWN_GP",IF(AND(F436=0,G436=0),IF(AD436&gt;=10,"FARM_LEGACY_10",IF(AND(ISNUMBER(AD436),AD436&gt;0),"FARM_CAREER_1_9","FARM_0_0")),IF(F436&gt;=1,IF(F436&lt;=3,"FARM_RECENT_1_3","FARM_RECENT_4_9"),"FARM_PREV_1_9_ONLY")))))))</x:f>
        <x:v>UNKNOWN_GP</x:v>
      </x:c>
      <x:c r="AF436" s="57" t="n">
        <x:f>AB436-T436</x:f>
        <x:v>0</x:v>
      </x:c>
      <x:c r="AG436" s="57" t="n">
        <x:f>AC436-U436</x:f>
        <x:v>0</x:v>
      </x:c>
    </x:row>
    <x:row r="437">
      <x:c r="A437" t="s">
        <x:v>1459</x:v>
      </x:c>
      <x:c r="C437" t="s">
        <x:v>331</x:v>
      </x:c>
      <x:c r="D437">
        <x:v>8483732</x:v>
      </x:c>
      <x:c r="E437" t="s">
        <x:v>267</x:v>
      </x:c>
      <x:c r="J437" t="s">
        <x:v>2474</x:v>
      </x:c>
      <x:c r="K437">
        <x:v>77</x:v>
      </x:c>
      <x:c r="L437">
        <x:v>38</x:v>
      </x:c>
      <x:c r="M437">
        <x:v>77</x:v>
      </x:c>
      <x:c r="N437">
        <x:v>32</x:v>
      </x:c>
      <x:c r="O437">
        <x:v>79</x:v>
      </x:c>
      <x:c r="P437">
        <x:v>85</x:v>
      </x:c>
      <x:c r="Q437">
        <x:v>86</x:v>
      </x:c>
      <x:c r="R437">
        <x:v>32</x:v>
      </x:c>
      <x:c r="S437">
        <x:v>30</x:v>
      </x:c>
      <x:c r="T437" s="63" t="n">
        <x:f>MAX(30,MIN(AB437-VLOOKUP(AE437,'AHL_PA_SC_BALANCE'!$A$8:$E$18,2,FALSE),VLOOKUP(AE437,'AHL_PA_SC_BALANCE'!$A$8:$E$18,4,FALSE)))</x:f>
        <x:v>41</x:v>
      </x:c>
      <x:c r="U437" s="63" t="n">
        <x:f>MAX(30,MIN(AC437-VLOOKUP(AE437,'AHL_PA_SC_BALANCE'!$A$8:$E$18,3,FALSE),VLOOKUP(AE437,'AHL_PA_SC_BALANCE'!$A$8:$E$18,5,FALSE)))</x:f>
        <x:v>40</x:v>
      </x:c>
      <x:c r="V437">
        <x:v>66</x:v>
      </x:c>
      <x:c r="W437">
        <x:v>45</x:v>
      </x:c>
      <x:c r="X437">
        <x:v>65</x:v>
      </x:c>
      <x:c r="Y437">
        <x:v>66</x:v>
      </x:c>
      <x:c r="Z437">
        <x:v>51</x:v>
      </x:c>
      <x:c r="AA437">
        <x:v>51</x:v>
      </x:c>
      <x:c r="AB437" s="57" t="n">
        <x:v>41</x:v>
      </x:c>
      <x:c r="AC437" s="57" t="n">
        <x:v>40</x:v>
      </x:c>
      <x:c r="AD437" s="59"/>
      <x:c r="AE437" s="61" t="str">
        <x:f>IF(N(F437)&gt;=10,"NHL_LATEST_10",IF(AND(N(F437)&gt;0,N(G437)&gt;0),"NHL_BOTH_SEASONS",IF(N(G437)&gt;=10,"NHL_PREVIOUS_10",IF(AND(ISNUMBER(AD437),AD437=0,SUM(F437:G437)=0),"FARM_CAREER_0",IF(COUNT(F437:G437)&lt;2,"UNKNOWN_GP",IF(AND(F437=0,G437=0),IF(AD437&gt;=10,"FARM_LEGACY_10",IF(AND(ISNUMBER(AD437),AD437&gt;0),"FARM_CAREER_1_9","FARM_0_0")),IF(F437&gt;=1,IF(F437&lt;=3,"FARM_RECENT_1_3","FARM_RECENT_4_9"),"FARM_PREV_1_9_ONLY")))))))</x:f>
        <x:v>UNKNOWN_GP</x:v>
      </x:c>
      <x:c r="AF437" s="57" t="n">
        <x:f>AB437-T437</x:f>
        <x:v>0</x:v>
      </x:c>
      <x:c r="AG437" s="57" t="n">
        <x:f>AC437-U437</x:f>
        <x:v>0</x:v>
      </x:c>
    </x:row>
    <x:row r="438">
      <x:c r="A438" t="s">
        <x:v>1460</x:v>
      </x:c>
      <x:c r="C438" t="s">
        <x:v>331</x:v>
      </x:c>
      <x:c r="D438">
        <x:v>8485468</x:v>
      </x:c>
      <x:c r="E438" t="s">
        <x:v>267</x:v>
      </x:c>
      <x:c r="J438" t="s">
        <x:v>2474</x:v>
      </x:c>
      <x:c r="K438">
        <x:v>72</x:v>
      </x:c>
      <x:c r="L438">
        <x:v>34</x:v>
      </x:c>
      <x:c r="M438">
        <x:v>83</x:v>
      </x:c>
      <x:c r="N438">
        <x:v>34</x:v>
      </x:c>
      <x:c r="O438">
        <x:v>79</x:v>
      </x:c>
      <x:c r="P438">
        <x:v>84</x:v>
      </x:c>
      <x:c r="Q438">
        <x:v>91</x:v>
      </x:c>
      <x:c r="R438">
        <x:v>33</x:v>
      </x:c>
      <x:c r="S438">
        <x:v>30</x:v>
      </x:c>
      <x:c r="T438" s="63" t="n">
        <x:f>MAX(30,MIN(AB438-VLOOKUP(AE438,'AHL_PA_SC_BALANCE'!$A$8:$E$18,2,FALSE),VLOOKUP(AE438,'AHL_PA_SC_BALANCE'!$A$8:$E$18,4,FALSE)))</x:f>
        <x:v>43</x:v>
      </x:c>
      <x:c r="U438" s="63" t="n">
        <x:f>MAX(30,MIN(AC438-VLOOKUP(AE438,'AHL_PA_SC_BALANCE'!$A$8:$E$18,3,FALSE),VLOOKUP(AE438,'AHL_PA_SC_BALANCE'!$A$8:$E$18,5,FALSE)))</x:f>
        <x:v>40</x:v>
      </x:c>
      <x:c r="V438">
        <x:v>65</x:v>
      </x:c>
      <x:c r="W438">
        <x:v>47</x:v>
      </x:c>
      <x:c r="X438">
        <x:v>67</x:v>
      </x:c>
      <x:c r="Y438">
        <x:v>66</x:v>
      </x:c>
      <x:c r="Z438">
        <x:v>51</x:v>
      </x:c>
      <x:c r="AA438">
        <x:v>51</x:v>
      </x:c>
      <x:c r="AB438" s="57" t="n">
        <x:v>43</x:v>
      </x:c>
      <x:c r="AC438" s="57" t="n">
        <x:v>40</x:v>
      </x:c>
      <x:c r="AD438" s="59"/>
      <x:c r="AE438" s="61" t="str">
        <x:f>IF(N(F438)&gt;=10,"NHL_LATEST_10",IF(AND(N(F438)&gt;0,N(G438)&gt;0),"NHL_BOTH_SEASONS",IF(N(G438)&gt;=10,"NHL_PREVIOUS_10",IF(AND(ISNUMBER(AD438),AD438=0,SUM(F438:G438)=0),"FARM_CAREER_0",IF(COUNT(F438:G438)&lt;2,"UNKNOWN_GP",IF(AND(F438=0,G438=0),IF(AD438&gt;=10,"FARM_LEGACY_10",IF(AND(ISNUMBER(AD438),AD438&gt;0),"FARM_CAREER_1_9","FARM_0_0")),IF(F438&gt;=1,IF(F438&lt;=3,"FARM_RECENT_1_3","FARM_RECENT_4_9"),"FARM_PREV_1_9_ONLY")))))))</x:f>
        <x:v>UNKNOWN_GP</x:v>
      </x:c>
      <x:c r="AF438" s="57" t="n">
        <x:f>AB438-T438</x:f>
        <x:v>0</x:v>
      </x:c>
      <x:c r="AG438" s="57" t="n">
        <x:f>AC438-U438</x:f>
        <x:v>0</x:v>
      </x:c>
    </x:row>
    <x:row r="439">
      <x:c r="A439" t="s">
        <x:v>1461</x:v>
      </x:c>
      <x:c r="C439" t="s">
        <x:v>331</x:v>
      </x:c>
      <x:c r="D439">
        <x:v>8482453</x:v>
      </x:c>
      <x:c r="E439" t="s">
        <x:v>267</x:v>
      </x:c>
      <x:c r="J439" t="s">
        <x:v>2474</x:v>
      </x:c>
      <x:c r="K439">
        <x:v>79</x:v>
      </x:c>
      <x:c r="L439">
        <x:v>43</x:v>
      </x:c>
      <x:c r="M439">
        <x:v>86</x:v>
      </x:c>
      <x:c r="N439">
        <x:v>32</x:v>
      </x:c>
      <x:c r="O439">
        <x:v>82</x:v>
      </x:c>
      <x:c r="P439">
        <x:v>78</x:v>
      </x:c>
      <x:c r="Q439">
        <x:v>80</x:v>
      </x:c>
      <x:c r="R439">
        <x:v>31</x:v>
      </x:c>
      <x:c r="S439">
        <x:v>30</x:v>
      </x:c>
      <x:c r="T439" s="63" t="n">
        <x:f>MAX(30,MIN(AB439-VLOOKUP(AE439,'AHL_PA_SC_BALANCE'!$A$8:$E$18,2,FALSE),VLOOKUP(AE439,'AHL_PA_SC_BALANCE'!$A$8:$E$18,4,FALSE)))</x:f>
        <x:v>40</x:v>
      </x:c>
      <x:c r="U439" s="63" t="n">
        <x:f>MAX(30,MIN(AC439-VLOOKUP(AE439,'AHL_PA_SC_BALANCE'!$A$8:$E$18,3,FALSE),VLOOKUP(AE439,'AHL_PA_SC_BALANCE'!$A$8:$E$18,5,FALSE)))</x:f>
        <x:v>38</x:v>
      </x:c>
      <x:c r="V439">
        <x:v>68</x:v>
      </x:c>
      <x:c r="W439">
        <x:v>44</x:v>
      </x:c>
      <x:c r="X439">
        <x:v>67</x:v>
      </x:c>
      <x:c r="Y439">
        <x:v>68</x:v>
      </x:c>
      <x:c r="Z439">
        <x:v>45</x:v>
      </x:c>
      <x:c r="AA439">
        <x:v>51</x:v>
      </x:c>
      <x:c r="AB439" s="57" t="n">
        <x:v>40</x:v>
      </x:c>
      <x:c r="AC439" s="57" t="n">
        <x:v>38</x:v>
      </x:c>
      <x:c r="AD439" s="59"/>
      <x:c r="AE439" s="61" t="str">
        <x:f>IF(N(F439)&gt;=10,"NHL_LATEST_10",IF(AND(N(F439)&gt;0,N(G439)&gt;0),"NHL_BOTH_SEASONS",IF(N(G439)&gt;=10,"NHL_PREVIOUS_10",IF(AND(ISNUMBER(AD439),AD439=0,SUM(F439:G439)=0),"FARM_CAREER_0",IF(COUNT(F439:G439)&lt;2,"UNKNOWN_GP",IF(AND(F439=0,G439=0),IF(AD439&gt;=10,"FARM_LEGACY_10",IF(AND(ISNUMBER(AD439),AD439&gt;0),"FARM_CAREER_1_9","FARM_0_0")),IF(F439&gt;=1,IF(F439&lt;=3,"FARM_RECENT_1_3","FARM_RECENT_4_9"),"FARM_PREV_1_9_ONLY")))))))</x:f>
        <x:v>UNKNOWN_GP</x:v>
      </x:c>
      <x:c r="AF439" s="57" t="n">
        <x:f>AB439-T439</x:f>
        <x:v>0</x:v>
      </x:c>
      <x:c r="AG439" s="57" t="n">
        <x:f>AC439-U439</x:f>
        <x:v>0</x:v>
      </x:c>
    </x:row>
    <x:row r="440">
      <x:c r="A440" t="s">
        <x:v>1462</x:v>
      </x:c>
      <x:c r="C440" t="s">
        <x:v>331</x:v>
      </x:c>
      <x:c r="D440">
        <x:v>8482143</x:v>
      </x:c>
      <x:c r="E440" t="s">
        <x:v>267</x:v>
      </x:c>
      <x:c r="J440" t="s">
        <x:v>2474</x:v>
      </x:c>
      <x:c r="K440">
        <x:v>78</x:v>
      </x:c>
      <x:c r="L440">
        <x:v>40</x:v>
      </x:c>
      <x:c r="M440">
        <x:v>88</x:v>
      </x:c>
      <x:c r="N440">
        <x:v>31</x:v>
      </x:c>
      <x:c r="O440">
        <x:v>77</x:v>
      </x:c>
      <x:c r="P440">
        <x:v>79</x:v>
      </x:c>
      <x:c r="Q440">
        <x:v>79</x:v>
      </x:c>
      <x:c r="R440">
        <x:v>30</x:v>
      </x:c>
      <x:c r="S440">
        <x:v>30</x:v>
      </x:c>
      <x:c r="T440" s="63" t="n">
        <x:f>MAX(30,MIN(AB440-VLOOKUP(AE440,'AHL_PA_SC_BALANCE'!$A$8:$E$18,2,FALSE),VLOOKUP(AE440,'AHL_PA_SC_BALANCE'!$A$8:$E$18,4,FALSE)))</x:f>
        <x:v>41</x:v>
      </x:c>
      <x:c r="U440" s="63" t="n">
        <x:f>MAX(30,MIN(AC440-VLOOKUP(AE440,'AHL_PA_SC_BALANCE'!$A$8:$E$18,3,FALSE),VLOOKUP(AE440,'AHL_PA_SC_BALANCE'!$A$8:$E$18,5,FALSE)))</x:f>
        <x:v>37</x:v>
      </x:c>
      <x:c r="V440">
        <x:v>69</x:v>
      </x:c>
      <x:c r="W440">
        <x:v>44</x:v>
      </x:c>
      <x:c r="X440">
        <x:v>67</x:v>
      </x:c>
      <x:c r="Y440">
        <x:v>68</x:v>
      </x:c>
      <x:c r="Z440">
        <x:v>51</x:v>
      </x:c>
      <x:c r="AA440">
        <x:v>51</x:v>
      </x:c>
      <x:c r="AB440" s="57" t="n">
        <x:v>41</x:v>
      </x:c>
      <x:c r="AC440" s="57" t="n">
        <x:v>37</x:v>
      </x:c>
      <x:c r="AD440" s="59"/>
      <x:c r="AE440" s="61" t="str">
        <x:f>IF(N(F440)&gt;=10,"NHL_LATEST_10",IF(AND(N(F440)&gt;0,N(G440)&gt;0),"NHL_BOTH_SEASONS",IF(N(G440)&gt;=10,"NHL_PREVIOUS_10",IF(AND(ISNUMBER(AD440),AD440=0,SUM(F440:G440)=0),"FARM_CAREER_0",IF(COUNT(F440:G440)&lt;2,"UNKNOWN_GP",IF(AND(F440=0,G440=0),IF(AD440&gt;=10,"FARM_LEGACY_10",IF(AND(ISNUMBER(AD440),AD440&gt;0),"FARM_CAREER_1_9","FARM_0_0")),IF(F440&gt;=1,IF(F440&lt;=3,"FARM_RECENT_1_3","FARM_RECENT_4_9"),"FARM_PREV_1_9_ONLY")))))))</x:f>
        <x:v>UNKNOWN_GP</x:v>
      </x:c>
      <x:c r="AF440" s="57" t="n">
        <x:f>AB440-T440</x:f>
        <x:v>0</x:v>
      </x:c>
      <x:c r="AG440" s="57" t="n">
        <x:f>AC440-U440</x:f>
        <x:v>0</x:v>
      </x:c>
    </x:row>
    <x:row r="441">
      <x:c r="A441" t="s">
        <x:v>1463</x:v>
      </x:c>
      <x:c r="C441" t="s">
        <x:v>331</x:v>
      </x:c>
      <x:c r="D441">
        <x:v>8485484</x:v>
      </x:c>
      <x:c r="E441" t="s">
        <x:v>267</x:v>
      </x:c>
      <x:c r="J441" t="s">
        <x:v>2474</x:v>
      </x:c>
      <x:c r="K441">
        <x:v>69</x:v>
      </x:c>
      <x:c r="L441">
        <x:v>37</x:v>
      </x:c>
      <x:c r="M441">
        <x:v>85</x:v>
      </x:c>
      <x:c r="N441">
        <x:v>34</x:v>
      </x:c>
      <x:c r="O441">
        <x:v>78</x:v>
      </x:c>
      <x:c r="P441">
        <x:v>86</x:v>
      </x:c>
      <x:c r="Q441">
        <x:v>90</x:v>
      </x:c>
      <x:c r="R441">
        <x:v>35</x:v>
      </x:c>
      <x:c r="S441">
        <x:v>30</x:v>
      </x:c>
      <x:c r="T441" s="63" t="n">
        <x:f>MAX(30,MIN(AB441-VLOOKUP(AE441,'AHL_PA_SC_BALANCE'!$A$8:$E$18,2,FALSE),VLOOKUP(AE441,'AHL_PA_SC_BALANCE'!$A$8:$E$18,4,FALSE)))</x:f>
        <x:v>43</x:v>
      </x:c>
      <x:c r="U441" s="63" t="n">
        <x:f>MAX(30,MIN(AC441-VLOOKUP(AE441,'AHL_PA_SC_BALANCE'!$A$8:$E$18,3,FALSE),VLOOKUP(AE441,'AHL_PA_SC_BALANCE'!$A$8:$E$18,5,FALSE)))</x:f>
        <x:v>41</x:v>
      </x:c>
      <x:c r="V441">
        <x:v>65</x:v>
      </x:c>
      <x:c r="W441">
        <x:v>47</x:v>
      </x:c>
      <x:c r="X441">
        <x:v>66</x:v>
      </x:c>
      <x:c r="Y441">
        <x:v>67</x:v>
      </x:c>
      <x:c r="Z441">
        <x:v>51</x:v>
      </x:c>
      <x:c r="AA441">
        <x:v>51</x:v>
      </x:c>
      <x:c r="AB441" s="57" t="n">
        <x:v>43</x:v>
      </x:c>
      <x:c r="AC441" s="57" t="n">
        <x:v>41</x:v>
      </x:c>
      <x:c r="AD441" s="59"/>
      <x:c r="AE441" s="61" t="str">
        <x:f>IF(N(F441)&gt;=10,"NHL_LATEST_10",IF(AND(N(F441)&gt;0,N(G441)&gt;0),"NHL_BOTH_SEASONS",IF(N(G441)&gt;=10,"NHL_PREVIOUS_10",IF(AND(ISNUMBER(AD441),AD441=0,SUM(F441:G441)=0),"FARM_CAREER_0",IF(COUNT(F441:G441)&lt;2,"UNKNOWN_GP",IF(AND(F441=0,G441=0),IF(AD441&gt;=10,"FARM_LEGACY_10",IF(AND(ISNUMBER(AD441),AD441&gt;0),"FARM_CAREER_1_9","FARM_0_0")),IF(F441&gt;=1,IF(F441&lt;=3,"FARM_RECENT_1_3","FARM_RECENT_4_9"),"FARM_PREV_1_9_ONLY")))))))</x:f>
        <x:v>UNKNOWN_GP</x:v>
      </x:c>
      <x:c r="AF441" s="57" t="n">
        <x:f>AB441-T441</x:f>
        <x:v>0</x:v>
      </x:c>
      <x:c r="AG441" s="57" t="n">
        <x:f>AC441-U441</x:f>
        <x:v>0</x:v>
      </x:c>
    </x:row>
    <x:row r="442">
      <x:c r="A442" t="s">
        <x:v>1464</x:v>
      </x:c>
      <x:c r="C442" t="s">
        <x:v>331</x:v>
      </x:c>
      <x:c r="D442">
        <x:v>8483745</x:v>
      </x:c>
      <x:c r="E442" t="s">
        <x:v>267</x:v>
      </x:c>
      <x:c r="J442" t="s">
        <x:v>2474</x:v>
      </x:c>
      <x:c r="K442">
        <x:v>75</x:v>
      </x:c>
      <x:c r="L442">
        <x:v>43</x:v>
      </x:c>
      <x:c r="M442">
        <x:v>81</x:v>
      </x:c>
      <x:c r="N442">
        <x:v>33</x:v>
      </x:c>
      <x:c r="O442">
        <x:v>78</x:v>
      </x:c>
      <x:c r="P442">
        <x:v>81</x:v>
      </x:c>
      <x:c r="Q442">
        <x:v>83</x:v>
      </x:c>
      <x:c r="R442">
        <x:v>33</x:v>
      </x:c>
      <x:c r="S442">
        <x:v>30</x:v>
      </x:c>
      <x:c r="T442" s="63" t="n">
        <x:f>MAX(30,MIN(AB442-VLOOKUP(AE442,'AHL_PA_SC_BALANCE'!$A$8:$E$18,2,FALSE),VLOOKUP(AE442,'AHL_PA_SC_BALANCE'!$A$8:$E$18,4,FALSE)))</x:f>
        <x:v>42</x:v>
      </x:c>
      <x:c r="U442" s="63" t="n">
        <x:f>MAX(30,MIN(AC442-VLOOKUP(AE442,'AHL_PA_SC_BALANCE'!$A$8:$E$18,3,FALSE),VLOOKUP(AE442,'AHL_PA_SC_BALANCE'!$A$8:$E$18,5,FALSE)))</x:f>
        <x:v>40</x:v>
      </x:c>
      <x:c r="V442">
        <x:v>66</x:v>
      </x:c>
      <x:c r="W442">
        <x:v>46</x:v>
      </x:c>
      <x:c r="X442">
        <x:v>65</x:v>
      </x:c>
      <x:c r="Y442">
        <x:v>64</x:v>
      </x:c>
      <x:c r="Z442">
        <x:v>51</x:v>
      </x:c>
      <x:c r="AA442">
        <x:v>51</x:v>
      </x:c>
      <x:c r="AB442" s="57" t="n">
        <x:v>42</x:v>
      </x:c>
      <x:c r="AC442" s="57" t="n">
        <x:v>40</x:v>
      </x:c>
      <x:c r="AD442" s="59"/>
      <x:c r="AE442" s="61" t="str">
        <x:f>IF(N(F442)&gt;=10,"NHL_LATEST_10",IF(AND(N(F442)&gt;0,N(G442)&gt;0),"NHL_BOTH_SEASONS",IF(N(G442)&gt;=10,"NHL_PREVIOUS_10",IF(AND(ISNUMBER(AD442),AD442=0,SUM(F442:G442)=0),"FARM_CAREER_0",IF(COUNT(F442:G442)&lt;2,"UNKNOWN_GP",IF(AND(F442=0,G442=0),IF(AD442&gt;=10,"FARM_LEGACY_10",IF(AND(ISNUMBER(AD442),AD442&gt;0),"FARM_CAREER_1_9","FARM_0_0")),IF(F442&gt;=1,IF(F442&lt;=3,"FARM_RECENT_1_3","FARM_RECENT_4_9"),"FARM_PREV_1_9_ONLY")))))))</x:f>
        <x:v>UNKNOWN_GP</x:v>
      </x:c>
      <x:c r="AF442" s="57" t="n">
        <x:f>AB442-T442</x:f>
        <x:v>0</x:v>
      </x:c>
      <x:c r="AG442" s="57" t="n">
        <x:f>AC442-U442</x:f>
        <x:v>0</x:v>
      </x:c>
    </x:row>
    <x:row r="443">
      <x:c r="A443" t="s">
        <x:v>1465</x:v>
      </x:c>
      <x:c r="C443" t="s">
        <x:v>319</x:v>
      </x:c>
      <x:c r="D443">
        <x:v>8480252</x:v>
      </x:c>
      <x:c r="E443" t="s">
        <x:v>267</x:v>
      </x:c>
      <x:c r="J443" t="s">
        <x:v>2474</x:v>
      </x:c>
      <x:c r="K443">
        <x:v>60</x:v>
      </x:c>
      <x:c r="L443">
        <x:v>81</x:v>
      </x:c>
      <x:c r="M443">
        <x:v>81</x:v>
      </x:c>
      <x:c r="N443">
        <x:v>46</x:v>
      </x:c>
      <x:c r="O443">
        <x:v>74</x:v>
      </x:c>
      <x:c r="P443">
        <x:v>89</x:v>
      </x:c>
      <x:c r="Q443">
        <x:v>92</x:v>
      </x:c>
      <x:c r="R443">
        <x:v>45</x:v>
      </x:c>
      <x:c r="S443">
        <x:v>83</x:v>
      </x:c>
      <x:c r="T443" s="63" t="n">
        <x:f>MAX(30,MIN(AB443-VLOOKUP(AE443,'AHL_PA_SC_BALANCE'!$A$8:$E$18,2,FALSE),VLOOKUP(AE443,'AHL_PA_SC_BALANCE'!$A$8:$E$18,4,FALSE)))</x:f>
        <x:v>50</x:v>
      </x:c>
      <x:c r="U443" s="63" t="n">
        <x:f>MAX(30,MIN(AC443-VLOOKUP(AE443,'AHL_PA_SC_BALANCE'!$A$8:$E$18,3,FALSE),VLOOKUP(AE443,'AHL_PA_SC_BALANCE'!$A$8:$E$18,5,FALSE)))</x:f>
        <x:v>51</x:v>
      </x:c>
      <x:c r="V443">
        <x:v>60</x:v>
      </x:c>
      <x:c r="W443">
        <x:v>69</x:v>
      </x:c>
      <x:c r="X443">
        <x:v>69</x:v>
      </x:c>
      <x:c r="Y443">
        <x:v>68</x:v>
      </x:c>
      <x:c r="Z443">
        <x:v>51</x:v>
      </x:c>
      <x:c r="AA443">
        <x:v>51</x:v>
      </x:c>
      <x:c r="AB443" s="57" t="n">
        <x:v>50</x:v>
      </x:c>
      <x:c r="AC443" s="57" t="n">
        <x:v>51</x:v>
      </x:c>
      <x:c r="AD443" s="59"/>
      <x:c r="AE443" s="61" t="str">
        <x:f>IF(N(F443)&gt;=10,"NHL_LATEST_10",IF(AND(N(F443)&gt;0,N(G443)&gt;0),"NHL_BOTH_SEASONS",IF(N(G443)&gt;=10,"NHL_PREVIOUS_10",IF(AND(ISNUMBER(AD443),AD443=0,SUM(F443:G443)=0),"FARM_CAREER_0",IF(COUNT(F443:G443)&lt;2,"UNKNOWN_GP",IF(AND(F443=0,G443=0),IF(AD443&gt;=10,"FARM_LEGACY_10",IF(AND(ISNUMBER(AD443),AD443&gt;0),"FARM_CAREER_1_9","FARM_0_0")),IF(F443&gt;=1,IF(F443&lt;=3,"FARM_RECENT_1_3","FARM_RECENT_4_9"),"FARM_PREV_1_9_ONLY")))))))</x:f>
        <x:v>UNKNOWN_GP</x:v>
      </x:c>
      <x:c r="AF443" s="57" t="n">
        <x:f>AB443-T443</x:f>
        <x:v>0</x:v>
      </x:c>
      <x:c r="AG443" s="57" t="n">
        <x:f>AC443-U443</x:f>
        <x:v>0</x:v>
      </x:c>
    </x:row>
    <x:row r="444">
      <x:c r="A444" t="s">
        <x:v>1466</x:v>
      </x:c>
      <x:c r="C444" t="s">
        <x:v>319</x:v>
      </x:c>
      <x:c r="D444">
        <x:v>8485539</x:v>
      </x:c>
      <x:c r="E444" t="s">
        <x:v>267</x:v>
      </x:c>
      <x:c r="J444" t="s">
        <x:v>2474</x:v>
      </x:c>
      <x:c r="K444">
        <x:v>62</x:v>
      </x:c>
      <x:c r="L444">
        <x:v>40</x:v>
      </x:c>
      <x:c r="M444">
        <x:v>82</x:v>
      </x:c>
      <x:c r="N444">
        <x:v>45</x:v>
      </x:c>
      <x:c r="O444">
        <x:v>81</x:v>
      </x:c>
      <x:c r="P444">
        <x:v>78</x:v>
      </x:c>
      <x:c r="Q444">
        <x:v>82</x:v>
      </x:c>
      <x:c r="R444">
        <x:v>45</x:v>
      </x:c>
      <x:c r="S444">
        <x:v>57</x:v>
      </x:c>
      <x:c r="T444" s="63" t="n">
        <x:f>MAX(30,MIN(AB444-VLOOKUP(AE444,'AHL_PA_SC_BALANCE'!$A$8:$E$18,2,FALSE),VLOOKUP(AE444,'AHL_PA_SC_BALANCE'!$A$8:$E$18,4,FALSE)))</x:f>
        <x:v>48</x:v>
      </x:c>
      <x:c r="U444" s="63" t="n">
        <x:f>MAX(30,MIN(AC444-VLOOKUP(AE444,'AHL_PA_SC_BALANCE'!$A$8:$E$18,3,FALSE),VLOOKUP(AE444,'AHL_PA_SC_BALANCE'!$A$8:$E$18,5,FALSE)))</x:f>
        <x:v>45</x:v>
      </x:c>
      <x:c r="V444">
        <x:v>61</x:v>
      </x:c>
      <x:c r="W444">
        <x:v>68</x:v>
      </x:c>
      <x:c r="X444">
        <x:v>69</x:v>
      </x:c>
      <x:c r="Y444">
        <x:v>69</x:v>
      </x:c>
      <x:c r="Z444">
        <x:v>51</x:v>
      </x:c>
      <x:c r="AA444">
        <x:v>51</x:v>
      </x:c>
      <x:c r="AB444" s="57" t="n">
        <x:v>48</x:v>
      </x:c>
      <x:c r="AC444" s="57" t="n">
        <x:v>45</x:v>
      </x:c>
      <x:c r="AD444" s="59"/>
      <x:c r="AE444" s="61" t="str">
        <x:f>IF(N(F444)&gt;=10,"NHL_LATEST_10",IF(AND(N(F444)&gt;0,N(G444)&gt;0),"NHL_BOTH_SEASONS",IF(N(G444)&gt;=10,"NHL_PREVIOUS_10",IF(AND(ISNUMBER(AD444),AD444=0,SUM(F444:G444)=0),"FARM_CAREER_0",IF(COUNT(F444:G444)&lt;2,"UNKNOWN_GP",IF(AND(F444=0,G444=0),IF(AD444&gt;=10,"FARM_LEGACY_10",IF(AND(ISNUMBER(AD444),AD444&gt;0),"FARM_CAREER_1_9","FARM_0_0")),IF(F444&gt;=1,IF(F444&lt;=3,"FARM_RECENT_1_3","FARM_RECENT_4_9"),"FARM_PREV_1_9_ONLY")))))))</x:f>
        <x:v>UNKNOWN_GP</x:v>
      </x:c>
      <x:c r="AF444" s="57" t="n">
        <x:f>AB444-T444</x:f>
        <x:v>0</x:v>
      </x:c>
      <x:c r="AG444" s="57" t="n">
        <x:f>AC444-U444</x:f>
        <x:v>0</x:v>
      </x:c>
    </x:row>
    <x:row r="445">
      <x:c r="A445" t="s">
        <x:v>1467</x:v>
      </x:c>
      <x:c r="C445" t="s">
        <x:v>326</x:v>
      </x:c>
      <x:c r="D445">
        <x:v>8479656</x:v>
      </x:c>
      <x:c r="E445" t="s">
        <x:v>267</x:v>
      </x:c>
      <x:c r="J445" t="s">
        <x:v>2474</x:v>
      </x:c>
      <x:c r="K445">
        <x:v>60</x:v>
      </x:c>
      <x:c r="L445">
        <x:v>38</x:v>
      </x:c>
      <x:c r="M445">
        <x:v>85</x:v>
      </x:c>
      <x:c r="N445">
        <x:v>46</x:v>
      </x:c>
      <x:c r="O445">
        <x:v>77</x:v>
      </x:c>
      <x:c r="P445">
        <x:v>89</x:v>
      </x:c>
      <x:c r="Q445">
        <x:v>92</x:v>
      </x:c>
      <x:c r="R445">
        <x:v>46</x:v>
      </x:c>
      <x:c r="S445">
        <x:v>58</x:v>
      </x:c>
      <x:c r="T445" s="63" t="n">
        <x:f>MAX(30,MIN(AB445-VLOOKUP(AE445,'AHL_PA_SC_BALANCE'!$A$8:$E$18,2,FALSE),VLOOKUP(AE445,'AHL_PA_SC_BALANCE'!$A$8:$E$18,4,FALSE)))</x:f>
        <x:v>47</x:v>
      </x:c>
      <x:c r="U445" s="63" t="n">
        <x:f>MAX(30,MIN(AC445-VLOOKUP(AE445,'AHL_PA_SC_BALANCE'!$A$8:$E$18,3,FALSE),VLOOKUP(AE445,'AHL_PA_SC_BALANCE'!$A$8:$E$18,5,FALSE)))</x:f>
        <x:v>46</x:v>
      </x:c>
      <x:c r="V445">
        <x:v>57</x:v>
      </x:c>
      <x:c r="W445">
        <x:v>68</x:v>
      </x:c>
      <x:c r="X445">
        <x:v>71</x:v>
      </x:c>
      <x:c r="Y445">
        <x:v>72</x:v>
      </x:c>
      <x:c r="Z445">
        <x:v>51</x:v>
      </x:c>
      <x:c r="AA445">
        <x:v>51</x:v>
      </x:c>
      <x:c r="AB445" s="57" t="n">
        <x:v>47</x:v>
      </x:c>
      <x:c r="AC445" s="57" t="n">
        <x:v>46</x:v>
      </x:c>
      <x:c r="AD445" s="59"/>
      <x:c r="AE445" s="61" t="str">
        <x:f>IF(N(F445)&gt;=10,"NHL_LATEST_10",IF(AND(N(F445)&gt;0,N(G445)&gt;0),"NHL_BOTH_SEASONS",IF(N(G445)&gt;=10,"NHL_PREVIOUS_10",IF(AND(ISNUMBER(AD445),AD445=0,SUM(F445:G445)=0),"FARM_CAREER_0",IF(COUNT(F445:G445)&lt;2,"UNKNOWN_GP",IF(AND(F445=0,G445=0),IF(AD445&gt;=10,"FARM_LEGACY_10",IF(AND(ISNUMBER(AD445),AD445&gt;0),"FARM_CAREER_1_9","FARM_0_0")),IF(F445&gt;=1,IF(F445&lt;=3,"FARM_RECENT_1_3","FARM_RECENT_4_9"),"FARM_PREV_1_9_ONLY")))))))</x:f>
        <x:v>UNKNOWN_GP</x:v>
      </x:c>
      <x:c r="AF445" s="57" t="n">
        <x:f>AB445-T445</x:f>
        <x:v>0</x:v>
      </x:c>
      <x:c r="AG445" s="57" t="n">
        <x:f>AC445-U445</x:f>
        <x:v>0</x:v>
      </x:c>
    </x:row>
    <x:row r="446">
      <x:c r="A446" t="s">
        <x:v>1468</x:v>
      </x:c>
      <x:c r="C446" t="s">
        <x:v>331</x:v>
      </x:c>
      <x:c r="D446">
        <x:v>8482683</x:v>
      </x:c>
      <x:c r="E446" t="s">
        <x:v>267</x:v>
      </x:c>
      <x:c r="J446" t="s">
        <x:v>2474</x:v>
      </x:c>
      <x:c r="K446">
        <x:v>68</x:v>
      </x:c>
      <x:c r="L446">
        <x:v>41</x:v>
      </x:c>
      <x:c r="M446">
        <x:v>76</x:v>
      </x:c>
      <x:c r="N446">
        <x:v>33</x:v>
      </x:c>
      <x:c r="O446">
        <x:v>80</x:v>
      </x:c>
      <x:c r="P446">
        <x:v>79</x:v>
      </x:c>
      <x:c r="Q446">
        <x:v>83</x:v>
      </x:c>
      <x:c r="R446">
        <x:v>33</x:v>
      </x:c>
      <x:c r="S446">
        <x:v>30</x:v>
      </x:c>
      <x:c r="T446" s="63" t="n">
        <x:f>MAX(30,MIN(AB446-VLOOKUP(AE446,'AHL_PA_SC_BALANCE'!$A$8:$E$18,2,FALSE),VLOOKUP(AE446,'AHL_PA_SC_BALANCE'!$A$8:$E$18,4,FALSE)))</x:f>
        <x:v>42</x:v>
      </x:c>
      <x:c r="U446" s="63" t="n">
        <x:f>MAX(30,MIN(AC446-VLOOKUP(AE446,'AHL_PA_SC_BALANCE'!$A$8:$E$18,3,FALSE),VLOOKUP(AE446,'AHL_PA_SC_BALANCE'!$A$8:$E$18,5,FALSE)))</x:f>
        <x:v>40</x:v>
      </x:c>
      <x:c r="V446">
        <x:v>66</x:v>
      </x:c>
      <x:c r="W446">
        <x:v>46</x:v>
      </x:c>
      <x:c r="X446">
        <x:v>66</x:v>
      </x:c>
      <x:c r="Y446">
        <x:v>66</x:v>
      </x:c>
      <x:c r="Z446">
        <x:v>51</x:v>
      </x:c>
      <x:c r="AA446">
        <x:v>51</x:v>
      </x:c>
      <x:c r="AB446" s="57" t="n">
        <x:v>42</x:v>
      </x:c>
      <x:c r="AC446" s="57" t="n">
        <x:v>40</x:v>
      </x:c>
      <x:c r="AD446" s="59"/>
      <x:c r="AE446" s="61" t="str">
        <x:f>IF(N(F446)&gt;=10,"NHL_LATEST_10",IF(AND(N(F446)&gt;0,N(G446)&gt;0),"NHL_BOTH_SEASONS",IF(N(G446)&gt;=10,"NHL_PREVIOUS_10",IF(AND(ISNUMBER(AD446),AD446=0,SUM(F446:G446)=0),"FARM_CAREER_0",IF(COUNT(F446:G446)&lt;2,"UNKNOWN_GP",IF(AND(F446=0,G446=0),IF(AD446&gt;=10,"FARM_LEGACY_10",IF(AND(ISNUMBER(AD446),AD446&gt;0),"FARM_CAREER_1_9","FARM_0_0")),IF(F446&gt;=1,IF(F446&lt;=3,"FARM_RECENT_1_3","FARM_RECENT_4_9"),"FARM_PREV_1_9_ONLY")))))))</x:f>
        <x:v>UNKNOWN_GP</x:v>
      </x:c>
      <x:c r="AF446" s="57" t="n">
        <x:f>AB446-T446</x:f>
        <x:v>0</x:v>
      </x:c>
      <x:c r="AG446" s="57" t="n">
        <x:f>AC446-U446</x:f>
        <x:v>0</x:v>
      </x:c>
    </x:row>
    <x:row r="447">
      <x:c r="A447" t="s">
        <x:v>1469</x:v>
      </x:c>
      <x:c r="B447" t="s">
        <x:v>576</x:v>
      </x:c>
      <x:c r="C447" t="s">
        <x:v>319</x:v>
      </x:c>
      <x:c r="D447">
        <x:v>8486056</x:v>
      </x:c>
      <x:c r="E447" t="s">
        <x:v>267</x:v>
      </x:c>
      <x:c r="F447">
        <x:v>6</x:v>
      </x:c>
      <x:c r="J447" t="s">
        <x:v>2484</x:v>
      </x:c>
      <x:c r="K447">
        <x:v>60</x:v>
      </x:c>
      <x:c r="L447">
        <x:v>32</x:v>
      </x:c>
      <x:c r="M447">
        <x:v>78</x:v>
      </x:c>
      <x:c r="N447">
        <x:v>45</x:v>
      </x:c>
      <x:c r="O447">
        <x:v>84</x:v>
      </x:c>
      <x:c r="P447">
        <x:v>78</x:v>
      </x:c>
      <x:c r="Q447">
        <x:v>40</x:v>
      </x:c>
      <x:c r="R447">
        <x:v>46</x:v>
      </x:c>
      <x:c r="S447">
        <x:v>72</x:v>
      </x:c>
      <x:c r="T447" s="63" t="n">
        <x:f>MAX(30,MIN(AB447-VLOOKUP(AE447,'AHL_PA_SC_BALANCE'!$A$8:$E$18,2,FALSE),VLOOKUP(AE447,'AHL_PA_SC_BALANCE'!$A$8:$E$18,4,FALSE)))</x:f>
        <x:v>45</x:v>
      </x:c>
      <x:c r="U447" s="63" t="n">
        <x:f>MAX(30,MIN(AC447-VLOOKUP(AE447,'AHL_PA_SC_BALANCE'!$A$8:$E$18,3,FALSE),VLOOKUP(AE447,'AHL_PA_SC_BALANCE'!$A$8:$E$18,5,FALSE)))</x:f>
        <x:v>47</x:v>
      </x:c>
      <x:c r="V447">
        <x:v>59</x:v>
      </x:c>
      <x:c r="W447">
        <x:v>54</x:v>
      </x:c>
      <x:c r="X447">
        <x:v>67</x:v>
      </x:c>
      <x:c r="Y447">
        <x:v>66</x:v>
      </x:c>
      <x:c r="Z447">
        <x:v>51</x:v>
      </x:c>
      <x:c r="AA447">
        <x:v>51</x:v>
      </x:c>
      <x:c r="AB447" s="57" t="n">
        <x:v>45</x:v>
      </x:c>
      <x:c r="AC447" s="57" t="n">
        <x:v>47</x:v>
      </x:c>
      <x:c r="AD447" s="59"/>
      <x:c r="AE447" s="61" t="str">
        <x:f>IF(N(F447)&gt;=10,"NHL_LATEST_10",IF(AND(N(F447)&gt;0,N(G447)&gt;0),"NHL_BOTH_SEASONS",IF(N(G447)&gt;=10,"NHL_PREVIOUS_10",IF(AND(ISNUMBER(AD447),AD447=0,SUM(F447:G447)=0),"FARM_CAREER_0",IF(COUNT(F447:G447)&lt;2,"UNKNOWN_GP",IF(AND(F447=0,G447=0),IF(AD447&gt;=10,"FARM_LEGACY_10",IF(AND(ISNUMBER(AD447),AD447&gt;0),"FARM_CAREER_1_9","FARM_0_0")),IF(F447&gt;=1,IF(F447&lt;=3,"FARM_RECENT_1_3","FARM_RECENT_4_9"),"FARM_PREV_1_9_ONLY")))))))</x:f>
        <x:v>UNKNOWN_GP</x:v>
      </x:c>
      <x:c r="AF447" s="57" t="n">
        <x:f>AB447-T447</x:f>
        <x:v>0</x:v>
      </x:c>
      <x:c r="AG447" s="57" t="n">
        <x:f>AC447-U447</x:f>
        <x:v>0</x:v>
      </x:c>
    </x:row>
    <x:row r="448">
      <x:c r="A448" t="s">
        <x:v>1470</x:v>
      </x:c>
      <x:c r="C448" t="s">
        <x:v>331</x:v>
      </x:c>
      <x:c r="D448">
        <x:v>8483435</x:v>
      </x:c>
      <x:c r="E448" t="s">
        <x:v>267</x:v>
      </x:c>
      <x:c r="J448" t="s">
        <x:v>2474</x:v>
      </x:c>
      <x:c r="K448">
        <x:v>72</x:v>
      </x:c>
      <x:c r="L448">
        <x:v>39</x:v>
      </x:c>
      <x:c r="M448">
        <x:v>75</x:v>
      </x:c>
      <x:c r="N448">
        <x:v>34</x:v>
      </x:c>
      <x:c r="O448">
        <x:v>80</x:v>
      </x:c>
      <x:c r="P448">
        <x:v>86</x:v>
      </x:c>
      <x:c r="Q448">
        <x:v>89</x:v>
      </x:c>
      <x:c r="R448">
        <x:v>33</x:v>
      </x:c>
      <x:c r="S448">
        <x:v>30</x:v>
      </x:c>
      <x:c r="T448" s="63" t="n">
        <x:f>MAX(30,MIN(AB448-VLOOKUP(AE448,'AHL_PA_SC_BALANCE'!$A$8:$E$18,2,FALSE),VLOOKUP(AE448,'AHL_PA_SC_BALANCE'!$A$8:$E$18,4,FALSE)))</x:f>
        <x:v>43</x:v>
      </x:c>
      <x:c r="U448" s="63" t="n">
        <x:f>MAX(30,MIN(AC448-VLOOKUP(AE448,'AHL_PA_SC_BALANCE'!$A$8:$E$18,3,FALSE),VLOOKUP(AE448,'AHL_PA_SC_BALANCE'!$A$8:$E$18,5,FALSE)))</x:f>
        <x:v>40</x:v>
      </x:c>
      <x:c r="V448">
        <x:v>65</x:v>
      </x:c>
      <x:c r="W448">
        <x:v>47</x:v>
      </x:c>
      <x:c r="X448">
        <x:v>67</x:v>
      </x:c>
      <x:c r="Y448">
        <x:v>67</x:v>
      </x:c>
      <x:c r="Z448">
        <x:v>51</x:v>
      </x:c>
      <x:c r="AA448">
        <x:v>51</x:v>
      </x:c>
      <x:c r="AB448" s="57" t="n">
        <x:v>43</x:v>
      </x:c>
      <x:c r="AC448" s="57" t="n">
        <x:v>40</x:v>
      </x:c>
      <x:c r="AD448" s="59"/>
      <x:c r="AE448" s="61" t="str">
        <x:f>IF(N(F448)&gt;=10,"NHL_LATEST_10",IF(AND(N(F448)&gt;0,N(G448)&gt;0),"NHL_BOTH_SEASONS",IF(N(G448)&gt;=10,"NHL_PREVIOUS_10",IF(AND(ISNUMBER(AD448),AD448=0,SUM(F448:G448)=0),"FARM_CAREER_0",IF(COUNT(F448:G448)&lt;2,"UNKNOWN_GP",IF(AND(F448=0,G448=0),IF(AD448&gt;=10,"FARM_LEGACY_10",IF(AND(ISNUMBER(AD448),AD448&gt;0),"FARM_CAREER_1_9","FARM_0_0")),IF(F448&gt;=1,IF(F448&lt;=3,"FARM_RECENT_1_3","FARM_RECENT_4_9"),"FARM_PREV_1_9_ONLY")))))))</x:f>
        <x:v>UNKNOWN_GP</x:v>
      </x:c>
      <x:c r="AF448" s="57" t="n">
        <x:f>AB448-T448</x:f>
        <x:v>0</x:v>
      </x:c>
      <x:c r="AG448" s="57" t="n">
        <x:f>AC448-U448</x:f>
        <x:v>0</x:v>
      </x:c>
    </x:row>
    <x:row r="449">
      <x:c r="A449" t="s">
        <x:v>1471</x:v>
      </x:c>
      <x:c r="B449" t="s">
        <x:v>436</x:v>
      </x:c>
      <x:c r="C449" t="s">
        <x:v>323</x:v>
      </x:c>
      <x:c r="D449">
        <x:v>8485251</x:v>
      </x:c>
      <x:c r="E449" t="s">
        <x:v>267</x:v>
      </x:c>
      <x:c r="F449">
        <x:v>3</x:v>
      </x:c>
      <x:c r="J449" t="s">
        <x:v>2480</x:v>
      </x:c>
      <x:c r="K449">
        <x:v>66</x:v>
      </x:c>
      <x:c r="L449">
        <x:v>38</x:v>
      </x:c>
      <x:c r="M449">
        <x:v>81</x:v>
      </x:c>
      <x:c r="N449">
        <x:v>46</x:v>
      </x:c>
      <x:c r="O449">
        <x:v>82</x:v>
      </x:c>
      <x:c r="P449">
        <x:v>91</x:v>
      </x:c>
      <x:c r="Q449">
        <x:v>95</x:v>
      </x:c>
      <x:c r="R449">
        <x:v>46</x:v>
      </x:c>
      <x:c r="S449">
        <x:v>74</x:v>
      </x:c>
      <x:c r="T449" s="63" t="n">
        <x:f>MAX(30,MIN(AB449-VLOOKUP(AE449,'AHL_PA_SC_BALANCE'!$A$8:$E$18,2,FALSE),VLOOKUP(AE449,'AHL_PA_SC_BALANCE'!$A$8:$E$18,4,FALSE)))</x:f>
        <x:v>48</x:v>
      </x:c>
      <x:c r="U449" s="63" t="n">
        <x:f>MAX(30,MIN(AC449-VLOOKUP(AE449,'AHL_PA_SC_BALANCE'!$A$8:$E$18,3,FALSE),VLOOKUP(AE449,'AHL_PA_SC_BALANCE'!$A$8:$E$18,5,FALSE)))</x:f>
        <x:v>45</x:v>
      </x:c>
      <x:c r="V449">
        <x:v>64</x:v>
      </x:c>
      <x:c r="W449">
        <x:v>68</x:v>
      </x:c>
      <x:c r="X449">
        <x:v>66</x:v>
      </x:c>
      <x:c r="Y449">
        <x:v>67</x:v>
      </x:c>
      <x:c r="Z449">
        <x:v>51</x:v>
      </x:c>
      <x:c r="AA449">
        <x:v>51</x:v>
      </x:c>
      <x:c r="AB449" s="57" t="n">
        <x:v>48</x:v>
      </x:c>
      <x:c r="AC449" s="57" t="n">
        <x:v>45</x:v>
      </x:c>
      <x:c r="AD449" s="59"/>
      <x:c r="AE449" s="61" t="str">
        <x:f>IF(N(F449)&gt;=10,"NHL_LATEST_10",IF(AND(N(F449)&gt;0,N(G449)&gt;0),"NHL_BOTH_SEASONS",IF(N(G449)&gt;=10,"NHL_PREVIOUS_10",IF(AND(ISNUMBER(AD449),AD449=0,SUM(F449:G449)=0),"FARM_CAREER_0",IF(COUNT(F449:G449)&lt;2,"UNKNOWN_GP",IF(AND(F449=0,G449=0),IF(AD449&gt;=10,"FARM_LEGACY_10",IF(AND(ISNUMBER(AD449),AD449&gt;0),"FARM_CAREER_1_9","FARM_0_0")),IF(F449&gt;=1,IF(F449&lt;=3,"FARM_RECENT_1_3","FARM_RECENT_4_9"),"FARM_PREV_1_9_ONLY")))))))</x:f>
        <x:v>UNKNOWN_GP</x:v>
      </x:c>
      <x:c r="AF449" s="57" t="n">
        <x:f>AB449-T449</x:f>
        <x:v>0</x:v>
      </x:c>
      <x:c r="AG449" s="57" t="n">
        <x:f>AC449-U449</x:f>
        <x:v>0</x:v>
      </x:c>
    </x:row>
    <x:row r="450">
      <x:c r="A450" t="s">
        <x:v>1472</x:v>
      </x:c>
      <x:c r="C450" t="s">
        <x:v>331</x:v>
      </x:c>
      <x:c r="D450">
        <x:v>8482801</x:v>
      </x:c>
      <x:c r="E450" t="s">
        <x:v>267</x:v>
      </x:c>
      <x:c r="J450" t="s">
        <x:v>2474</x:v>
      </x:c>
      <x:c r="K450">
        <x:v>69</x:v>
      </x:c>
      <x:c r="L450">
        <x:v>36</x:v>
      </x:c>
      <x:c r="M450">
        <x:v>77</x:v>
      </x:c>
      <x:c r="N450">
        <x:v>32</x:v>
      </x:c>
      <x:c r="O450">
        <x:v>81</x:v>
      </x:c>
      <x:c r="P450">
        <x:v>76</x:v>
      </x:c>
      <x:c r="Q450">
        <x:v>79</x:v>
      </x:c>
      <x:c r="R450">
        <x:v>31</x:v>
      </x:c>
      <x:c r="S450">
        <x:v>30</x:v>
      </x:c>
      <x:c r="T450" s="63" t="n">
        <x:f>MAX(30,MIN(AB450-VLOOKUP(AE450,'AHL_PA_SC_BALANCE'!$A$8:$E$18,2,FALSE),VLOOKUP(AE450,'AHL_PA_SC_BALANCE'!$A$8:$E$18,4,FALSE)))</x:f>
        <x:v>41</x:v>
      </x:c>
      <x:c r="U450" s="63" t="n">
        <x:f>MAX(30,MIN(AC450-VLOOKUP(AE450,'AHL_PA_SC_BALANCE'!$A$8:$E$18,3,FALSE),VLOOKUP(AE450,'AHL_PA_SC_BALANCE'!$A$8:$E$18,5,FALSE)))</x:f>
        <x:v>39</x:v>
      </x:c>
      <x:c r="V450">
        <x:v>67</x:v>
      </x:c>
      <x:c r="W450">
        <x:v>45</x:v>
      </x:c>
      <x:c r="X450">
        <x:v>67</x:v>
      </x:c>
      <x:c r="Y450">
        <x:v>66</x:v>
      </x:c>
      <x:c r="Z450">
        <x:v>51</x:v>
      </x:c>
      <x:c r="AA450">
        <x:v>51</x:v>
      </x:c>
      <x:c r="AB450" s="57" t="n">
        <x:v>41</x:v>
      </x:c>
      <x:c r="AC450" s="57" t="n">
        <x:v>39</x:v>
      </x:c>
      <x:c r="AD450" s="59"/>
      <x:c r="AE450" s="61" t="str">
        <x:f>IF(N(F450)&gt;=10,"NHL_LATEST_10",IF(AND(N(F450)&gt;0,N(G450)&gt;0),"NHL_BOTH_SEASONS",IF(N(G450)&gt;=10,"NHL_PREVIOUS_10",IF(AND(ISNUMBER(AD450),AD450=0,SUM(F450:G450)=0),"FARM_CAREER_0",IF(COUNT(F450:G450)&lt;2,"UNKNOWN_GP",IF(AND(F450=0,G450=0),IF(AD450&gt;=10,"FARM_LEGACY_10",IF(AND(ISNUMBER(AD450),AD450&gt;0),"FARM_CAREER_1_9","FARM_0_0")),IF(F450&gt;=1,IF(F450&lt;=3,"FARM_RECENT_1_3","FARM_RECENT_4_9"),"FARM_PREV_1_9_ONLY")))))))</x:f>
        <x:v>UNKNOWN_GP</x:v>
      </x:c>
      <x:c r="AF450" s="57" t="n">
        <x:f>AB450-T450</x:f>
        <x:v>0</x:v>
      </x:c>
      <x:c r="AG450" s="57" t="n">
        <x:f>AC450-U450</x:f>
        <x:v>0</x:v>
      </x:c>
    </x:row>
    <x:row r="451">
      <x:c r="A451" t="s">
        <x:v>1473</x:v>
      </x:c>
      <x:c r="C451" t="s">
        <x:v>319</x:v>
      </x:c>
      <x:c r="D451">
        <x:v>8484168</x:v>
      </x:c>
      <x:c r="E451" t="s">
        <x:v>267</x:v>
      </x:c>
      <x:c r="J451" t="s">
        <x:v>2474</x:v>
      </x:c>
      <x:c r="K451">
        <x:v>59</x:v>
      </x:c>
      <x:c r="L451">
        <x:v>31</x:v>
      </x:c>
      <x:c r="M451">
        <x:v>91</x:v>
      </x:c>
      <x:c r="N451">
        <x:v>48</x:v>
      </x:c>
      <x:c r="O451">
        <x:v>74</x:v>
      </x:c>
      <x:c r="P451">
        <x:v>77</x:v>
      </x:c>
      <x:c r="Q451">
        <x:v>79</x:v>
      </x:c>
      <x:c r="R451">
        <x:v>47</x:v>
      </x:c>
      <x:c r="S451">
        <x:v>80</x:v>
      </x:c>
      <x:c r="T451" s="63" t="n">
        <x:f>MAX(30,MIN(AB451-VLOOKUP(AE451,'AHL_PA_SC_BALANCE'!$A$8:$E$18,2,FALSE),VLOOKUP(AE451,'AHL_PA_SC_BALANCE'!$A$8:$E$18,4,FALSE)))</x:f>
        <x:v>50</x:v>
      </x:c>
      <x:c r="U451" s="63" t="n">
        <x:f>MAX(30,MIN(AC451-VLOOKUP(AE451,'AHL_PA_SC_BALANCE'!$A$8:$E$18,3,FALSE),VLOOKUP(AE451,'AHL_PA_SC_BALANCE'!$A$8:$E$18,5,FALSE)))</x:f>
        <x:v>47</x:v>
      </x:c>
      <x:c r="V451">
        <x:v>59</x:v>
      </x:c>
      <x:c r="W451">
        <x:v>51</x:v>
      </x:c>
      <x:c r="X451">
        <x:v>65</x:v>
      </x:c>
      <x:c r="Y451">
        <x:v>66</x:v>
      </x:c>
      <x:c r="Z451">
        <x:v>51</x:v>
      </x:c>
      <x:c r="AA451">
        <x:v>51</x:v>
      </x:c>
      <x:c r="AB451" s="57" t="n">
        <x:v>50</x:v>
      </x:c>
      <x:c r="AC451" s="57" t="n">
        <x:v>47</x:v>
      </x:c>
      <x:c r="AD451" s="59"/>
      <x:c r="AE451" s="61" t="str">
        <x:f>IF(N(F451)&gt;=10,"NHL_LATEST_10",IF(AND(N(F451)&gt;0,N(G451)&gt;0),"NHL_BOTH_SEASONS",IF(N(G451)&gt;=10,"NHL_PREVIOUS_10",IF(AND(ISNUMBER(AD451),AD451=0,SUM(F451:G451)=0),"FARM_CAREER_0",IF(COUNT(F451:G451)&lt;2,"UNKNOWN_GP",IF(AND(F451=0,G451=0),IF(AD451&gt;=10,"FARM_LEGACY_10",IF(AND(ISNUMBER(AD451),AD451&gt;0),"FARM_CAREER_1_9","FARM_0_0")),IF(F451&gt;=1,IF(F451&lt;=3,"FARM_RECENT_1_3","FARM_RECENT_4_9"),"FARM_PREV_1_9_ONLY")))))))</x:f>
        <x:v>UNKNOWN_GP</x:v>
      </x:c>
      <x:c r="AF451" s="57" t="n">
        <x:f>AB451-T451</x:f>
        <x:v>0</x:v>
      </x:c>
      <x:c r="AG451" s="57" t="n">
        <x:f>AC451-U451</x:f>
        <x:v>0</x:v>
      </x:c>
    </x:row>
    <x:row r="452">
      <x:c r="A452" t="s">
        <x:v>1474</x:v>
      </x:c>
      <x:c r="C452" t="s">
        <x:v>331</x:v>
      </x:c>
      <x:c r="D452">
        <x:v>8482806</x:v>
      </x:c>
      <x:c r="E452" t="s">
        <x:v>267</x:v>
      </x:c>
      <x:c r="J452" t="s">
        <x:v>2474</x:v>
      </x:c>
      <x:c r="K452">
        <x:v>73</x:v>
      </x:c>
      <x:c r="L452">
        <x:v>37</x:v>
      </x:c>
      <x:c r="M452">
        <x:v>80</x:v>
      </x:c>
      <x:c r="N452">
        <x:v>33</x:v>
      </x:c>
      <x:c r="O452">
        <x:v>78</x:v>
      </x:c>
      <x:c r="P452">
        <x:v>87</x:v>
      </x:c>
      <x:c r="Q452">
        <x:v>89</x:v>
      </x:c>
      <x:c r="R452">
        <x:v>32</x:v>
      </x:c>
      <x:c r="S452">
        <x:v>30</x:v>
      </x:c>
      <x:c r="T452" s="63" t="n">
        <x:f>MAX(30,MIN(AB452-VLOOKUP(AE452,'AHL_PA_SC_BALANCE'!$A$8:$E$18,2,FALSE),VLOOKUP(AE452,'AHL_PA_SC_BALANCE'!$A$8:$E$18,4,FALSE)))</x:f>
        <x:v>42</x:v>
      </x:c>
      <x:c r="U452" s="63" t="n">
        <x:f>MAX(30,MIN(AC452-VLOOKUP(AE452,'AHL_PA_SC_BALANCE'!$A$8:$E$18,3,FALSE),VLOOKUP(AE452,'AHL_PA_SC_BALANCE'!$A$8:$E$18,5,FALSE)))</x:f>
        <x:v>42</x:v>
      </x:c>
      <x:c r="V452">
        <x:v>65</x:v>
      </x:c>
      <x:c r="W452">
        <x:v>47</x:v>
      </x:c>
      <x:c r="X452">
        <x:v>67</x:v>
      </x:c>
      <x:c r="Y452">
        <x:v>66</x:v>
      </x:c>
      <x:c r="Z452">
        <x:v>51</x:v>
      </x:c>
      <x:c r="AA452">
        <x:v>51</x:v>
      </x:c>
      <x:c r="AB452" s="57" t="n">
        <x:v>42</x:v>
      </x:c>
      <x:c r="AC452" s="57" t="n">
        <x:v>42</x:v>
      </x:c>
      <x:c r="AD452" s="59"/>
      <x:c r="AE452" s="61" t="str">
        <x:f>IF(N(F452)&gt;=10,"NHL_LATEST_10",IF(AND(N(F452)&gt;0,N(G452)&gt;0),"NHL_BOTH_SEASONS",IF(N(G452)&gt;=10,"NHL_PREVIOUS_10",IF(AND(ISNUMBER(AD452),AD452=0,SUM(F452:G452)=0),"FARM_CAREER_0",IF(COUNT(F452:G452)&lt;2,"UNKNOWN_GP",IF(AND(F452=0,G452=0),IF(AD452&gt;=10,"FARM_LEGACY_10",IF(AND(ISNUMBER(AD452),AD452&gt;0),"FARM_CAREER_1_9","FARM_0_0")),IF(F452&gt;=1,IF(F452&lt;=3,"FARM_RECENT_1_3","FARM_RECENT_4_9"),"FARM_PREV_1_9_ONLY")))))))</x:f>
        <x:v>UNKNOWN_GP</x:v>
      </x:c>
      <x:c r="AF452" s="57" t="n">
        <x:f>AB452-T452</x:f>
        <x:v>0</x:v>
      </x:c>
      <x:c r="AG452" s="57" t="n">
        <x:f>AC452-U452</x:f>
        <x:v>0</x:v>
      </x:c>
    </x:row>
    <x:row r="453">
      <x:c r="A453" t="s">
        <x:v>1475</x:v>
      </x:c>
      <x:c r="C453" t="s">
        <x:v>331</x:v>
      </x:c>
      <x:c r="D453">
        <x:v>8478937</x:v>
      </x:c>
      <x:c r="E453" t="s">
        <x:v>267</x:v>
      </x:c>
      <x:c r="J453" t="s">
        <x:v>2474</x:v>
      </x:c>
      <x:c r="K453">
        <x:v>73</x:v>
      </x:c>
      <x:c r="L453">
        <x:v>42</x:v>
      </x:c>
      <x:c r="M453">
        <x:v>74</x:v>
      </x:c>
      <x:c r="N453">
        <x:v>32</x:v>
      </x:c>
      <x:c r="O453">
        <x:v>78</x:v>
      </x:c>
      <x:c r="P453">
        <x:v>82</x:v>
      </x:c>
      <x:c r="Q453">
        <x:v>85</x:v>
      </x:c>
      <x:c r="R453">
        <x:v>33</x:v>
      </x:c>
      <x:c r="S453">
        <x:v>30</x:v>
      </x:c>
      <x:c r="T453" s="63" t="n">
        <x:f>MAX(30,MIN(AB453-VLOOKUP(AE453,'AHL_PA_SC_BALANCE'!$A$8:$E$18,2,FALSE),VLOOKUP(AE453,'AHL_PA_SC_BALANCE'!$A$8:$E$18,4,FALSE)))</x:f>
        <x:v>41</x:v>
      </x:c>
      <x:c r="U453" s="63" t="n">
        <x:f>MAX(30,MIN(AC453-VLOOKUP(AE453,'AHL_PA_SC_BALANCE'!$A$8:$E$18,3,FALSE),VLOOKUP(AE453,'AHL_PA_SC_BALANCE'!$A$8:$E$18,5,FALSE)))</x:f>
        <x:v>40</x:v>
      </x:c>
      <x:c r="V453">
        <x:v>66</x:v>
      </x:c>
      <x:c r="W453">
        <x:v>46</x:v>
      </x:c>
      <x:c r="X453">
        <x:v>71</x:v>
      </x:c>
      <x:c r="Y453">
        <x:v>72</x:v>
      </x:c>
      <x:c r="Z453">
        <x:v>51</x:v>
      </x:c>
      <x:c r="AA453">
        <x:v>51</x:v>
      </x:c>
      <x:c r="AB453" s="57" t="n">
        <x:v>41</x:v>
      </x:c>
      <x:c r="AC453" s="57" t="n">
        <x:v>40</x:v>
      </x:c>
      <x:c r="AD453" s="59"/>
      <x:c r="AE453" s="61" t="str">
        <x:f>IF(N(F453)&gt;=10,"NHL_LATEST_10",IF(AND(N(F453)&gt;0,N(G453)&gt;0),"NHL_BOTH_SEASONS",IF(N(G453)&gt;=10,"NHL_PREVIOUS_10",IF(AND(ISNUMBER(AD453),AD453=0,SUM(F453:G453)=0),"FARM_CAREER_0",IF(COUNT(F453:G453)&lt;2,"UNKNOWN_GP",IF(AND(F453=0,G453=0),IF(AD453&gt;=10,"FARM_LEGACY_10",IF(AND(ISNUMBER(AD453),AD453&gt;0),"FARM_CAREER_1_9","FARM_0_0")),IF(F453&gt;=1,IF(F453&lt;=3,"FARM_RECENT_1_3","FARM_RECENT_4_9"),"FARM_PREV_1_9_ONLY")))))))</x:f>
        <x:v>UNKNOWN_GP</x:v>
      </x:c>
      <x:c r="AF453" s="57" t="n">
        <x:f>AB453-T453</x:f>
        <x:v>0</x:v>
      </x:c>
      <x:c r="AG453" s="57" t="n">
        <x:f>AC453-U453</x:f>
        <x:v>0</x:v>
      </x:c>
    </x:row>
    <x:row r="454">
      <x:c r="A454" t="s">
        <x:v>1476</x:v>
      </x:c>
      <x:c r="C454" t="s">
        <x:v>331</x:v>
      </x:c>
      <x:c r="D454">
        <x:v>8485499</x:v>
      </x:c>
      <x:c r="E454" t="s">
        <x:v>267</x:v>
      </x:c>
      <x:c r="J454" t="s">
        <x:v>2474</x:v>
      </x:c>
      <x:c r="K454">
        <x:v>70</x:v>
      </x:c>
      <x:c r="L454">
        <x:v>36</x:v>
      </x:c>
      <x:c r="M454">
        <x:v>80</x:v>
      </x:c>
      <x:c r="N454">
        <x:v>31</x:v>
      </x:c>
      <x:c r="O454">
        <x:v>78</x:v>
      </x:c>
      <x:c r="P454">
        <x:v>69</x:v>
      </x:c>
      <x:c r="Q454">
        <x:v>72</x:v>
      </x:c>
      <x:c r="R454">
        <x:v>32</x:v>
      </x:c>
      <x:c r="S454">
        <x:v>30</x:v>
      </x:c>
      <x:c r="T454" s="63" t="n">
        <x:f>MAX(30,MIN(AB454-VLOOKUP(AE454,'AHL_PA_SC_BALANCE'!$A$8:$E$18,2,FALSE),VLOOKUP(AE454,'AHL_PA_SC_BALANCE'!$A$8:$E$18,4,FALSE)))</x:f>
        <x:v>40</x:v>
      </x:c>
      <x:c r="U454" s="63" t="n">
        <x:f>MAX(30,MIN(AC454-VLOOKUP(AE454,'AHL_PA_SC_BALANCE'!$A$8:$E$18,3,FALSE),VLOOKUP(AE454,'AHL_PA_SC_BALANCE'!$A$8:$E$18,5,FALSE)))</x:f>
        <x:v>38</x:v>
      </x:c>
      <x:c r="V454">
        <x:v>62</x:v>
      </x:c>
      <x:c r="W454">
        <x:v>44</x:v>
      </x:c>
      <x:c r="X454">
        <x:v>69</x:v>
      </x:c>
      <x:c r="Y454">
        <x:v>69</x:v>
      </x:c>
      <x:c r="Z454">
        <x:v>51</x:v>
      </x:c>
      <x:c r="AA454">
        <x:v>51</x:v>
      </x:c>
      <x:c r="AB454" s="57" t="n">
        <x:v>40</x:v>
      </x:c>
      <x:c r="AC454" s="57" t="n">
        <x:v>38</x:v>
      </x:c>
      <x:c r="AD454" s="59"/>
      <x:c r="AE454" s="61" t="str">
        <x:f>IF(N(F454)&gt;=10,"NHL_LATEST_10",IF(AND(N(F454)&gt;0,N(G454)&gt;0),"NHL_BOTH_SEASONS",IF(N(G454)&gt;=10,"NHL_PREVIOUS_10",IF(AND(ISNUMBER(AD454),AD454=0,SUM(F454:G454)=0),"FARM_CAREER_0",IF(COUNT(F454:G454)&lt;2,"UNKNOWN_GP",IF(AND(F454=0,G454=0),IF(AD454&gt;=10,"FARM_LEGACY_10",IF(AND(ISNUMBER(AD454),AD454&gt;0),"FARM_CAREER_1_9","FARM_0_0")),IF(F454&gt;=1,IF(F454&lt;=3,"FARM_RECENT_1_3","FARM_RECENT_4_9"),"FARM_PREV_1_9_ONLY")))))))</x:f>
        <x:v>UNKNOWN_GP</x:v>
      </x:c>
      <x:c r="AF454" s="57" t="n">
        <x:f>AB454-T454</x:f>
        <x:v>0</x:v>
      </x:c>
      <x:c r="AG454" s="57" t="n">
        <x:f>AC454-U454</x:f>
        <x:v>0</x:v>
      </x:c>
    </x:row>
    <x:row r="455">
      <x:c r="A455" t="s">
        <x:v>1477</x:v>
      </x:c>
      <x:c r="B455" t="s">
        <x:v>584</x:v>
      </x:c>
      <x:c r="C455" t="s">
        <x:v>331</x:v>
      </x:c>
      <x:c r="D455">
        <x:v>8474100</x:v>
      </x:c>
      <x:c r="E455" t="s">
        <x:v>267</x:v>
      </x:c>
      <x:c r="J455" t="s">
        <x:v>2476</x:v>
      </x:c>
      <x:c r="K455">
        <x:v>75</x:v>
      </x:c>
      <x:c r="L455">
        <x:v>44</x:v>
      </x:c>
      <x:c r="M455">
        <x:v>74</x:v>
      </x:c>
      <x:c r="N455">
        <x:v>32</x:v>
      </x:c>
      <x:c r="O455">
        <x:v>86</x:v>
      </x:c>
      <x:c r="P455">
        <x:v>73</x:v>
      </x:c>
      <x:c r="Q455">
        <x:v>76</x:v>
      </x:c>
      <x:c r="R455">
        <x:v>32</x:v>
      </x:c>
      <x:c r="S455">
        <x:v>30</x:v>
      </x:c>
      <x:c r="T455" s="63" t="n">
        <x:f>MAX(30,MIN(AB455-VLOOKUP(AE455,'AHL_PA_SC_BALANCE'!$A$8:$E$18,2,FALSE),VLOOKUP(AE455,'AHL_PA_SC_BALANCE'!$A$8:$E$18,4,FALSE)))</x:f>
        <x:v>40</x:v>
      </x:c>
      <x:c r="U455" s="63" t="n">
        <x:f>MAX(30,MIN(AC455-VLOOKUP(AE455,'AHL_PA_SC_BALANCE'!$A$8:$E$18,3,FALSE),VLOOKUP(AE455,'AHL_PA_SC_BALANCE'!$A$8:$E$18,5,FALSE)))</x:f>
        <x:v>37</x:v>
      </x:c>
      <x:c r="V455">
        <x:v>64</x:v>
      </x:c>
      <x:c r="W455">
        <x:v>44</x:v>
      </x:c>
      <x:c r="X455">
        <x:v>69</x:v>
      </x:c>
      <x:c r="Y455">
        <x:v>68</x:v>
      </x:c>
      <x:c r="Z455">
        <x:v>51</x:v>
      </x:c>
      <x:c r="AA455">
        <x:v>51</x:v>
      </x:c>
      <x:c r="AB455" s="57" t="n">
        <x:v>40</x:v>
      </x:c>
      <x:c r="AC455" s="57" t="n">
        <x:v>37</x:v>
      </x:c>
      <x:c r="AD455" s="59"/>
      <x:c r="AE455" s="61" t="str">
        <x:f>IF(N(F455)&gt;=10,"NHL_LATEST_10",IF(AND(N(F455)&gt;0,N(G455)&gt;0),"NHL_BOTH_SEASONS",IF(N(G455)&gt;=10,"NHL_PREVIOUS_10",IF(AND(ISNUMBER(AD455),AD455=0,SUM(F455:G455)=0),"FARM_CAREER_0",IF(COUNT(F455:G455)&lt;2,"UNKNOWN_GP",IF(AND(F455=0,G455=0),IF(AD455&gt;=10,"FARM_LEGACY_10",IF(AND(ISNUMBER(AD455),AD455&gt;0),"FARM_CAREER_1_9","FARM_0_0")),IF(F455&gt;=1,IF(F455&lt;=3,"FARM_RECENT_1_3","FARM_RECENT_4_9"),"FARM_PREV_1_9_ONLY")))))))</x:f>
        <x:v>UNKNOWN_GP</x:v>
      </x:c>
      <x:c r="AF455" s="57" t="n">
        <x:f>AB455-T455</x:f>
        <x:v>0</x:v>
      </x:c>
      <x:c r="AG455" s="57" t="n">
        <x:f>AC455-U455</x:f>
        <x:v>0</x:v>
      </x:c>
    </x:row>
    <x:row r="456">
      <x:c r="A456" t="s">
        <x:v>1478</x:v>
      </x:c>
      <x:c r="C456" t="s">
        <x:v>358</x:v>
      </x:c>
      <x:c r="D456">
        <x:v>8482167</x:v>
      </x:c>
      <x:c r="E456" t="s">
        <x:v>267</x:v>
      </x:c>
      <x:c r="J456" t="s">
        <x:v>2474</x:v>
      </x:c>
      <x:c r="K456">
        <x:v>69</x:v>
      </x:c>
      <x:c r="L456">
        <x:v>34</x:v>
      </x:c>
      <x:c r="M456">
        <x:v>85</x:v>
      </x:c>
      <x:c r="N456">
        <x:v>46</x:v>
      </x:c>
      <x:c r="O456">
        <x:v>82</x:v>
      </x:c>
      <x:c r="P456">
        <x:v>87</x:v>
      </x:c>
      <x:c r="Q456">
        <x:v>90</x:v>
      </x:c>
      <x:c r="R456">
        <x:v>45</x:v>
      </x:c>
      <x:c r="S456">
        <x:v>67</x:v>
      </x:c>
      <x:c r="T456" s="63" t="n">
        <x:f>MAX(30,MIN(AB456-VLOOKUP(AE456,'AHL_PA_SC_BALANCE'!$A$8:$E$18,2,FALSE),VLOOKUP(AE456,'AHL_PA_SC_BALANCE'!$A$8:$E$18,4,FALSE)))</x:f>
        <x:v>47</x:v>
      </x:c>
      <x:c r="U456" s="63" t="n">
        <x:f>MAX(30,MIN(AC456-VLOOKUP(AE456,'AHL_PA_SC_BALANCE'!$A$8:$E$18,3,FALSE),VLOOKUP(AE456,'AHL_PA_SC_BALANCE'!$A$8:$E$18,5,FALSE)))</x:f>
        <x:v>45</x:v>
      </x:c>
      <x:c r="V456">
        <x:v>60</x:v>
      </x:c>
      <x:c r="W456">
        <x:v>67</x:v>
      </x:c>
      <x:c r="X456">
        <x:v>67</x:v>
      </x:c>
      <x:c r="Y456">
        <x:v>68</x:v>
      </x:c>
      <x:c r="Z456">
        <x:v>51</x:v>
      </x:c>
      <x:c r="AA456">
        <x:v>51</x:v>
      </x:c>
      <x:c r="AB456" s="57" t="n">
        <x:v>47</x:v>
      </x:c>
      <x:c r="AC456" s="57" t="n">
        <x:v>45</x:v>
      </x:c>
      <x:c r="AD456" s="59"/>
      <x:c r="AE456" s="61" t="str">
        <x:f>IF(N(F456)&gt;=10,"NHL_LATEST_10",IF(AND(N(F456)&gt;0,N(G456)&gt;0),"NHL_BOTH_SEASONS",IF(N(G456)&gt;=10,"NHL_PREVIOUS_10",IF(AND(ISNUMBER(AD456),AD456=0,SUM(F456:G456)=0),"FARM_CAREER_0",IF(COUNT(F456:G456)&lt;2,"UNKNOWN_GP",IF(AND(F456=0,G456=0),IF(AD456&gt;=10,"FARM_LEGACY_10",IF(AND(ISNUMBER(AD456),AD456&gt;0),"FARM_CAREER_1_9","FARM_0_0")),IF(F456&gt;=1,IF(F456&lt;=3,"FARM_RECENT_1_3","FARM_RECENT_4_9"),"FARM_PREV_1_9_ONLY")))))))</x:f>
        <x:v>UNKNOWN_GP</x:v>
      </x:c>
      <x:c r="AF456" s="57" t="n">
        <x:f>AB456-T456</x:f>
        <x:v>0</x:v>
      </x:c>
      <x:c r="AG456" s="57" t="n">
        <x:f>AC456-U456</x:f>
        <x:v>0</x:v>
      </x:c>
    </x:row>
    <x:row r="457">
      <x:c r="A457" t="s">
        <x:v>1479</x:v>
      </x:c>
      <x:c r="C457" t="s">
        <x:v>358</x:v>
      </x:c>
      <x:c r="D457">
        <x:v>8484280</x:v>
      </x:c>
      <x:c r="E457" t="s">
        <x:v>267</x:v>
      </x:c>
      <x:c r="J457" t="s">
        <x:v>2474</x:v>
      </x:c>
      <x:c r="K457">
        <x:v>58</x:v>
      </x:c>
      <x:c r="L457">
        <x:v>36</x:v>
      </x:c>
      <x:c r="M457">
        <x:v>86</x:v>
      </x:c>
      <x:c r="N457">
        <x:v>43</x:v>
      </x:c>
      <x:c r="O457">
        <x:v>82</x:v>
      </x:c>
      <x:c r="P457">
        <x:v>84</x:v>
      </x:c>
      <x:c r="Q457">
        <x:v>86</x:v>
      </x:c>
      <x:c r="R457">
        <x:v>43</x:v>
      </x:c>
      <x:c r="S457">
        <x:v>62</x:v>
      </x:c>
      <x:c r="T457" s="63" t="n">
        <x:f>MAX(30,MIN(AB457-VLOOKUP(AE457,'AHL_PA_SC_BALANCE'!$A$8:$E$18,2,FALSE),VLOOKUP(AE457,'AHL_PA_SC_BALANCE'!$A$8:$E$18,4,FALSE)))</x:f>
        <x:v>43</x:v>
      </x:c>
      <x:c r="U457" s="63" t="n">
        <x:f>MAX(30,MIN(AC457-VLOOKUP(AE457,'AHL_PA_SC_BALANCE'!$A$8:$E$18,3,FALSE),VLOOKUP(AE457,'AHL_PA_SC_BALANCE'!$A$8:$E$18,5,FALSE)))</x:f>
        <x:v>45</x:v>
      </x:c>
      <x:c r="V457">
        <x:v>57</x:v>
      </x:c>
      <x:c r="W457">
        <x:v>64</x:v>
      </x:c>
      <x:c r="X457">
        <x:v>70</x:v>
      </x:c>
      <x:c r="Y457">
        <x:v>71</x:v>
      </x:c>
      <x:c r="Z457">
        <x:v>51</x:v>
      </x:c>
      <x:c r="AA457">
        <x:v>51</x:v>
      </x:c>
      <x:c r="AB457" s="57" t="n">
        <x:v>43</x:v>
      </x:c>
      <x:c r="AC457" s="57" t="n">
        <x:v>45</x:v>
      </x:c>
      <x:c r="AD457" s="59"/>
      <x:c r="AE457" s="61" t="str">
        <x:f>IF(N(F457)&gt;=10,"NHL_LATEST_10",IF(AND(N(F457)&gt;0,N(G457)&gt;0),"NHL_BOTH_SEASONS",IF(N(G457)&gt;=10,"NHL_PREVIOUS_10",IF(AND(ISNUMBER(AD457),AD457=0,SUM(F457:G457)=0),"FARM_CAREER_0",IF(COUNT(F457:G457)&lt;2,"UNKNOWN_GP",IF(AND(F457=0,G457=0),IF(AD457&gt;=10,"FARM_LEGACY_10",IF(AND(ISNUMBER(AD457),AD457&gt;0),"FARM_CAREER_1_9","FARM_0_0")),IF(F457&gt;=1,IF(F457&lt;=3,"FARM_RECENT_1_3","FARM_RECENT_4_9"),"FARM_PREV_1_9_ONLY")))))))</x:f>
        <x:v>UNKNOWN_GP</x:v>
      </x:c>
      <x:c r="AF457" s="57" t="n">
        <x:f>AB457-T457</x:f>
        <x:v>0</x:v>
      </x:c>
      <x:c r="AG457" s="57" t="n">
        <x:f>AC457-U457</x:f>
        <x:v>0</x:v>
      </x:c>
    </x:row>
    <x:row r="458">
      <x:c r="A458" t="s">
        <x:v>1480</x:v>
      </x:c>
      <x:c r="C458" t="s">
        <x:v>331</x:v>
      </x:c>
      <x:c r="E458" t="s">
        <x:v>267</x:v>
      </x:c>
      <x:c r="J458" t="s">
        <x:v>2474</x:v>
      </x:c>
      <x:c r="K458">
        <x:v>70</x:v>
      </x:c>
      <x:c r="L458">
        <x:v>36</x:v>
      </x:c>
      <x:c r="M458">
        <x:v>88</x:v>
      </x:c>
      <x:c r="N458">
        <x:v>31</x:v>
      </x:c>
      <x:c r="O458">
        <x:v>82</x:v>
      </x:c>
      <x:c r="P458">
        <x:v>84</x:v>
      </x:c>
      <x:c r="Q458">
        <x:v>86</x:v>
      </x:c>
      <x:c r="R458">
        <x:v>32</x:v>
      </x:c>
      <x:c r="S458">
        <x:v>30</x:v>
      </x:c>
      <x:c r="T458" s="63" t="n">
        <x:f>MAX(30,MIN(AB458-VLOOKUP(AE458,'AHL_PA_SC_BALANCE'!$A$8:$E$18,2,FALSE),VLOOKUP(AE458,'AHL_PA_SC_BALANCE'!$A$8:$E$18,4,FALSE)))</x:f>
        <x:v>39</x:v>
      </x:c>
      <x:c r="U458" s="63" t="n">
        <x:f>MAX(30,MIN(AC458-VLOOKUP(AE458,'AHL_PA_SC_BALANCE'!$A$8:$E$18,3,FALSE),VLOOKUP(AE458,'AHL_PA_SC_BALANCE'!$A$8:$E$18,5,FALSE)))</x:f>
        <x:v>39</x:v>
      </x:c>
      <x:c r="V458">
        <x:v>68</x:v>
      </x:c>
      <x:c r="W458">
        <x:v>44</x:v>
      </x:c>
      <x:c r="X458">
        <x:v>66</x:v>
      </x:c>
      <x:c r="Y458">
        <x:v>67</x:v>
      </x:c>
      <x:c r="Z458">
        <x:v>51</x:v>
      </x:c>
      <x:c r="AA458">
        <x:v>51</x:v>
      </x:c>
      <x:c r="AB458" s="57" t="n">
        <x:v>39</x:v>
      </x:c>
      <x:c r="AC458" s="57" t="n">
        <x:v>39</x:v>
      </x:c>
      <x:c r="AD458" s="59"/>
      <x:c r="AE458" s="61" t="str">
        <x:f>IF(N(F458)&gt;=10,"NHL_LATEST_10",IF(AND(N(F458)&gt;0,N(G458)&gt;0),"NHL_BOTH_SEASONS",IF(N(G458)&gt;=10,"NHL_PREVIOUS_10",IF(AND(ISNUMBER(AD458),AD458=0,SUM(F458:G458)=0),"FARM_CAREER_0",IF(COUNT(F458:G458)&lt;2,"UNKNOWN_GP",IF(AND(F458=0,G458=0),IF(AD458&gt;=10,"FARM_LEGACY_10",IF(AND(ISNUMBER(AD458),AD458&gt;0),"FARM_CAREER_1_9","FARM_0_0")),IF(F458&gt;=1,IF(F458&lt;=3,"FARM_RECENT_1_3","FARM_RECENT_4_9"),"FARM_PREV_1_9_ONLY")))))))</x:f>
        <x:v>UNKNOWN_GP</x:v>
      </x:c>
      <x:c r="AF458" s="57" t="n">
        <x:f>AB458-T458</x:f>
        <x:v>0</x:v>
      </x:c>
      <x:c r="AG458" s="57" t="n">
        <x:f>AC458-U458</x:f>
        <x:v>0</x:v>
      </x:c>
    </x:row>
    <x:row r="459">
      <x:c r="A459" t="s">
        <x:v>1481</x:v>
      </x:c>
      <x:c r="C459" t="s">
        <x:v>331</x:v>
      </x:c>
      <x:c r="D459">
        <x:v>8484139</x:v>
      </x:c>
      <x:c r="E459" t="s">
        <x:v>267</x:v>
      </x:c>
      <x:c r="J459" t="s">
        <x:v>2474</x:v>
      </x:c>
      <x:c r="K459">
        <x:v>68</x:v>
      </x:c>
      <x:c r="L459">
        <x:v>38</x:v>
      </x:c>
      <x:c r="M459">
        <x:v>83</x:v>
      </x:c>
      <x:c r="N459">
        <x:v>33</x:v>
      </x:c>
      <x:c r="O459">
        <x:v>79</x:v>
      </x:c>
      <x:c r="P459">
        <x:v>77</x:v>
      </x:c>
      <x:c r="Q459">
        <x:v>80</x:v>
      </x:c>
      <x:c r="R459">
        <x:v>34</x:v>
      </x:c>
      <x:c r="S459">
        <x:v>30</x:v>
      </x:c>
      <x:c r="T459" s="63" t="n">
        <x:f>MAX(30,MIN(AB459-VLOOKUP(AE459,'AHL_PA_SC_BALANCE'!$A$8:$E$18,2,FALSE),VLOOKUP(AE459,'AHL_PA_SC_BALANCE'!$A$8:$E$18,4,FALSE)))</x:f>
        <x:v>42</x:v>
      </x:c>
      <x:c r="U459" s="63" t="n">
        <x:f>MAX(30,MIN(AC459-VLOOKUP(AE459,'AHL_PA_SC_BALANCE'!$A$8:$E$18,3,FALSE),VLOOKUP(AE459,'AHL_PA_SC_BALANCE'!$A$8:$E$18,5,FALSE)))</x:f>
        <x:v>40</x:v>
      </x:c>
      <x:c r="V459">
        <x:v>64</x:v>
      </x:c>
      <x:c r="W459">
        <x:v>46</x:v>
      </x:c>
      <x:c r="X459">
        <x:v>65</x:v>
      </x:c>
      <x:c r="Y459">
        <x:v>65</x:v>
      </x:c>
      <x:c r="Z459">
        <x:v>51</x:v>
      </x:c>
      <x:c r="AA459">
        <x:v>51</x:v>
      </x:c>
      <x:c r="AB459" s="57" t="n">
        <x:v>42</x:v>
      </x:c>
      <x:c r="AC459" s="57" t="n">
        <x:v>40</x:v>
      </x:c>
      <x:c r="AD459" s="59"/>
      <x:c r="AE459" s="61" t="str">
        <x:f>IF(N(F459)&gt;=10,"NHL_LATEST_10",IF(AND(N(F459)&gt;0,N(G459)&gt;0),"NHL_BOTH_SEASONS",IF(N(G459)&gt;=10,"NHL_PREVIOUS_10",IF(AND(ISNUMBER(AD459),AD459=0,SUM(F459:G459)=0),"FARM_CAREER_0",IF(COUNT(F459:G459)&lt;2,"UNKNOWN_GP",IF(AND(F459=0,G459=0),IF(AD459&gt;=10,"FARM_LEGACY_10",IF(AND(ISNUMBER(AD459),AD459&gt;0),"FARM_CAREER_1_9","FARM_0_0")),IF(F459&gt;=1,IF(F459&lt;=3,"FARM_RECENT_1_3","FARM_RECENT_4_9"),"FARM_PREV_1_9_ONLY")))))))</x:f>
        <x:v>UNKNOWN_GP</x:v>
      </x:c>
      <x:c r="AF459" s="57" t="n">
        <x:f>AB459-T459</x:f>
        <x:v>0</x:v>
      </x:c>
      <x:c r="AG459" s="57" t="n">
        <x:f>AC459-U459</x:f>
        <x:v>0</x:v>
      </x:c>
    </x:row>
    <x:row r="460">
      <x:c r="A460" t="s">
        <x:v>1482</x:v>
      </x:c>
      <x:c r="C460" t="s">
        <x:v>358</x:v>
      </x:c>
      <x:c r="D460">
        <x:v>8478147</x:v>
      </x:c>
      <x:c r="E460" t="s">
        <x:v>267</x:v>
      </x:c>
      <x:c r="J460" t="s">
        <x:v>2474</x:v>
      </x:c>
      <x:c r="K460">
        <x:v>77</x:v>
      </x:c>
      <x:c r="L460">
        <x:v>91</x:v>
      </x:c>
      <x:c r="M460">
        <x:v>70</x:v>
      </x:c>
      <x:c r="N460">
        <x:v>39</x:v>
      </x:c>
      <x:c r="O460">
        <x:v>88</x:v>
      </x:c>
      <x:c r="P460">
        <x:v>84</x:v>
      </x:c>
      <x:c r="Q460">
        <x:v>89</x:v>
      </x:c>
      <x:c r="R460">
        <x:v>38</x:v>
      </x:c>
      <x:c r="S460">
        <x:v>67</x:v>
      </x:c>
      <x:c r="T460" s="63" t="n">
        <x:f>MAX(30,MIN(AB460-VLOOKUP(AE460,'AHL_PA_SC_BALANCE'!$A$8:$E$18,2,FALSE),VLOOKUP(AE460,'AHL_PA_SC_BALANCE'!$A$8:$E$18,4,FALSE)))</x:f>
        <x:v>47</x:v>
      </x:c>
      <x:c r="U460" s="63" t="n">
        <x:f>MAX(30,MIN(AC460-VLOOKUP(AE460,'AHL_PA_SC_BALANCE'!$A$8:$E$18,3,FALSE),VLOOKUP(AE460,'AHL_PA_SC_BALANCE'!$A$8:$E$18,5,FALSE)))</x:f>
        <x:v>48</x:v>
      </x:c>
      <x:c r="V460">
        <x:v>60</x:v>
      </x:c>
      <x:c r="W460">
        <x:v>60</x:v>
      </x:c>
      <x:c r="X460">
        <x:v>72</x:v>
      </x:c>
      <x:c r="Y460">
        <x:v>72</x:v>
      </x:c>
      <x:c r="Z460">
        <x:v>51</x:v>
      </x:c>
      <x:c r="AA460">
        <x:v>51</x:v>
      </x:c>
      <x:c r="AB460" s="57" t="n">
        <x:v>47</x:v>
      </x:c>
      <x:c r="AC460" s="57" t="n">
        <x:v>48</x:v>
      </x:c>
      <x:c r="AD460" s="59"/>
      <x:c r="AE460" s="61" t="str">
        <x:f>IF(N(F460)&gt;=10,"NHL_LATEST_10",IF(AND(N(F460)&gt;0,N(G460)&gt;0),"NHL_BOTH_SEASONS",IF(N(G460)&gt;=10,"NHL_PREVIOUS_10",IF(AND(ISNUMBER(AD460),AD460=0,SUM(F460:G460)=0),"FARM_CAREER_0",IF(COUNT(F460:G460)&lt;2,"UNKNOWN_GP",IF(AND(F460=0,G460=0),IF(AD460&gt;=10,"FARM_LEGACY_10",IF(AND(ISNUMBER(AD460),AD460&gt;0),"FARM_CAREER_1_9","FARM_0_0")),IF(F460&gt;=1,IF(F460&lt;=3,"FARM_RECENT_1_3","FARM_RECENT_4_9"),"FARM_PREV_1_9_ONLY")))))))</x:f>
        <x:v>UNKNOWN_GP</x:v>
      </x:c>
      <x:c r="AF460" s="57" t="n">
        <x:f>AB460-T460</x:f>
        <x:v>0</x:v>
      </x:c>
      <x:c r="AG460" s="57" t="n">
        <x:f>AC460-U460</x:f>
        <x:v>0</x:v>
      </x:c>
    </x:row>
    <x:row r="461">
      <x:c r="A461" t="s">
        <x:v>1483</x:v>
      </x:c>
      <x:c r="C461" t="s">
        <x:v>329</x:v>
      </x:c>
      <x:c r="D461">
        <x:v>8479994</x:v>
      </x:c>
      <x:c r="E461" t="s">
        <x:v>267</x:v>
      </x:c>
      <x:c r="J461" t="s">
        <x:v>2474</x:v>
      </x:c>
      <x:c r="K461">
        <x:v>74</x:v>
      </x:c>
      <x:c r="L461">
        <x:v>35</x:v>
      </x:c>
      <x:c r="M461">
        <x:v>82</x:v>
      </x:c>
      <x:c r="N461">
        <x:v>44</x:v>
      </x:c>
      <x:c r="O461">
        <x:v>77</x:v>
      </x:c>
      <x:c r="P461">
        <x:v>89</x:v>
      </x:c>
      <x:c r="Q461">
        <x:v>94</x:v>
      </x:c>
      <x:c r="R461">
        <x:v>45</x:v>
      </x:c>
      <x:c r="S461">
        <x:v>74</x:v>
      </x:c>
      <x:c r="T461" s="63" t="n">
        <x:f>MAX(30,MIN(AB461-VLOOKUP(AE461,'AHL_PA_SC_BALANCE'!$A$8:$E$18,2,FALSE),VLOOKUP(AE461,'AHL_PA_SC_BALANCE'!$A$8:$E$18,4,FALSE)))</x:f>
        <x:v>50</x:v>
      </x:c>
      <x:c r="U461" s="63" t="n">
        <x:f>MAX(30,MIN(AC461-VLOOKUP(AE461,'AHL_PA_SC_BALANCE'!$A$8:$E$18,3,FALSE),VLOOKUP(AE461,'AHL_PA_SC_BALANCE'!$A$8:$E$18,5,FALSE)))</x:f>
        <x:v>49</x:v>
      </x:c>
      <x:c r="V461">
        <x:v>65</x:v>
      </x:c>
      <x:c r="W461">
        <x:v>65</x:v>
      </x:c>
      <x:c r="X461">
        <x:v>69</x:v>
      </x:c>
      <x:c r="Y461">
        <x:v>69</x:v>
      </x:c>
      <x:c r="Z461">
        <x:v>51</x:v>
      </x:c>
      <x:c r="AA461">
        <x:v>51</x:v>
      </x:c>
      <x:c r="AB461" s="57" t="n">
        <x:v>50</x:v>
      </x:c>
      <x:c r="AC461" s="57" t="n">
        <x:v>49</x:v>
      </x:c>
      <x:c r="AD461" s="59"/>
      <x:c r="AE461" s="61" t="str">
        <x:f>IF(N(F461)&gt;=10,"NHL_LATEST_10",IF(AND(N(F461)&gt;0,N(G461)&gt;0),"NHL_BOTH_SEASONS",IF(N(G461)&gt;=10,"NHL_PREVIOUS_10",IF(AND(ISNUMBER(AD461),AD461=0,SUM(F461:G461)=0),"FARM_CAREER_0",IF(COUNT(F461:G461)&lt;2,"UNKNOWN_GP",IF(AND(F461=0,G461=0),IF(AD461&gt;=10,"FARM_LEGACY_10",IF(AND(ISNUMBER(AD461),AD461&gt;0),"FARM_CAREER_1_9","FARM_0_0")),IF(F461&gt;=1,IF(F461&lt;=3,"FARM_RECENT_1_3","FARM_RECENT_4_9"),"FARM_PREV_1_9_ONLY")))))))</x:f>
        <x:v>UNKNOWN_GP</x:v>
      </x:c>
      <x:c r="AF461" s="57" t="n">
        <x:f>AB461-T461</x:f>
        <x:v>0</x:v>
      </x:c>
      <x:c r="AG461" s="57" t="n">
        <x:f>AC461-U461</x:f>
        <x:v>0</x:v>
      </x:c>
    </x:row>
    <x:row r="462">
      <x:c r="A462" t="s">
        <x:v>1484</x:v>
      </x:c>
      <x:c r="C462" t="s">
        <x:v>331</x:v>
      </x:c>
      <x:c r="D462">
        <x:v>8483760</x:v>
      </x:c>
      <x:c r="E462" t="s">
        <x:v>267</x:v>
      </x:c>
      <x:c r="J462" t="s">
        <x:v>2474</x:v>
      </x:c>
      <x:c r="K462">
        <x:v>81</x:v>
      </x:c>
      <x:c r="L462">
        <x:v>40</x:v>
      </x:c>
      <x:c r="M462">
        <x:v>75</x:v>
      </x:c>
      <x:c r="N462">
        <x:v>31</x:v>
      </x:c>
      <x:c r="O462">
        <x:v>85</x:v>
      </x:c>
      <x:c r="P462">
        <x:v>88</x:v>
      </x:c>
      <x:c r="Q462">
        <x:v>91</x:v>
      </x:c>
      <x:c r="R462">
        <x:v>32</x:v>
      </x:c>
      <x:c r="S462">
        <x:v>30</x:v>
      </x:c>
      <x:c r="T462" s="63" t="n">
        <x:f>MAX(30,MIN(AB462-VLOOKUP(AE462,'AHL_PA_SC_BALANCE'!$A$8:$E$18,2,FALSE),VLOOKUP(AE462,'AHL_PA_SC_BALANCE'!$A$8:$E$18,4,FALSE)))</x:f>
        <x:v>41</x:v>
      </x:c>
      <x:c r="U462" s="63" t="n">
        <x:f>MAX(30,MIN(AC462-VLOOKUP(AE462,'AHL_PA_SC_BALANCE'!$A$8:$E$18,3,FALSE),VLOOKUP(AE462,'AHL_PA_SC_BALANCE'!$A$8:$E$18,5,FALSE)))</x:f>
        <x:v>38</x:v>
      </x:c>
      <x:c r="V462">
        <x:v>65</x:v>
      </x:c>
      <x:c r="W462">
        <x:v>44</x:v>
      </x:c>
      <x:c r="X462">
        <x:v>67</x:v>
      </x:c>
      <x:c r="Y462">
        <x:v>66</x:v>
      </x:c>
      <x:c r="Z462">
        <x:v>51</x:v>
      </x:c>
      <x:c r="AA462">
        <x:v>51</x:v>
      </x:c>
      <x:c r="AB462" s="57" t="n">
        <x:v>41</x:v>
      </x:c>
      <x:c r="AC462" s="57" t="n">
        <x:v>38</x:v>
      </x:c>
      <x:c r="AD462" s="59"/>
      <x:c r="AE462" s="61" t="str">
        <x:f>IF(N(F462)&gt;=10,"NHL_LATEST_10",IF(AND(N(F462)&gt;0,N(G462)&gt;0),"NHL_BOTH_SEASONS",IF(N(G462)&gt;=10,"NHL_PREVIOUS_10",IF(AND(ISNUMBER(AD462),AD462=0,SUM(F462:G462)=0),"FARM_CAREER_0",IF(COUNT(F462:G462)&lt;2,"UNKNOWN_GP",IF(AND(F462=0,G462=0),IF(AD462&gt;=10,"FARM_LEGACY_10",IF(AND(ISNUMBER(AD462),AD462&gt;0),"FARM_CAREER_1_9","FARM_0_0")),IF(F462&gt;=1,IF(F462&lt;=3,"FARM_RECENT_1_3","FARM_RECENT_4_9"),"FARM_PREV_1_9_ONLY")))))))</x:f>
        <x:v>UNKNOWN_GP</x:v>
      </x:c>
      <x:c r="AF462" s="57" t="n">
        <x:f>AB462-T462</x:f>
        <x:v>0</x:v>
      </x:c>
      <x:c r="AG462" s="57" t="n">
        <x:f>AC462-U462</x:f>
        <x:v>0</x:v>
      </x:c>
    </x:row>
    <x:row r="463">
      <x:c r="A463" t="s">
        <x:v>1485</x:v>
      </x:c>
      <x:c r="C463" t="s">
        <x:v>333</x:v>
      </x:c>
      <x:c r="D463">
        <x:v>8482160</x:v>
      </x:c>
      <x:c r="E463" t="s">
        <x:v>267</x:v>
      </x:c>
      <x:c r="J463" t="s">
        <x:v>2474</x:v>
      </x:c>
      <x:c r="K463">
        <x:v>65</x:v>
      </x:c>
      <x:c r="L463">
        <x:v>37</x:v>
      </x:c>
      <x:c r="M463">
        <x:v>92</x:v>
      </x:c>
      <x:c r="N463">
        <x:v>45</x:v>
      </x:c>
      <x:c r="O463">
        <x:v>78</x:v>
      </x:c>
      <x:c r="P463">
        <x:v>93</x:v>
      </x:c>
      <x:c r="Q463">
        <x:v>96</x:v>
      </x:c>
      <x:c r="R463">
        <x:v>44</x:v>
      </x:c>
      <x:c r="S463">
        <x:v>76</x:v>
      </x:c>
      <x:c r="T463" s="63" t="n">
        <x:f>MAX(30,MIN(AB463-VLOOKUP(AE463,'AHL_PA_SC_BALANCE'!$A$8:$E$18,2,FALSE),VLOOKUP(AE463,'AHL_PA_SC_BALANCE'!$A$8:$E$18,4,FALSE)))</x:f>
        <x:v>47</x:v>
      </x:c>
      <x:c r="U463" s="63" t="n">
        <x:f>MAX(30,MIN(AC463-VLOOKUP(AE463,'AHL_PA_SC_BALANCE'!$A$8:$E$18,3,FALSE),VLOOKUP(AE463,'AHL_PA_SC_BALANCE'!$A$8:$E$18,5,FALSE)))</x:f>
        <x:v>46</x:v>
      </x:c>
      <x:c r="V463">
        <x:v>62</x:v>
      </x:c>
      <x:c r="W463">
        <x:v>68</x:v>
      </x:c>
      <x:c r="X463">
        <x:v>67</x:v>
      </x:c>
      <x:c r="Y463">
        <x:v>66</x:v>
      </x:c>
      <x:c r="Z463">
        <x:v>51</x:v>
      </x:c>
      <x:c r="AA463">
        <x:v>51</x:v>
      </x:c>
      <x:c r="AB463" s="57" t="n">
        <x:v>47</x:v>
      </x:c>
      <x:c r="AC463" s="57" t="n">
        <x:v>46</x:v>
      </x:c>
      <x:c r="AD463" s="59"/>
      <x:c r="AE463" s="61" t="str">
        <x:f>IF(N(F463)&gt;=10,"NHL_LATEST_10",IF(AND(N(F463)&gt;0,N(G463)&gt;0),"NHL_BOTH_SEASONS",IF(N(G463)&gt;=10,"NHL_PREVIOUS_10",IF(AND(ISNUMBER(AD463),AD463=0,SUM(F463:G463)=0),"FARM_CAREER_0",IF(COUNT(F463:G463)&lt;2,"UNKNOWN_GP",IF(AND(F463=0,G463=0),IF(AD463&gt;=10,"FARM_LEGACY_10",IF(AND(ISNUMBER(AD463),AD463&gt;0),"FARM_CAREER_1_9","FARM_0_0")),IF(F463&gt;=1,IF(F463&lt;=3,"FARM_RECENT_1_3","FARM_RECENT_4_9"),"FARM_PREV_1_9_ONLY")))))))</x:f>
        <x:v>UNKNOWN_GP</x:v>
      </x:c>
      <x:c r="AF463" s="57" t="n">
        <x:f>AB463-T463</x:f>
        <x:v>0</x:v>
      </x:c>
      <x:c r="AG463" s="57" t="n">
        <x:f>AC463-U463</x:f>
        <x:v>0</x:v>
      </x:c>
    </x:row>
    <x:row r="464">
      <x:c r="A464" t="s">
        <x:v>1486</x:v>
      </x:c>
      <x:c r="C464" t="s">
        <x:v>319</x:v>
      </x:c>
      <x:c r="D464">
        <x:v>8482673</x:v>
      </x:c>
      <x:c r="E464" t="s">
        <x:v>267</x:v>
      </x:c>
      <x:c r="J464" t="s">
        <x:v>2474</x:v>
      </x:c>
      <x:c r="K464">
        <x:v>62</x:v>
      </x:c>
      <x:c r="L464">
        <x:v>37</x:v>
      </x:c>
      <x:c r="M464">
        <x:v>86</x:v>
      </x:c>
      <x:c r="N464">
        <x:v>47</x:v>
      </x:c>
      <x:c r="O464">
        <x:v>77</x:v>
      </x:c>
      <x:c r="P464">
        <x:v>91</x:v>
      </x:c>
      <x:c r="Q464">
        <x:v>95</x:v>
      </x:c>
      <x:c r="R464">
        <x:v>48</x:v>
      </x:c>
      <x:c r="S464">
        <x:v>80</x:v>
      </x:c>
      <x:c r="T464" s="63" t="n">
        <x:f>MAX(30,MIN(AB464-VLOOKUP(AE464,'AHL_PA_SC_BALANCE'!$A$8:$E$18,2,FALSE),VLOOKUP(AE464,'AHL_PA_SC_BALANCE'!$A$8:$E$18,4,FALSE)))</x:f>
        <x:v>48</x:v>
      </x:c>
      <x:c r="U464" s="63" t="n">
        <x:f>MAX(30,MIN(AC464-VLOOKUP(AE464,'AHL_PA_SC_BALANCE'!$A$8:$E$18,3,FALSE),VLOOKUP(AE464,'AHL_PA_SC_BALANCE'!$A$8:$E$18,5,FALSE)))</x:f>
        <x:v>46</x:v>
      </x:c>
      <x:c r="V464">
        <x:v>60</x:v>
      </x:c>
      <x:c r="W464">
        <x:v>68</x:v>
      </x:c>
      <x:c r="X464">
        <x:v>67</x:v>
      </x:c>
      <x:c r="Y464">
        <x:v>67</x:v>
      </x:c>
      <x:c r="Z464">
        <x:v>51</x:v>
      </x:c>
      <x:c r="AA464">
        <x:v>51</x:v>
      </x:c>
      <x:c r="AB464" s="57" t="n">
        <x:v>48</x:v>
      </x:c>
      <x:c r="AC464" s="57" t="n">
        <x:v>46</x:v>
      </x:c>
      <x:c r="AD464" s="59"/>
      <x:c r="AE464" s="61" t="str">
        <x:f>IF(N(F464)&gt;=10,"NHL_LATEST_10",IF(AND(N(F464)&gt;0,N(G464)&gt;0),"NHL_BOTH_SEASONS",IF(N(G464)&gt;=10,"NHL_PREVIOUS_10",IF(AND(ISNUMBER(AD464),AD464=0,SUM(F464:G464)=0),"FARM_CAREER_0",IF(COUNT(F464:G464)&lt;2,"UNKNOWN_GP",IF(AND(F464=0,G464=0),IF(AD464&gt;=10,"FARM_LEGACY_10",IF(AND(ISNUMBER(AD464),AD464&gt;0),"FARM_CAREER_1_9","FARM_0_0")),IF(F464&gt;=1,IF(F464&lt;=3,"FARM_RECENT_1_3","FARM_RECENT_4_9"),"FARM_PREV_1_9_ONLY")))))))</x:f>
        <x:v>UNKNOWN_GP</x:v>
      </x:c>
      <x:c r="AF464" s="57" t="n">
        <x:f>AB464-T464</x:f>
        <x:v>0</x:v>
      </x:c>
      <x:c r="AG464" s="57" t="n">
        <x:f>AC464-U464</x:f>
        <x:v>0</x:v>
      </x:c>
    </x:row>
    <x:row r="465">
      <x:c r="A465" t="s">
        <x:v>1487</x:v>
      </x:c>
      <x:c r="C465" t="s">
        <x:v>331</x:v>
      </x:c>
      <x:c r="D465">
        <x:v>8484781</x:v>
      </x:c>
      <x:c r="E465" t="s">
        <x:v>267</x:v>
      </x:c>
      <x:c r="J465" t="s">
        <x:v>2474</x:v>
      </x:c>
      <x:c r="K465">
        <x:v>72</x:v>
      </x:c>
      <x:c r="L465">
        <x:v>40</x:v>
      </x:c>
      <x:c r="M465">
        <x:v>90</x:v>
      </x:c>
      <x:c r="N465">
        <x:v>33</x:v>
      </x:c>
      <x:c r="O465">
        <x:v>79</x:v>
      </x:c>
      <x:c r="P465">
        <x:v>88</x:v>
      </x:c>
      <x:c r="Q465">
        <x:v>92</x:v>
      </x:c>
      <x:c r="R465">
        <x:v>34</x:v>
      </x:c>
      <x:c r="S465">
        <x:v>30</x:v>
      </x:c>
      <x:c r="T465" s="63" t="n">
        <x:f>MAX(30,MIN(AB465-VLOOKUP(AE465,'AHL_PA_SC_BALANCE'!$A$8:$E$18,2,FALSE),VLOOKUP(AE465,'AHL_PA_SC_BALANCE'!$A$8:$E$18,4,FALSE)))</x:f>
        <x:v>41</x:v>
      </x:c>
      <x:c r="U465" s="63" t="n">
        <x:f>MAX(30,MIN(AC465-VLOOKUP(AE465,'AHL_PA_SC_BALANCE'!$A$8:$E$18,3,FALSE),VLOOKUP(AE465,'AHL_PA_SC_BALANCE'!$A$8:$E$18,5,FALSE)))</x:f>
        <x:v>41</x:v>
      </x:c>
      <x:c r="V465">
        <x:v>67</x:v>
      </x:c>
      <x:c r="W465">
        <x:v>46</x:v>
      </x:c>
      <x:c r="X465">
        <x:v>64</x:v>
      </x:c>
      <x:c r="Y465">
        <x:v>69</x:v>
      </x:c>
      <x:c r="Z465">
        <x:v>51</x:v>
      </x:c>
      <x:c r="AA465">
        <x:v>51</x:v>
      </x:c>
      <x:c r="AB465" s="57" t="n">
        <x:v>41</x:v>
      </x:c>
      <x:c r="AC465" s="57" t="n">
        <x:v>41</x:v>
      </x:c>
      <x:c r="AD465" s="59"/>
      <x:c r="AE465" s="61" t="str">
        <x:f>IF(N(F465)&gt;=10,"NHL_LATEST_10",IF(AND(N(F465)&gt;0,N(G465)&gt;0),"NHL_BOTH_SEASONS",IF(N(G465)&gt;=10,"NHL_PREVIOUS_10",IF(AND(ISNUMBER(AD465),AD465=0,SUM(F465:G465)=0),"FARM_CAREER_0",IF(COUNT(F465:G465)&lt;2,"UNKNOWN_GP",IF(AND(F465=0,G465=0),IF(AD465&gt;=10,"FARM_LEGACY_10",IF(AND(ISNUMBER(AD465),AD465&gt;0),"FARM_CAREER_1_9","FARM_0_0")),IF(F465&gt;=1,IF(F465&lt;=3,"FARM_RECENT_1_3","FARM_RECENT_4_9"),"FARM_PREV_1_9_ONLY")))))))</x:f>
        <x:v>UNKNOWN_GP</x:v>
      </x:c>
      <x:c r="AF465" s="57" t="n">
        <x:f>AB465-T465</x:f>
        <x:v>0</x:v>
      </x:c>
      <x:c r="AG465" s="57" t="n">
        <x:f>AC465-U465</x:f>
        <x:v>0</x:v>
      </x:c>
    </x:row>
    <x:row r="466">
      <x:c r="A466" t="s">
        <x:v>1488</x:v>
      </x:c>
      <x:c r="C466" t="s">
        <x:v>331</x:v>
      </x:c>
      <x:c r="D466">
        <x:v>8482839</x:v>
      </x:c>
      <x:c r="E466" t="s">
        <x:v>267</x:v>
      </x:c>
      <x:c r="J466" t="s">
        <x:v>2474</x:v>
      </x:c>
      <x:c r="K466">
        <x:v>70</x:v>
      </x:c>
      <x:c r="L466">
        <x:v>38</x:v>
      </x:c>
      <x:c r="M466">
        <x:v>82</x:v>
      </x:c>
      <x:c r="N466">
        <x:v>34</x:v>
      </x:c>
      <x:c r="O466">
        <x:v>82</x:v>
      </x:c>
      <x:c r="P466">
        <x:v>87</x:v>
      </x:c>
      <x:c r="Q466">
        <x:v>90</x:v>
      </x:c>
      <x:c r="R466">
        <x:v>34</x:v>
      </x:c>
      <x:c r="S466">
        <x:v>30</x:v>
      </x:c>
      <x:c r="T466" s="63" t="n">
        <x:f>MAX(30,MIN(AB466-VLOOKUP(AE466,'AHL_PA_SC_BALANCE'!$A$8:$E$18,2,FALSE),VLOOKUP(AE466,'AHL_PA_SC_BALANCE'!$A$8:$E$18,4,FALSE)))</x:f>
        <x:v>41</x:v>
      </x:c>
      <x:c r="U466" s="63" t="n">
        <x:f>MAX(30,MIN(AC466-VLOOKUP(AE466,'AHL_PA_SC_BALANCE'!$A$8:$E$18,3,FALSE),VLOOKUP(AE466,'AHL_PA_SC_BALANCE'!$A$8:$E$18,5,FALSE)))</x:f>
        <x:v>39</x:v>
      </x:c>
      <x:c r="V466">
        <x:v>66</x:v>
      </x:c>
      <x:c r="W466">
        <x:v>45</x:v>
      </x:c>
      <x:c r="X466">
        <x:v>69</x:v>
      </x:c>
      <x:c r="Y466">
        <x:v>68</x:v>
      </x:c>
      <x:c r="Z466">
        <x:v>51</x:v>
      </x:c>
      <x:c r="AA466">
        <x:v>51</x:v>
      </x:c>
      <x:c r="AB466" s="57" t="n">
        <x:v>41</x:v>
      </x:c>
      <x:c r="AC466" s="57" t="n">
        <x:v>39</x:v>
      </x:c>
      <x:c r="AD466" s="59"/>
      <x:c r="AE466" s="61" t="str">
        <x:f>IF(N(F466)&gt;=10,"NHL_LATEST_10",IF(AND(N(F466)&gt;0,N(G466)&gt;0),"NHL_BOTH_SEASONS",IF(N(G466)&gt;=10,"NHL_PREVIOUS_10",IF(AND(ISNUMBER(AD466),AD466=0,SUM(F466:G466)=0),"FARM_CAREER_0",IF(COUNT(F466:G466)&lt;2,"UNKNOWN_GP",IF(AND(F466=0,G466=0),IF(AD466&gt;=10,"FARM_LEGACY_10",IF(AND(ISNUMBER(AD466),AD466&gt;0),"FARM_CAREER_1_9","FARM_0_0")),IF(F466&gt;=1,IF(F466&lt;=3,"FARM_RECENT_1_3","FARM_RECENT_4_9"),"FARM_PREV_1_9_ONLY")))))))</x:f>
        <x:v>UNKNOWN_GP</x:v>
      </x:c>
      <x:c r="AF466" s="57" t="n">
        <x:f>AB466-T466</x:f>
        <x:v>0</x:v>
      </x:c>
      <x:c r="AG466" s="57" t="n">
        <x:f>AC466-U466</x:f>
        <x:v>0</x:v>
      </x:c>
    </x:row>
    <x:row r="467">
      <x:c r="A467" t="s">
        <x:v>1489</x:v>
      </x:c>
      <x:c r="C467" t="s">
        <x:v>331</x:v>
      </x:c>
      <x:c r="D467">
        <x:v>8482781</x:v>
      </x:c>
      <x:c r="E467" t="s">
        <x:v>267</x:v>
      </x:c>
      <x:c r="J467" t="s">
        <x:v>2474</x:v>
      </x:c>
      <x:c r="K467">
        <x:v>68</x:v>
      </x:c>
      <x:c r="L467">
        <x:v>36</x:v>
      </x:c>
      <x:c r="M467">
        <x:v>83</x:v>
      </x:c>
      <x:c r="N467">
        <x:v>34</x:v>
      </x:c>
      <x:c r="O467">
        <x:v>81</x:v>
      </x:c>
      <x:c r="P467">
        <x:v>91</x:v>
      </x:c>
      <x:c r="Q467">
        <x:v>95</x:v>
      </x:c>
      <x:c r="R467">
        <x:v>34</x:v>
      </x:c>
      <x:c r="S467">
        <x:v>30</x:v>
      </x:c>
      <x:c r="T467" s="63" t="n">
        <x:f>MAX(30,MIN(AB467-VLOOKUP(AE467,'AHL_PA_SC_BALANCE'!$A$8:$E$18,2,FALSE),VLOOKUP(AE467,'AHL_PA_SC_BALANCE'!$A$8:$E$18,4,FALSE)))</x:f>
        <x:v>42</x:v>
      </x:c>
      <x:c r="U467" s="63" t="n">
        <x:f>MAX(30,MIN(AC467-VLOOKUP(AE467,'AHL_PA_SC_BALANCE'!$A$8:$E$18,3,FALSE),VLOOKUP(AE467,'AHL_PA_SC_BALANCE'!$A$8:$E$18,5,FALSE)))</x:f>
        <x:v>41</x:v>
      </x:c>
      <x:c r="V467">
        <x:v>67</x:v>
      </x:c>
      <x:c r="W467">
        <x:v>47</x:v>
      </x:c>
      <x:c r="X467">
        <x:v>66</x:v>
      </x:c>
      <x:c r="Y467">
        <x:v>65</x:v>
      </x:c>
      <x:c r="Z467">
        <x:v>51</x:v>
      </x:c>
      <x:c r="AA467">
        <x:v>51</x:v>
      </x:c>
      <x:c r="AB467" s="57" t="n">
        <x:v>42</x:v>
      </x:c>
      <x:c r="AC467" s="57" t="n">
        <x:v>41</x:v>
      </x:c>
      <x:c r="AD467" s="59"/>
      <x:c r="AE467" s="61" t="str">
        <x:f>IF(N(F467)&gt;=10,"NHL_LATEST_10",IF(AND(N(F467)&gt;0,N(G467)&gt;0),"NHL_BOTH_SEASONS",IF(N(G467)&gt;=10,"NHL_PREVIOUS_10",IF(AND(ISNUMBER(AD467),AD467=0,SUM(F467:G467)=0),"FARM_CAREER_0",IF(COUNT(F467:G467)&lt;2,"UNKNOWN_GP",IF(AND(F467=0,G467=0),IF(AD467&gt;=10,"FARM_LEGACY_10",IF(AND(ISNUMBER(AD467),AD467&gt;0),"FARM_CAREER_1_9","FARM_0_0")),IF(F467&gt;=1,IF(F467&lt;=3,"FARM_RECENT_1_3","FARM_RECENT_4_9"),"FARM_PREV_1_9_ONLY")))))))</x:f>
        <x:v>UNKNOWN_GP</x:v>
      </x:c>
      <x:c r="AF467" s="57" t="n">
        <x:f>AB467-T467</x:f>
        <x:v>0</x:v>
      </x:c>
      <x:c r="AG467" s="57" t="n">
        <x:f>AC467-U467</x:f>
        <x:v>0</x:v>
      </x:c>
    </x:row>
    <x:row r="468">
      <x:c r="A468" t="s">
        <x:v>1490</x:v>
      </x:c>
      <x:c r="C468" t="s">
        <x:v>319</x:v>
      </x:c>
      <x:c r="D468">
        <x:v>8483463</x:v>
      </x:c>
      <x:c r="E468" t="s">
        <x:v>267</x:v>
      </x:c>
      <x:c r="J468" t="s">
        <x:v>2474</x:v>
      </x:c>
      <x:c r="K468">
        <x:v>58</x:v>
      </x:c>
      <x:c r="L468">
        <x:v>41</x:v>
      </x:c>
      <x:c r="M468">
        <x:v>92</x:v>
      </x:c>
      <x:c r="N468">
        <x:v>45</x:v>
      </x:c>
      <x:c r="O468">
        <x:v>81</x:v>
      </x:c>
      <x:c r="P468">
        <x:v>89</x:v>
      </x:c>
      <x:c r="Q468">
        <x:v>93</x:v>
      </x:c>
      <x:c r="R468">
        <x:v>46</x:v>
      </x:c>
      <x:c r="S468">
        <x:v>78</x:v>
      </x:c>
      <x:c r="T468" s="63" t="n">
        <x:f>MAX(30,MIN(AB468-VLOOKUP(AE468,'AHL_PA_SC_BALANCE'!$A$8:$E$18,2,FALSE),VLOOKUP(AE468,'AHL_PA_SC_BALANCE'!$A$8:$E$18,4,FALSE)))</x:f>
        <x:v>47</x:v>
      </x:c>
      <x:c r="U468" s="63" t="n">
        <x:f>MAX(30,MIN(AC468-VLOOKUP(AE468,'AHL_PA_SC_BALANCE'!$A$8:$E$18,3,FALSE),VLOOKUP(AE468,'AHL_PA_SC_BALANCE'!$A$8:$E$18,5,FALSE)))</x:f>
        <x:v>45</x:v>
      </x:c>
      <x:c r="V468">
        <x:v>62</x:v>
      </x:c>
      <x:c r="W468">
        <x:v>67</x:v>
      </x:c>
      <x:c r="X468">
        <x:v>67</x:v>
      </x:c>
      <x:c r="Y468">
        <x:v>67</x:v>
      </x:c>
      <x:c r="Z468">
        <x:v>51</x:v>
      </x:c>
      <x:c r="AA468">
        <x:v>51</x:v>
      </x:c>
      <x:c r="AB468" s="57" t="n">
        <x:v>47</x:v>
      </x:c>
      <x:c r="AC468" s="57" t="n">
        <x:v>45</x:v>
      </x:c>
      <x:c r="AD468" s="59"/>
      <x:c r="AE468" s="61" t="str">
        <x:f>IF(N(F468)&gt;=10,"NHL_LATEST_10",IF(AND(N(F468)&gt;0,N(G468)&gt;0),"NHL_BOTH_SEASONS",IF(N(G468)&gt;=10,"NHL_PREVIOUS_10",IF(AND(ISNUMBER(AD468),AD468=0,SUM(F468:G468)=0),"FARM_CAREER_0",IF(COUNT(F468:G468)&lt;2,"UNKNOWN_GP",IF(AND(F468=0,G468=0),IF(AD468&gt;=10,"FARM_LEGACY_10",IF(AND(ISNUMBER(AD468),AD468&gt;0),"FARM_CAREER_1_9","FARM_0_0")),IF(F468&gt;=1,IF(F468&lt;=3,"FARM_RECENT_1_3","FARM_RECENT_4_9"),"FARM_PREV_1_9_ONLY")))))))</x:f>
        <x:v>UNKNOWN_GP</x:v>
      </x:c>
      <x:c r="AF468" s="57" t="n">
        <x:f>AB468-T468</x:f>
        <x:v>0</x:v>
      </x:c>
      <x:c r="AG468" s="57" t="n">
        <x:f>AC468-U468</x:f>
        <x:v>0</x:v>
      </x:c>
    </x:row>
    <x:row r="469">
      <x:c r="A469" t="s">
        <x:v>1491</x:v>
      </x:c>
      <x:c r="C469" t="s">
        <x:v>319</x:v>
      </x:c>
      <x:c r="D469">
        <x:v>8484238</x:v>
      </x:c>
      <x:c r="E469" t="s">
        <x:v>267</x:v>
      </x:c>
      <x:c r="J469" t="s">
        <x:v>2474</x:v>
      </x:c>
      <x:c r="K469">
        <x:v>74</x:v>
      </x:c>
      <x:c r="L469">
        <x:v>32</x:v>
      </x:c>
      <x:c r="M469">
        <x:v>88</x:v>
      </x:c>
      <x:c r="N469">
        <x:v>45</x:v>
      </x:c>
      <x:c r="O469">
        <x:v>82</x:v>
      </x:c>
      <x:c r="P469">
        <x:v>87</x:v>
      </x:c>
      <x:c r="Q469">
        <x:v>91</x:v>
      </x:c>
      <x:c r="R469">
        <x:v>44</x:v>
      </x:c>
      <x:c r="S469">
        <x:v>75</x:v>
      </x:c>
      <x:c r="T469" s="63" t="n">
        <x:f>MAX(30,MIN(AB469-VLOOKUP(AE469,'AHL_PA_SC_BALANCE'!$A$8:$E$18,2,FALSE),VLOOKUP(AE469,'AHL_PA_SC_BALANCE'!$A$8:$E$18,4,FALSE)))</x:f>
        <x:v>47</x:v>
      </x:c>
      <x:c r="U469" s="63" t="n">
        <x:f>MAX(30,MIN(AC469-VLOOKUP(AE469,'AHL_PA_SC_BALANCE'!$A$8:$E$18,3,FALSE),VLOOKUP(AE469,'AHL_PA_SC_BALANCE'!$A$8:$E$18,5,FALSE)))</x:f>
        <x:v>42</x:v>
      </x:c>
      <x:c r="V469">
        <x:v>61</x:v>
      </x:c>
      <x:c r="W469">
        <x:v>65</x:v>
      </x:c>
      <x:c r="X469">
        <x:v>66</x:v>
      </x:c>
      <x:c r="Y469">
        <x:v>76</x:v>
      </x:c>
      <x:c r="Z469">
        <x:v>51</x:v>
      </x:c>
      <x:c r="AA469">
        <x:v>51</x:v>
      </x:c>
      <x:c r="AB469" s="57" t="n">
        <x:v>47</x:v>
      </x:c>
      <x:c r="AC469" s="57" t="n">
        <x:v>42</x:v>
      </x:c>
      <x:c r="AD469" s="59"/>
      <x:c r="AE469" s="61" t="str">
        <x:f>IF(N(F469)&gt;=10,"NHL_LATEST_10",IF(AND(N(F469)&gt;0,N(G469)&gt;0),"NHL_BOTH_SEASONS",IF(N(G469)&gt;=10,"NHL_PREVIOUS_10",IF(AND(ISNUMBER(AD469),AD469=0,SUM(F469:G469)=0),"FARM_CAREER_0",IF(COUNT(F469:G469)&lt;2,"UNKNOWN_GP",IF(AND(F469=0,G469=0),IF(AD469&gt;=10,"FARM_LEGACY_10",IF(AND(ISNUMBER(AD469),AD469&gt;0),"FARM_CAREER_1_9","FARM_0_0")),IF(F469&gt;=1,IF(F469&lt;=3,"FARM_RECENT_1_3","FARM_RECENT_4_9"),"FARM_PREV_1_9_ONLY")))))))</x:f>
        <x:v>UNKNOWN_GP</x:v>
      </x:c>
      <x:c r="AF469" s="57" t="n">
        <x:f>AB469-T469</x:f>
        <x:v>0</x:v>
      </x:c>
      <x:c r="AG469" s="57" t="n">
        <x:f>AC469-U469</x:f>
        <x:v>0</x:v>
      </x:c>
    </x:row>
    <x:row r="470">
      <x:c r="A470" t="s">
        <x:v>1492</x:v>
      </x:c>
      <x:c r="C470" t="s">
        <x:v>331</x:v>
      </x:c>
      <x:c r="D470">
        <x:v>8482916</x:v>
      </x:c>
      <x:c r="E470" t="s">
        <x:v>267</x:v>
      </x:c>
      <x:c r="J470" t="s">
        <x:v>2474</x:v>
      </x:c>
      <x:c r="K470">
        <x:v>75</x:v>
      </x:c>
      <x:c r="L470">
        <x:v>40</x:v>
      </x:c>
      <x:c r="M470">
        <x:v>81</x:v>
      </x:c>
      <x:c r="N470">
        <x:v>33</x:v>
      </x:c>
      <x:c r="O470">
        <x:v>84</x:v>
      </x:c>
      <x:c r="P470">
        <x:v>88</x:v>
      </x:c>
      <x:c r="Q470">
        <x:v>90</x:v>
      </x:c>
      <x:c r="R470">
        <x:v>34</x:v>
      </x:c>
      <x:c r="S470">
        <x:v>30</x:v>
      </x:c>
      <x:c r="T470" s="63" t="n">
        <x:f>MAX(30,MIN(AB470-VLOOKUP(AE470,'AHL_PA_SC_BALANCE'!$A$8:$E$18,2,FALSE),VLOOKUP(AE470,'AHL_PA_SC_BALANCE'!$A$8:$E$18,4,FALSE)))</x:f>
        <x:v>43</x:v>
      </x:c>
      <x:c r="U470" s="63" t="n">
        <x:f>MAX(30,MIN(AC470-VLOOKUP(AE470,'AHL_PA_SC_BALANCE'!$A$8:$E$18,3,FALSE),VLOOKUP(AE470,'AHL_PA_SC_BALANCE'!$A$8:$E$18,5,FALSE)))</x:f>
        <x:v>41</x:v>
      </x:c>
      <x:c r="V470">
        <x:v>62</x:v>
      </x:c>
      <x:c r="W470">
        <x:v>47</x:v>
      </x:c>
      <x:c r="X470">
        <x:v>66</x:v>
      </x:c>
      <x:c r="Y470">
        <x:v>66</x:v>
      </x:c>
      <x:c r="Z470">
        <x:v>51</x:v>
      </x:c>
      <x:c r="AA470">
        <x:v>51</x:v>
      </x:c>
      <x:c r="AB470" s="57" t="n">
        <x:v>43</x:v>
      </x:c>
      <x:c r="AC470" s="57" t="n">
        <x:v>41</x:v>
      </x:c>
      <x:c r="AD470" s="59"/>
      <x:c r="AE470" s="61" t="str">
        <x:f>IF(N(F470)&gt;=10,"NHL_LATEST_10",IF(AND(N(F470)&gt;0,N(G470)&gt;0),"NHL_BOTH_SEASONS",IF(N(G470)&gt;=10,"NHL_PREVIOUS_10",IF(AND(ISNUMBER(AD470),AD470=0,SUM(F470:G470)=0),"FARM_CAREER_0",IF(COUNT(F470:G470)&lt;2,"UNKNOWN_GP",IF(AND(F470=0,G470=0),IF(AD470&gt;=10,"FARM_LEGACY_10",IF(AND(ISNUMBER(AD470),AD470&gt;0),"FARM_CAREER_1_9","FARM_0_0")),IF(F470&gt;=1,IF(F470&lt;=3,"FARM_RECENT_1_3","FARM_RECENT_4_9"),"FARM_PREV_1_9_ONLY")))))))</x:f>
        <x:v>UNKNOWN_GP</x:v>
      </x:c>
      <x:c r="AF470" s="57" t="n">
        <x:f>AB470-T470</x:f>
        <x:v>0</x:v>
      </x:c>
      <x:c r="AG470" s="57" t="n">
        <x:f>AC470-U470</x:f>
        <x:v>0</x:v>
      </x:c>
    </x:row>
    <x:row r="471">
      <x:c r="A471" t="s">
        <x:v>1493</x:v>
      </x:c>
      <x:c r="C471" t="s">
        <x:v>319</x:v>
      </x:c>
      <x:c r="D471">
        <x:v>8482663</x:v>
      </x:c>
      <x:c r="E471" t="s">
        <x:v>267</x:v>
      </x:c>
      <x:c r="J471" t="s">
        <x:v>2474</x:v>
      </x:c>
      <x:c r="K471">
        <x:v>64</x:v>
      </x:c>
      <x:c r="L471">
        <x:v>32</x:v>
      </x:c>
      <x:c r="M471">
        <x:v>84</x:v>
      </x:c>
      <x:c r="N471">
        <x:v>46</x:v>
      </x:c>
      <x:c r="O471">
        <x:v>74</x:v>
      </x:c>
      <x:c r="P471">
        <x:v>90</x:v>
      </x:c>
      <x:c r="Q471">
        <x:v>95</x:v>
      </x:c>
      <x:c r="R471">
        <x:v>46</x:v>
      </x:c>
      <x:c r="S471">
        <x:v>82</x:v>
      </x:c>
      <x:c r="T471" s="63" t="n">
        <x:f>MAX(30,MIN(AB471-VLOOKUP(AE471,'AHL_PA_SC_BALANCE'!$A$8:$E$18,2,FALSE),VLOOKUP(AE471,'AHL_PA_SC_BALANCE'!$A$8:$E$18,4,FALSE)))</x:f>
        <x:v>46</x:v>
      </x:c>
      <x:c r="U471" s="63" t="n">
        <x:f>MAX(30,MIN(AC471-VLOOKUP(AE471,'AHL_PA_SC_BALANCE'!$A$8:$E$18,3,FALSE),VLOOKUP(AE471,'AHL_PA_SC_BALANCE'!$A$8:$E$18,5,FALSE)))</x:f>
        <x:v>47</x:v>
      </x:c>
      <x:c r="V471">
        <x:v>58</x:v>
      </x:c>
      <x:c r="W471">
        <x:v>68</x:v>
      </x:c>
      <x:c r="X471">
        <x:v>66</x:v>
      </x:c>
      <x:c r="Y471">
        <x:v>65</x:v>
      </x:c>
      <x:c r="Z471">
        <x:v>51</x:v>
      </x:c>
      <x:c r="AA471">
        <x:v>51</x:v>
      </x:c>
      <x:c r="AB471" s="57" t="n">
        <x:v>46</x:v>
      </x:c>
      <x:c r="AC471" s="57" t="n">
        <x:v>47</x:v>
      </x:c>
      <x:c r="AD471" s="59"/>
      <x:c r="AE471" s="61" t="str">
        <x:f>IF(N(F471)&gt;=10,"NHL_LATEST_10",IF(AND(N(F471)&gt;0,N(G471)&gt;0),"NHL_BOTH_SEASONS",IF(N(G471)&gt;=10,"NHL_PREVIOUS_10",IF(AND(ISNUMBER(AD471),AD471=0,SUM(F471:G471)=0),"FARM_CAREER_0",IF(COUNT(F471:G471)&lt;2,"UNKNOWN_GP",IF(AND(F471=0,G471=0),IF(AD471&gt;=10,"FARM_LEGACY_10",IF(AND(ISNUMBER(AD471),AD471&gt;0),"FARM_CAREER_1_9","FARM_0_0")),IF(F471&gt;=1,IF(F471&lt;=3,"FARM_RECENT_1_3","FARM_RECENT_4_9"),"FARM_PREV_1_9_ONLY")))))))</x:f>
        <x:v>UNKNOWN_GP</x:v>
      </x:c>
      <x:c r="AF471" s="57" t="n">
        <x:f>AB471-T471</x:f>
        <x:v>0</x:v>
      </x:c>
      <x:c r="AG471" s="57" t="n">
        <x:f>AC471-U471</x:f>
        <x:v>0</x:v>
      </x:c>
    </x:row>
    <x:row r="472">
      <x:c r="A472" t="s">
        <x:v>1494</x:v>
      </x:c>
      <x:c r="C472" t="s">
        <x:v>331</x:v>
      </x:c>
      <x:c r="D472">
        <x:v>8483498</x:v>
      </x:c>
      <x:c r="E472" t="s">
        <x:v>267</x:v>
      </x:c>
      <x:c r="J472" t="s">
        <x:v>2474</x:v>
      </x:c>
      <x:c r="K472">
        <x:v>73</x:v>
      </x:c>
      <x:c r="L472">
        <x:v>45</x:v>
      </x:c>
      <x:c r="M472">
        <x:v>92</x:v>
      </x:c>
      <x:c r="N472">
        <x:v>31</x:v>
      </x:c>
      <x:c r="O472">
        <x:v>78</x:v>
      </x:c>
      <x:c r="P472">
        <x:v>78</x:v>
      </x:c>
      <x:c r="Q472">
        <x:v>79</x:v>
      </x:c>
      <x:c r="R472">
        <x:v>32</x:v>
      </x:c>
      <x:c r="S472">
        <x:v>30</x:v>
      </x:c>
      <x:c r="T472" s="63" t="n">
        <x:f>MAX(30,MIN(AB472-VLOOKUP(AE472,'AHL_PA_SC_BALANCE'!$A$8:$E$18,2,FALSE),VLOOKUP(AE472,'AHL_PA_SC_BALANCE'!$A$8:$E$18,4,FALSE)))</x:f>
        <x:v>40</x:v>
      </x:c>
      <x:c r="U472" s="63" t="n">
        <x:f>MAX(30,MIN(AC472-VLOOKUP(AE472,'AHL_PA_SC_BALANCE'!$A$8:$E$18,3,FALSE),VLOOKUP(AE472,'AHL_PA_SC_BALANCE'!$A$8:$E$18,5,FALSE)))</x:f>
        <x:v>40</x:v>
      </x:c>
      <x:c r="V472">
        <x:v>67</x:v>
      </x:c>
      <x:c r="W472">
        <x:v>45</x:v>
      </x:c>
      <x:c r="X472">
        <x:v>65</x:v>
      </x:c>
      <x:c r="Y472">
        <x:v>64</x:v>
      </x:c>
      <x:c r="Z472">
        <x:v>51</x:v>
      </x:c>
      <x:c r="AA472">
        <x:v>51</x:v>
      </x:c>
      <x:c r="AB472" s="57" t="n">
        <x:v>40</x:v>
      </x:c>
      <x:c r="AC472" s="57" t="n">
        <x:v>40</x:v>
      </x:c>
      <x:c r="AD472" s="59"/>
      <x:c r="AE472" s="61" t="str">
        <x:f>IF(N(F472)&gt;=10,"NHL_LATEST_10",IF(AND(N(F472)&gt;0,N(G472)&gt;0),"NHL_BOTH_SEASONS",IF(N(G472)&gt;=10,"NHL_PREVIOUS_10",IF(AND(ISNUMBER(AD472),AD472=0,SUM(F472:G472)=0),"FARM_CAREER_0",IF(COUNT(F472:G472)&lt;2,"UNKNOWN_GP",IF(AND(F472=0,G472=0),IF(AD472&gt;=10,"FARM_LEGACY_10",IF(AND(ISNUMBER(AD472),AD472&gt;0),"FARM_CAREER_1_9","FARM_0_0")),IF(F472&gt;=1,IF(F472&lt;=3,"FARM_RECENT_1_3","FARM_RECENT_4_9"),"FARM_PREV_1_9_ONLY")))))))</x:f>
        <x:v>UNKNOWN_GP</x:v>
      </x:c>
      <x:c r="AF472" s="57" t="n">
        <x:f>AB472-T472</x:f>
        <x:v>0</x:v>
      </x:c>
      <x:c r="AG472" s="57" t="n">
        <x:f>AC472-U472</x:f>
        <x:v>0</x:v>
      </x:c>
    </x:row>
    <x:row r="473">
      <x:c r="A473" t="s">
        <x:v>1495</x:v>
      </x:c>
      <x:c r="C473" t="s">
        <x:v>331</x:v>
      </x:c>
      <x:c r="D473">
        <x:v>8486157</x:v>
      </x:c>
      <x:c r="E473" t="s">
        <x:v>267</x:v>
      </x:c>
      <x:c r="J473" t="s">
        <x:v>2474</x:v>
      </x:c>
      <x:c r="K473">
        <x:v>67</x:v>
      </x:c>
      <x:c r="L473">
        <x:v>32</x:v>
      </x:c>
      <x:c r="M473">
        <x:v>92</x:v>
      </x:c>
      <x:c r="N473">
        <x:v>32</x:v>
      </x:c>
      <x:c r="O473">
        <x:v>80</x:v>
      </x:c>
      <x:c r="P473">
        <x:v>69</x:v>
      </x:c>
      <x:c r="Q473">
        <x:v>72</x:v>
      </x:c>
      <x:c r="R473">
        <x:v>33</x:v>
      </x:c>
      <x:c r="S473">
        <x:v>30</x:v>
      </x:c>
      <x:c r="T473" s="63" t="n">
        <x:f>MAX(30,MIN(AB473-VLOOKUP(AE473,'AHL_PA_SC_BALANCE'!$A$8:$E$18,2,FALSE),VLOOKUP(AE473,'AHL_PA_SC_BALANCE'!$A$8:$E$18,4,FALSE)))</x:f>
        <x:v>41</x:v>
      </x:c>
      <x:c r="U473" s="63" t="n">
        <x:f>MAX(30,MIN(AC473-VLOOKUP(AE473,'AHL_PA_SC_BALANCE'!$A$8:$E$18,3,FALSE),VLOOKUP(AE473,'AHL_PA_SC_BALANCE'!$A$8:$E$18,5,FALSE)))</x:f>
        <x:v>40</x:v>
      </x:c>
      <x:c r="V473">
        <x:v>67</x:v>
      </x:c>
      <x:c r="W473">
        <x:v>45</x:v>
      </x:c>
      <x:c r="X473">
        <x:v>66</x:v>
      </x:c>
      <x:c r="Y473">
        <x:v>66</x:v>
      </x:c>
      <x:c r="Z473">
        <x:v>51</x:v>
      </x:c>
      <x:c r="AA473">
        <x:v>51</x:v>
      </x:c>
      <x:c r="AB473" s="57" t="n">
        <x:v>41</x:v>
      </x:c>
      <x:c r="AC473" s="57" t="n">
        <x:v>40</x:v>
      </x:c>
      <x:c r="AD473" s="59"/>
      <x:c r="AE473" s="61" t="str">
        <x:f>IF(N(F473)&gt;=10,"NHL_LATEST_10",IF(AND(N(F473)&gt;0,N(G473)&gt;0),"NHL_BOTH_SEASONS",IF(N(G473)&gt;=10,"NHL_PREVIOUS_10",IF(AND(ISNUMBER(AD473),AD473=0,SUM(F473:G473)=0),"FARM_CAREER_0",IF(COUNT(F473:G473)&lt;2,"UNKNOWN_GP",IF(AND(F473=0,G473=0),IF(AD473&gt;=10,"FARM_LEGACY_10",IF(AND(ISNUMBER(AD473),AD473&gt;0),"FARM_CAREER_1_9","FARM_0_0")),IF(F473&gt;=1,IF(F473&lt;=3,"FARM_RECENT_1_3","FARM_RECENT_4_9"),"FARM_PREV_1_9_ONLY")))))))</x:f>
        <x:v>UNKNOWN_GP</x:v>
      </x:c>
      <x:c r="AF473" s="57" t="n">
        <x:f>AB473-T473</x:f>
        <x:v>0</x:v>
      </x:c>
      <x:c r="AG473" s="57" t="n">
        <x:f>AC473-U473</x:f>
        <x:v>0</x:v>
      </x:c>
    </x:row>
    <x:row r="474">
      <x:c r="A474" t="s">
        <x:v>1496</x:v>
      </x:c>
      <x:c r="C474" t="s">
        <x:v>319</x:v>
      </x:c>
      <x:c r="D474">
        <x:v>8483012</x:v>
      </x:c>
      <x:c r="E474" t="s">
        <x:v>267</x:v>
      </x:c>
      <x:c r="J474" t="s">
        <x:v>2474</x:v>
      </x:c>
      <x:c r="K474">
        <x:v>61</x:v>
      </x:c>
      <x:c r="L474">
        <x:v>34</x:v>
      </x:c>
      <x:c r="M474">
        <x:v>85</x:v>
      </x:c>
      <x:c r="N474">
        <x:v>46</x:v>
      </x:c>
      <x:c r="O474">
        <x:v>77</x:v>
      </x:c>
      <x:c r="P474">
        <x:v>91</x:v>
      </x:c>
      <x:c r="Q474">
        <x:v>93</x:v>
      </x:c>
      <x:c r="R474">
        <x:v>45</x:v>
      </x:c>
      <x:c r="S474">
        <x:v>76</x:v>
      </x:c>
      <x:c r="T474" s="63" t="n">
        <x:f>MAX(30,MIN(AB474-VLOOKUP(AE474,'AHL_PA_SC_BALANCE'!$A$8:$E$18,2,FALSE),VLOOKUP(AE474,'AHL_PA_SC_BALANCE'!$A$8:$E$18,4,FALSE)))</x:f>
        <x:v>49</x:v>
      </x:c>
      <x:c r="U474" s="63" t="n">
        <x:f>MAX(30,MIN(AC474-VLOOKUP(AE474,'AHL_PA_SC_BALANCE'!$A$8:$E$18,3,FALSE),VLOOKUP(AE474,'AHL_PA_SC_BALANCE'!$A$8:$E$18,5,FALSE)))</x:f>
        <x:v>47</x:v>
      </x:c>
      <x:c r="V474">
        <x:v>60</x:v>
      </x:c>
      <x:c r="W474">
        <x:v>70</x:v>
      </x:c>
      <x:c r="X474">
        <x:v>67</x:v>
      </x:c>
      <x:c r="Y474">
        <x:v>67</x:v>
      </x:c>
      <x:c r="Z474">
        <x:v>51</x:v>
      </x:c>
      <x:c r="AA474">
        <x:v>51</x:v>
      </x:c>
      <x:c r="AB474" s="57" t="n">
        <x:v>49</x:v>
      </x:c>
      <x:c r="AC474" s="57" t="n">
        <x:v>47</x:v>
      </x:c>
      <x:c r="AD474" s="59"/>
      <x:c r="AE474" s="61" t="str">
        <x:f>IF(N(F474)&gt;=10,"NHL_LATEST_10",IF(AND(N(F474)&gt;0,N(G474)&gt;0),"NHL_BOTH_SEASONS",IF(N(G474)&gt;=10,"NHL_PREVIOUS_10",IF(AND(ISNUMBER(AD474),AD474=0,SUM(F474:G474)=0),"FARM_CAREER_0",IF(COUNT(F474:G474)&lt;2,"UNKNOWN_GP",IF(AND(F474=0,G474=0),IF(AD474&gt;=10,"FARM_LEGACY_10",IF(AND(ISNUMBER(AD474),AD474&gt;0),"FARM_CAREER_1_9","FARM_0_0")),IF(F474&gt;=1,IF(F474&lt;=3,"FARM_RECENT_1_3","FARM_RECENT_4_9"),"FARM_PREV_1_9_ONLY")))))))</x:f>
        <x:v>UNKNOWN_GP</x:v>
      </x:c>
      <x:c r="AF474" s="57" t="n">
        <x:f>AB474-T474</x:f>
        <x:v>0</x:v>
      </x:c>
      <x:c r="AG474" s="57" t="n">
        <x:f>AC474-U474</x:f>
        <x:v>0</x:v>
      </x:c>
    </x:row>
    <x:row r="475">
      <x:c r="A475" t="s">
        <x:v>1497</x:v>
      </x:c>
      <x:c r="C475" t="s">
        <x:v>319</x:v>
      </x:c>
      <x:c r="D475">
        <x:v>8479547</x:v>
      </x:c>
      <x:c r="E475" t="s">
        <x:v>267</x:v>
      </x:c>
      <x:c r="J475" t="s">
        <x:v>2474</x:v>
      </x:c>
      <x:c r="K475">
        <x:v>58</x:v>
      </x:c>
      <x:c r="L475">
        <x:v>31</x:v>
      </x:c>
      <x:c r="M475">
        <x:v>90</x:v>
      </x:c>
      <x:c r="N475">
        <x:v>47</x:v>
      </x:c>
      <x:c r="O475">
        <x:v>73</x:v>
      </x:c>
      <x:c r="P475">
        <x:v>90</x:v>
      </x:c>
      <x:c r="Q475">
        <x:v>94</x:v>
      </x:c>
      <x:c r="R475">
        <x:v>47</x:v>
      </x:c>
      <x:c r="S475">
        <x:v>70</x:v>
      </x:c>
      <x:c r="T475" s="63" t="n">
        <x:f>MAX(30,MIN(AB475-VLOOKUP(AE475,'AHL_PA_SC_BALANCE'!$A$8:$E$18,2,FALSE),VLOOKUP(AE475,'AHL_PA_SC_BALANCE'!$A$8:$E$18,4,FALSE)))</x:f>
        <x:v>51</x:v>
      </x:c>
      <x:c r="U475" s="63" t="n">
        <x:f>MAX(30,MIN(AC475-VLOOKUP(AE475,'AHL_PA_SC_BALANCE'!$A$8:$E$18,3,FALSE),VLOOKUP(AE475,'AHL_PA_SC_BALANCE'!$A$8:$E$18,5,FALSE)))</x:f>
        <x:v>47</x:v>
      </x:c>
      <x:c r="V475">
        <x:v>62</x:v>
      </x:c>
      <x:c r="W475">
        <x:v>69</x:v>
      </x:c>
      <x:c r="X475">
        <x:v>70</x:v>
      </x:c>
      <x:c r="Y475">
        <x:v>69</x:v>
      </x:c>
      <x:c r="Z475">
        <x:v>51</x:v>
      </x:c>
      <x:c r="AA475">
        <x:v>51</x:v>
      </x:c>
      <x:c r="AB475" s="57" t="n">
        <x:v>51</x:v>
      </x:c>
      <x:c r="AC475" s="57" t="n">
        <x:v>47</x:v>
      </x:c>
      <x:c r="AD475" s="59"/>
      <x:c r="AE475" s="61" t="str">
        <x:f>IF(N(F475)&gt;=10,"NHL_LATEST_10",IF(AND(N(F475)&gt;0,N(G475)&gt;0),"NHL_BOTH_SEASONS",IF(N(G475)&gt;=10,"NHL_PREVIOUS_10",IF(AND(ISNUMBER(AD475),AD475=0,SUM(F475:G475)=0),"FARM_CAREER_0",IF(COUNT(F475:G475)&lt;2,"UNKNOWN_GP",IF(AND(F475=0,G475=0),IF(AD475&gt;=10,"FARM_LEGACY_10",IF(AND(ISNUMBER(AD475),AD475&gt;0),"FARM_CAREER_1_9","FARM_0_0")),IF(F475&gt;=1,IF(F475&lt;=3,"FARM_RECENT_1_3","FARM_RECENT_4_9"),"FARM_PREV_1_9_ONLY")))))))</x:f>
        <x:v>UNKNOWN_GP</x:v>
      </x:c>
      <x:c r="AF475" s="57" t="n">
        <x:f>AB475-T475</x:f>
        <x:v>0</x:v>
      </x:c>
      <x:c r="AG475" s="57" t="n">
        <x:f>AC475-U475</x:f>
        <x:v>0</x:v>
      </x:c>
    </x:row>
    <x:row r="476">
      <x:c r="A476" t="s">
        <x:v>1498</x:v>
      </x:c>
      <x:c r="C476" t="s">
        <x:v>326</x:v>
      </x:c>
      <x:c r="D476">
        <x:v>8482749</x:v>
      </x:c>
      <x:c r="E476" t="s">
        <x:v>267</x:v>
      </x:c>
      <x:c r="J476" t="s">
        <x:v>2474</x:v>
      </x:c>
      <x:c r="K476">
        <x:v>65</x:v>
      </x:c>
      <x:c r="L476">
        <x:v>37</x:v>
      </x:c>
      <x:c r="M476">
        <x:v>84</x:v>
      </x:c>
      <x:c r="N476">
        <x:v>46</x:v>
      </x:c>
      <x:c r="O476">
        <x:v>76</x:v>
      </x:c>
      <x:c r="P476">
        <x:v>82</x:v>
      </x:c>
      <x:c r="Q476">
        <x:v>85</x:v>
      </x:c>
      <x:c r="R476">
        <x:v>47</x:v>
      </x:c>
      <x:c r="S476">
        <x:v>65</x:v>
      </x:c>
      <x:c r="T476" s="63" t="n">
        <x:f>MAX(30,MIN(AB476-VLOOKUP(AE476,'AHL_PA_SC_BALANCE'!$A$8:$E$18,2,FALSE),VLOOKUP(AE476,'AHL_PA_SC_BALANCE'!$A$8:$E$18,4,FALSE)))</x:f>
        <x:v>51</x:v>
      </x:c>
      <x:c r="U476" s="63" t="n">
        <x:f>MAX(30,MIN(AC476-VLOOKUP(AE476,'AHL_PA_SC_BALANCE'!$A$8:$E$18,3,FALSE),VLOOKUP(AE476,'AHL_PA_SC_BALANCE'!$A$8:$E$18,5,FALSE)))</x:f>
        <x:v>52</x:v>
      </x:c>
      <x:c r="V476">
        <x:v>62</x:v>
      </x:c>
      <x:c r="W476">
        <x:v>69</x:v>
      </x:c>
      <x:c r="X476">
        <x:v>67</x:v>
      </x:c>
      <x:c r="Y476">
        <x:v>64</x:v>
      </x:c>
      <x:c r="Z476">
        <x:v>51</x:v>
      </x:c>
      <x:c r="AA476">
        <x:v>51</x:v>
      </x:c>
      <x:c r="AB476" s="57" t="n">
        <x:v>51</x:v>
      </x:c>
      <x:c r="AC476" s="57" t="n">
        <x:v>52</x:v>
      </x:c>
      <x:c r="AD476" s="59"/>
      <x:c r="AE476" s="61" t="str">
        <x:f>IF(N(F476)&gt;=10,"NHL_LATEST_10",IF(AND(N(F476)&gt;0,N(G476)&gt;0),"NHL_BOTH_SEASONS",IF(N(G476)&gt;=10,"NHL_PREVIOUS_10",IF(AND(ISNUMBER(AD476),AD476=0,SUM(F476:G476)=0),"FARM_CAREER_0",IF(COUNT(F476:G476)&lt;2,"UNKNOWN_GP",IF(AND(F476=0,G476=0),IF(AD476&gt;=10,"FARM_LEGACY_10",IF(AND(ISNUMBER(AD476),AD476&gt;0),"FARM_CAREER_1_9","FARM_0_0")),IF(F476&gt;=1,IF(F476&lt;=3,"FARM_RECENT_1_3","FARM_RECENT_4_9"),"FARM_PREV_1_9_ONLY")))))))</x:f>
        <x:v>UNKNOWN_GP</x:v>
      </x:c>
      <x:c r="AF476" s="57" t="n">
        <x:f>AB476-T476</x:f>
        <x:v>0</x:v>
      </x:c>
      <x:c r="AG476" s="57" t="n">
        <x:f>AC476-U476</x:f>
        <x:v>0</x:v>
      </x:c>
    </x:row>
    <x:row r="477">
      <x:c r="A477" t="s">
        <x:v>1499</x:v>
      </x:c>
      <x:c r="C477" t="s">
        <x:v>339</x:v>
      </x:c>
      <x:c r="D477">
        <x:v>8482081</x:v>
      </x:c>
      <x:c r="E477" t="s">
        <x:v>267</x:v>
      </x:c>
      <x:c r="J477" t="s">
        <x:v>2474</x:v>
      </x:c>
      <x:c r="K477">
        <x:v>59</x:v>
      </x:c>
      <x:c r="L477">
        <x:v>32</x:v>
      </x:c>
      <x:c r="M477">
        <x:v>89</x:v>
      </x:c>
      <x:c r="N477">
        <x:v>46</x:v>
      </x:c>
      <x:c r="O477">
        <x:v>76</x:v>
      </x:c>
      <x:c r="P477">
        <x:v>91</x:v>
      </x:c>
      <x:c r="Q477">
        <x:v>95</x:v>
      </x:c>
      <x:c r="R477">
        <x:v>45</x:v>
      </x:c>
      <x:c r="S477">
        <x:v>79</x:v>
      </x:c>
      <x:c r="T477" s="63" t="n">
        <x:f>MAX(30,MIN(AB477-VLOOKUP(AE477,'AHL_PA_SC_BALANCE'!$A$8:$E$18,2,FALSE),VLOOKUP(AE477,'AHL_PA_SC_BALANCE'!$A$8:$E$18,4,FALSE)))</x:f>
        <x:v>49</x:v>
      </x:c>
      <x:c r="U477" s="63" t="n">
        <x:f>MAX(30,MIN(AC477-VLOOKUP(AE477,'AHL_PA_SC_BALANCE'!$A$8:$E$18,3,FALSE),VLOOKUP(AE477,'AHL_PA_SC_BALANCE'!$A$8:$E$18,5,FALSE)))</x:f>
        <x:v>45</x:v>
      </x:c>
      <x:c r="V477">
        <x:v>58</x:v>
      </x:c>
      <x:c r="W477">
        <x:v>69</x:v>
      </x:c>
      <x:c r="X477">
        <x:v>68</x:v>
      </x:c>
      <x:c r="Y477">
        <x:v>67</x:v>
      </x:c>
      <x:c r="Z477">
        <x:v>51</x:v>
      </x:c>
      <x:c r="AA477">
        <x:v>51</x:v>
      </x:c>
      <x:c r="AB477" s="57" t="n">
        <x:v>49</x:v>
      </x:c>
      <x:c r="AC477" s="57" t="n">
        <x:v>45</x:v>
      </x:c>
      <x:c r="AD477" s="59"/>
      <x:c r="AE477" s="61" t="str">
        <x:f>IF(N(F477)&gt;=10,"NHL_LATEST_10",IF(AND(N(F477)&gt;0,N(G477)&gt;0),"NHL_BOTH_SEASONS",IF(N(G477)&gt;=10,"NHL_PREVIOUS_10",IF(AND(ISNUMBER(AD477),AD477=0,SUM(F477:G477)=0),"FARM_CAREER_0",IF(COUNT(F477:G477)&lt;2,"UNKNOWN_GP",IF(AND(F477=0,G477=0),IF(AD477&gt;=10,"FARM_LEGACY_10",IF(AND(ISNUMBER(AD477),AD477&gt;0),"FARM_CAREER_1_9","FARM_0_0")),IF(F477&gt;=1,IF(F477&lt;=3,"FARM_RECENT_1_3","FARM_RECENT_4_9"),"FARM_PREV_1_9_ONLY")))))))</x:f>
        <x:v>UNKNOWN_GP</x:v>
      </x:c>
      <x:c r="AF477" s="57" t="n">
        <x:f>AB477-T477</x:f>
        <x:v>0</x:v>
      </x:c>
      <x:c r="AG477" s="57" t="n">
        <x:f>AC477-U477</x:f>
        <x:v>0</x:v>
      </x:c>
    </x:row>
    <x:row r="478">
      <x:c r="A478" t="s">
        <x:v>1500</x:v>
      </x:c>
      <x:c r="C478" t="s">
        <x:v>358</x:v>
      </x:c>
      <x:c r="D478">
        <x:v>8481683</x:v>
      </x:c>
      <x:c r="E478" t="s">
        <x:v>267</x:v>
      </x:c>
      <x:c r="J478" t="s">
        <x:v>2474</x:v>
      </x:c>
      <x:c r="K478">
        <x:v>65</x:v>
      </x:c>
      <x:c r="L478">
        <x:v>35</x:v>
      </x:c>
      <x:c r="M478">
        <x:v>85</x:v>
      </x:c>
      <x:c r="N478">
        <x:v>45</x:v>
      </x:c>
      <x:c r="O478">
        <x:v>83</x:v>
      </x:c>
      <x:c r="P478">
        <x:v>83</x:v>
      </x:c>
      <x:c r="Q478">
        <x:v>87</x:v>
      </x:c>
      <x:c r="R478">
        <x:v>45</x:v>
      </x:c>
      <x:c r="S478">
        <x:v>60</x:v>
      </x:c>
      <x:c r="T478" s="63" t="n">
        <x:f>MAX(30,MIN(AB478-VLOOKUP(AE478,'AHL_PA_SC_BALANCE'!$A$8:$E$18,2,FALSE),VLOOKUP(AE478,'AHL_PA_SC_BALANCE'!$A$8:$E$18,4,FALSE)))</x:f>
        <x:v>45</x:v>
      </x:c>
      <x:c r="U478" s="63" t="n">
        <x:f>MAX(30,MIN(AC478-VLOOKUP(AE478,'AHL_PA_SC_BALANCE'!$A$8:$E$18,3,FALSE),VLOOKUP(AE478,'AHL_PA_SC_BALANCE'!$A$8:$E$18,5,FALSE)))</x:f>
        <x:v>46</x:v>
      </x:c>
      <x:c r="V478">
        <x:v>59</x:v>
      </x:c>
      <x:c r="W478">
        <x:v>67</x:v>
      </x:c>
      <x:c r="X478">
        <x:v>69</x:v>
      </x:c>
      <x:c r="Y478">
        <x:v>70</x:v>
      </x:c>
      <x:c r="Z478">
        <x:v>51</x:v>
      </x:c>
      <x:c r="AA478">
        <x:v>51</x:v>
      </x:c>
      <x:c r="AB478" s="57" t="n">
        <x:v>45</x:v>
      </x:c>
      <x:c r="AC478" s="57" t="n">
        <x:v>46</x:v>
      </x:c>
      <x:c r="AD478" s="59"/>
      <x:c r="AE478" s="61" t="str">
        <x:f>IF(N(F478)&gt;=10,"NHL_LATEST_10",IF(AND(N(F478)&gt;0,N(G478)&gt;0),"NHL_BOTH_SEASONS",IF(N(G478)&gt;=10,"NHL_PREVIOUS_10",IF(AND(ISNUMBER(AD478),AD478=0,SUM(F478:G478)=0),"FARM_CAREER_0",IF(COUNT(F478:G478)&lt;2,"UNKNOWN_GP",IF(AND(F478=0,G478=0),IF(AD478&gt;=10,"FARM_LEGACY_10",IF(AND(ISNUMBER(AD478),AD478&gt;0),"FARM_CAREER_1_9","FARM_0_0")),IF(F478&gt;=1,IF(F478&lt;=3,"FARM_RECENT_1_3","FARM_RECENT_4_9"),"FARM_PREV_1_9_ONLY")))))))</x:f>
        <x:v>UNKNOWN_GP</x:v>
      </x:c>
      <x:c r="AF478" s="57" t="n">
        <x:f>AB478-T478</x:f>
        <x:v>0</x:v>
      </x:c>
      <x:c r="AG478" s="57" t="n">
        <x:f>AC478-U478</x:f>
        <x:v>0</x:v>
      </x:c>
    </x:row>
    <x:row r="479">
      <x:c r="A479" t="s">
        <x:v>1501</x:v>
      </x:c>
      <x:c r="C479" t="s">
        <x:v>331</x:v>
      </x:c>
      <x:c r="D479">
        <x:v>8486118</x:v>
      </x:c>
      <x:c r="E479" t="s">
        <x:v>267</x:v>
      </x:c>
      <x:c r="J479" t="s">
        <x:v>2474</x:v>
      </x:c>
      <x:c r="K479">
        <x:v>73</x:v>
      </x:c>
      <x:c r="L479">
        <x:v>55</x:v>
      </x:c>
      <x:c r="M479">
        <x:v>69</x:v>
      </x:c>
      <x:c r="N479">
        <x:v>34</x:v>
      </x:c>
      <x:c r="O479">
        <x:v>84</x:v>
      </x:c>
      <x:c r="P479">
        <x:v>71</x:v>
      </x:c>
      <x:c r="Q479">
        <x:v>74</x:v>
      </x:c>
      <x:c r="R479">
        <x:v>33</x:v>
      </x:c>
      <x:c r="S479">
        <x:v>30</x:v>
      </x:c>
      <x:c r="T479" s="63" t="n">
        <x:f>MAX(30,MIN(AB479-VLOOKUP(AE479,'AHL_PA_SC_BALANCE'!$A$8:$E$18,2,FALSE),VLOOKUP(AE479,'AHL_PA_SC_BALANCE'!$A$8:$E$18,4,FALSE)))</x:f>
        <x:v>42</x:v>
      </x:c>
      <x:c r="U479" s="63" t="n">
        <x:f>MAX(30,MIN(AC479-VLOOKUP(AE479,'AHL_PA_SC_BALANCE'!$A$8:$E$18,3,FALSE),VLOOKUP(AE479,'AHL_PA_SC_BALANCE'!$A$8:$E$18,5,FALSE)))</x:f>
        <x:v>41</x:v>
      </x:c>
      <x:c r="V479">
        <x:v>64</x:v>
      </x:c>
      <x:c r="W479">
        <x:v>46</x:v>
      </x:c>
      <x:c r="X479">
        <x:v>66</x:v>
      </x:c>
      <x:c r="Y479">
        <x:v>66</x:v>
      </x:c>
      <x:c r="Z479">
        <x:v>51</x:v>
      </x:c>
      <x:c r="AA479">
        <x:v>51</x:v>
      </x:c>
      <x:c r="AB479" s="57" t="n">
        <x:v>42</x:v>
      </x:c>
      <x:c r="AC479" s="57" t="n">
        <x:v>41</x:v>
      </x:c>
      <x:c r="AD479" s="59"/>
      <x:c r="AE479" s="61" t="str">
        <x:f>IF(N(F479)&gt;=10,"NHL_LATEST_10",IF(AND(N(F479)&gt;0,N(G479)&gt;0),"NHL_BOTH_SEASONS",IF(N(G479)&gt;=10,"NHL_PREVIOUS_10",IF(AND(ISNUMBER(AD479),AD479=0,SUM(F479:G479)=0),"FARM_CAREER_0",IF(COUNT(F479:G479)&lt;2,"UNKNOWN_GP",IF(AND(F479=0,G479=0),IF(AD479&gt;=10,"FARM_LEGACY_10",IF(AND(ISNUMBER(AD479),AD479&gt;0),"FARM_CAREER_1_9","FARM_0_0")),IF(F479&gt;=1,IF(F479&lt;=3,"FARM_RECENT_1_3","FARM_RECENT_4_9"),"FARM_PREV_1_9_ONLY")))))))</x:f>
        <x:v>UNKNOWN_GP</x:v>
      </x:c>
      <x:c r="AF479" s="57" t="n">
        <x:f>AB479-T479</x:f>
        <x:v>0</x:v>
      </x:c>
      <x:c r="AG479" s="57" t="n">
        <x:f>AC479-U479</x:f>
        <x:v>0</x:v>
      </x:c>
    </x:row>
    <x:row r="480">
      <x:c r="A480" t="s">
        <x:v>1502</x:v>
      </x:c>
      <x:c r="C480" t="s">
        <x:v>331</x:v>
      </x:c>
      <x:c r="D480">
        <x:v>8482478</x:v>
      </x:c>
      <x:c r="E480" t="s">
        <x:v>267</x:v>
      </x:c>
      <x:c r="J480" t="s">
        <x:v>2474</x:v>
      </x:c>
      <x:c r="K480">
        <x:v>77</x:v>
      </x:c>
      <x:c r="L480">
        <x:v>34</x:v>
      </x:c>
      <x:c r="M480">
        <x:v>82</x:v>
      </x:c>
      <x:c r="N480">
        <x:v>31</x:v>
      </x:c>
      <x:c r="O480">
        <x:v>79</x:v>
      </x:c>
      <x:c r="P480">
        <x:v>82</x:v>
      </x:c>
      <x:c r="Q480">
        <x:v>84</x:v>
      </x:c>
      <x:c r="R480">
        <x:v>32</x:v>
      </x:c>
      <x:c r="S480">
        <x:v>30</x:v>
      </x:c>
      <x:c r="T480" s="63" t="n">
        <x:f>MAX(30,MIN(AB480-VLOOKUP(AE480,'AHL_PA_SC_BALANCE'!$A$8:$E$18,2,FALSE),VLOOKUP(AE480,'AHL_PA_SC_BALANCE'!$A$8:$E$18,4,FALSE)))</x:f>
        <x:v>41</x:v>
      </x:c>
      <x:c r="U480" s="63" t="n">
        <x:f>MAX(30,MIN(AC480-VLOOKUP(AE480,'AHL_PA_SC_BALANCE'!$A$8:$E$18,3,FALSE),VLOOKUP(AE480,'AHL_PA_SC_BALANCE'!$A$8:$E$18,5,FALSE)))</x:f>
        <x:v>39</x:v>
      </x:c>
      <x:c r="V480">
        <x:v>64</x:v>
      </x:c>
      <x:c r="W480">
        <x:v>45</x:v>
      </x:c>
      <x:c r="X480">
        <x:v>67</x:v>
      </x:c>
      <x:c r="Y480">
        <x:v>66</x:v>
      </x:c>
      <x:c r="Z480">
        <x:v>51</x:v>
      </x:c>
      <x:c r="AA480">
        <x:v>51</x:v>
      </x:c>
      <x:c r="AB480" s="57" t="n">
        <x:v>41</x:v>
      </x:c>
      <x:c r="AC480" s="57" t="n">
        <x:v>39</x:v>
      </x:c>
      <x:c r="AD480" s="59"/>
      <x:c r="AE480" s="61" t="str">
        <x:f>IF(N(F480)&gt;=10,"NHL_LATEST_10",IF(AND(N(F480)&gt;0,N(G480)&gt;0),"NHL_BOTH_SEASONS",IF(N(G480)&gt;=10,"NHL_PREVIOUS_10",IF(AND(ISNUMBER(AD480),AD480=0,SUM(F480:G480)=0),"FARM_CAREER_0",IF(COUNT(F480:G480)&lt;2,"UNKNOWN_GP",IF(AND(F480=0,G480=0),IF(AD480&gt;=10,"FARM_LEGACY_10",IF(AND(ISNUMBER(AD480),AD480&gt;0),"FARM_CAREER_1_9","FARM_0_0")),IF(F480&gt;=1,IF(F480&lt;=3,"FARM_RECENT_1_3","FARM_RECENT_4_9"),"FARM_PREV_1_9_ONLY")))))))</x:f>
        <x:v>UNKNOWN_GP</x:v>
      </x:c>
      <x:c r="AF480" s="57" t="n">
        <x:f>AB480-T480</x:f>
        <x:v>0</x:v>
      </x:c>
      <x:c r="AG480" s="57" t="n">
        <x:f>AC480-U480</x:f>
        <x:v>0</x:v>
      </x:c>
    </x:row>
    <x:row r="481">
      <x:c r="A481" t="s">
        <x:v>1503</x:v>
      </x:c>
      <x:c r="C481" t="s">
        <x:v>326</x:v>
      </x:c>
      <x:c r="D481">
        <x:v>8482652</x:v>
      </x:c>
      <x:c r="E481" t="s">
        <x:v>267</x:v>
      </x:c>
      <x:c r="J481" t="s">
        <x:v>2474</x:v>
      </x:c>
      <x:c r="K481">
        <x:v>73</x:v>
      </x:c>
      <x:c r="L481">
        <x:v>35</x:v>
      </x:c>
      <x:c r="M481">
        <x:v>89</x:v>
      </x:c>
      <x:c r="N481">
        <x:v>44</x:v>
      </x:c>
      <x:c r="O481">
        <x:v>83</x:v>
      </x:c>
      <x:c r="P481">
        <x:v>84</x:v>
      </x:c>
      <x:c r="Q481">
        <x:v>88</x:v>
      </x:c>
      <x:c r="R481">
        <x:v>45</x:v>
      </x:c>
      <x:c r="S481">
        <x:v>62</x:v>
      </x:c>
      <x:c r="T481" s="63" t="n">
        <x:f>MAX(30,MIN(AB481-VLOOKUP(AE481,'AHL_PA_SC_BALANCE'!$A$8:$E$18,2,FALSE),VLOOKUP(AE481,'AHL_PA_SC_BALANCE'!$A$8:$E$18,4,FALSE)))</x:f>
        <x:v>50</x:v>
      </x:c>
      <x:c r="U481" s="63" t="n">
        <x:f>MAX(30,MIN(AC481-VLOOKUP(AE481,'AHL_PA_SC_BALANCE'!$A$8:$E$18,3,FALSE),VLOOKUP(AE481,'AHL_PA_SC_BALANCE'!$A$8:$E$18,5,FALSE)))</x:f>
        <x:v>52</x:v>
      </x:c>
      <x:c r="V481">
        <x:v>62</x:v>
      </x:c>
      <x:c r="W481">
        <x:v>66</x:v>
      </x:c>
      <x:c r="X481">
        <x:v>75</x:v>
      </x:c>
      <x:c r="Y481">
        <x:v>71</x:v>
      </x:c>
      <x:c r="Z481">
        <x:v>51</x:v>
      </x:c>
      <x:c r="AA481">
        <x:v>51</x:v>
      </x:c>
      <x:c r="AB481" s="57" t="n">
        <x:v>50</x:v>
      </x:c>
      <x:c r="AC481" s="57" t="n">
        <x:v>52</x:v>
      </x:c>
      <x:c r="AD481" s="59"/>
      <x:c r="AE481" s="61" t="str">
        <x:f>IF(N(F481)&gt;=10,"NHL_LATEST_10",IF(AND(N(F481)&gt;0,N(G481)&gt;0),"NHL_BOTH_SEASONS",IF(N(G481)&gt;=10,"NHL_PREVIOUS_10",IF(AND(ISNUMBER(AD481),AD481=0,SUM(F481:G481)=0),"FARM_CAREER_0",IF(COUNT(F481:G481)&lt;2,"UNKNOWN_GP",IF(AND(F481=0,G481=0),IF(AD481&gt;=10,"FARM_LEGACY_10",IF(AND(ISNUMBER(AD481),AD481&gt;0),"FARM_CAREER_1_9","FARM_0_0")),IF(F481&gt;=1,IF(F481&lt;=3,"FARM_RECENT_1_3","FARM_RECENT_4_9"),"FARM_PREV_1_9_ONLY")))))))</x:f>
        <x:v>UNKNOWN_GP</x:v>
      </x:c>
      <x:c r="AF481" s="57" t="n">
        <x:f>AB481-T481</x:f>
        <x:v>0</x:v>
      </x:c>
      <x:c r="AG481" s="57" t="n">
        <x:f>AC481-U481</x:f>
        <x:v>0</x:v>
      </x:c>
    </x:row>
    <x:row r="482">
      <x:c r="A482" t="s">
        <x:v>1504</x:v>
      </x:c>
      <x:c r="C482" t="s">
        <x:v>331</x:v>
      </x:c>
      <x:c r="D482">
        <x:v>8481745</x:v>
      </x:c>
      <x:c r="E482" t="s">
        <x:v>267</x:v>
      </x:c>
      <x:c r="J482" t="s">
        <x:v>2474</x:v>
      </x:c>
      <x:c r="K482">
        <x:v>69</x:v>
      </x:c>
      <x:c r="L482">
        <x:v>41</x:v>
      </x:c>
      <x:c r="M482">
        <x:v>76</x:v>
      </x:c>
      <x:c r="N482">
        <x:v>32</x:v>
      </x:c>
      <x:c r="O482">
        <x:v>80</x:v>
      </x:c>
      <x:c r="P482">
        <x:v>76</x:v>
      </x:c>
      <x:c r="Q482">
        <x:v>79</x:v>
      </x:c>
      <x:c r="R482">
        <x:v>31</x:v>
      </x:c>
      <x:c r="S482">
        <x:v>30</x:v>
      </x:c>
      <x:c r="T482" s="63" t="n">
        <x:f>MAX(30,MIN(AB482-VLOOKUP(AE482,'AHL_PA_SC_BALANCE'!$A$8:$E$18,2,FALSE),VLOOKUP(AE482,'AHL_PA_SC_BALANCE'!$A$8:$E$18,4,FALSE)))</x:f>
        <x:v>42</x:v>
      </x:c>
      <x:c r="U482" s="63" t="n">
        <x:f>MAX(30,MIN(AC482-VLOOKUP(AE482,'AHL_PA_SC_BALANCE'!$A$8:$E$18,3,FALSE),VLOOKUP(AE482,'AHL_PA_SC_BALANCE'!$A$8:$E$18,5,FALSE)))</x:f>
        <x:v>39</x:v>
      </x:c>
      <x:c r="V482">
        <x:v>65</x:v>
      </x:c>
      <x:c r="W482">
        <x:v>45</x:v>
      </x:c>
      <x:c r="X482">
        <x:v>67</x:v>
      </x:c>
      <x:c r="Y482">
        <x:v>68</x:v>
      </x:c>
      <x:c r="Z482">
        <x:v>51</x:v>
      </x:c>
      <x:c r="AA482">
        <x:v>51</x:v>
      </x:c>
      <x:c r="AB482" s="57" t="n">
        <x:v>42</x:v>
      </x:c>
      <x:c r="AC482" s="57" t="n">
        <x:v>39</x:v>
      </x:c>
      <x:c r="AD482" s="59"/>
      <x:c r="AE482" s="61" t="str">
        <x:f>IF(N(F482)&gt;=10,"NHL_LATEST_10",IF(AND(N(F482)&gt;0,N(G482)&gt;0),"NHL_BOTH_SEASONS",IF(N(G482)&gt;=10,"NHL_PREVIOUS_10",IF(AND(ISNUMBER(AD482),AD482=0,SUM(F482:G482)=0),"FARM_CAREER_0",IF(COUNT(F482:G482)&lt;2,"UNKNOWN_GP",IF(AND(F482=0,G482=0),IF(AD482&gt;=10,"FARM_LEGACY_10",IF(AND(ISNUMBER(AD482),AD482&gt;0),"FARM_CAREER_1_9","FARM_0_0")),IF(F482&gt;=1,IF(F482&lt;=3,"FARM_RECENT_1_3","FARM_RECENT_4_9"),"FARM_PREV_1_9_ONLY")))))))</x:f>
        <x:v>UNKNOWN_GP</x:v>
      </x:c>
      <x:c r="AF482" s="57" t="n">
        <x:f>AB482-T482</x:f>
        <x:v>0</x:v>
      </x:c>
      <x:c r="AG482" s="57" t="n">
        <x:f>AC482-U482</x:f>
        <x:v>0</x:v>
      </x:c>
    </x:row>
    <x:row r="483">
      <x:c r="A483" t="s">
        <x:v>1505</x:v>
      </x:c>
      <x:c r="C483" t="s">
        <x:v>319</x:v>
      </x:c>
      <x:c r="D483">
        <x:v>8482496</x:v>
      </x:c>
      <x:c r="E483" t="s">
        <x:v>267</x:v>
      </x:c>
      <x:c r="J483" t="s">
        <x:v>2474</x:v>
      </x:c>
      <x:c r="K483">
        <x:v>65</x:v>
      </x:c>
      <x:c r="L483">
        <x:v>35</x:v>
      </x:c>
      <x:c r="M483">
        <x:v>89</x:v>
      </x:c>
      <x:c r="N483">
        <x:v>45</x:v>
      </x:c>
      <x:c r="O483">
        <x:v>77</x:v>
      </x:c>
      <x:c r="P483">
        <x:v>81</x:v>
      </x:c>
      <x:c r="Q483">
        <x:v>84</x:v>
      </x:c>
      <x:c r="R483">
        <x:v>44</x:v>
      </x:c>
      <x:c r="S483">
        <x:v>71</x:v>
      </x:c>
      <x:c r="T483" s="63" t="n">
        <x:f>MAX(30,MIN(AB483-VLOOKUP(AE483,'AHL_PA_SC_BALANCE'!$A$8:$E$18,2,FALSE),VLOOKUP(AE483,'AHL_PA_SC_BALANCE'!$A$8:$E$18,4,FALSE)))</x:f>
        <x:v>53</x:v>
      </x:c>
      <x:c r="U483" s="63" t="n">
        <x:f>MAX(30,MIN(AC483-VLOOKUP(AE483,'AHL_PA_SC_BALANCE'!$A$8:$E$18,3,FALSE),VLOOKUP(AE483,'AHL_PA_SC_BALANCE'!$A$8:$E$18,5,FALSE)))</x:f>
        <x:v>51</x:v>
      </x:c>
      <x:c r="V483">
        <x:v>62</x:v>
      </x:c>
      <x:c r="W483">
        <x:v>67</x:v>
      </x:c>
      <x:c r="X483">
        <x:v>70</x:v>
      </x:c>
      <x:c r="Y483">
        <x:v>68</x:v>
      </x:c>
      <x:c r="Z483">
        <x:v>51</x:v>
      </x:c>
      <x:c r="AA483">
        <x:v>51</x:v>
      </x:c>
      <x:c r="AB483" s="57" t="n">
        <x:v>53</x:v>
      </x:c>
      <x:c r="AC483" s="57" t="n">
        <x:v>51</x:v>
      </x:c>
      <x:c r="AD483" s="59"/>
      <x:c r="AE483" s="61" t="str">
        <x:f>IF(N(F483)&gt;=10,"NHL_LATEST_10",IF(AND(N(F483)&gt;0,N(G483)&gt;0),"NHL_BOTH_SEASONS",IF(N(G483)&gt;=10,"NHL_PREVIOUS_10",IF(AND(ISNUMBER(AD483),AD483=0,SUM(F483:G483)=0),"FARM_CAREER_0",IF(COUNT(F483:G483)&lt;2,"UNKNOWN_GP",IF(AND(F483=0,G483=0),IF(AD483&gt;=10,"FARM_LEGACY_10",IF(AND(ISNUMBER(AD483),AD483&gt;0),"FARM_CAREER_1_9","FARM_0_0")),IF(F483&gt;=1,IF(F483&lt;=3,"FARM_RECENT_1_3","FARM_RECENT_4_9"),"FARM_PREV_1_9_ONLY")))))))</x:f>
        <x:v>UNKNOWN_GP</x:v>
      </x:c>
      <x:c r="AF483" s="57" t="n">
        <x:f>AB483-T483</x:f>
        <x:v>0</x:v>
      </x:c>
      <x:c r="AG483" s="57" t="n">
        <x:f>AC483-U483</x:f>
        <x:v>0</x:v>
      </x:c>
    </x:row>
    <x:row r="484">
      <x:c r="A484" t="s">
        <x:v>1506</x:v>
      </x:c>
      <x:c r="C484" t="s">
        <x:v>319</x:v>
      </x:c>
      <x:c r="D484">
        <x:v>8481576</x:v>
      </x:c>
      <x:c r="E484" t="s">
        <x:v>267</x:v>
      </x:c>
      <x:c r="J484" t="s">
        <x:v>2474</x:v>
      </x:c>
      <x:c r="K484">
        <x:v>62</x:v>
      </x:c>
      <x:c r="L484">
        <x:v>37</x:v>
      </x:c>
      <x:c r="M484">
        <x:v>85</x:v>
      </x:c>
      <x:c r="N484">
        <x:v>46</x:v>
      </x:c>
      <x:c r="O484">
        <x:v>76</x:v>
      </x:c>
      <x:c r="P484">
        <x:v>89</x:v>
      </x:c>
      <x:c r="Q484">
        <x:v>91</x:v>
      </x:c>
      <x:c r="R484">
        <x:v>47</x:v>
      </x:c>
      <x:c r="S484">
        <x:v>84</x:v>
      </x:c>
      <x:c r="T484" s="63" t="n">
        <x:f>MAX(30,MIN(AB484-VLOOKUP(AE484,'AHL_PA_SC_BALANCE'!$A$8:$E$18,2,FALSE),VLOOKUP(AE484,'AHL_PA_SC_BALANCE'!$A$8:$E$18,4,FALSE)))</x:f>
        <x:v>50</x:v>
      </x:c>
      <x:c r="U484" s="63" t="n">
        <x:f>MAX(30,MIN(AC484-VLOOKUP(AE484,'AHL_PA_SC_BALANCE'!$A$8:$E$18,3,FALSE),VLOOKUP(AE484,'AHL_PA_SC_BALANCE'!$A$8:$E$18,5,FALSE)))</x:f>
        <x:v>44</x:v>
      </x:c>
      <x:c r="V484">
        <x:v>60</x:v>
      </x:c>
      <x:c r="W484">
        <x:v>69</x:v>
      </x:c>
      <x:c r="X484">
        <x:v>68</x:v>
      </x:c>
      <x:c r="Y484">
        <x:v>67</x:v>
      </x:c>
      <x:c r="Z484">
        <x:v>51</x:v>
      </x:c>
      <x:c r="AA484">
        <x:v>51</x:v>
      </x:c>
      <x:c r="AB484" s="57" t="n">
        <x:v>50</x:v>
      </x:c>
      <x:c r="AC484" s="57" t="n">
        <x:v>44</x:v>
      </x:c>
      <x:c r="AD484" s="59"/>
      <x:c r="AE484" s="61" t="str">
        <x:f>IF(N(F484)&gt;=10,"NHL_LATEST_10",IF(AND(N(F484)&gt;0,N(G484)&gt;0),"NHL_BOTH_SEASONS",IF(N(G484)&gt;=10,"NHL_PREVIOUS_10",IF(AND(ISNUMBER(AD484),AD484=0,SUM(F484:G484)=0),"FARM_CAREER_0",IF(COUNT(F484:G484)&lt;2,"UNKNOWN_GP",IF(AND(F484=0,G484=0),IF(AD484&gt;=10,"FARM_LEGACY_10",IF(AND(ISNUMBER(AD484),AD484&gt;0),"FARM_CAREER_1_9","FARM_0_0")),IF(F484&gt;=1,IF(F484&lt;=3,"FARM_RECENT_1_3","FARM_RECENT_4_9"),"FARM_PREV_1_9_ONLY")))))))</x:f>
        <x:v>UNKNOWN_GP</x:v>
      </x:c>
      <x:c r="AF484" s="57" t="n">
        <x:f>AB484-T484</x:f>
        <x:v>0</x:v>
      </x:c>
      <x:c r="AG484" s="57" t="n">
        <x:f>AC484-U484</x:f>
        <x:v>0</x:v>
      </x:c>
    </x:row>
    <x:row r="485">
      <x:c r="A485" t="s">
        <x:v>1507</x:v>
      </x:c>
      <x:c r="B485" t="s">
        <x:v>354</x:v>
      </x:c>
      <x:c r="C485" t="s">
        <x:v>331</x:v>
      </x:c>
      <x:c r="D485">
        <x:v>8477995</x:v>
      </x:c>
      <x:c r="E485" t="s">
        <x:v>267</x:v>
      </x:c>
      <x:c r="J485" t="s">
        <x:v>2476</x:v>
      </x:c>
      <x:c r="K485">
        <x:v>79</x:v>
      </x:c>
      <x:c r="L485">
        <x:v>39</x:v>
      </x:c>
      <x:c r="M485">
        <x:v>86</x:v>
      </x:c>
      <x:c r="N485">
        <x:v>30</x:v>
      </x:c>
      <x:c r="O485">
        <x:v>83</x:v>
      </x:c>
      <x:c r="P485">
        <x:v>77</x:v>
      </x:c>
      <x:c r="Q485">
        <x:v>80</x:v>
      </x:c>
      <x:c r="R485">
        <x:v>31</x:v>
      </x:c>
      <x:c r="S485">
        <x:v>30</x:v>
      </x:c>
      <x:c r="T485" s="63" t="n">
        <x:f>MAX(30,MIN(AB485-VLOOKUP(AE485,'AHL_PA_SC_BALANCE'!$A$8:$E$18,2,FALSE),VLOOKUP(AE485,'AHL_PA_SC_BALANCE'!$A$8:$E$18,4,FALSE)))</x:f>
        <x:v>41</x:v>
      </x:c>
      <x:c r="U485" s="63" t="n">
        <x:f>MAX(30,MIN(AC485-VLOOKUP(AE485,'AHL_PA_SC_BALANCE'!$A$8:$E$18,3,FALSE),VLOOKUP(AE485,'AHL_PA_SC_BALANCE'!$A$8:$E$18,5,FALSE)))</x:f>
        <x:v>39</x:v>
      </x:c>
      <x:c r="V485">
        <x:v>64</x:v>
      </x:c>
      <x:c r="W485">
        <x:v>45</x:v>
      </x:c>
      <x:c r="X485">
        <x:v>72</x:v>
      </x:c>
      <x:c r="Y485">
        <x:v>72</x:v>
      </x:c>
      <x:c r="Z485">
        <x:v>51</x:v>
      </x:c>
      <x:c r="AA485">
        <x:v>51</x:v>
      </x:c>
      <x:c r="AB485" s="57" t="n">
        <x:v>41</x:v>
      </x:c>
      <x:c r="AC485" s="57" t="n">
        <x:v>39</x:v>
      </x:c>
      <x:c r="AD485" s="59"/>
      <x:c r="AE485" s="61" t="str">
        <x:f>IF(N(F485)&gt;=10,"NHL_LATEST_10",IF(AND(N(F485)&gt;0,N(G485)&gt;0),"NHL_BOTH_SEASONS",IF(N(G485)&gt;=10,"NHL_PREVIOUS_10",IF(AND(ISNUMBER(AD485),AD485=0,SUM(F485:G485)=0),"FARM_CAREER_0",IF(COUNT(F485:G485)&lt;2,"UNKNOWN_GP",IF(AND(F485=0,G485=0),IF(AD485&gt;=10,"FARM_LEGACY_10",IF(AND(ISNUMBER(AD485),AD485&gt;0),"FARM_CAREER_1_9","FARM_0_0")),IF(F485&gt;=1,IF(F485&lt;=3,"FARM_RECENT_1_3","FARM_RECENT_4_9"),"FARM_PREV_1_9_ONLY")))))))</x:f>
        <x:v>UNKNOWN_GP</x:v>
      </x:c>
      <x:c r="AF485" s="57" t="n">
        <x:f>AB485-T485</x:f>
        <x:v>0</x:v>
      </x:c>
      <x:c r="AG485" s="57" t="n">
        <x:f>AC485-U485</x:f>
        <x:v>0</x:v>
      </x:c>
    </x:row>
    <x:row r="486">
      <x:c r="A486" t="s">
        <x:v>1508</x:v>
      </x:c>
      <x:c r="C486" t="s">
        <x:v>333</x:v>
      </x:c>
      <x:c r="D486">
        <x:v>8481591</x:v>
      </x:c>
      <x:c r="E486" t="s">
        <x:v>267</x:v>
      </x:c>
      <x:c r="J486" t="s">
        <x:v>2474</x:v>
      </x:c>
      <x:c r="K486">
        <x:v>70</x:v>
      </x:c>
      <x:c r="L486">
        <x:v>34</x:v>
      </x:c>
      <x:c r="M486">
        <x:v>81</x:v>
      </x:c>
      <x:c r="N486">
        <x:v>46</x:v>
      </x:c>
      <x:c r="O486">
        <x:v>82</x:v>
      </x:c>
      <x:c r="P486">
        <x:v>90</x:v>
      </x:c>
      <x:c r="Q486">
        <x:v>95</x:v>
      </x:c>
      <x:c r="R486">
        <x:v>45</x:v>
      </x:c>
      <x:c r="S486">
        <x:v>65</x:v>
      </x:c>
      <x:c r="T486" s="63" t="n">
        <x:f>MAX(30,MIN(AB486-VLOOKUP(AE486,'AHL_PA_SC_BALANCE'!$A$8:$E$18,2,FALSE),VLOOKUP(AE486,'AHL_PA_SC_BALANCE'!$A$8:$E$18,4,FALSE)))</x:f>
        <x:v>49</x:v>
      </x:c>
      <x:c r="U486" s="63" t="n">
        <x:f>MAX(30,MIN(AC486-VLOOKUP(AE486,'AHL_PA_SC_BALANCE'!$A$8:$E$18,3,FALSE),VLOOKUP(AE486,'AHL_PA_SC_BALANCE'!$A$8:$E$18,5,FALSE)))</x:f>
        <x:v>48</x:v>
      </x:c>
      <x:c r="V486">
        <x:v>60</x:v>
      </x:c>
      <x:c r="W486">
        <x:v>67</x:v>
      </x:c>
      <x:c r="X486">
        <x:v>68</x:v>
      </x:c>
      <x:c r="Y486">
        <x:v>67</x:v>
      </x:c>
      <x:c r="Z486">
        <x:v>51</x:v>
      </x:c>
      <x:c r="AA486">
        <x:v>51</x:v>
      </x:c>
      <x:c r="AB486" s="57" t="n">
        <x:v>49</x:v>
      </x:c>
      <x:c r="AC486" s="57" t="n">
        <x:v>48</x:v>
      </x:c>
      <x:c r="AD486" s="59"/>
      <x:c r="AE486" s="61" t="str">
        <x:f>IF(N(F486)&gt;=10,"NHL_LATEST_10",IF(AND(N(F486)&gt;0,N(G486)&gt;0),"NHL_BOTH_SEASONS",IF(N(G486)&gt;=10,"NHL_PREVIOUS_10",IF(AND(ISNUMBER(AD486),AD486=0,SUM(F486:G486)=0),"FARM_CAREER_0",IF(COUNT(F486:G486)&lt;2,"UNKNOWN_GP",IF(AND(F486=0,G486=0),IF(AD486&gt;=10,"FARM_LEGACY_10",IF(AND(ISNUMBER(AD486),AD486&gt;0),"FARM_CAREER_1_9","FARM_0_0")),IF(F486&gt;=1,IF(F486&lt;=3,"FARM_RECENT_1_3","FARM_RECENT_4_9"),"FARM_PREV_1_9_ONLY")))))))</x:f>
        <x:v>UNKNOWN_GP</x:v>
      </x:c>
      <x:c r="AF486" s="57" t="n">
        <x:f>AB486-T486</x:f>
        <x:v>0</x:v>
      </x:c>
      <x:c r="AG486" s="57" t="n">
        <x:f>AC486-U486</x:f>
        <x:v>0</x:v>
      </x:c>
    </x:row>
    <x:row r="487">
      <x:c r="A487" t="s">
        <x:v>1509</x:v>
      </x:c>
      <x:c r="C487" t="s">
        <x:v>358</x:v>
      </x:c>
      <x:c r="D487">
        <x:v>8484159</x:v>
      </x:c>
      <x:c r="E487" t="s">
        <x:v>267</x:v>
      </x:c>
      <x:c r="J487" t="s">
        <x:v>2474</x:v>
      </x:c>
      <x:c r="K487">
        <x:v>58</x:v>
      </x:c>
      <x:c r="L487">
        <x:v>36</x:v>
      </x:c>
      <x:c r="M487">
        <x:v>87</x:v>
      </x:c>
      <x:c r="N487">
        <x:v>46</x:v>
      </x:c>
      <x:c r="O487">
        <x:v>78</x:v>
      </x:c>
      <x:c r="P487">
        <x:v>92</x:v>
      </x:c>
      <x:c r="Q487">
        <x:v>96</x:v>
      </x:c>
      <x:c r="R487">
        <x:v>47</x:v>
      </x:c>
      <x:c r="S487">
        <x:v>63</x:v>
      </x:c>
      <x:c r="T487" s="63" t="n">
        <x:f>MAX(30,MIN(AB487-VLOOKUP(AE487,'AHL_PA_SC_BALANCE'!$A$8:$E$18,2,FALSE),VLOOKUP(AE487,'AHL_PA_SC_BALANCE'!$A$8:$E$18,4,FALSE)))</x:f>
        <x:v>51</x:v>
      </x:c>
      <x:c r="U487" s="63" t="n">
        <x:f>MAX(30,MIN(AC487-VLOOKUP(AE487,'AHL_PA_SC_BALANCE'!$A$8:$E$18,3,FALSE),VLOOKUP(AE487,'AHL_PA_SC_BALANCE'!$A$8:$E$18,5,FALSE)))</x:f>
        <x:v>45</x:v>
      </x:c>
      <x:c r="V487">
        <x:v>59</x:v>
      </x:c>
      <x:c r="W487">
        <x:v>70</x:v>
      </x:c>
      <x:c r="X487">
        <x:v>65</x:v>
      </x:c>
      <x:c r="Y487">
        <x:v>65</x:v>
      </x:c>
      <x:c r="Z487">
        <x:v>51</x:v>
      </x:c>
      <x:c r="AA487">
        <x:v>51</x:v>
      </x:c>
      <x:c r="AB487" s="57" t="n">
        <x:v>51</x:v>
      </x:c>
      <x:c r="AC487" s="57" t="n">
        <x:v>45</x:v>
      </x:c>
      <x:c r="AD487" s="59"/>
      <x:c r="AE487" s="61" t="str">
        <x:f>IF(N(F487)&gt;=10,"NHL_LATEST_10",IF(AND(N(F487)&gt;0,N(G487)&gt;0),"NHL_BOTH_SEASONS",IF(N(G487)&gt;=10,"NHL_PREVIOUS_10",IF(AND(ISNUMBER(AD487),AD487=0,SUM(F487:G487)=0),"FARM_CAREER_0",IF(COUNT(F487:G487)&lt;2,"UNKNOWN_GP",IF(AND(F487=0,G487=0),IF(AD487&gt;=10,"FARM_LEGACY_10",IF(AND(ISNUMBER(AD487),AD487&gt;0),"FARM_CAREER_1_9","FARM_0_0")),IF(F487&gt;=1,IF(F487&lt;=3,"FARM_RECENT_1_3","FARM_RECENT_4_9"),"FARM_PREV_1_9_ONLY")))))))</x:f>
        <x:v>UNKNOWN_GP</x:v>
      </x:c>
      <x:c r="AF487" s="57" t="n">
        <x:f>AB487-T487</x:f>
        <x:v>0</x:v>
      </x:c>
      <x:c r="AG487" s="57" t="n">
        <x:f>AC487-U487</x:f>
        <x:v>0</x:v>
      </x:c>
    </x:row>
    <x:row r="488">
      <x:c r="A488" t="s">
        <x:v>1510</x:v>
      </x:c>
      <x:c r="C488" t="s">
        <x:v>319</x:v>
      </x:c>
      <x:c r="D488">
        <x:v>8478442</x:v>
      </x:c>
      <x:c r="E488" t="s">
        <x:v>267</x:v>
      </x:c>
      <x:c r="J488" t="s">
        <x:v>2474</x:v>
      </x:c>
      <x:c r="K488">
        <x:v>67</x:v>
      </x:c>
      <x:c r="L488">
        <x:v>39</x:v>
      </x:c>
      <x:c r="M488">
        <x:v>83</x:v>
      </x:c>
      <x:c r="N488">
        <x:v>44</x:v>
      </x:c>
      <x:c r="O488">
        <x:v>78</x:v>
      </x:c>
      <x:c r="P488">
        <x:v>81</x:v>
      </x:c>
      <x:c r="Q488">
        <x:v>84</x:v>
      </x:c>
      <x:c r="R488">
        <x:v>44</x:v>
      </x:c>
      <x:c r="S488">
        <x:v>73</x:v>
      </x:c>
      <x:c r="T488" s="63" t="n">
        <x:f>MAX(30,MIN(AB488-VLOOKUP(AE488,'AHL_PA_SC_BALANCE'!$A$8:$E$18,2,FALSE),VLOOKUP(AE488,'AHL_PA_SC_BALANCE'!$A$8:$E$18,4,FALSE)))</x:f>
        <x:v>46</x:v>
      </x:c>
      <x:c r="U488" s="63" t="n">
        <x:f>MAX(30,MIN(AC488-VLOOKUP(AE488,'AHL_PA_SC_BALANCE'!$A$8:$E$18,3,FALSE),VLOOKUP(AE488,'AHL_PA_SC_BALANCE'!$A$8:$E$18,5,FALSE)))</x:f>
        <x:v>43</x:v>
      </x:c>
      <x:c r="V488">
        <x:v>58</x:v>
      </x:c>
      <x:c r="W488">
        <x:v>65</x:v>
      </x:c>
      <x:c r="X488">
        <x:v>72</x:v>
      </x:c>
      <x:c r="Y488">
        <x:v>72</x:v>
      </x:c>
      <x:c r="Z488">
        <x:v>51</x:v>
      </x:c>
      <x:c r="AA488">
        <x:v>49</x:v>
      </x:c>
      <x:c r="AB488" s="57" t="n">
        <x:v>46</x:v>
      </x:c>
      <x:c r="AC488" s="57" t="n">
        <x:v>43</x:v>
      </x:c>
      <x:c r="AD488" s="59"/>
      <x:c r="AE488" s="61" t="str">
        <x:f>IF(N(F488)&gt;=10,"NHL_LATEST_10",IF(AND(N(F488)&gt;0,N(G488)&gt;0),"NHL_BOTH_SEASONS",IF(N(G488)&gt;=10,"NHL_PREVIOUS_10",IF(AND(ISNUMBER(AD488),AD488=0,SUM(F488:G488)=0),"FARM_CAREER_0",IF(COUNT(F488:G488)&lt;2,"UNKNOWN_GP",IF(AND(F488=0,G488=0),IF(AD488&gt;=10,"FARM_LEGACY_10",IF(AND(ISNUMBER(AD488),AD488&gt;0),"FARM_CAREER_1_9","FARM_0_0")),IF(F488&gt;=1,IF(F488&lt;=3,"FARM_RECENT_1_3","FARM_RECENT_4_9"),"FARM_PREV_1_9_ONLY")))))))</x:f>
        <x:v>UNKNOWN_GP</x:v>
      </x:c>
      <x:c r="AF488" s="57" t="n">
        <x:f>AB488-T488</x:f>
        <x:v>0</x:v>
      </x:c>
      <x:c r="AG488" s="57" t="n">
        <x:f>AC488-U488</x:f>
        <x:v>0</x:v>
      </x:c>
    </x:row>
    <x:row r="489">
      <x:c r="A489" t="s">
        <x:v>1511</x:v>
      </x:c>
      <x:c r="B489" t="s">
        <x:v>584</x:v>
      </x:c>
      <x:c r="C489" t="s">
        <x:v>358</x:v>
      </x:c>
      <x:c r="D489">
        <x:v>8481065</x:v>
      </x:c>
      <x:c r="E489" t="s">
        <x:v>267</x:v>
      </x:c>
      <x:c r="F489">
        <x:v>8</x:v>
      </x:c>
      <x:c r="G489">
        <x:v>8</x:v>
      </x:c>
      <x:c r="J489" t="s">
        <x:v>2485</x:v>
      </x:c>
      <x:c r="K489">
        <x:v>66</x:v>
      </x:c>
      <x:c r="L489">
        <x:v>33</x:v>
      </x:c>
      <x:c r="M489">
        <x:v>89</x:v>
      </x:c>
      <x:c r="N489">
        <x:v>45</x:v>
      </x:c>
      <x:c r="O489">
        <x:v>76</x:v>
      </x:c>
      <x:c r="P489">
        <x:v>89</x:v>
      </x:c>
      <x:c r="Q489">
        <x:v>93</x:v>
      </x:c>
      <x:c r="R489">
        <x:v>46</x:v>
      </x:c>
      <x:c r="S489">
        <x:v>61</x:v>
      </x:c>
      <x:c r="T489" s="63" t="n">
        <x:f>MAX(30,MIN(AB489-VLOOKUP(AE489,'AHL_PA_SC_BALANCE'!$A$8:$E$18,2,FALSE),VLOOKUP(AE489,'AHL_PA_SC_BALANCE'!$A$8:$E$18,4,FALSE)))</x:f>
        <x:v>47</x:v>
      </x:c>
      <x:c r="U489" s="63" t="n">
        <x:f>MAX(30,MIN(AC489-VLOOKUP(AE489,'AHL_PA_SC_BALANCE'!$A$8:$E$18,3,FALSE),VLOOKUP(AE489,'AHL_PA_SC_BALANCE'!$A$8:$E$18,5,FALSE)))</x:f>
        <x:v>51</x:v>
      </x:c>
      <x:c r="V489">
        <x:v>62</x:v>
      </x:c>
      <x:c r="W489">
        <x:v>65</x:v>
      </x:c>
      <x:c r="X489">
        <x:v>69</x:v>
      </x:c>
      <x:c r="Y489">
        <x:v>68</x:v>
      </x:c>
      <x:c r="Z489">
        <x:v>51</x:v>
      </x:c>
      <x:c r="AA489">
        <x:v>49</x:v>
      </x:c>
      <x:c r="AB489" s="57" t="n">
        <x:v>47</x:v>
      </x:c>
      <x:c r="AC489" s="57" t="n">
        <x:v>51</x:v>
      </x:c>
      <x:c r="AD489" s="59"/>
      <x:c r="AE489" s="61" t="str">
        <x:f>IF(N(F489)&gt;=10,"NHL_LATEST_10",IF(AND(N(F489)&gt;0,N(G489)&gt;0),"NHL_BOTH_SEASONS",IF(N(G489)&gt;=10,"NHL_PREVIOUS_10",IF(AND(ISNUMBER(AD489),AD489=0,SUM(F489:G489)=0),"FARM_CAREER_0",IF(COUNT(F489:G489)&lt;2,"UNKNOWN_GP",IF(AND(F489=0,G489=0),IF(AD489&gt;=10,"FARM_LEGACY_10",IF(AND(ISNUMBER(AD489),AD489&gt;0),"FARM_CAREER_1_9","FARM_0_0")),IF(F489&gt;=1,IF(F489&lt;=3,"FARM_RECENT_1_3","FARM_RECENT_4_9"),"FARM_PREV_1_9_ONLY")))))))</x:f>
        <x:v>NHL_BOTH_SEASONS</x:v>
      </x:c>
      <x:c r="AF489" s="57" t="n">
        <x:f>AB489-T489</x:f>
        <x:v>0</x:v>
      </x:c>
      <x:c r="AG489" s="57" t="n">
        <x:f>AC489-U489</x:f>
        <x:v>0</x:v>
      </x:c>
    </x:row>
    <x:row r="490">
      <x:c r="A490" t="s">
        <x:v>1512</x:v>
      </x:c>
      <x:c r="C490" t="s">
        <x:v>358</x:v>
      </x:c>
      <x:c r="D490">
        <x:v>8479176</x:v>
      </x:c>
      <x:c r="E490" t="s">
        <x:v>267</x:v>
      </x:c>
      <x:c r="J490" t="s">
        <x:v>2474</x:v>
      </x:c>
      <x:c r="K490">
        <x:v>86</x:v>
      </x:c>
      <x:c r="L490">
        <x:v>87</x:v>
      </x:c>
      <x:c r="M490">
        <x:v>65</x:v>
      </x:c>
      <x:c r="N490">
        <x:v>37</x:v>
      </x:c>
      <x:c r="O490">
        <x:v>76</x:v>
      </x:c>
      <x:c r="P490">
        <x:v>79</x:v>
      </x:c>
      <x:c r="Q490">
        <x:v>81</x:v>
      </x:c>
      <x:c r="R490">
        <x:v>37</x:v>
      </x:c>
      <x:c r="S490">
        <x:v>63</x:v>
      </x:c>
      <x:c r="T490" s="63" t="n">
        <x:f>MAX(30,MIN(AB490-VLOOKUP(AE490,'AHL_PA_SC_BALANCE'!$A$8:$E$18,2,FALSE),VLOOKUP(AE490,'AHL_PA_SC_BALANCE'!$A$8:$E$18,4,FALSE)))</x:f>
        <x:v>40</x:v>
      </x:c>
      <x:c r="U490" s="63" t="n">
        <x:f>MAX(30,MIN(AC490-VLOOKUP(AE490,'AHL_PA_SC_BALANCE'!$A$8:$E$18,3,FALSE),VLOOKUP(AE490,'AHL_PA_SC_BALANCE'!$A$8:$E$18,5,FALSE)))</x:f>
        <x:v>39</x:v>
      </x:c>
      <x:c r="V490">
        <x:v>57</x:v>
      </x:c>
      <x:c r="W490">
        <x:v>58</x:v>
      </x:c>
      <x:c r="X490">
        <x:v>80</x:v>
      </x:c>
      <x:c r="Y490">
        <x:v>79</x:v>
      </x:c>
      <x:c r="Z490">
        <x:v>51</x:v>
      </x:c>
      <x:c r="AA490">
        <x:v>49</x:v>
      </x:c>
      <x:c r="AB490" s="57" t="n">
        <x:v>40</x:v>
      </x:c>
      <x:c r="AC490" s="57" t="n">
        <x:v>39</x:v>
      </x:c>
      <x:c r="AD490" s="59"/>
      <x:c r="AE490" s="61" t="str">
        <x:f>IF(N(F490)&gt;=10,"NHL_LATEST_10",IF(AND(N(F490)&gt;0,N(G490)&gt;0),"NHL_BOTH_SEASONS",IF(N(G490)&gt;=10,"NHL_PREVIOUS_10",IF(AND(ISNUMBER(AD490),AD490=0,SUM(F490:G490)=0),"FARM_CAREER_0",IF(COUNT(F490:G490)&lt;2,"UNKNOWN_GP",IF(AND(F490=0,G490=0),IF(AD490&gt;=10,"FARM_LEGACY_10",IF(AND(ISNUMBER(AD490),AD490&gt;0),"FARM_CAREER_1_9","FARM_0_0")),IF(F490&gt;=1,IF(F490&lt;=3,"FARM_RECENT_1_3","FARM_RECENT_4_9"),"FARM_PREV_1_9_ONLY")))))))</x:f>
        <x:v>UNKNOWN_GP</x:v>
      </x:c>
      <x:c r="AF490" s="57" t="n">
        <x:f>AB490-T490</x:f>
        <x:v>0</x:v>
      </x:c>
      <x:c r="AG490" s="57" t="n">
        <x:f>AC490-U490</x:f>
        <x:v>0</x:v>
      </x:c>
    </x:row>
    <x:row r="491">
      <x:c r="A491" t="s">
        <x:v>1513</x:v>
      </x:c>
      <x:c r="C491" t="s">
        <x:v>323</x:v>
      </x:c>
      <x:c r="E491" t="s">
        <x:v>267</x:v>
      </x:c>
      <x:c r="J491" t="s">
        <x:v>2474</x:v>
      </x:c>
      <x:c r="K491">
        <x:v>65</x:v>
      </x:c>
      <x:c r="L491">
        <x:v>44</x:v>
      </x:c>
      <x:c r="M491">
        <x:v>89</x:v>
      </x:c>
      <x:c r="N491">
        <x:v>44</x:v>
      </x:c>
      <x:c r="O491">
        <x:v>77</x:v>
      </x:c>
      <x:c r="P491">
        <x:v>83</x:v>
      </x:c>
      <x:c r="Q491">
        <x:v>86</x:v>
      </x:c>
      <x:c r="R491">
        <x:v>44</x:v>
      </x:c>
      <x:c r="S491">
        <x:v>84</x:v>
      </x:c>
      <x:c r="T491" s="63" t="n">
        <x:f>MAX(30,MIN(AB491-VLOOKUP(AE491,'AHL_PA_SC_BALANCE'!$A$8:$E$18,2,FALSE),VLOOKUP(AE491,'AHL_PA_SC_BALANCE'!$A$8:$E$18,4,FALSE)))</x:f>
        <x:v>45</x:v>
      </x:c>
      <x:c r="U491" s="63" t="n">
        <x:f>MAX(30,MIN(AC491-VLOOKUP(AE491,'AHL_PA_SC_BALANCE'!$A$8:$E$18,3,FALSE),VLOOKUP(AE491,'AHL_PA_SC_BALANCE'!$A$8:$E$18,5,FALSE)))</x:f>
        <x:v>44</x:v>
      </x:c>
      <x:c r="V491">
        <x:v>64</x:v>
      </x:c>
      <x:c r="W491">
        <x:v>65</x:v>
      </x:c>
      <x:c r="X491">
        <x:v>69</x:v>
      </x:c>
      <x:c r="Y491">
        <x:v>70</x:v>
      </x:c>
      <x:c r="Z491">
        <x:v>51</x:v>
      </x:c>
      <x:c r="AA491">
        <x:v>49</x:v>
      </x:c>
      <x:c r="AB491" s="57" t="n">
        <x:v>45</x:v>
      </x:c>
      <x:c r="AC491" s="57" t="n">
        <x:v>44</x:v>
      </x:c>
      <x:c r="AD491" s="59"/>
      <x:c r="AE491" s="61" t="str">
        <x:f>IF(N(F491)&gt;=10,"NHL_LATEST_10",IF(AND(N(F491)&gt;0,N(G491)&gt;0),"NHL_BOTH_SEASONS",IF(N(G491)&gt;=10,"NHL_PREVIOUS_10",IF(AND(ISNUMBER(AD491),AD491=0,SUM(F491:G491)=0),"FARM_CAREER_0",IF(COUNT(F491:G491)&lt;2,"UNKNOWN_GP",IF(AND(F491=0,G491=0),IF(AD491&gt;=10,"FARM_LEGACY_10",IF(AND(ISNUMBER(AD491),AD491&gt;0),"FARM_CAREER_1_9","FARM_0_0")),IF(F491&gt;=1,IF(F491&lt;=3,"FARM_RECENT_1_3","FARM_RECENT_4_9"),"FARM_PREV_1_9_ONLY")))))))</x:f>
        <x:v>UNKNOWN_GP</x:v>
      </x:c>
      <x:c r="AF491" s="57" t="n">
        <x:f>AB491-T491</x:f>
        <x:v>0</x:v>
      </x:c>
      <x:c r="AG491" s="57" t="n">
        <x:f>AC491-U491</x:f>
        <x:v>0</x:v>
      </x:c>
    </x:row>
    <x:row r="492">
      <x:c r="A492" t="s">
        <x:v>1514</x:v>
      </x:c>
      <x:c r="C492" t="s">
        <x:v>333</x:v>
      </x:c>
      <x:c r="D492">
        <x:v>8484818</x:v>
      </x:c>
      <x:c r="E492" t="s">
        <x:v>267</x:v>
      </x:c>
      <x:c r="J492" t="s">
        <x:v>2474</x:v>
      </x:c>
      <x:c r="K492">
        <x:v>73</x:v>
      </x:c>
      <x:c r="L492">
        <x:v>45</x:v>
      </x:c>
      <x:c r="M492">
        <x:v>80</x:v>
      </x:c>
      <x:c r="N492">
        <x:v>41</x:v>
      </x:c>
      <x:c r="O492">
        <x:v>90</x:v>
      </x:c>
      <x:c r="P492">
        <x:v>76</x:v>
      </x:c>
      <x:c r="Q492">
        <x:v>80</x:v>
      </x:c>
      <x:c r="R492">
        <x:v>41</x:v>
      </x:c>
      <x:c r="S492">
        <x:v>69</x:v>
      </x:c>
      <x:c r="T492" s="63" t="n">
        <x:f>MAX(30,MIN(AB492-VLOOKUP(AE492,'AHL_PA_SC_BALANCE'!$A$8:$E$18,2,FALSE),VLOOKUP(AE492,'AHL_PA_SC_BALANCE'!$A$8:$E$18,4,FALSE)))</x:f>
        <x:v>42</x:v>
      </x:c>
      <x:c r="U492" s="63" t="n">
        <x:f>MAX(30,MIN(AC492-VLOOKUP(AE492,'AHL_PA_SC_BALANCE'!$A$8:$E$18,3,FALSE),VLOOKUP(AE492,'AHL_PA_SC_BALANCE'!$A$8:$E$18,5,FALSE)))</x:f>
        <x:v>44</x:v>
      </x:c>
      <x:c r="V492">
        <x:v>59</x:v>
      </x:c>
      <x:c r="W492">
        <x:v>63</x:v>
      </x:c>
      <x:c r="X492">
        <x:v>70</x:v>
      </x:c>
      <x:c r="Y492">
        <x:v>69</x:v>
      </x:c>
      <x:c r="Z492">
        <x:v>51</x:v>
      </x:c>
      <x:c r="AA492">
        <x:v>49</x:v>
      </x:c>
      <x:c r="AB492" s="57" t="n">
        <x:v>42</x:v>
      </x:c>
      <x:c r="AC492" s="57" t="n">
        <x:v>44</x:v>
      </x:c>
      <x:c r="AD492" s="59"/>
      <x:c r="AE492" s="61" t="str">
        <x:f>IF(N(F492)&gt;=10,"NHL_LATEST_10",IF(AND(N(F492)&gt;0,N(G492)&gt;0),"NHL_BOTH_SEASONS",IF(N(G492)&gt;=10,"NHL_PREVIOUS_10",IF(AND(ISNUMBER(AD492),AD492=0,SUM(F492:G492)=0),"FARM_CAREER_0",IF(COUNT(F492:G492)&lt;2,"UNKNOWN_GP",IF(AND(F492=0,G492=0),IF(AD492&gt;=10,"FARM_LEGACY_10",IF(AND(ISNUMBER(AD492),AD492&gt;0),"FARM_CAREER_1_9","FARM_0_0")),IF(F492&gt;=1,IF(F492&lt;=3,"FARM_RECENT_1_3","FARM_RECENT_4_9"),"FARM_PREV_1_9_ONLY")))))))</x:f>
        <x:v>UNKNOWN_GP</x:v>
      </x:c>
      <x:c r="AF492" s="57" t="n">
        <x:f>AB492-T492</x:f>
        <x:v>0</x:v>
      </x:c>
      <x:c r="AG492" s="57" t="n">
        <x:f>AC492-U492</x:f>
        <x:v>0</x:v>
      </x:c>
    </x:row>
    <x:row r="493">
      <x:c r="A493" t="s">
        <x:v>1515</x:v>
      </x:c>
      <x:c r="C493" t="s">
        <x:v>358</x:v>
      </x:c>
      <x:c r="D493">
        <x:v>8484869</x:v>
      </x:c>
      <x:c r="E493" t="s">
        <x:v>267</x:v>
      </x:c>
      <x:c r="J493" t="s">
        <x:v>2474</x:v>
      </x:c>
      <x:c r="K493">
        <x:v>66</x:v>
      </x:c>
      <x:c r="L493">
        <x:v>43</x:v>
      </x:c>
      <x:c r="M493">
        <x:v>73</x:v>
      </x:c>
      <x:c r="N493">
        <x:v>45</x:v>
      </x:c>
      <x:c r="O493">
        <x:v>79</x:v>
      </x:c>
      <x:c r="P493">
        <x:v>74</x:v>
      </x:c>
      <x:c r="Q493">
        <x:v>77</x:v>
      </x:c>
      <x:c r="R493">
        <x:v>46</x:v>
      </x:c>
      <x:c r="S493">
        <x:v>66</x:v>
      </x:c>
      <x:c r="T493" s="63" t="n">
        <x:f>MAX(30,MIN(AB493-VLOOKUP(AE493,'AHL_PA_SC_BALANCE'!$A$8:$E$18,2,FALSE),VLOOKUP(AE493,'AHL_PA_SC_BALANCE'!$A$8:$E$18,4,FALSE)))</x:f>
        <x:v>45</x:v>
      </x:c>
      <x:c r="U493" s="63" t="n">
        <x:f>MAX(30,MIN(AC493-VLOOKUP(AE493,'AHL_PA_SC_BALANCE'!$A$8:$E$18,3,FALSE),VLOOKUP(AE493,'AHL_PA_SC_BALANCE'!$A$8:$E$18,5,FALSE)))</x:f>
        <x:v>45</x:v>
      </x:c>
      <x:c r="V493">
        <x:v>59</x:v>
      </x:c>
      <x:c r="W493">
        <x:v>65</x:v>
      </x:c>
      <x:c r="X493">
        <x:v>64</x:v>
      </x:c>
      <x:c r="Y493">
        <x:v>65</x:v>
      </x:c>
      <x:c r="Z493">
        <x:v>51</x:v>
      </x:c>
      <x:c r="AA493">
        <x:v>49</x:v>
      </x:c>
      <x:c r="AB493" s="57" t="n">
        <x:v>45</x:v>
      </x:c>
      <x:c r="AC493" s="57" t="n">
        <x:v>45</x:v>
      </x:c>
      <x:c r="AD493" s="59"/>
      <x:c r="AE493" s="61" t="str">
        <x:f>IF(N(F493)&gt;=10,"NHL_LATEST_10",IF(AND(N(F493)&gt;0,N(G493)&gt;0),"NHL_BOTH_SEASONS",IF(N(G493)&gt;=10,"NHL_PREVIOUS_10",IF(AND(ISNUMBER(AD493),AD493=0,SUM(F493:G493)=0),"FARM_CAREER_0",IF(COUNT(F493:G493)&lt;2,"UNKNOWN_GP",IF(AND(F493=0,G493=0),IF(AD493&gt;=10,"FARM_LEGACY_10",IF(AND(ISNUMBER(AD493),AD493&gt;0),"FARM_CAREER_1_9","FARM_0_0")),IF(F493&gt;=1,IF(F493&lt;=3,"FARM_RECENT_1_3","FARM_RECENT_4_9"),"FARM_PREV_1_9_ONLY")))))))</x:f>
        <x:v>UNKNOWN_GP</x:v>
      </x:c>
      <x:c r="AF493" s="57" t="n">
        <x:f>AB493-T493</x:f>
        <x:v>0</x:v>
      </x:c>
      <x:c r="AG493" s="57" t="n">
        <x:f>AC493-U493</x:f>
        <x:v>0</x:v>
      </x:c>
    </x:row>
    <x:row r="494">
      <x:c r="A494" t="s">
        <x:v>1516</x:v>
      </x:c>
      <x:c r="C494" t="s">
        <x:v>358</x:v>
      </x:c>
      <x:c r="D494">
        <x:v>8484821</x:v>
      </x:c>
      <x:c r="E494" t="s">
        <x:v>267</x:v>
      </x:c>
      <x:c r="J494" t="s">
        <x:v>2474</x:v>
      </x:c>
      <x:c r="K494">
        <x:v>80</x:v>
      </x:c>
      <x:c r="L494">
        <x:v>33</x:v>
      </x:c>
      <x:c r="M494">
        <x:v>85</x:v>
      </x:c>
      <x:c r="N494">
        <x:v>41</x:v>
      </x:c>
      <x:c r="O494">
        <x:v>77</x:v>
      </x:c>
      <x:c r="P494">
        <x:v>91</x:v>
      </x:c>
      <x:c r="Q494">
        <x:v>95</x:v>
      </x:c>
      <x:c r="R494">
        <x:v>40</x:v>
      </x:c>
      <x:c r="S494">
        <x:v>68</x:v>
      </x:c>
      <x:c r="T494" s="63" t="n">
        <x:f>MAX(30,MIN(AB494-VLOOKUP(AE494,'AHL_PA_SC_BALANCE'!$A$8:$E$18,2,FALSE),VLOOKUP(AE494,'AHL_PA_SC_BALANCE'!$A$8:$E$18,4,FALSE)))</x:f>
        <x:v>45</x:v>
      </x:c>
      <x:c r="U494" s="63" t="n">
        <x:f>MAX(30,MIN(AC494-VLOOKUP(AE494,'AHL_PA_SC_BALANCE'!$A$8:$E$18,3,FALSE),VLOOKUP(AE494,'AHL_PA_SC_BALANCE'!$A$8:$E$18,5,FALSE)))</x:f>
        <x:v>45</x:v>
      </x:c>
      <x:c r="V494">
        <x:v>63</x:v>
      </x:c>
      <x:c r="W494">
        <x:v>62</x:v>
      </x:c>
      <x:c r="X494">
        <x:v>69</x:v>
      </x:c>
      <x:c r="Y494">
        <x:v>69</x:v>
      </x:c>
      <x:c r="Z494">
        <x:v>51</x:v>
      </x:c>
      <x:c r="AA494">
        <x:v>49</x:v>
      </x:c>
      <x:c r="AB494" s="57" t="n">
        <x:v>45</x:v>
      </x:c>
      <x:c r="AC494" s="57" t="n">
        <x:v>45</x:v>
      </x:c>
      <x:c r="AD494" s="59"/>
      <x:c r="AE494" s="61" t="str">
        <x:f>IF(N(F494)&gt;=10,"NHL_LATEST_10",IF(AND(N(F494)&gt;0,N(G494)&gt;0),"NHL_BOTH_SEASONS",IF(N(G494)&gt;=10,"NHL_PREVIOUS_10",IF(AND(ISNUMBER(AD494),AD494=0,SUM(F494:G494)=0),"FARM_CAREER_0",IF(COUNT(F494:G494)&lt;2,"UNKNOWN_GP",IF(AND(F494=0,G494=0),IF(AD494&gt;=10,"FARM_LEGACY_10",IF(AND(ISNUMBER(AD494),AD494&gt;0),"FARM_CAREER_1_9","FARM_0_0")),IF(F494&gt;=1,IF(F494&lt;=3,"FARM_RECENT_1_3","FARM_RECENT_4_9"),"FARM_PREV_1_9_ONLY")))))))</x:f>
        <x:v>UNKNOWN_GP</x:v>
      </x:c>
      <x:c r="AF494" s="57" t="n">
        <x:f>AB494-T494</x:f>
        <x:v>0</x:v>
      </x:c>
      <x:c r="AG494" s="57" t="n">
        <x:f>AC494-U494</x:f>
        <x:v>0</x:v>
      </x:c>
    </x:row>
    <x:row r="495">
      <x:c r="A495" t="s">
        <x:v>1517</x:v>
      </x:c>
      <x:c r="C495" t="s">
        <x:v>326</x:v>
      </x:c>
      <x:c r="D495">
        <x:v>8483748</x:v>
      </x:c>
      <x:c r="E495" t="s">
        <x:v>267</x:v>
      </x:c>
      <x:c r="J495" t="s">
        <x:v>2474</x:v>
      </x:c>
      <x:c r="K495">
        <x:v>68</x:v>
      </x:c>
      <x:c r="L495">
        <x:v>36</x:v>
      </x:c>
      <x:c r="M495">
        <x:v>90</x:v>
      </x:c>
      <x:c r="N495">
        <x:v>45</x:v>
      </x:c>
      <x:c r="O495">
        <x:v>76</x:v>
      </x:c>
      <x:c r="P495">
        <x:v>84</x:v>
      </x:c>
      <x:c r="Q495">
        <x:v>89</x:v>
      </x:c>
      <x:c r="R495">
        <x:v>46</x:v>
      </x:c>
      <x:c r="S495">
        <x:v>71</x:v>
      </x:c>
      <x:c r="T495" s="63" t="n">
        <x:f>MAX(30,MIN(AB495-VLOOKUP(AE495,'AHL_PA_SC_BALANCE'!$A$8:$E$18,2,FALSE),VLOOKUP(AE495,'AHL_PA_SC_BALANCE'!$A$8:$E$18,4,FALSE)))</x:f>
        <x:v>46</x:v>
      </x:c>
      <x:c r="U495" s="63" t="n">
        <x:f>MAX(30,MIN(AC495-VLOOKUP(AE495,'AHL_PA_SC_BALANCE'!$A$8:$E$18,3,FALSE),VLOOKUP(AE495,'AHL_PA_SC_BALANCE'!$A$8:$E$18,5,FALSE)))</x:f>
        <x:v>44</x:v>
      </x:c>
      <x:c r="V495">
        <x:v>58</x:v>
      </x:c>
      <x:c r="W495">
        <x:v>66</x:v>
      </x:c>
      <x:c r="X495">
        <x:v>65</x:v>
      </x:c>
      <x:c r="Y495">
        <x:v>66</x:v>
      </x:c>
      <x:c r="Z495">
        <x:v>51</x:v>
      </x:c>
      <x:c r="AA495">
        <x:v>49</x:v>
      </x:c>
      <x:c r="AB495" s="57" t="n">
        <x:v>46</x:v>
      </x:c>
      <x:c r="AC495" s="57" t="n">
        <x:v>44</x:v>
      </x:c>
      <x:c r="AD495" s="59"/>
      <x:c r="AE495" s="61" t="str">
        <x:f>IF(N(F495)&gt;=10,"NHL_LATEST_10",IF(AND(N(F495)&gt;0,N(G495)&gt;0),"NHL_BOTH_SEASONS",IF(N(G495)&gt;=10,"NHL_PREVIOUS_10",IF(AND(ISNUMBER(AD495),AD495=0,SUM(F495:G495)=0),"FARM_CAREER_0",IF(COUNT(F495:G495)&lt;2,"UNKNOWN_GP",IF(AND(F495=0,G495=0),IF(AD495&gt;=10,"FARM_LEGACY_10",IF(AND(ISNUMBER(AD495),AD495&gt;0),"FARM_CAREER_1_9","FARM_0_0")),IF(F495&gt;=1,IF(F495&lt;=3,"FARM_RECENT_1_3","FARM_RECENT_4_9"),"FARM_PREV_1_9_ONLY")))))))</x:f>
        <x:v>UNKNOWN_GP</x:v>
      </x:c>
      <x:c r="AF495" s="57" t="n">
        <x:f>AB495-T495</x:f>
        <x:v>0</x:v>
      </x:c>
      <x:c r="AG495" s="57" t="n">
        <x:f>AC495-U495</x:f>
        <x:v>0</x:v>
      </x:c>
    </x:row>
    <x:row r="496">
      <x:c r="A496" t="s">
        <x:v>1518</x:v>
      </x:c>
      <x:c r="C496" t="s">
        <x:v>331</x:v>
      </x:c>
      <x:c r="D496">
        <x:v>8481658</x:v>
      </x:c>
      <x:c r="E496" t="s">
        <x:v>267</x:v>
      </x:c>
      <x:c r="J496" t="s">
        <x:v>2474</x:v>
      </x:c>
      <x:c r="K496">
        <x:v>62</x:v>
      </x:c>
      <x:c r="L496">
        <x:v>39</x:v>
      </x:c>
      <x:c r="M496">
        <x:v>88</x:v>
      </x:c>
      <x:c r="N496">
        <x:v>33</x:v>
      </x:c>
      <x:c r="O496">
        <x:v>77</x:v>
      </x:c>
      <x:c r="P496">
        <x:v>79</x:v>
      </x:c>
      <x:c r="Q496">
        <x:v>82</x:v>
      </x:c>
      <x:c r="R496">
        <x:v>34</x:v>
      </x:c>
      <x:c r="S496">
        <x:v>30</x:v>
      </x:c>
      <x:c r="T496" s="63" t="n">
        <x:f>MAX(30,MIN(AB496-VLOOKUP(AE496,'AHL_PA_SC_BALANCE'!$A$8:$E$18,2,FALSE),VLOOKUP(AE496,'AHL_PA_SC_BALANCE'!$A$8:$E$18,4,FALSE)))</x:f>
        <x:v>42</x:v>
      </x:c>
      <x:c r="U496" s="63" t="n">
        <x:f>MAX(30,MIN(AC496-VLOOKUP(AE496,'AHL_PA_SC_BALANCE'!$A$8:$E$18,3,FALSE),VLOOKUP(AE496,'AHL_PA_SC_BALANCE'!$A$8:$E$18,5,FALSE)))</x:f>
        <x:v>39</x:v>
      </x:c>
      <x:c r="V496">
        <x:v>65</x:v>
      </x:c>
      <x:c r="W496">
        <x:v>46</x:v>
      </x:c>
      <x:c r="X496">
        <x:v>68</x:v>
      </x:c>
      <x:c r="Y496">
        <x:v>68</x:v>
      </x:c>
      <x:c r="Z496">
        <x:v>51</x:v>
      </x:c>
      <x:c r="AA496">
        <x:v>49</x:v>
      </x:c>
      <x:c r="AB496" s="57" t="n">
        <x:v>42</x:v>
      </x:c>
      <x:c r="AC496" s="57" t="n">
        <x:v>39</x:v>
      </x:c>
      <x:c r="AD496" s="59"/>
      <x:c r="AE496" s="61" t="str">
        <x:f>IF(N(F496)&gt;=10,"NHL_LATEST_10",IF(AND(N(F496)&gt;0,N(G496)&gt;0),"NHL_BOTH_SEASONS",IF(N(G496)&gt;=10,"NHL_PREVIOUS_10",IF(AND(ISNUMBER(AD496),AD496=0,SUM(F496:G496)=0),"FARM_CAREER_0",IF(COUNT(F496:G496)&lt;2,"UNKNOWN_GP",IF(AND(F496=0,G496=0),IF(AD496&gt;=10,"FARM_LEGACY_10",IF(AND(ISNUMBER(AD496),AD496&gt;0),"FARM_CAREER_1_9","FARM_0_0")),IF(F496&gt;=1,IF(F496&lt;=3,"FARM_RECENT_1_3","FARM_RECENT_4_9"),"FARM_PREV_1_9_ONLY")))))))</x:f>
        <x:v>UNKNOWN_GP</x:v>
      </x:c>
      <x:c r="AF496" s="57" t="n">
        <x:f>AB496-T496</x:f>
        <x:v>0</x:v>
      </x:c>
      <x:c r="AG496" s="57" t="n">
        <x:f>AC496-U496</x:f>
        <x:v>0</x:v>
      </x:c>
    </x:row>
    <x:row r="497">
      <x:c r="A497" t="s">
        <x:v>1519</x:v>
      </x:c>
      <x:c r="C497" t="s">
        <x:v>358</x:v>
      </x:c>
      <x:c r="D497">
        <x:v>8482154</x:v>
      </x:c>
      <x:c r="E497" t="s">
        <x:v>267</x:v>
      </x:c>
      <x:c r="J497" t="s">
        <x:v>2474</x:v>
      </x:c>
      <x:c r="K497">
        <x:v>61</x:v>
      </x:c>
      <x:c r="L497">
        <x:v>33</x:v>
      </x:c>
      <x:c r="M497">
        <x:v>83</x:v>
      </x:c>
      <x:c r="N497">
        <x:v>45</x:v>
      </x:c>
      <x:c r="O497">
        <x:v>79</x:v>
      </x:c>
      <x:c r="P497">
        <x:v>83</x:v>
      </x:c>
      <x:c r="Q497">
        <x:v>86</x:v>
      </x:c>
      <x:c r="R497">
        <x:v>44</x:v>
      </x:c>
      <x:c r="S497">
        <x:v>58</x:v>
      </x:c>
      <x:c r="T497" s="63" t="n">
        <x:f>MAX(30,MIN(AB497-VLOOKUP(AE497,'AHL_PA_SC_BALANCE'!$A$8:$E$18,2,FALSE),VLOOKUP(AE497,'AHL_PA_SC_BALANCE'!$A$8:$E$18,4,FALSE)))</x:f>
        <x:v>46</x:v>
      </x:c>
      <x:c r="U497" s="63" t="n">
        <x:f>MAX(30,MIN(AC497-VLOOKUP(AE497,'AHL_PA_SC_BALANCE'!$A$8:$E$18,3,FALSE),VLOOKUP(AE497,'AHL_PA_SC_BALANCE'!$A$8:$E$18,5,FALSE)))</x:f>
        <x:v>43</x:v>
      </x:c>
      <x:c r="V497">
        <x:v>59</x:v>
      </x:c>
      <x:c r="W497">
        <x:v>65</x:v>
      </x:c>
      <x:c r="X497">
        <x:v>68</x:v>
      </x:c>
      <x:c r="Y497">
        <x:v>67</x:v>
      </x:c>
      <x:c r="Z497">
        <x:v>51</x:v>
      </x:c>
      <x:c r="AA497">
        <x:v>49</x:v>
      </x:c>
      <x:c r="AB497" s="57" t="n">
        <x:v>46</x:v>
      </x:c>
      <x:c r="AC497" s="57" t="n">
        <x:v>43</x:v>
      </x:c>
      <x:c r="AD497" s="59"/>
      <x:c r="AE497" s="61" t="str">
        <x:f>IF(N(F497)&gt;=10,"NHL_LATEST_10",IF(AND(N(F497)&gt;0,N(G497)&gt;0),"NHL_BOTH_SEASONS",IF(N(G497)&gt;=10,"NHL_PREVIOUS_10",IF(AND(ISNUMBER(AD497),AD497=0,SUM(F497:G497)=0),"FARM_CAREER_0",IF(COUNT(F497:G497)&lt;2,"UNKNOWN_GP",IF(AND(F497=0,G497=0),IF(AD497&gt;=10,"FARM_LEGACY_10",IF(AND(ISNUMBER(AD497),AD497&gt;0),"FARM_CAREER_1_9","FARM_0_0")),IF(F497&gt;=1,IF(F497&lt;=3,"FARM_RECENT_1_3","FARM_RECENT_4_9"),"FARM_PREV_1_9_ONLY")))))))</x:f>
        <x:v>UNKNOWN_GP</x:v>
      </x:c>
      <x:c r="AF497" s="57" t="n">
        <x:f>AB497-T497</x:f>
        <x:v>0</x:v>
      </x:c>
      <x:c r="AG497" s="57" t="n">
        <x:f>AC497-U497</x:f>
        <x:v>0</x:v>
      </x:c>
    </x:row>
    <x:row r="498">
      <x:c r="A498" t="s">
        <x:v>1520</x:v>
      </x:c>
      <x:c r="C498" t="s">
        <x:v>339</x:v>
      </x:c>
      <x:c r="D498">
        <x:v>8483704</x:v>
      </x:c>
      <x:c r="E498" t="s">
        <x:v>267</x:v>
      </x:c>
      <x:c r="J498" t="s">
        <x:v>2474</x:v>
      </x:c>
      <x:c r="K498">
        <x:v>62</x:v>
      </x:c>
      <x:c r="L498">
        <x:v>37</x:v>
      </x:c>
      <x:c r="M498">
        <x:v>91</x:v>
      </x:c>
      <x:c r="N498">
        <x:v>45</x:v>
      </x:c>
      <x:c r="O498">
        <x:v>78</x:v>
      </x:c>
      <x:c r="P498">
        <x:v>78</x:v>
      </x:c>
      <x:c r="Q498">
        <x:v>81</x:v>
      </x:c>
      <x:c r="R498">
        <x:v>44</x:v>
      </x:c>
      <x:c r="S498">
        <x:v>74</x:v>
      </x:c>
      <x:c r="T498" s="63" t="n">
        <x:f>MAX(30,MIN(AB498-VLOOKUP(AE498,'AHL_PA_SC_BALANCE'!$A$8:$E$18,2,FALSE),VLOOKUP(AE498,'AHL_PA_SC_BALANCE'!$A$8:$E$18,4,FALSE)))</x:f>
        <x:v>45</x:v>
      </x:c>
      <x:c r="U498" s="63" t="n">
        <x:f>MAX(30,MIN(AC498-VLOOKUP(AE498,'AHL_PA_SC_BALANCE'!$A$8:$E$18,3,FALSE),VLOOKUP(AE498,'AHL_PA_SC_BALANCE'!$A$8:$E$18,5,FALSE)))</x:f>
        <x:v>46</x:v>
      </x:c>
      <x:c r="V498">
        <x:v>62</x:v>
      </x:c>
      <x:c r="W498">
        <x:v>66</x:v>
      </x:c>
      <x:c r="X498">
        <x:v>65</x:v>
      </x:c>
      <x:c r="Y498">
        <x:v>65</x:v>
      </x:c>
      <x:c r="Z498">
        <x:v>51</x:v>
      </x:c>
      <x:c r="AA498">
        <x:v>49</x:v>
      </x:c>
      <x:c r="AB498" s="57" t="n">
        <x:v>45</x:v>
      </x:c>
      <x:c r="AC498" s="57" t="n">
        <x:v>46</x:v>
      </x:c>
      <x:c r="AD498" s="59"/>
      <x:c r="AE498" s="61" t="str">
        <x:f>IF(N(F498)&gt;=10,"NHL_LATEST_10",IF(AND(N(F498)&gt;0,N(G498)&gt;0),"NHL_BOTH_SEASONS",IF(N(G498)&gt;=10,"NHL_PREVIOUS_10",IF(AND(ISNUMBER(AD498),AD498=0,SUM(F498:G498)=0),"FARM_CAREER_0",IF(COUNT(F498:G498)&lt;2,"UNKNOWN_GP",IF(AND(F498=0,G498=0),IF(AD498&gt;=10,"FARM_LEGACY_10",IF(AND(ISNUMBER(AD498),AD498&gt;0),"FARM_CAREER_1_9","FARM_0_0")),IF(F498&gt;=1,IF(F498&lt;=3,"FARM_RECENT_1_3","FARM_RECENT_4_9"),"FARM_PREV_1_9_ONLY")))))))</x:f>
        <x:v>UNKNOWN_GP</x:v>
      </x:c>
      <x:c r="AF498" s="57" t="n">
        <x:f>AB498-T498</x:f>
        <x:v>0</x:v>
      </x:c>
      <x:c r="AG498" s="57" t="n">
        <x:f>AC498-U498</x:f>
        <x:v>0</x:v>
      </x:c>
    </x:row>
    <x:row r="499">
      <x:c r="A499" t="s">
        <x:v>1521</x:v>
      </x:c>
      <x:c r="C499" t="s">
        <x:v>326</x:v>
      </x:c>
      <x:c r="D499">
        <x:v>8483062</x:v>
      </x:c>
      <x:c r="E499" t="s">
        <x:v>267</x:v>
      </x:c>
      <x:c r="J499" t="s">
        <x:v>2474</x:v>
      </x:c>
      <x:c r="K499">
        <x:v>65</x:v>
      </x:c>
      <x:c r="L499">
        <x:v>36</x:v>
      </x:c>
      <x:c r="M499">
        <x:v>85</x:v>
      </x:c>
      <x:c r="N499">
        <x:v>45</x:v>
      </x:c>
      <x:c r="O499">
        <x:v>76</x:v>
      </x:c>
      <x:c r="P499">
        <x:v>86</x:v>
      </x:c>
      <x:c r="Q499">
        <x:v>89</x:v>
      </x:c>
      <x:c r="R499">
        <x:v>44</x:v>
      </x:c>
      <x:c r="S499">
        <x:v>71</x:v>
      </x:c>
      <x:c r="T499" s="63" t="n">
        <x:f>MAX(30,MIN(AB499-VLOOKUP(AE499,'AHL_PA_SC_BALANCE'!$A$8:$E$18,2,FALSE),VLOOKUP(AE499,'AHL_PA_SC_BALANCE'!$A$8:$E$18,4,FALSE)))</x:f>
        <x:v>45</x:v>
      </x:c>
      <x:c r="U499" s="63" t="n">
        <x:f>MAX(30,MIN(AC499-VLOOKUP(AE499,'AHL_PA_SC_BALANCE'!$A$8:$E$18,3,FALSE),VLOOKUP(AE499,'AHL_PA_SC_BALANCE'!$A$8:$E$18,5,FALSE)))</x:f>
        <x:v>44</x:v>
      </x:c>
      <x:c r="V499">
        <x:v>58</x:v>
      </x:c>
      <x:c r="W499">
        <x:v>65</x:v>
      </x:c>
      <x:c r="X499">
        <x:v>67</x:v>
      </x:c>
      <x:c r="Y499">
        <x:v>68</x:v>
      </x:c>
      <x:c r="Z499">
        <x:v>51</x:v>
      </x:c>
      <x:c r="AA499">
        <x:v>49</x:v>
      </x:c>
      <x:c r="AB499" s="57" t="n">
        <x:v>45</x:v>
      </x:c>
      <x:c r="AC499" s="57" t="n">
        <x:v>44</x:v>
      </x:c>
      <x:c r="AD499" s="59"/>
      <x:c r="AE499" s="61" t="str">
        <x:f>IF(N(F499)&gt;=10,"NHL_LATEST_10",IF(AND(N(F499)&gt;0,N(G499)&gt;0),"NHL_BOTH_SEASONS",IF(N(G499)&gt;=10,"NHL_PREVIOUS_10",IF(AND(ISNUMBER(AD499),AD499=0,SUM(F499:G499)=0),"FARM_CAREER_0",IF(COUNT(F499:G499)&lt;2,"UNKNOWN_GP",IF(AND(F499=0,G499=0),IF(AD499&gt;=10,"FARM_LEGACY_10",IF(AND(ISNUMBER(AD499),AD499&gt;0),"FARM_CAREER_1_9","FARM_0_0")),IF(F499&gt;=1,IF(F499&lt;=3,"FARM_RECENT_1_3","FARM_RECENT_4_9"),"FARM_PREV_1_9_ONLY")))))))</x:f>
        <x:v>UNKNOWN_GP</x:v>
      </x:c>
      <x:c r="AF499" s="57" t="n">
        <x:f>AB499-T499</x:f>
        <x:v>0</x:v>
      </x:c>
      <x:c r="AG499" s="57" t="n">
        <x:f>AC499-U499</x:f>
        <x:v>0</x:v>
      </x:c>
    </x:row>
    <x:row r="500">
      <x:c r="A500" t="s">
        <x:v>1522</x:v>
      </x:c>
      <x:c r="C500" t="s">
        <x:v>331</x:v>
      </x:c>
      <x:c r="D500">
        <x:v>8484815</x:v>
      </x:c>
      <x:c r="E500" t="s">
        <x:v>267</x:v>
      </x:c>
      <x:c r="J500" t="s">
        <x:v>2474</x:v>
      </x:c>
      <x:c r="K500">
        <x:v>76</x:v>
      </x:c>
      <x:c r="L500">
        <x:v>36</x:v>
      </x:c>
      <x:c r="M500">
        <x:v>94</x:v>
      </x:c>
      <x:c r="N500">
        <x:v>30</x:v>
      </x:c>
      <x:c r="O500">
        <x:v>78</x:v>
      </x:c>
      <x:c r="P500">
        <x:v>73</x:v>
      </x:c>
      <x:c r="Q500">
        <x:v>76</x:v>
      </x:c>
      <x:c r="R500">
        <x:v>30</x:v>
      </x:c>
      <x:c r="S500">
        <x:v>30</x:v>
      </x:c>
      <x:c r="T500" s="63" t="n">
        <x:f>MAX(30,MIN(AB500-VLOOKUP(AE500,'AHL_PA_SC_BALANCE'!$A$8:$E$18,2,FALSE),VLOOKUP(AE500,'AHL_PA_SC_BALANCE'!$A$8:$E$18,4,FALSE)))</x:f>
        <x:v>38</x:v>
      </x:c>
      <x:c r="U500" s="63" t="n">
        <x:f>MAX(30,MIN(AC500-VLOOKUP(AE500,'AHL_PA_SC_BALANCE'!$A$8:$E$18,3,FALSE),VLOOKUP(AE500,'AHL_PA_SC_BALANCE'!$A$8:$E$18,5,FALSE)))</x:f>
        <x:v>37</x:v>
      </x:c>
      <x:c r="V500">
        <x:v>63</x:v>
      </x:c>
      <x:c r="W500">
        <x:v>43</x:v>
      </x:c>
      <x:c r="X500">
        <x:v>69</x:v>
      </x:c>
      <x:c r="Y500">
        <x:v>68</x:v>
      </x:c>
      <x:c r="Z500">
        <x:v>51</x:v>
      </x:c>
      <x:c r="AA500">
        <x:v>49</x:v>
      </x:c>
      <x:c r="AB500" s="57" t="n">
        <x:v>38</x:v>
      </x:c>
      <x:c r="AC500" s="57" t="n">
        <x:v>37</x:v>
      </x:c>
      <x:c r="AD500" s="59"/>
      <x:c r="AE500" s="61" t="str">
        <x:f>IF(N(F500)&gt;=10,"NHL_LATEST_10",IF(AND(N(F500)&gt;0,N(G500)&gt;0),"NHL_BOTH_SEASONS",IF(N(G500)&gt;=10,"NHL_PREVIOUS_10",IF(AND(ISNUMBER(AD500),AD500=0,SUM(F500:G500)=0),"FARM_CAREER_0",IF(COUNT(F500:G500)&lt;2,"UNKNOWN_GP",IF(AND(F500=0,G500=0),IF(AD500&gt;=10,"FARM_LEGACY_10",IF(AND(ISNUMBER(AD500),AD500&gt;0),"FARM_CAREER_1_9","FARM_0_0")),IF(F500&gt;=1,IF(F500&lt;=3,"FARM_RECENT_1_3","FARM_RECENT_4_9"),"FARM_PREV_1_9_ONLY")))))))</x:f>
        <x:v>UNKNOWN_GP</x:v>
      </x:c>
      <x:c r="AF500" s="57" t="n">
        <x:f>AB500-T500</x:f>
        <x:v>0</x:v>
      </x:c>
      <x:c r="AG500" s="57" t="n">
        <x:f>AC500-U500</x:f>
        <x:v>0</x:v>
      </x:c>
    </x:row>
    <x:row r="501">
      <x:c r="A501" t="s">
        <x:v>1523</x:v>
      </x:c>
      <x:c r="C501" t="s">
        <x:v>331</x:v>
      </x:c>
      <x:c r="D501">
        <x:v>8485425</x:v>
      </x:c>
      <x:c r="E501" t="s">
        <x:v>267</x:v>
      </x:c>
      <x:c r="J501" t="s">
        <x:v>2474</x:v>
      </x:c>
      <x:c r="K501">
        <x:v>77</x:v>
      </x:c>
      <x:c r="L501">
        <x:v>39</x:v>
      </x:c>
      <x:c r="M501">
        <x:v>74</x:v>
      </x:c>
      <x:c r="N501">
        <x:v>30</x:v>
      </x:c>
      <x:c r="O501">
        <x:v>87</x:v>
      </x:c>
      <x:c r="P501">
        <x:v>71</x:v>
      </x:c>
      <x:c r="Q501">
        <x:v>74</x:v>
      </x:c>
      <x:c r="R501">
        <x:v>31</x:v>
      </x:c>
      <x:c r="S501">
        <x:v>30</x:v>
      </x:c>
      <x:c r="T501" s="63" t="n">
        <x:f>MAX(30,MIN(AB501-VLOOKUP(AE501,'AHL_PA_SC_BALANCE'!$A$8:$E$18,2,FALSE),VLOOKUP(AE501,'AHL_PA_SC_BALANCE'!$A$8:$E$18,4,FALSE)))</x:f>
        <x:v>39</x:v>
      </x:c>
      <x:c r="U501" s="63" t="n">
        <x:f>MAX(30,MIN(AC501-VLOOKUP(AE501,'AHL_PA_SC_BALANCE'!$A$8:$E$18,3,FALSE),VLOOKUP(AE501,'AHL_PA_SC_BALANCE'!$A$8:$E$18,5,FALSE)))</x:f>
        <x:v>38</x:v>
      </x:c>
      <x:c r="V501">
        <x:v>64</x:v>
      </x:c>
      <x:c r="W501">
        <x:v>44</x:v>
      </x:c>
      <x:c r="X501">
        <x:v>69</x:v>
      </x:c>
      <x:c r="Y501">
        <x:v>68</x:v>
      </x:c>
      <x:c r="Z501">
        <x:v>51</x:v>
      </x:c>
      <x:c r="AA501">
        <x:v>49</x:v>
      </x:c>
      <x:c r="AB501" s="57" t="n">
        <x:v>39</x:v>
      </x:c>
      <x:c r="AC501" s="57" t="n">
        <x:v>38</x:v>
      </x:c>
      <x:c r="AD501" s="59"/>
      <x:c r="AE501" s="61" t="str">
        <x:f>IF(N(F501)&gt;=10,"NHL_LATEST_10",IF(AND(N(F501)&gt;0,N(G501)&gt;0),"NHL_BOTH_SEASONS",IF(N(G501)&gt;=10,"NHL_PREVIOUS_10",IF(AND(ISNUMBER(AD501),AD501=0,SUM(F501:G501)=0),"FARM_CAREER_0",IF(COUNT(F501:G501)&lt;2,"UNKNOWN_GP",IF(AND(F501=0,G501=0),IF(AD501&gt;=10,"FARM_LEGACY_10",IF(AND(ISNUMBER(AD501),AD501&gt;0),"FARM_CAREER_1_9","FARM_0_0")),IF(F501&gt;=1,IF(F501&lt;=3,"FARM_RECENT_1_3","FARM_RECENT_4_9"),"FARM_PREV_1_9_ONLY")))))))</x:f>
        <x:v>UNKNOWN_GP</x:v>
      </x:c>
      <x:c r="AF501" s="57" t="n">
        <x:f>AB501-T501</x:f>
        <x:v>0</x:v>
      </x:c>
      <x:c r="AG501" s="57" t="n">
        <x:f>AC501-U501</x:f>
        <x:v>0</x:v>
      </x:c>
    </x:row>
    <x:row r="502">
      <x:c r="A502" t="s">
        <x:v>1524</x:v>
      </x:c>
      <x:c r="C502" t="s">
        <x:v>323</x:v>
      </x:c>
      <x:c r="D502">
        <x:v>8482525</x:v>
      </x:c>
      <x:c r="E502" t="s">
        <x:v>267</x:v>
      </x:c>
      <x:c r="J502" t="s">
        <x:v>2474</x:v>
      </x:c>
      <x:c r="K502">
        <x:v>72</x:v>
      </x:c>
      <x:c r="L502">
        <x:v>38</x:v>
      </x:c>
      <x:c r="M502">
        <x:v>84</x:v>
      </x:c>
      <x:c r="N502">
        <x:v>45</x:v>
      </x:c>
      <x:c r="O502">
        <x:v>78</x:v>
      </x:c>
      <x:c r="P502">
        <x:v>85</x:v>
      </x:c>
      <x:c r="Q502">
        <x:v>88</x:v>
      </x:c>
      <x:c r="R502">
        <x:v>45</x:v>
      </x:c>
      <x:c r="S502">
        <x:v>64</x:v>
      </x:c>
      <x:c r="T502" s="63" t="n">
        <x:f>MAX(30,MIN(AB502-VLOOKUP(AE502,'AHL_PA_SC_BALANCE'!$A$8:$E$18,2,FALSE),VLOOKUP(AE502,'AHL_PA_SC_BALANCE'!$A$8:$E$18,4,FALSE)))</x:f>
        <x:v>46</x:v>
      </x:c>
      <x:c r="U502" s="63" t="n">
        <x:f>MAX(30,MIN(AC502-VLOOKUP(AE502,'AHL_PA_SC_BALANCE'!$A$8:$E$18,3,FALSE),VLOOKUP(AE502,'AHL_PA_SC_BALANCE'!$A$8:$E$18,5,FALSE)))</x:f>
        <x:v>44</x:v>
      </x:c>
      <x:c r="V502">
        <x:v>60</x:v>
      </x:c>
      <x:c r="W502">
        <x:v>66</x:v>
      </x:c>
      <x:c r="X502">
        <x:v>67</x:v>
      </x:c>
      <x:c r="Y502">
        <x:v>67</x:v>
      </x:c>
      <x:c r="Z502">
        <x:v>51</x:v>
      </x:c>
      <x:c r="AA502">
        <x:v>49</x:v>
      </x:c>
      <x:c r="AB502" s="57" t="n">
        <x:v>46</x:v>
      </x:c>
      <x:c r="AC502" s="57" t="n">
        <x:v>44</x:v>
      </x:c>
      <x:c r="AD502" s="59"/>
      <x:c r="AE502" s="61" t="str">
        <x:f>IF(N(F502)&gt;=10,"NHL_LATEST_10",IF(AND(N(F502)&gt;0,N(G502)&gt;0),"NHL_BOTH_SEASONS",IF(N(G502)&gt;=10,"NHL_PREVIOUS_10",IF(AND(ISNUMBER(AD502),AD502=0,SUM(F502:G502)=0),"FARM_CAREER_0",IF(COUNT(F502:G502)&lt;2,"UNKNOWN_GP",IF(AND(F502=0,G502=0),IF(AD502&gt;=10,"FARM_LEGACY_10",IF(AND(ISNUMBER(AD502),AD502&gt;0),"FARM_CAREER_1_9","FARM_0_0")),IF(F502&gt;=1,IF(F502&lt;=3,"FARM_RECENT_1_3","FARM_RECENT_4_9"),"FARM_PREV_1_9_ONLY")))))))</x:f>
        <x:v>UNKNOWN_GP</x:v>
      </x:c>
      <x:c r="AF502" s="57" t="n">
        <x:f>AB502-T502</x:f>
        <x:v>0</x:v>
      </x:c>
      <x:c r="AG502" s="57" t="n">
        <x:f>AC502-U502</x:f>
        <x:v>0</x:v>
      </x:c>
    </x:row>
    <x:row r="503">
      <x:c r="A503" t="s">
        <x:v>1525</x:v>
      </x:c>
      <x:c r="C503" t="s">
        <x:v>331</x:v>
      </x:c>
      <x:c r="D503">
        <x:v>8482902</x:v>
      </x:c>
      <x:c r="E503" t="s">
        <x:v>267</x:v>
      </x:c>
      <x:c r="J503" t="s">
        <x:v>2474</x:v>
      </x:c>
      <x:c r="K503">
        <x:v>71</x:v>
      </x:c>
      <x:c r="L503">
        <x:v>39</x:v>
      </x:c>
      <x:c r="M503">
        <x:v>85</x:v>
      </x:c>
      <x:c r="N503">
        <x:v>31</x:v>
      </x:c>
      <x:c r="O503">
        <x:v>81</x:v>
      </x:c>
      <x:c r="P503">
        <x:v>78</x:v>
      </x:c>
      <x:c r="Q503">
        <x:v>80</x:v>
      </x:c>
      <x:c r="R503">
        <x:v>31</x:v>
      </x:c>
      <x:c r="S503">
        <x:v>30</x:v>
      </x:c>
      <x:c r="T503" s="63" t="n">
        <x:f>MAX(30,MIN(AB503-VLOOKUP(AE503,'AHL_PA_SC_BALANCE'!$A$8:$E$18,2,FALSE),VLOOKUP(AE503,'AHL_PA_SC_BALANCE'!$A$8:$E$18,4,FALSE)))</x:f>
        <x:v>40</x:v>
      </x:c>
      <x:c r="U503" s="63" t="n">
        <x:f>MAX(30,MIN(AC503-VLOOKUP(AE503,'AHL_PA_SC_BALANCE'!$A$8:$E$18,3,FALSE),VLOOKUP(AE503,'AHL_PA_SC_BALANCE'!$A$8:$E$18,5,FALSE)))</x:f>
        <x:v>39</x:v>
      </x:c>
      <x:c r="V503">
        <x:v>65</x:v>
      </x:c>
      <x:c r="W503">
        <x:v>45</x:v>
      </x:c>
      <x:c r="X503">
        <x:v>66</x:v>
      </x:c>
      <x:c r="Y503">
        <x:v>65</x:v>
      </x:c>
      <x:c r="Z503">
        <x:v>51</x:v>
      </x:c>
      <x:c r="AA503">
        <x:v>49</x:v>
      </x:c>
      <x:c r="AB503" s="57" t="n">
        <x:v>40</x:v>
      </x:c>
      <x:c r="AC503" s="57" t="n">
        <x:v>39</x:v>
      </x:c>
      <x:c r="AD503" s="59"/>
      <x:c r="AE503" s="61" t="str">
        <x:f>IF(N(F503)&gt;=10,"NHL_LATEST_10",IF(AND(N(F503)&gt;0,N(G503)&gt;0),"NHL_BOTH_SEASONS",IF(N(G503)&gt;=10,"NHL_PREVIOUS_10",IF(AND(ISNUMBER(AD503),AD503=0,SUM(F503:G503)=0),"FARM_CAREER_0",IF(COUNT(F503:G503)&lt;2,"UNKNOWN_GP",IF(AND(F503=0,G503=0),IF(AD503&gt;=10,"FARM_LEGACY_10",IF(AND(ISNUMBER(AD503),AD503&gt;0),"FARM_CAREER_1_9","FARM_0_0")),IF(F503&gt;=1,IF(F503&lt;=3,"FARM_RECENT_1_3","FARM_RECENT_4_9"),"FARM_PREV_1_9_ONLY")))))))</x:f>
        <x:v>UNKNOWN_GP</x:v>
      </x:c>
      <x:c r="AF503" s="57" t="n">
        <x:f>AB503-T503</x:f>
        <x:v>0</x:v>
      </x:c>
      <x:c r="AG503" s="57" t="n">
        <x:f>AC503-U503</x:f>
        <x:v>0</x:v>
      </x:c>
    </x:row>
    <x:row r="504">
      <x:c r="A504" t="s">
        <x:v>1526</x:v>
      </x:c>
      <x:c r="C504" t="s">
        <x:v>319</x:v>
      </x:c>
      <x:c r="D504">
        <x:v>8484380</x:v>
      </x:c>
      <x:c r="E504" t="s">
        <x:v>267</x:v>
      </x:c>
      <x:c r="J504" t="s">
        <x:v>2474</x:v>
      </x:c>
      <x:c r="K504">
        <x:v>61</x:v>
      </x:c>
      <x:c r="L504">
        <x:v>32</x:v>
      </x:c>
      <x:c r="M504">
        <x:v>80</x:v>
      </x:c>
      <x:c r="N504">
        <x:v>44</x:v>
      </x:c>
      <x:c r="O504">
        <x:v>82</x:v>
      </x:c>
      <x:c r="P504">
        <x:v>88</x:v>
      </x:c>
      <x:c r="Q504">
        <x:v>91</x:v>
      </x:c>
      <x:c r="R504">
        <x:v>44</x:v>
      </x:c>
      <x:c r="S504">
        <x:v>77</x:v>
      </x:c>
      <x:c r="T504" s="63" t="n">
        <x:f>MAX(30,MIN(AB504-VLOOKUP(AE504,'AHL_PA_SC_BALANCE'!$A$8:$E$18,2,FALSE),VLOOKUP(AE504,'AHL_PA_SC_BALANCE'!$A$8:$E$18,4,FALSE)))</x:f>
        <x:v>45</x:v>
      </x:c>
      <x:c r="U504" s="63" t="n">
        <x:f>MAX(30,MIN(AC504-VLOOKUP(AE504,'AHL_PA_SC_BALANCE'!$A$8:$E$18,3,FALSE),VLOOKUP(AE504,'AHL_PA_SC_BALANCE'!$A$8:$E$18,5,FALSE)))</x:f>
        <x:v>45</x:v>
      </x:c>
      <x:c r="V504">
        <x:v>61</x:v>
      </x:c>
      <x:c r="W504">
        <x:v>65</x:v>
      </x:c>
      <x:c r="X504">
        <x:v>69</x:v>
      </x:c>
      <x:c r="Y504">
        <x:v>69</x:v>
      </x:c>
      <x:c r="Z504">
        <x:v>51</x:v>
      </x:c>
      <x:c r="AA504">
        <x:v>49</x:v>
      </x:c>
      <x:c r="AB504" s="57" t="n">
        <x:v>45</x:v>
      </x:c>
      <x:c r="AC504" s="57" t="n">
        <x:v>45</x:v>
      </x:c>
      <x:c r="AD504" s="59"/>
      <x:c r="AE504" s="61" t="str">
        <x:f>IF(N(F504)&gt;=10,"NHL_LATEST_10",IF(AND(N(F504)&gt;0,N(G504)&gt;0),"NHL_BOTH_SEASONS",IF(N(G504)&gt;=10,"NHL_PREVIOUS_10",IF(AND(ISNUMBER(AD504),AD504=0,SUM(F504:G504)=0),"FARM_CAREER_0",IF(COUNT(F504:G504)&lt;2,"UNKNOWN_GP",IF(AND(F504=0,G504=0),IF(AD504&gt;=10,"FARM_LEGACY_10",IF(AND(ISNUMBER(AD504),AD504&gt;0),"FARM_CAREER_1_9","FARM_0_0")),IF(F504&gt;=1,IF(F504&lt;=3,"FARM_RECENT_1_3","FARM_RECENT_4_9"),"FARM_PREV_1_9_ONLY")))))))</x:f>
        <x:v>UNKNOWN_GP</x:v>
      </x:c>
      <x:c r="AF504" s="57" t="n">
        <x:f>AB504-T504</x:f>
        <x:v>0</x:v>
      </x:c>
      <x:c r="AG504" s="57" t="n">
        <x:f>AC504-U504</x:f>
        <x:v>0</x:v>
      </x:c>
    </x:row>
    <x:row r="505">
      <x:c r="A505" t="s">
        <x:v>1527</x:v>
      </x:c>
      <x:c r="C505" t="s">
        <x:v>331</x:v>
      </x:c>
      <x:c r="D505">
        <x:v>8481086</x:v>
      </x:c>
      <x:c r="E505" t="s">
        <x:v>267</x:v>
      </x:c>
      <x:c r="J505" t="s">
        <x:v>2474</x:v>
      </x:c>
      <x:c r="K505">
        <x:v>65</x:v>
      </x:c>
      <x:c r="L505">
        <x:v>36</x:v>
      </x:c>
      <x:c r="M505">
        <x:v>78</x:v>
      </x:c>
      <x:c r="N505">
        <x:v>30</x:v>
      </x:c>
      <x:c r="O505">
        <x:v>80</x:v>
      </x:c>
      <x:c r="P505">
        <x:v>68</x:v>
      </x:c>
      <x:c r="Q505">
        <x:v>71</x:v>
      </x:c>
      <x:c r="R505">
        <x:v>30</x:v>
      </x:c>
      <x:c r="S505">
        <x:v>30</x:v>
      </x:c>
      <x:c r="T505" s="63" t="n">
        <x:f>MAX(30,MIN(AB505-VLOOKUP(AE505,'AHL_PA_SC_BALANCE'!$A$8:$E$18,2,FALSE),VLOOKUP(AE505,'AHL_PA_SC_BALANCE'!$A$8:$E$18,4,FALSE)))</x:f>
        <x:v>39</x:v>
      </x:c>
      <x:c r="U505" s="63" t="n">
        <x:f>MAX(30,MIN(AC505-VLOOKUP(AE505,'AHL_PA_SC_BALANCE'!$A$8:$E$18,3,FALSE),VLOOKUP(AE505,'AHL_PA_SC_BALANCE'!$A$8:$E$18,5,FALSE)))</x:f>
        <x:v>38</x:v>
      </x:c>
      <x:c r="V505">
        <x:v>67</x:v>
      </x:c>
      <x:c r="W505">
        <x:v>43</x:v>
      </x:c>
      <x:c r="X505">
        <x:v>68</x:v>
      </x:c>
      <x:c r="Y505">
        <x:v>67</x:v>
      </x:c>
      <x:c r="Z505">
        <x:v>51</x:v>
      </x:c>
      <x:c r="AA505">
        <x:v>49</x:v>
      </x:c>
      <x:c r="AB505" s="57" t="n">
        <x:v>39</x:v>
      </x:c>
      <x:c r="AC505" s="57" t="n">
        <x:v>38</x:v>
      </x:c>
      <x:c r="AD505" s="59"/>
      <x:c r="AE505" s="61" t="str">
        <x:f>IF(N(F505)&gt;=10,"NHL_LATEST_10",IF(AND(N(F505)&gt;0,N(G505)&gt;0),"NHL_BOTH_SEASONS",IF(N(G505)&gt;=10,"NHL_PREVIOUS_10",IF(AND(ISNUMBER(AD505),AD505=0,SUM(F505:G505)=0),"FARM_CAREER_0",IF(COUNT(F505:G505)&lt;2,"UNKNOWN_GP",IF(AND(F505=0,G505=0),IF(AD505&gt;=10,"FARM_LEGACY_10",IF(AND(ISNUMBER(AD505),AD505&gt;0),"FARM_CAREER_1_9","FARM_0_0")),IF(F505&gt;=1,IF(F505&lt;=3,"FARM_RECENT_1_3","FARM_RECENT_4_9"),"FARM_PREV_1_9_ONLY")))))))</x:f>
        <x:v>UNKNOWN_GP</x:v>
      </x:c>
      <x:c r="AF505" s="57" t="n">
        <x:f>AB505-T505</x:f>
        <x:v>0</x:v>
      </x:c>
      <x:c r="AG505" s="57" t="n">
        <x:f>AC505-U505</x:f>
        <x:v>0</x:v>
      </x:c>
    </x:row>
    <x:row r="506">
      <x:c r="A506" t="s">
        <x:v>1528</x:v>
      </x:c>
      <x:c r="C506" t="s">
        <x:v>331</x:v>
      </x:c>
      <x:c r="D506">
        <x:v>8486146</x:v>
      </x:c>
      <x:c r="E506" t="s">
        <x:v>267</x:v>
      </x:c>
      <x:c r="J506" t="s">
        <x:v>2474</x:v>
      </x:c>
      <x:c r="K506">
        <x:v>67</x:v>
      </x:c>
      <x:c r="L506">
        <x:v>36</x:v>
      </x:c>
      <x:c r="M506">
        <x:v>89</x:v>
      </x:c>
      <x:c r="N506">
        <x:v>30</x:v>
      </x:c>
      <x:c r="O506">
        <x:v>83</x:v>
      </x:c>
      <x:c r="P506">
        <x:v>68</x:v>
      </x:c>
      <x:c r="Q506">
        <x:v>71</x:v>
      </x:c>
      <x:c r="R506">
        <x:v>30</x:v>
      </x:c>
      <x:c r="S506">
        <x:v>30</x:v>
      </x:c>
      <x:c r="T506" s="63" t="n">
        <x:f>MAX(30,MIN(AB506-VLOOKUP(AE506,'AHL_PA_SC_BALANCE'!$A$8:$E$18,2,FALSE),VLOOKUP(AE506,'AHL_PA_SC_BALANCE'!$A$8:$E$18,4,FALSE)))</x:f>
        <x:v>39</x:v>
      </x:c>
      <x:c r="U506" s="63" t="n">
        <x:f>MAX(30,MIN(AC506-VLOOKUP(AE506,'AHL_PA_SC_BALANCE'!$A$8:$E$18,3,FALSE),VLOOKUP(AE506,'AHL_PA_SC_BALANCE'!$A$8:$E$18,5,FALSE)))</x:f>
        <x:v>38</x:v>
      </x:c>
      <x:c r="V506">
        <x:v>66</x:v>
      </x:c>
      <x:c r="W506">
        <x:v>43</x:v>
      </x:c>
      <x:c r="X506">
        <x:v>66</x:v>
      </x:c>
      <x:c r="Y506">
        <x:v>66</x:v>
      </x:c>
      <x:c r="Z506">
        <x:v>51</x:v>
      </x:c>
      <x:c r="AA506">
        <x:v>49</x:v>
      </x:c>
      <x:c r="AB506" s="57" t="n">
        <x:v>39</x:v>
      </x:c>
      <x:c r="AC506" s="57" t="n">
        <x:v>38</x:v>
      </x:c>
      <x:c r="AD506" s="59"/>
      <x:c r="AE506" s="61" t="str">
        <x:f>IF(N(F506)&gt;=10,"NHL_LATEST_10",IF(AND(N(F506)&gt;0,N(G506)&gt;0),"NHL_BOTH_SEASONS",IF(N(G506)&gt;=10,"NHL_PREVIOUS_10",IF(AND(ISNUMBER(AD506),AD506=0,SUM(F506:G506)=0),"FARM_CAREER_0",IF(COUNT(F506:G506)&lt;2,"UNKNOWN_GP",IF(AND(F506=0,G506=0),IF(AD506&gt;=10,"FARM_LEGACY_10",IF(AND(ISNUMBER(AD506),AD506&gt;0),"FARM_CAREER_1_9","FARM_0_0")),IF(F506&gt;=1,IF(F506&lt;=3,"FARM_RECENT_1_3","FARM_RECENT_4_9"),"FARM_PREV_1_9_ONLY")))))))</x:f>
        <x:v>UNKNOWN_GP</x:v>
      </x:c>
      <x:c r="AF506" s="57" t="n">
        <x:f>AB506-T506</x:f>
        <x:v>0</x:v>
      </x:c>
      <x:c r="AG506" s="57" t="n">
        <x:f>AC506-U506</x:f>
        <x:v>0</x:v>
      </x:c>
    </x:row>
    <x:row r="507">
      <x:c r="A507" t="s">
        <x:v>1529</x:v>
      </x:c>
      <x:c r="C507" t="s">
        <x:v>319</x:v>
      </x:c>
      <x:c r="D507">
        <x:v>8485105</x:v>
      </x:c>
      <x:c r="E507" t="s">
        <x:v>267</x:v>
      </x:c>
      <x:c r="J507" t="s">
        <x:v>2474</x:v>
      </x:c>
      <x:c r="K507">
        <x:v>59</x:v>
      </x:c>
      <x:c r="L507">
        <x:v>35</x:v>
      </x:c>
      <x:c r="M507">
        <x:v>78</x:v>
      </x:c>
      <x:c r="N507">
        <x:v>47</x:v>
      </x:c>
      <x:c r="O507">
        <x:v>79</x:v>
      </x:c>
      <x:c r="P507">
        <x:v>75</x:v>
      </x:c>
      <x:c r="Q507">
        <x:v>77</x:v>
      </x:c>
      <x:c r="R507">
        <x:v>48</x:v>
      </x:c>
      <x:c r="S507">
        <x:v>66</x:v>
      </x:c>
      <x:c r="T507" s="63" t="n">
        <x:f>MAX(30,MIN(AB507-VLOOKUP(AE507,'AHL_PA_SC_BALANCE'!$A$8:$E$18,2,FALSE),VLOOKUP(AE507,'AHL_PA_SC_BALANCE'!$A$8:$E$18,4,FALSE)))</x:f>
        <x:v>48</x:v>
      </x:c>
      <x:c r="U507" s="63" t="n">
        <x:f>MAX(30,MIN(AC507-VLOOKUP(AE507,'AHL_PA_SC_BALANCE'!$A$8:$E$18,3,FALSE),VLOOKUP(AE507,'AHL_PA_SC_BALANCE'!$A$8:$E$18,5,FALSE)))</x:f>
        <x:v>43</x:v>
      </x:c>
      <x:c r="V507">
        <x:v>58</x:v>
      </x:c>
      <x:c r="W507">
        <x:v>66</x:v>
      </x:c>
      <x:c r="X507">
        <x:v>66</x:v>
      </x:c>
      <x:c r="Y507">
        <x:v>65</x:v>
      </x:c>
      <x:c r="Z507">
        <x:v>51</x:v>
      </x:c>
      <x:c r="AA507">
        <x:v>49</x:v>
      </x:c>
      <x:c r="AB507" s="57" t="n">
        <x:v>48</x:v>
      </x:c>
      <x:c r="AC507" s="57" t="n">
        <x:v>43</x:v>
      </x:c>
      <x:c r="AD507" s="59"/>
      <x:c r="AE507" s="61" t="str">
        <x:f>IF(N(F507)&gt;=10,"NHL_LATEST_10",IF(AND(N(F507)&gt;0,N(G507)&gt;0),"NHL_BOTH_SEASONS",IF(N(G507)&gt;=10,"NHL_PREVIOUS_10",IF(AND(ISNUMBER(AD507),AD507=0,SUM(F507:G507)=0),"FARM_CAREER_0",IF(COUNT(F507:G507)&lt;2,"UNKNOWN_GP",IF(AND(F507=0,G507=0),IF(AD507&gt;=10,"FARM_LEGACY_10",IF(AND(ISNUMBER(AD507),AD507&gt;0),"FARM_CAREER_1_9","FARM_0_0")),IF(F507&gt;=1,IF(F507&lt;=3,"FARM_RECENT_1_3","FARM_RECENT_4_9"),"FARM_PREV_1_9_ONLY")))))))</x:f>
        <x:v>UNKNOWN_GP</x:v>
      </x:c>
      <x:c r="AF507" s="57" t="n">
        <x:f>AB507-T507</x:f>
        <x:v>0</x:v>
      </x:c>
      <x:c r="AG507" s="57" t="n">
        <x:f>AC507-U507</x:f>
        <x:v>0</x:v>
      </x:c>
    </x:row>
    <x:row r="508">
      <x:c r="A508" t="s">
        <x:v>1530</x:v>
      </x:c>
      <x:c r="C508" t="s">
        <x:v>319</x:v>
      </x:c>
      <x:c r="D508">
        <x:v>8482214</x:v>
      </x:c>
      <x:c r="E508" t="s">
        <x:v>267</x:v>
      </x:c>
      <x:c r="J508" t="s">
        <x:v>2474</x:v>
      </x:c>
      <x:c r="K508">
        <x:v>58</x:v>
      </x:c>
      <x:c r="L508">
        <x:v>36</x:v>
      </x:c>
      <x:c r="M508">
        <x:v>91</x:v>
      </x:c>
      <x:c r="N508">
        <x:v>45</x:v>
      </x:c>
      <x:c r="O508">
        <x:v>77</x:v>
      </x:c>
      <x:c r="P508">
        <x:v>87</x:v>
      </x:c>
      <x:c r="Q508">
        <x:v>91</x:v>
      </x:c>
      <x:c r="R508">
        <x:v>44</x:v>
      </x:c>
      <x:c r="S508">
        <x:v>61</x:v>
      </x:c>
      <x:c r="T508" s="63" t="n">
        <x:f>MAX(30,MIN(AB508-VLOOKUP(AE508,'AHL_PA_SC_BALANCE'!$A$8:$E$18,2,FALSE),VLOOKUP(AE508,'AHL_PA_SC_BALANCE'!$A$8:$E$18,4,FALSE)))</x:f>
        <x:v>44</x:v>
      </x:c>
      <x:c r="U508" s="63" t="n">
        <x:f>MAX(30,MIN(AC508-VLOOKUP(AE508,'AHL_PA_SC_BALANCE'!$A$8:$E$18,3,FALSE),VLOOKUP(AE508,'AHL_PA_SC_BALANCE'!$A$8:$E$18,5,FALSE)))</x:f>
        <x:v>45</x:v>
      </x:c>
      <x:c r="V508">
        <x:v>62</x:v>
      </x:c>
      <x:c r="W508">
        <x:v>65</x:v>
      </x:c>
      <x:c r="X508">
        <x:v>66</x:v>
      </x:c>
      <x:c r="Y508">
        <x:v>66</x:v>
      </x:c>
      <x:c r="Z508">
        <x:v>51</x:v>
      </x:c>
      <x:c r="AA508">
        <x:v>49</x:v>
      </x:c>
      <x:c r="AB508" s="57" t="n">
        <x:v>44</x:v>
      </x:c>
      <x:c r="AC508" s="57" t="n">
        <x:v>45</x:v>
      </x:c>
      <x:c r="AD508" s="59"/>
      <x:c r="AE508" s="61" t="str">
        <x:f>IF(N(F508)&gt;=10,"NHL_LATEST_10",IF(AND(N(F508)&gt;0,N(G508)&gt;0),"NHL_BOTH_SEASONS",IF(N(G508)&gt;=10,"NHL_PREVIOUS_10",IF(AND(ISNUMBER(AD508),AD508=0,SUM(F508:G508)=0),"FARM_CAREER_0",IF(COUNT(F508:G508)&lt;2,"UNKNOWN_GP",IF(AND(F508=0,G508=0),IF(AD508&gt;=10,"FARM_LEGACY_10",IF(AND(ISNUMBER(AD508),AD508&gt;0),"FARM_CAREER_1_9","FARM_0_0")),IF(F508&gt;=1,IF(F508&lt;=3,"FARM_RECENT_1_3","FARM_RECENT_4_9"),"FARM_PREV_1_9_ONLY")))))))</x:f>
        <x:v>UNKNOWN_GP</x:v>
      </x:c>
      <x:c r="AF508" s="57" t="n">
        <x:f>AB508-T508</x:f>
        <x:v>0</x:v>
      </x:c>
      <x:c r="AG508" s="57" t="n">
        <x:f>AC508-U508</x:f>
        <x:v>0</x:v>
      </x:c>
    </x:row>
    <x:row r="509">
      <x:c r="A509" t="s">
        <x:v>1531</x:v>
      </x:c>
      <x:c r="C509" t="s">
        <x:v>331</x:v>
      </x:c>
      <x:c r="D509">
        <x:v>8481566</x:v>
      </x:c>
      <x:c r="E509" t="s">
        <x:v>267</x:v>
      </x:c>
      <x:c r="J509" t="s">
        <x:v>2474</x:v>
      </x:c>
      <x:c r="K509">
        <x:v>68</x:v>
      </x:c>
      <x:c r="L509">
        <x:v>38</x:v>
      </x:c>
      <x:c r="M509">
        <x:v>90</x:v>
      </x:c>
      <x:c r="N509">
        <x:v>32</x:v>
      </x:c>
      <x:c r="O509">
        <x:v>80</x:v>
      </x:c>
      <x:c r="P509">
        <x:v>73</x:v>
      </x:c>
      <x:c r="Q509">
        <x:v>75</x:v>
      </x:c>
      <x:c r="R509">
        <x:v>31</x:v>
      </x:c>
      <x:c r="S509">
        <x:v>30</x:v>
      </x:c>
      <x:c r="T509" s="63" t="n">
        <x:f>MAX(30,MIN(AB509-VLOOKUP(AE509,'AHL_PA_SC_BALANCE'!$A$8:$E$18,2,FALSE),VLOOKUP(AE509,'AHL_PA_SC_BALANCE'!$A$8:$E$18,4,FALSE)))</x:f>
        <x:v>40</x:v>
      </x:c>
      <x:c r="U509" s="63" t="n">
        <x:f>MAX(30,MIN(AC509-VLOOKUP(AE509,'AHL_PA_SC_BALANCE'!$A$8:$E$18,3,FALSE),VLOOKUP(AE509,'AHL_PA_SC_BALANCE'!$A$8:$E$18,5,FALSE)))</x:f>
        <x:v>38</x:v>
      </x:c>
      <x:c r="V509">
        <x:v>65</x:v>
      </x:c>
      <x:c r="W509">
        <x:v>44</x:v>
      </x:c>
      <x:c r="X509">
        <x:v>68</x:v>
      </x:c>
      <x:c r="Y509">
        <x:v>69</x:v>
      </x:c>
      <x:c r="Z509">
        <x:v>51</x:v>
      </x:c>
      <x:c r="AA509">
        <x:v>49</x:v>
      </x:c>
      <x:c r="AB509" s="57" t="n">
        <x:v>40</x:v>
      </x:c>
      <x:c r="AC509" s="57" t="n">
        <x:v>38</x:v>
      </x:c>
      <x:c r="AD509" s="59"/>
      <x:c r="AE509" s="61" t="str">
        <x:f>IF(N(F509)&gt;=10,"NHL_LATEST_10",IF(AND(N(F509)&gt;0,N(G509)&gt;0),"NHL_BOTH_SEASONS",IF(N(G509)&gt;=10,"NHL_PREVIOUS_10",IF(AND(ISNUMBER(AD509),AD509=0,SUM(F509:G509)=0),"FARM_CAREER_0",IF(COUNT(F509:G509)&lt;2,"UNKNOWN_GP",IF(AND(F509=0,G509=0),IF(AD509&gt;=10,"FARM_LEGACY_10",IF(AND(ISNUMBER(AD509),AD509&gt;0),"FARM_CAREER_1_9","FARM_0_0")),IF(F509&gt;=1,IF(F509&lt;=3,"FARM_RECENT_1_3","FARM_RECENT_4_9"),"FARM_PREV_1_9_ONLY")))))))</x:f>
        <x:v>UNKNOWN_GP</x:v>
      </x:c>
      <x:c r="AF509" s="57" t="n">
        <x:f>AB509-T509</x:f>
        <x:v>0</x:v>
      </x:c>
      <x:c r="AG509" s="57" t="n">
        <x:f>AC509-U509</x:f>
        <x:v>0</x:v>
      </x:c>
    </x:row>
    <x:row r="510">
      <x:c r="A510" t="s">
        <x:v>1532</x:v>
      </x:c>
      <x:c r="C510" t="s">
        <x:v>331</x:v>
      </x:c>
      <x:c r="D510">
        <x:v>8485459</x:v>
      </x:c>
      <x:c r="E510" t="s">
        <x:v>267</x:v>
      </x:c>
      <x:c r="J510" t="s">
        <x:v>2474</x:v>
      </x:c>
      <x:c r="K510">
        <x:v>75</x:v>
      </x:c>
      <x:c r="L510">
        <x:v>38</x:v>
      </x:c>
      <x:c r="M510">
        <x:v>85</x:v>
      </x:c>
      <x:c r="N510">
        <x:v>32</x:v>
      </x:c>
      <x:c r="O510">
        <x:v>78</x:v>
      </x:c>
      <x:c r="P510">
        <x:v>72</x:v>
      </x:c>
      <x:c r="Q510">
        <x:v>76</x:v>
      </x:c>
      <x:c r="R510">
        <x:v>32</x:v>
      </x:c>
      <x:c r="S510">
        <x:v>30</x:v>
      </x:c>
      <x:c r="T510" s="63" t="n">
        <x:f>MAX(30,MIN(AB510-VLOOKUP(AE510,'AHL_PA_SC_BALANCE'!$A$8:$E$18,2,FALSE),VLOOKUP(AE510,'AHL_PA_SC_BALANCE'!$A$8:$E$18,4,FALSE)))</x:f>
        <x:v>40</x:v>
      </x:c>
      <x:c r="U510" s="63" t="n">
        <x:f>MAX(30,MIN(AC510-VLOOKUP(AE510,'AHL_PA_SC_BALANCE'!$A$8:$E$18,3,FALSE),VLOOKUP(AE510,'AHL_PA_SC_BALANCE'!$A$8:$E$18,5,FALSE)))</x:f>
        <x:v>39</x:v>
      </x:c>
      <x:c r="V510">
        <x:v>63</x:v>
      </x:c>
      <x:c r="W510">
        <x:v>44</x:v>
      </x:c>
      <x:c r="X510">
        <x:v>68</x:v>
      </x:c>
      <x:c r="Y510">
        <x:v>67</x:v>
      </x:c>
      <x:c r="Z510">
        <x:v>51</x:v>
      </x:c>
      <x:c r="AA510">
        <x:v>49</x:v>
      </x:c>
      <x:c r="AB510" s="57" t="n">
        <x:v>40</x:v>
      </x:c>
      <x:c r="AC510" s="57" t="n">
        <x:v>39</x:v>
      </x:c>
      <x:c r="AD510" s="59"/>
      <x:c r="AE510" s="61" t="str">
        <x:f>IF(N(F510)&gt;=10,"NHL_LATEST_10",IF(AND(N(F510)&gt;0,N(G510)&gt;0),"NHL_BOTH_SEASONS",IF(N(G510)&gt;=10,"NHL_PREVIOUS_10",IF(AND(ISNUMBER(AD510),AD510=0,SUM(F510:G510)=0),"FARM_CAREER_0",IF(COUNT(F510:G510)&lt;2,"UNKNOWN_GP",IF(AND(F510=0,G510=0),IF(AD510&gt;=10,"FARM_LEGACY_10",IF(AND(ISNUMBER(AD510),AD510&gt;0),"FARM_CAREER_1_9","FARM_0_0")),IF(F510&gt;=1,IF(F510&lt;=3,"FARM_RECENT_1_3","FARM_RECENT_4_9"),"FARM_PREV_1_9_ONLY")))))))</x:f>
        <x:v>UNKNOWN_GP</x:v>
      </x:c>
      <x:c r="AF510" s="57" t="n">
        <x:f>AB510-T510</x:f>
        <x:v>0</x:v>
      </x:c>
      <x:c r="AG510" s="57" t="n">
        <x:f>AC510-U510</x:f>
        <x:v>0</x:v>
      </x:c>
    </x:row>
    <x:row r="511">
      <x:c r="A511" t="s">
        <x:v>1533</x:v>
      </x:c>
      <x:c r="C511" t="s">
        <x:v>331</x:v>
      </x:c>
      <x:c r="D511">
        <x:v>8484130</x:v>
      </x:c>
      <x:c r="E511" t="s">
        <x:v>267</x:v>
      </x:c>
      <x:c r="J511" t="s">
        <x:v>2474</x:v>
      </x:c>
      <x:c r="K511">
        <x:v>73</x:v>
      </x:c>
      <x:c r="L511">
        <x:v>38</x:v>
      </x:c>
      <x:c r="M511">
        <x:v>89</x:v>
      </x:c>
      <x:c r="N511">
        <x:v>30</x:v>
      </x:c>
      <x:c r="O511">
        <x:v>79</x:v>
      </x:c>
      <x:c r="P511">
        <x:v>75</x:v>
      </x:c>
      <x:c r="Q511">
        <x:v>77</x:v>
      </x:c>
      <x:c r="R511">
        <x:v>30</x:v>
      </x:c>
      <x:c r="S511">
        <x:v>30</x:v>
      </x:c>
      <x:c r="T511" s="63" t="n">
        <x:f>MAX(30,MIN(AB511-VLOOKUP(AE511,'AHL_PA_SC_BALANCE'!$A$8:$E$18,2,FALSE),VLOOKUP(AE511,'AHL_PA_SC_BALANCE'!$A$8:$E$18,4,FALSE)))</x:f>
        <x:v>38</x:v>
      </x:c>
      <x:c r="U511" s="63" t="n">
        <x:f>MAX(30,MIN(AC511-VLOOKUP(AE511,'AHL_PA_SC_BALANCE'!$A$8:$E$18,3,FALSE),VLOOKUP(AE511,'AHL_PA_SC_BALANCE'!$A$8:$E$18,5,FALSE)))</x:f>
        <x:v>37</x:v>
      </x:c>
      <x:c r="V511">
        <x:v>63</x:v>
      </x:c>
      <x:c r="W511">
        <x:v>43</x:v>
      </x:c>
      <x:c r="X511">
        <x:v>70</x:v>
      </x:c>
      <x:c r="Y511">
        <x:v>69</x:v>
      </x:c>
      <x:c r="Z511">
        <x:v>51</x:v>
      </x:c>
      <x:c r="AA511">
        <x:v>49</x:v>
      </x:c>
      <x:c r="AB511" s="57" t="n">
        <x:v>38</x:v>
      </x:c>
      <x:c r="AC511" s="57" t="n">
        <x:v>37</x:v>
      </x:c>
      <x:c r="AD511" s="59"/>
      <x:c r="AE511" s="61" t="str">
        <x:f>IF(N(F511)&gt;=10,"NHL_LATEST_10",IF(AND(N(F511)&gt;0,N(G511)&gt;0),"NHL_BOTH_SEASONS",IF(N(G511)&gt;=10,"NHL_PREVIOUS_10",IF(AND(ISNUMBER(AD511),AD511=0,SUM(F511:G511)=0),"FARM_CAREER_0",IF(COUNT(F511:G511)&lt;2,"UNKNOWN_GP",IF(AND(F511=0,G511=0),IF(AD511&gt;=10,"FARM_LEGACY_10",IF(AND(ISNUMBER(AD511),AD511&gt;0),"FARM_CAREER_1_9","FARM_0_0")),IF(F511&gt;=1,IF(F511&lt;=3,"FARM_RECENT_1_3","FARM_RECENT_4_9"),"FARM_PREV_1_9_ONLY")))))))</x:f>
        <x:v>UNKNOWN_GP</x:v>
      </x:c>
      <x:c r="AF511" s="57" t="n">
        <x:f>AB511-T511</x:f>
        <x:v>0</x:v>
      </x:c>
      <x:c r="AG511" s="57" t="n">
        <x:f>AC511-U511</x:f>
        <x:v>0</x:v>
      </x:c>
    </x:row>
    <x:row r="512">
      <x:c r="A512" t="s">
        <x:v>1534</x:v>
      </x:c>
      <x:c r="B512" t="s">
        <x:v>584</x:v>
      </x:c>
      <x:c r="C512" t="s">
        <x:v>331</x:v>
      </x:c>
      <x:c r="D512">
        <x:v>8483545</x:v>
      </x:c>
      <x:c r="E512" t="s">
        <x:v>267</x:v>
      </x:c>
      <x:c r="J512" t="s">
        <x:v>2476</x:v>
      </x:c>
      <x:c r="K512">
        <x:v>69</x:v>
      </x:c>
      <x:c r="L512">
        <x:v>35</x:v>
      </x:c>
      <x:c r="M512">
        <x:v>91</x:v>
      </x:c>
      <x:c r="N512">
        <x:v>30</x:v>
      </x:c>
      <x:c r="O512">
        <x:v>82</x:v>
      </x:c>
      <x:c r="P512">
        <x:v>68</x:v>
      </x:c>
      <x:c r="Q512">
        <x:v>71</x:v>
      </x:c>
      <x:c r="R512">
        <x:v>30</x:v>
      </x:c>
      <x:c r="S512">
        <x:v>30</x:v>
      </x:c>
      <x:c r="T512" s="63" t="n">
        <x:f>MAX(30,MIN(AB512-VLOOKUP(AE512,'AHL_PA_SC_BALANCE'!$A$8:$E$18,2,FALSE),VLOOKUP(AE512,'AHL_PA_SC_BALANCE'!$A$8:$E$18,4,FALSE)))</x:f>
        <x:v>39</x:v>
      </x:c>
      <x:c r="U512" s="63" t="n">
        <x:f>MAX(30,MIN(AC512-VLOOKUP(AE512,'AHL_PA_SC_BALANCE'!$A$8:$E$18,3,FALSE),VLOOKUP(AE512,'AHL_PA_SC_BALANCE'!$A$8:$E$18,5,FALSE)))</x:f>
        <x:v>38</x:v>
      </x:c>
      <x:c r="V512">
        <x:v>65</x:v>
      </x:c>
      <x:c r="W512">
        <x:v>43</x:v>
      </x:c>
      <x:c r="X512">
        <x:v>72</x:v>
      </x:c>
      <x:c r="Y512">
        <x:v>71</x:v>
      </x:c>
      <x:c r="Z512">
        <x:v>51</x:v>
      </x:c>
      <x:c r="AA512">
        <x:v>49</x:v>
      </x:c>
      <x:c r="AB512" s="57" t="n">
        <x:v>39</x:v>
      </x:c>
      <x:c r="AC512" s="57" t="n">
        <x:v>38</x:v>
      </x:c>
      <x:c r="AD512" s="59"/>
      <x:c r="AE512" s="61" t="str">
        <x:f>IF(N(F512)&gt;=10,"NHL_LATEST_10",IF(AND(N(F512)&gt;0,N(G512)&gt;0),"NHL_BOTH_SEASONS",IF(N(G512)&gt;=10,"NHL_PREVIOUS_10",IF(AND(ISNUMBER(AD512),AD512=0,SUM(F512:G512)=0),"FARM_CAREER_0",IF(COUNT(F512:G512)&lt;2,"UNKNOWN_GP",IF(AND(F512=0,G512=0),IF(AD512&gt;=10,"FARM_LEGACY_10",IF(AND(ISNUMBER(AD512),AD512&gt;0),"FARM_CAREER_1_9","FARM_0_0")),IF(F512&gt;=1,IF(F512&lt;=3,"FARM_RECENT_1_3","FARM_RECENT_4_9"),"FARM_PREV_1_9_ONLY")))))))</x:f>
        <x:v>UNKNOWN_GP</x:v>
      </x:c>
      <x:c r="AF512" s="57" t="n">
        <x:f>AB512-T512</x:f>
        <x:v>0</x:v>
      </x:c>
      <x:c r="AG512" s="57" t="n">
        <x:f>AC512-U512</x:f>
        <x:v>0</x:v>
      </x:c>
    </x:row>
    <x:row r="513">
      <x:c r="A513" t="s">
        <x:v>1535</x:v>
      </x:c>
      <x:c r="C513" t="s">
        <x:v>319</x:v>
      </x:c>
      <x:c r="D513">
        <x:v>8478914</x:v>
      </x:c>
      <x:c r="E513" t="s">
        <x:v>267</x:v>
      </x:c>
      <x:c r="J513" t="s">
        <x:v>2474</x:v>
      </x:c>
      <x:c r="K513">
        <x:v>89</x:v>
      </x:c>
      <x:c r="L513">
        <x:v>43</x:v>
      </x:c>
      <x:c r="M513">
        <x:v>81</x:v>
      </x:c>
      <x:c r="N513">
        <x:v>41</x:v>
      </x:c>
      <x:c r="O513">
        <x:v>87</x:v>
      </x:c>
      <x:c r="P513">
        <x:v>88</x:v>
      </x:c>
      <x:c r="Q513">
        <x:v>93</x:v>
      </x:c>
      <x:c r="R513">
        <x:v>41</x:v>
      </x:c>
      <x:c r="S513">
        <x:v>80</x:v>
      </x:c>
      <x:c r="T513" s="63" t="n">
        <x:f>MAX(30,MIN(AB513-VLOOKUP(AE513,'AHL_PA_SC_BALANCE'!$A$8:$E$18,2,FALSE),VLOOKUP(AE513,'AHL_PA_SC_BALANCE'!$A$8:$E$18,4,FALSE)))</x:f>
        <x:v>43</x:v>
      </x:c>
      <x:c r="U513" s="63" t="n">
        <x:f>MAX(30,MIN(AC513-VLOOKUP(AE513,'AHL_PA_SC_BALANCE'!$A$8:$E$18,3,FALSE),VLOOKUP(AE513,'AHL_PA_SC_BALANCE'!$A$8:$E$18,5,FALSE)))</x:f>
        <x:v>43</x:v>
      </x:c>
      <x:c r="V513">
        <x:v>58</x:v>
      </x:c>
      <x:c r="W513">
        <x:v>63</x:v>
      </x:c>
      <x:c r="X513">
        <x:v>71</x:v>
      </x:c>
      <x:c r="Y513">
        <x:v>72</x:v>
      </x:c>
      <x:c r="Z513">
        <x:v>51</x:v>
      </x:c>
      <x:c r="AA513">
        <x:v>49</x:v>
      </x:c>
      <x:c r="AB513" s="57" t="n">
        <x:v>43</x:v>
      </x:c>
      <x:c r="AC513" s="57" t="n">
        <x:v>43</x:v>
      </x:c>
      <x:c r="AD513" s="59"/>
      <x:c r="AE513" s="61" t="str">
        <x:f>IF(N(F513)&gt;=10,"NHL_LATEST_10",IF(AND(N(F513)&gt;0,N(G513)&gt;0),"NHL_BOTH_SEASONS",IF(N(G513)&gt;=10,"NHL_PREVIOUS_10",IF(AND(ISNUMBER(AD513),AD513=0,SUM(F513:G513)=0),"FARM_CAREER_0",IF(COUNT(F513:G513)&lt;2,"UNKNOWN_GP",IF(AND(F513=0,G513=0),IF(AD513&gt;=10,"FARM_LEGACY_10",IF(AND(ISNUMBER(AD513),AD513&gt;0),"FARM_CAREER_1_9","FARM_0_0")),IF(F513&gt;=1,IF(F513&lt;=3,"FARM_RECENT_1_3","FARM_RECENT_4_9"),"FARM_PREV_1_9_ONLY")))))))</x:f>
        <x:v>UNKNOWN_GP</x:v>
      </x:c>
      <x:c r="AF513" s="57" t="n">
        <x:f>AB513-T513</x:f>
        <x:v>0</x:v>
      </x:c>
      <x:c r="AG513" s="57" t="n">
        <x:f>AC513-U513</x:f>
        <x:v>0</x:v>
      </x:c>
    </x:row>
    <x:row r="514">
      <x:c r="A514" t="s">
        <x:v>1536</x:v>
      </x:c>
      <x:c r="C514" t="s">
        <x:v>319</x:v>
      </x:c>
      <x:c r="D514">
        <x:v>8482458</x:v>
      </x:c>
      <x:c r="E514" t="s">
        <x:v>267</x:v>
      </x:c>
      <x:c r="J514" t="s">
        <x:v>2474</x:v>
      </x:c>
      <x:c r="K514">
        <x:v>56</x:v>
      </x:c>
      <x:c r="L514">
        <x:v>36</x:v>
      </x:c>
      <x:c r="M514">
        <x:v>87</x:v>
      </x:c>
      <x:c r="N514">
        <x:v>45</x:v>
      </x:c>
      <x:c r="O514">
        <x:v>74</x:v>
      </x:c>
      <x:c r="P514">
        <x:v>83</x:v>
      </x:c>
      <x:c r="Q514">
        <x:v>87</x:v>
      </x:c>
      <x:c r="R514">
        <x:v>44</x:v>
      </x:c>
      <x:c r="S514">
        <x:v>72</x:v>
      </x:c>
      <x:c r="T514" s="63" t="n">
        <x:f>MAX(30,MIN(AB514-VLOOKUP(AE514,'AHL_PA_SC_BALANCE'!$A$8:$E$18,2,FALSE),VLOOKUP(AE514,'AHL_PA_SC_BALANCE'!$A$8:$E$18,4,FALSE)))</x:f>
        <x:v>50</x:v>
      </x:c>
      <x:c r="U514" s="63" t="n">
        <x:f>MAX(30,MIN(AC514-VLOOKUP(AE514,'AHL_PA_SC_BALANCE'!$A$8:$E$18,3,FALSE),VLOOKUP(AE514,'AHL_PA_SC_BALANCE'!$A$8:$E$18,5,FALSE)))</x:f>
        <x:v>43</x:v>
      </x:c>
      <x:c r="V514">
        <x:v>58</x:v>
      </x:c>
      <x:c r="W514">
        <x:v>65</x:v>
      </x:c>
      <x:c r="X514">
        <x:v>68</x:v>
      </x:c>
      <x:c r="Y514">
        <x:v>69</x:v>
      </x:c>
      <x:c r="Z514">
        <x:v>51</x:v>
      </x:c>
      <x:c r="AA514">
        <x:v>49</x:v>
      </x:c>
      <x:c r="AB514" s="57" t="n">
        <x:v>50</x:v>
      </x:c>
      <x:c r="AC514" s="57" t="n">
        <x:v>43</x:v>
      </x:c>
      <x:c r="AD514" s="59"/>
      <x:c r="AE514" s="61" t="str">
        <x:f>IF(N(F514)&gt;=10,"NHL_LATEST_10",IF(AND(N(F514)&gt;0,N(G514)&gt;0),"NHL_BOTH_SEASONS",IF(N(G514)&gt;=10,"NHL_PREVIOUS_10",IF(AND(ISNUMBER(AD514),AD514=0,SUM(F514:G514)=0),"FARM_CAREER_0",IF(COUNT(F514:G514)&lt;2,"UNKNOWN_GP",IF(AND(F514=0,G514=0),IF(AD514&gt;=10,"FARM_LEGACY_10",IF(AND(ISNUMBER(AD514),AD514&gt;0),"FARM_CAREER_1_9","FARM_0_0")),IF(F514&gt;=1,IF(F514&lt;=3,"FARM_RECENT_1_3","FARM_RECENT_4_9"),"FARM_PREV_1_9_ONLY")))))))</x:f>
        <x:v>UNKNOWN_GP</x:v>
      </x:c>
      <x:c r="AF514" s="57" t="n">
        <x:f>AB514-T514</x:f>
        <x:v>0</x:v>
      </x:c>
      <x:c r="AG514" s="57" t="n">
        <x:f>AC514-U514</x:f>
        <x:v>0</x:v>
      </x:c>
    </x:row>
    <x:row r="515">
      <x:c r="A515" t="s">
        <x:v>1537</x:v>
      </x:c>
      <x:c r="B515" t="s">
        <x:v>584</x:v>
      </x:c>
      <x:c r="C515" t="s">
        <x:v>319</x:v>
      </x:c>
      <x:c r="D515">
        <x:v>8478056</x:v>
      </x:c>
      <x:c r="E515" t="s">
        <x:v>267</x:v>
      </x:c>
      <x:c r="G515">
        <x:v>6</x:v>
      </x:c>
      <x:c r="J515" t="s">
        <x:v>2486</x:v>
      </x:c>
      <x:c r="K515">
        <x:v>69</x:v>
      </x:c>
      <x:c r="L515">
        <x:v>35</x:v>
      </x:c>
      <x:c r="M515">
        <x:v>80</x:v>
      </x:c>
      <x:c r="N515">
        <x:v>43</x:v>
      </x:c>
      <x:c r="O515">
        <x:v>80</x:v>
      </x:c>
      <x:c r="P515">
        <x:v>93</x:v>
      </x:c>
      <x:c r="Q515">
        <x:v>97</x:v>
      </x:c>
      <x:c r="R515">
        <x:v>43</x:v>
      </x:c>
      <x:c r="S515">
        <x:v>76</x:v>
      </x:c>
      <x:c r="T515" s="63" t="n">
        <x:f>MAX(30,MIN(AB515-VLOOKUP(AE515,'AHL_PA_SC_BALANCE'!$A$8:$E$18,2,FALSE),VLOOKUP(AE515,'AHL_PA_SC_BALANCE'!$A$8:$E$18,4,FALSE)))</x:f>
        <x:v>42</x:v>
      </x:c>
      <x:c r="U515" s="63" t="n">
        <x:f>MAX(30,MIN(AC515-VLOOKUP(AE515,'AHL_PA_SC_BALANCE'!$A$8:$E$18,3,FALSE),VLOOKUP(AE515,'AHL_PA_SC_BALANCE'!$A$8:$E$18,5,FALSE)))</x:f>
        <x:v>44</x:v>
      </x:c>
      <x:c r="V515">
        <x:v>61</x:v>
      </x:c>
      <x:c r="W515">
        <x:v>63</x:v>
      </x:c>
      <x:c r="X515">
        <x:v>72</x:v>
      </x:c>
      <x:c r="Y515">
        <x:v>72</x:v>
      </x:c>
      <x:c r="Z515">
        <x:v>51</x:v>
      </x:c>
      <x:c r="AA515">
        <x:v>49</x:v>
      </x:c>
      <x:c r="AB515" s="57" t="n">
        <x:v>42</x:v>
      </x:c>
      <x:c r="AC515" s="57" t="n">
        <x:v>44</x:v>
      </x:c>
      <x:c r="AD515" s="59"/>
      <x:c r="AE515" s="61" t="str">
        <x:f>IF(N(F515)&gt;=10,"NHL_LATEST_10",IF(AND(N(F515)&gt;0,N(G515)&gt;0),"NHL_BOTH_SEASONS",IF(N(G515)&gt;=10,"NHL_PREVIOUS_10",IF(AND(ISNUMBER(AD515),AD515=0,SUM(F515:G515)=0),"FARM_CAREER_0",IF(COUNT(F515:G515)&lt;2,"UNKNOWN_GP",IF(AND(F515=0,G515=0),IF(AD515&gt;=10,"FARM_LEGACY_10",IF(AND(ISNUMBER(AD515),AD515&gt;0),"FARM_CAREER_1_9","FARM_0_0")),IF(F515&gt;=1,IF(F515&lt;=3,"FARM_RECENT_1_3","FARM_RECENT_4_9"),"FARM_PREV_1_9_ONLY")))))))</x:f>
        <x:v>UNKNOWN_GP</x:v>
      </x:c>
      <x:c r="AF515" s="57" t="n">
        <x:f>AB515-T515</x:f>
        <x:v>0</x:v>
      </x:c>
      <x:c r="AG515" s="57" t="n">
        <x:f>AC515-U515</x:f>
        <x:v>0</x:v>
      </x:c>
    </x:row>
    <x:row r="516">
      <x:c r="A516" t="s">
        <x:v>1538</x:v>
      </x:c>
      <x:c r="C516" t="s">
        <x:v>331</x:v>
      </x:c>
      <x:c r="D516">
        <x:v>8485998</x:v>
      </x:c>
      <x:c r="E516" t="s">
        <x:v>267</x:v>
      </x:c>
      <x:c r="J516" t="s">
        <x:v>2474</x:v>
      </x:c>
      <x:c r="K516">
        <x:v>66</x:v>
      </x:c>
      <x:c r="L516">
        <x:v>36</x:v>
      </x:c>
      <x:c r="M516">
        <x:v>89</x:v>
      </x:c>
      <x:c r="N516">
        <x:v>30</x:v>
      </x:c>
      <x:c r="O516">
        <x:v>79</x:v>
      </x:c>
      <x:c r="P516">
        <x:v>67</x:v>
      </x:c>
      <x:c r="Q516">
        <x:v>70</x:v>
      </x:c>
      <x:c r="R516">
        <x:v>30</x:v>
      </x:c>
      <x:c r="S516">
        <x:v>30</x:v>
      </x:c>
      <x:c r="T516" s="63" t="n">
        <x:f>MAX(30,MIN(AB516-VLOOKUP(AE516,'AHL_PA_SC_BALANCE'!$A$8:$E$18,2,FALSE),VLOOKUP(AE516,'AHL_PA_SC_BALANCE'!$A$8:$E$18,4,FALSE)))</x:f>
        <x:v>39</x:v>
      </x:c>
      <x:c r="U516" s="63" t="n">
        <x:f>MAX(30,MIN(AC516-VLOOKUP(AE516,'AHL_PA_SC_BALANCE'!$A$8:$E$18,3,FALSE),VLOOKUP(AE516,'AHL_PA_SC_BALANCE'!$A$8:$E$18,5,FALSE)))</x:f>
        <x:v>38</x:v>
      </x:c>
      <x:c r="V516">
        <x:v>66</x:v>
      </x:c>
      <x:c r="W516">
        <x:v>43</x:v>
      </x:c>
      <x:c r="X516">
        <x:v>68</x:v>
      </x:c>
      <x:c r="Y516">
        <x:v>67</x:v>
      </x:c>
      <x:c r="Z516">
        <x:v>51</x:v>
      </x:c>
      <x:c r="AA516">
        <x:v>49</x:v>
      </x:c>
      <x:c r="AB516" s="57" t="n">
        <x:v>39</x:v>
      </x:c>
      <x:c r="AC516" s="57" t="n">
        <x:v>38</x:v>
      </x:c>
      <x:c r="AD516" s="59"/>
      <x:c r="AE516" s="61" t="str">
        <x:f>IF(N(F516)&gt;=10,"NHL_LATEST_10",IF(AND(N(F516)&gt;0,N(G516)&gt;0),"NHL_BOTH_SEASONS",IF(N(G516)&gt;=10,"NHL_PREVIOUS_10",IF(AND(ISNUMBER(AD516),AD516=0,SUM(F516:G516)=0),"FARM_CAREER_0",IF(COUNT(F516:G516)&lt;2,"UNKNOWN_GP",IF(AND(F516=0,G516=0),IF(AD516&gt;=10,"FARM_LEGACY_10",IF(AND(ISNUMBER(AD516),AD516&gt;0),"FARM_CAREER_1_9","FARM_0_0")),IF(F516&gt;=1,IF(F516&lt;=3,"FARM_RECENT_1_3","FARM_RECENT_4_9"),"FARM_PREV_1_9_ONLY")))))))</x:f>
        <x:v>UNKNOWN_GP</x:v>
      </x:c>
      <x:c r="AF516" s="57" t="n">
        <x:f>AB516-T516</x:f>
        <x:v>0</x:v>
      </x:c>
      <x:c r="AG516" s="57" t="n">
        <x:f>AC516-U516</x:f>
        <x:v>0</x:v>
      </x:c>
    </x:row>
    <x:row r="517">
      <x:c r="A517" t="s">
        <x:v>1539</x:v>
      </x:c>
      <x:c r="C517" t="s">
        <x:v>331</x:v>
      </x:c>
      <x:c r="E517" t="s">
        <x:v>267</x:v>
      </x:c>
      <x:c r="J517" t="s">
        <x:v>2474</x:v>
      </x:c>
      <x:c r="K517">
        <x:v>65</x:v>
      </x:c>
      <x:c r="L517">
        <x:v>32</x:v>
      </x:c>
      <x:c r="M517">
        <x:v>67</x:v>
      </x:c>
      <x:c r="N517">
        <x:v>31</x:v>
      </x:c>
      <x:c r="O517">
        <x:v>81</x:v>
      </x:c>
      <x:c r="P517">
        <x:v>68</x:v>
      </x:c>
      <x:c r="Q517">
        <x:v>71</x:v>
      </x:c>
      <x:c r="R517">
        <x:v>31</x:v>
      </x:c>
      <x:c r="S517">
        <x:v>30</x:v>
      </x:c>
      <x:c r="T517" s="63" t="n">
        <x:f>MAX(30,MIN(AB517-VLOOKUP(AE517,'AHL_PA_SC_BALANCE'!$A$8:$E$18,2,FALSE),VLOOKUP(AE517,'AHL_PA_SC_BALANCE'!$A$8:$E$18,4,FALSE)))</x:f>
        <x:v>42</x:v>
      </x:c>
      <x:c r="U517" s="63" t="n">
        <x:f>MAX(30,MIN(AC517-VLOOKUP(AE517,'AHL_PA_SC_BALANCE'!$A$8:$E$18,3,FALSE),VLOOKUP(AE517,'AHL_PA_SC_BALANCE'!$A$8:$E$18,5,FALSE)))</x:f>
        <x:v>38</x:v>
      </x:c>
      <x:c r="V517">
        <x:v>64</x:v>
      </x:c>
      <x:c r="W517">
        <x:v>45</x:v>
      </x:c>
      <x:c r="X517">
        <x:v>68</x:v>
      </x:c>
      <x:c r="Y517">
        <x:v>68</x:v>
      </x:c>
      <x:c r="Z517">
        <x:v>51</x:v>
      </x:c>
      <x:c r="AA517">
        <x:v>49</x:v>
      </x:c>
      <x:c r="AB517" s="57" t="n">
        <x:v>42</x:v>
      </x:c>
      <x:c r="AC517" s="57" t="n">
        <x:v>38</x:v>
      </x:c>
      <x:c r="AD517" s="59"/>
      <x:c r="AE517" s="61" t="str">
        <x:f>IF(N(F517)&gt;=10,"NHL_LATEST_10",IF(AND(N(F517)&gt;0,N(G517)&gt;0),"NHL_BOTH_SEASONS",IF(N(G517)&gt;=10,"NHL_PREVIOUS_10",IF(AND(ISNUMBER(AD517),AD517=0,SUM(F517:G517)=0),"FARM_CAREER_0",IF(COUNT(F517:G517)&lt;2,"UNKNOWN_GP",IF(AND(F517=0,G517=0),IF(AD517&gt;=10,"FARM_LEGACY_10",IF(AND(ISNUMBER(AD517),AD517&gt;0),"FARM_CAREER_1_9","FARM_0_0")),IF(F517&gt;=1,IF(F517&lt;=3,"FARM_RECENT_1_3","FARM_RECENT_4_9"),"FARM_PREV_1_9_ONLY")))))))</x:f>
        <x:v>UNKNOWN_GP</x:v>
      </x:c>
      <x:c r="AF517" s="57" t="n">
        <x:f>AB517-T517</x:f>
        <x:v>0</x:v>
      </x:c>
      <x:c r="AG517" s="57" t="n">
        <x:f>AC517-U517</x:f>
        <x:v>0</x:v>
      </x:c>
    </x:row>
    <x:row r="518">
      <x:c r="A518" t="s">
        <x:v>1540</x:v>
      </x:c>
      <x:c r="C518" t="s">
        <x:v>331</x:v>
      </x:c>
      <x:c r="D518">
        <x:v>8483003</x:v>
      </x:c>
      <x:c r="E518" t="s">
        <x:v>267</x:v>
      </x:c>
      <x:c r="J518" t="s">
        <x:v>2474</x:v>
      </x:c>
      <x:c r="K518">
        <x:v>67</x:v>
      </x:c>
      <x:c r="L518">
        <x:v>38</x:v>
      </x:c>
      <x:c r="M518">
        <x:v>92</x:v>
      </x:c>
      <x:c r="N518">
        <x:v>32</x:v>
      </x:c>
      <x:c r="O518">
        <x:v>76</x:v>
      </x:c>
      <x:c r="P518">
        <x:v>76</x:v>
      </x:c>
      <x:c r="Q518">
        <x:v>79</x:v>
      </x:c>
      <x:c r="R518">
        <x:v>33</x:v>
      </x:c>
      <x:c r="S518">
        <x:v>30</x:v>
      </x:c>
      <x:c r="T518" s="63" t="n">
        <x:f>MAX(30,MIN(AB518-VLOOKUP(AE518,'AHL_PA_SC_BALANCE'!$A$8:$E$18,2,FALSE),VLOOKUP(AE518,'AHL_PA_SC_BALANCE'!$A$8:$E$18,4,FALSE)))</x:f>
        <x:v>44</x:v>
      </x:c>
      <x:c r="U518" s="63" t="n">
        <x:f>MAX(30,MIN(AC518-VLOOKUP(AE518,'AHL_PA_SC_BALANCE'!$A$8:$E$18,3,FALSE),VLOOKUP(AE518,'AHL_PA_SC_BALANCE'!$A$8:$E$18,5,FALSE)))</x:f>
        <x:v>39</x:v>
      </x:c>
      <x:c r="V518">
        <x:v>62</x:v>
      </x:c>
      <x:c r="W518">
        <x:v>47</x:v>
      </x:c>
      <x:c r="X518">
        <x:v>67</x:v>
      </x:c>
      <x:c r="Y518">
        <x:v>66</x:v>
      </x:c>
      <x:c r="Z518">
        <x:v>51</x:v>
      </x:c>
      <x:c r="AA518">
        <x:v>49</x:v>
      </x:c>
      <x:c r="AB518" s="57" t="n">
        <x:v>44</x:v>
      </x:c>
      <x:c r="AC518" s="57" t="n">
        <x:v>39</x:v>
      </x:c>
      <x:c r="AD518" s="59"/>
      <x:c r="AE518" s="61" t="str">
        <x:f>IF(N(F518)&gt;=10,"NHL_LATEST_10",IF(AND(N(F518)&gt;0,N(G518)&gt;0),"NHL_BOTH_SEASONS",IF(N(G518)&gt;=10,"NHL_PREVIOUS_10",IF(AND(ISNUMBER(AD518),AD518=0,SUM(F518:G518)=0),"FARM_CAREER_0",IF(COUNT(F518:G518)&lt;2,"UNKNOWN_GP",IF(AND(F518=0,G518=0),IF(AD518&gt;=10,"FARM_LEGACY_10",IF(AND(ISNUMBER(AD518),AD518&gt;0),"FARM_CAREER_1_9","FARM_0_0")),IF(F518&gt;=1,IF(F518&lt;=3,"FARM_RECENT_1_3","FARM_RECENT_4_9"),"FARM_PREV_1_9_ONLY")))))))</x:f>
        <x:v>UNKNOWN_GP</x:v>
      </x:c>
      <x:c r="AF518" s="57" t="n">
        <x:f>AB518-T518</x:f>
        <x:v>0</x:v>
      </x:c>
      <x:c r="AG518" s="57" t="n">
        <x:f>AC518-U518</x:f>
        <x:v>0</x:v>
      </x:c>
    </x:row>
    <x:row r="519">
      <x:c r="A519" t="s">
        <x:v>1541</x:v>
      </x:c>
      <x:c r="C519" t="s">
        <x:v>331</x:v>
      </x:c>
      <x:c r="D519">
        <x:v>8486158</x:v>
      </x:c>
      <x:c r="E519" t="s">
        <x:v>267</x:v>
      </x:c>
      <x:c r="J519" t="s">
        <x:v>2474</x:v>
      </x:c>
      <x:c r="K519">
        <x:v>63</x:v>
      </x:c>
      <x:c r="L519">
        <x:v>36</x:v>
      </x:c>
      <x:c r="M519">
        <x:v>88</x:v>
      </x:c>
      <x:c r="N519">
        <x:v>32</x:v>
      </x:c>
      <x:c r="O519">
        <x:v>79</x:v>
      </x:c>
      <x:c r="P519">
        <x:v>70</x:v>
      </x:c>
      <x:c r="Q519">
        <x:v>73</x:v>
      </x:c>
      <x:c r="R519">
        <x:v>33</x:v>
      </x:c>
      <x:c r="S519">
        <x:v>30</x:v>
      </x:c>
      <x:c r="T519" s="63" t="n">
        <x:f>MAX(30,MIN(AB519-VLOOKUP(AE519,'AHL_PA_SC_BALANCE'!$A$8:$E$18,2,FALSE),VLOOKUP(AE519,'AHL_PA_SC_BALANCE'!$A$8:$E$18,4,FALSE)))</x:f>
        <x:v>41</x:v>
      </x:c>
      <x:c r="U519" s="63" t="n">
        <x:f>MAX(30,MIN(AC519-VLOOKUP(AE519,'AHL_PA_SC_BALANCE'!$A$8:$E$18,3,FALSE),VLOOKUP(AE519,'AHL_PA_SC_BALANCE'!$A$8:$E$18,5,FALSE)))</x:f>
        <x:v>40</x:v>
      </x:c>
      <x:c r="V519">
        <x:v>67</x:v>
      </x:c>
      <x:c r="W519">
        <x:v>45</x:v>
      </x:c>
      <x:c r="X519">
        <x:v>67</x:v>
      </x:c>
      <x:c r="Y519">
        <x:v>67</x:v>
      </x:c>
      <x:c r="Z519">
        <x:v>51</x:v>
      </x:c>
      <x:c r="AA519">
        <x:v>49</x:v>
      </x:c>
      <x:c r="AB519" s="57" t="n">
        <x:v>41</x:v>
      </x:c>
      <x:c r="AC519" s="57" t="n">
        <x:v>40</x:v>
      </x:c>
      <x:c r="AD519" s="59"/>
      <x:c r="AE519" s="61" t="str">
        <x:f>IF(N(F519)&gt;=10,"NHL_LATEST_10",IF(AND(N(F519)&gt;0,N(G519)&gt;0),"NHL_BOTH_SEASONS",IF(N(G519)&gt;=10,"NHL_PREVIOUS_10",IF(AND(ISNUMBER(AD519),AD519=0,SUM(F519:G519)=0),"FARM_CAREER_0",IF(COUNT(F519:G519)&lt;2,"UNKNOWN_GP",IF(AND(F519=0,G519=0),IF(AD519&gt;=10,"FARM_LEGACY_10",IF(AND(ISNUMBER(AD519),AD519&gt;0),"FARM_CAREER_1_9","FARM_0_0")),IF(F519&gt;=1,IF(F519&lt;=3,"FARM_RECENT_1_3","FARM_RECENT_4_9"),"FARM_PREV_1_9_ONLY")))))))</x:f>
        <x:v>UNKNOWN_GP</x:v>
      </x:c>
      <x:c r="AF519" s="57" t="n">
        <x:f>AB519-T519</x:f>
        <x:v>0</x:v>
      </x:c>
      <x:c r="AG519" s="57" t="n">
        <x:f>AC519-U519</x:f>
        <x:v>0</x:v>
      </x:c>
    </x:row>
    <x:row r="520">
      <x:c r="A520" t="s">
        <x:v>1542</x:v>
      </x:c>
      <x:c r="C520" t="s">
        <x:v>358</x:v>
      </x:c>
      <x:c r="D520">
        <x:v>8480019</x:v>
      </x:c>
      <x:c r="E520" t="s">
        <x:v>267</x:v>
      </x:c>
      <x:c r="J520" t="s">
        <x:v>2474</x:v>
      </x:c>
      <x:c r="K520">
        <x:v>76</x:v>
      </x:c>
      <x:c r="L520">
        <x:v>37</x:v>
      </x:c>
      <x:c r="M520">
        <x:v>76</x:v>
      </x:c>
      <x:c r="N520">
        <x:v>41</x:v>
      </x:c>
      <x:c r="O520">
        <x:v>87</x:v>
      </x:c>
      <x:c r="P520">
        <x:v>82</x:v>
      </x:c>
      <x:c r="Q520">
        <x:v>85</x:v>
      </x:c>
      <x:c r="R520">
        <x:v>40</x:v>
      </x:c>
      <x:c r="S520">
        <x:v>61</x:v>
      </x:c>
      <x:c r="T520" s="63" t="n">
        <x:f>MAX(30,MIN(AB520-VLOOKUP(AE520,'AHL_PA_SC_BALANCE'!$A$8:$E$18,2,FALSE),VLOOKUP(AE520,'AHL_PA_SC_BALANCE'!$A$8:$E$18,4,FALSE)))</x:f>
        <x:v>43</x:v>
      </x:c>
      <x:c r="U520" s="63" t="n">
        <x:f>MAX(30,MIN(AC520-VLOOKUP(AE520,'AHL_PA_SC_BALANCE'!$A$8:$E$18,3,FALSE),VLOOKUP(AE520,'AHL_PA_SC_BALANCE'!$A$8:$E$18,5,FALSE)))</x:f>
        <x:v>42</x:v>
      </x:c>
      <x:c r="V520">
        <x:v>65</x:v>
      </x:c>
      <x:c r="W520">
        <x:v>63</x:v>
      </x:c>
      <x:c r="X520">
        <x:v>69</x:v>
      </x:c>
      <x:c r="Y520">
        <x:v>70</x:v>
      </x:c>
      <x:c r="Z520">
        <x:v>51</x:v>
      </x:c>
      <x:c r="AA520">
        <x:v>49</x:v>
      </x:c>
      <x:c r="AB520" s="57" t="n">
        <x:v>43</x:v>
      </x:c>
      <x:c r="AC520" s="57" t="n">
        <x:v>42</x:v>
      </x:c>
      <x:c r="AD520" s="59"/>
      <x:c r="AE520" s="61" t="str">
        <x:f>IF(N(F520)&gt;=10,"NHL_LATEST_10",IF(AND(N(F520)&gt;0,N(G520)&gt;0),"NHL_BOTH_SEASONS",IF(N(G520)&gt;=10,"NHL_PREVIOUS_10",IF(AND(ISNUMBER(AD520),AD520=0,SUM(F520:G520)=0),"FARM_CAREER_0",IF(COUNT(F520:G520)&lt;2,"UNKNOWN_GP",IF(AND(F520=0,G520=0),IF(AD520&gt;=10,"FARM_LEGACY_10",IF(AND(ISNUMBER(AD520),AD520&gt;0),"FARM_CAREER_1_9","FARM_0_0")),IF(F520&gt;=1,IF(F520&lt;=3,"FARM_RECENT_1_3","FARM_RECENT_4_9"),"FARM_PREV_1_9_ONLY")))))))</x:f>
        <x:v>UNKNOWN_GP</x:v>
      </x:c>
      <x:c r="AF520" s="57" t="n">
        <x:f>AB520-T520</x:f>
        <x:v>0</x:v>
      </x:c>
      <x:c r="AG520" s="57" t="n">
        <x:f>AC520-U520</x:f>
        <x:v>0</x:v>
      </x:c>
    </x:row>
    <x:row r="521">
      <x:c r="A521" t="s">
        <x:v>1543</x:v>
      </x:c>
      <x:c r="C521" t="s">
        <x:v>331</x:v>
      </x:c>
      <x:c r="D521">
        <x:v>8486155</x:v>
      </x:c>
      <x:c r="E521" t="s">
        <x:v>267</x:v>
      </x:c>
      <x:c r="J521" t="s">
        <x:v>2474</x:v>
      </x:c>
      <x:c r="K521">
        <x:v>66</x:v>
      </x:c>
      <x:c r="L521">
        <x:v>38</x:v>
      </x:c>
      <x:c r="M521">
        <x:v>89</x:v>
      </x:c>
      <x:c r="N521">
        <x:v>30</x:v>
      </x:c>
      <x:c r="O521">
        <x:v>83</x:v>
      </x:c>
      <x:c r="P521">
        <x:v>67</x:v>
      </x:c>
      <x:c r="Q521">
        <x:v>70</x:v>
      </x:c>
      <x:c r="R521">
        <x:v>30</x:v>
      </x:c>
      <x:c r="S521">
        <x:v>30</x:v>
      </x:c>
      <x:c r="T521" s="63" t="n">
        <x:f>MAX(30,MIN(AB521-VLOOKUP(AE521,'AHL_PA_SC_BALANCE'!$A$8:$E$18,2,FALSE),VLOOKUP(AE521,'AHL_PA_SC_BALANCE'!$A$8:$E$18,4,FALSE)))</x:f>
        <x:v>39</x:v>
      </x:c>
      <x:c r="U521" s="63" t="n">
        <x:f>MAX(30,MIN(AC521-VLOOKUP(AE521,'AHL_PA_SC_BALANCE'!$A$8:$E$18,3,FALSE),VLOOKUP(AE521,'AHL_PA_SC_BALANCE'!$A$8:$E$18,5,FALSE)))</x:f>
        <x:v>38</x:v>
      </x:c>
      <x:c r="V521">
        <x:v>67</x:v>
      </x:c>
      <x:c r="W521">
        <x:v>43</x:v>
      </x:c>
      <x:c r="X521">
        <x:v>67</x:v>
      </x:c>
      <x:c r="Y521">
        <x:v>66</x:v>
      </x:c>
      <x:c r="Z521">
        <x:v>51</x:v>
      </x:c>
      <x:c r="AA521">
        <x:v>49</x:v>
      </x:c>
      <x:c r="AB521" s="57" t="n">
        <x:v>39</x:v>
      </x:c>
      <x:c r="AC521" s="57" t="n">
        <x:v>38</x:v>
      </x:c>
      <x:c r="AD521" s="59"/>
      <x:c r="AE521" s="61" t="str">
        <x:f>IF(N(F521)&gt;=10,"NHL_LATEST_10",IF(AND(N(F521)&gt;0,N(G521)&gt;0),"NHL_BOTH_SEASONS",IF(N(G521)&gt;=10,"NHL_PREVIOUS_10",IF(AND(ISNUMBER(AD521),AD521=0,SUM(F521:G521)=0),"FARM_CAREER_0",IF(COUNT(F521:G521)&lt;2,"UNKNOWN_GP",IF(AND(F521=0,G521=0),IF(AD521&gt;=10,"FARM_LEGACY_10",IF(AND(ISNUMBER(AD521),AD521&gt;0),"FARM_CAREER_1_9","FARM_0_0")),IF(F521&gt;=1,IF(F521&lt;=3,"FARM_RECENT_1_3","FARM_RECENT_4_9"),"FARM_PREV_1_9_ONLY")))))))</x:f>
        <x:v>UNKNOWN_GP</x:v>
      </x:c>
      <x:c r="AF521" s="57" t="n">
        <x:f>AB521-T521</x:f>
        <x:v>0</x:v>
      </x:c>
      <x:c r="AG521" s="57" t="n">
        <x:f>AC521-U521</x:f>
        <x:v>0</x:v>
      </x:c>
    </x:row>
    <x:row r="522">
      <x:c r="A522" t="s">
        <x:v>1544</x:v>
      </x:c>
      <x:c r="B522" t="s">
        <x:v>584</x:v>
      </x:c>
      <x:c r="C522" t="s">
        <x:v>331</x:v>
      </x:c>
      <x:c r="E522" t="s">
        <x:v>267</x:v>
      </x:c>
      <x:c r="J522" t="s">
        <x:v>2474</x:v>
      </x:c>
      <x:c r="K522">
        <x:v>65</x:v>
      </x:c>
      <x:c r="L522">
        <x:v>34</x:v>
      </x:c>
      <x:c r="M522">
        <x:v>87</x:v>
      </x:c>
      <x:c r="N522">
        <x:v>32</x:v>
      </x:c>
      <x:c r="O522">
        <x:v>80</x:v>
      </x:c>
      <x:c r="P522">
        <x:v>76</x:v>
      </x:c>
      <x:c r="Q522">
        <x:v>79</x:v>
      </x:c>
      <x:c r="R522">
        <x:v>32</x:v>
      </x:c>
      <x:c r="S522">
        <x:v>30</x:v>
      </x:c>
      <x:c r="T522" s="63" t="n">
        <x:f>MAX(30,MIN(AB522-VLOOKUP(AE522,'AHL_PA_SC_BALANCE'!$A$8:$E$18,2,FALSE),VLOOKUP(AE522,'AHL_PA_SC_BALANCE'!$A$8:$E$18,4,FALSE)))</x:f>
        <x:v>42</x:v>
      </x:c>
      <x:c r="U522" s="63" t="n">
        <x:f>MAX(30,MIN(AC522-VLOOKUP(AE522,'AHL_PA_SC_BALANCE'!$A$8:$E$18,3,FALSE),VLOOKUP(AE522,'AHL_PA_SC_BALANCE'!$A$8:$E$18,5,FALSE)))</x:f>
        <x:v>39</x:v>
      </x:c>
      <x:c r="V522">
        <x:v>66</x:v>
      </x:c>
      <x:c r="W522">
        <x:v>45</x:v>
      </x:c>
      <x:c r="X522">
        <x:v>67</x:v>
      </x:c>
      <x:c r="Y522">
        <x:v>66</x:v>
      </x:c>
      <x:c r="Z522">
        <x:v>51</x:v>
      </x:c>
      <x:c r="AA522">
        <x:v>49</x:v>
      </x:c>
      <x:c r="AB522" s="57" t="n">
        <x:v>42</x:v>
      </x:c>
      <x:c r="AC522" s="57" t="n">
        <x:v>39</x:v>
      </x:c>
      <x:c r="AD522" s="59"/>
      <x:c r="AE522" s="61" t="str">
        <x:f>IF(N(F522)&gt;=10,"NHL_LATEST_10",IF(AND(N(F522)&gt;0,N(G522)&gt;0),"NHL_BOTH_SEASONS",IF(N(G522)&gt;=10,"NHL_PREVIOUS_10",IF(AND(ISNUMBER(AD522),AD522=0,SUM(F522:G522)=0),"FARM_CAREER_0",IF(COUNT(F522:G522)&lt;2,"UNKNOWN_GP",IF(AND(F522=0,G522=0),IF(AD522&gt;=10,"FARM_LEGACY_10",IF(AND(ISNUMBER(AD522),AD522&gt;0),"FARM_CAREER_1_9","FARM_0_0")),IF(F522&gt;=1,IF(F522&lt;=3,"FARM_RECENT_1_3","FARM_RECENT_4_9"),"FARM_PREV_1_9_ONLY")))))))</x:f>
        <x:v>UNKNOWN_GP</x:v>
      </x:c>
      <x:c r="AF522" s="57" t="n">
        <x:f>AB522-T522</x:f>
        <x:v>0</x:v>
      </x:c>
      <x:c r="AG522" s="57" t="n">
        <x:f>AC522-U522</x:f>
        <x:v>0</x:v>
      </x:c>
    </x:row>
    <x:row r="523">
      <x:c r="A523" t="s">
        <x:v>1545</x:v>
      </x:c>
      <x:c r="C523" t="s">
        <x:v>326</x:v>
      </x:c>
      <x:c r="D523">
        <x:v>8483920</x:v>
      </x:c>
      <x:c r="E523" t="s">
        <x:v>267</x:v>
      </x:c>
      <x:c r="J523" t="s">
        <x:v>2474</x:v>
      </x:c>
      <x:c r="K523">
        <x:v>67</x:v>
      </x:c>
      <x:c r="L523">
        <x:v>37</x:v>
      </x:c>
      <x:c r="M523">
        <x:v>84</x:v>
      </x:c>
      <x:c r="N523">
        <x:v>45</x:v>
      </x:c>
      <x:c r="O523">
        <x:v>74</x:v>
      </x:c>
      <x:c r="P523">
        <x:v>79</x:v>
      </x:c>
      <x:c r="Q523">
        <x:v>79</x:v>
      </x:c>
      <x:c r="R523">
        <x:v>46</x:v>
      </x:c>
      <x:c r="S523">
        <x:v>66</x:v>
      </x:c>
      <x:c r="T523" s="63" t="n">
        <x:f>MAX(30,MIN(AB523-VLOOKUP(AE523,'AHL_PA_SC_BALANCE'!$A$8:$E$18,2,FALSE),VLOOKUP(AE523,'AHL_PA_SC_BALANCE'!$A$8:$E$18,4,FALSE)))</x:f>
        <x:v>47</x:v>
      </x:c>
      <x:c r="U523" s="63" t="n">
        <x:f>MAX(30,MIN(AC523-VLOOKUP(AE523,'AHL_PA_SC_BALANCE'!$A$8:$E$18,3,FALSE),VLOOKUP(AE523,'AHL_PA_SC_BALANCE'!$A$8:$E$18,5,FALSE)))</x:f>
        <x:v>44</x:v>
      </x:c>
      <x:c r="V523">
        <x:v>58</x:v>
      </x:c>
      <x:c r="W523">
        <x:v>67</x:v>
      </x:c>
      <x:c r="X523">
        <x:v>68</x:v>
      </x:c>
      <x:c r="Y523">
        <x:v>67</x:v>
      </x:c>
      <x:c r="Z523">
        <x:v>51</x:v>
      </x:c>
      <x:c r="AA523">
        <x:v>49</x:v>
      </x:c>
      <x:c r="AB523" s="57" t="n">
        <x:v>47</x:v>
      </x:c>
      <x:c r="AC523" s="57" t="n">
        <x:v>44</x:v>
      </x:c>
      <x:c r="AD523" s="59"/>
      <x:c r="AE523" s="61" t="str">
        <x:f>IF(N(F523)&gt;=10,"NHL_LATEST_10",IF(AND(N(F523)&gt;0,N(G523)&gt;0),"NHL_BOTH_SEASONS",IF(N(G523)&gt;=10,"NHL_PREVIOUS_10",IF(AND(ISNUMBER(AD523),AD523=0,SUM(F523:G523)=0),"FARM_CAREER_0",IF(COUNT(F523:G523)&lt;2,"UNKNOWN_GP",IF(AND(F523=0,G523=0),IF(AD523&gt;=10,"FARM_LEGACY_10",IF(AND(ISNUMBER(AD523),AD523&gt;0),"FARM_CAREER_1_9","FARM_0_0")),IF(F523&gt;=1,IF(F523&lt;=3,"FARM_RECENT_1_3","FARM_RECENT_4_9"),"FARM_PREV_1_9_ONLY")))))))</x:f>
        <x:v>UNKNOWN_GP</x:v>
      </x:c>
      <x:c r="AF523" s="57" t="n">
        <x:f>AB523-T523</x:f>
        <x:v>0</x:v>
      </x:c>
      <x:c r="AG523" s="57" t="n">
        <x:f>AC523-U523</x:f>
        <x:v>0</x:v>
      </x:c>
    </x:row>
    <x:row r="524">
      <x:c r="A524" t="s">
        <x:v>1546</x:v>
      </x:c>
      <x:c r="C524" t="s">
        <x:v>326</x:v>
      </x:c>
      <x:c r="D524">
        <x:v>8478867</x:v>
      </x:c>
      <x:c r="E524" t="s">
        <x:v>267</x:v>
      </x:c>
      <x:c r="J524" t="s">
        <x:v>2474</x:v>
      </x:c>
      <x:c r="K524">
        <x:v>70</x:v>
      </x:c>
      <x:c r="L524">
        <x:v>35</x:v>
      </x:c>
      <x:c r="M524">
        <x:v>82</x:v>
      </x:c>
      <x:c r="N524">
        <x:v>42</x:v>
      </x:c>
      <x:c r="O524">
        <x:v>80</x:v>
      </x:c>
      <x:c r="P524">
        <x:v>79</x:v>
      </x:c>
      <x:c r="Q524">
        <x:v>79</x:v>
      </x:c>
      <x:c r="R524">
        <x:v>42</x:v>
      </x:c>
      <x:c r="S524">
        <x:v>60</x:v>
      </x:c>
      <x:c r="T524" s="63" t="n">
        <x:f>MAX(30,MIN(AB524-VLOOKUP(AE524,'AHL_PA_SC_BALANCE'!$A$8:$E$18,2,FALSE),VLOOKUP(AE524,'AHL_PA_SC_BALANCE'!$A$8:$E$18,4,FALSE)))</x:f>
        <x:v>44</x:v>
      </x:c>
      <x:c r="U524" s="63" t="n">
        <x:f>MAX(30,MIN(AC524-VLOOKUP(AE524,'AHL_PA_SC_BALANCE'!$A$8:$E$18,3,FALSE),VLOOKUP(AE524,'AHL_PA_SC_BALANCE'!$A$8:$E$18,5,FALSE)))</x:f>
        <x:v>43</x:v>
      </x:c>
      <x:c r="V524">
        <x:v>58</x:v>
      </x:c>
      <x:c r="W524">
        <x:v>64</x:v>
      </x:c>
      <x:c r="X524">
        <x:v>72</x:v>
      </x:c>
      <x:c r="Y524">
        <x:v>71</x:v>
      </x:c>
      <x:c r="Z524">
        <x:v>51</x:v>
      </x:c>
      <x:c r="AA524">
        <x:v>49</x:v>
      </x:c>
      <x:c r="AB524" s="57" t="n">
        <x:v>44</x:v>
      </x:c>
      <x:c r="AC524" s="57" t="n">
        <x:v>43</x:v>
      </x:c>
      <x:c r="AD524" s="59"/>
      <x:c r="AE524" s="61" t="str">
        <x:f>IF(N(F524)&gt;=10,"NHL_LATEST_10",IF(AND(N(F524)&gt;0,N(G524)&gt;0),"NHL_BOTH_SEASONS",IF(N(G524)&gt;=10,"NHL_PREVIOUS_10",IF(AND(ISNUMBER(AD524),AD524=0,SUM(F524:G524)=0),"FARM_CAREER_0",IF(COUNT(F524:G524)&lt;2,"UNKNOWN_GP",IF(AND(F524=0,G524=0),IF(AD524&gt;=10,"FARM_LEGACY_10",IF(AND(ISNUMBER(AD524),AD524&gt;0),"FARM_CAREER_1_9","FARM_0_0")),IF(F524&gt;=1,IF(F524&lt;=3,"FARM_RECENT_1_3","FARM_RECENT_4_9"),"FARM_PREV_1_9_ONLY")))))))</x:f>
        <x:v>UNKNOWN_GP</x:v>
      </x:c>
      <x:c r="AF524" s="57" t="n">
        <x:f>AB524-T524</x:f>
        <x:v>0</x:v>
      </x:c>
      <x:c r="AG524" s="57" t="n">
        <x:f>AC524-U524</x:f>
        <x:v>0</x:v>
      </x:c>
    </x:row>
    <x:row r="525">
      <x:c r="A525" t="s">
        <x:v>1547</x:v>
      </x:c>
      <x:c r="B525" t="s">
        <x:v>584</x:v>
      </x:c>
      <x:c r="C525" t="s">
        <x:v>331</x:v>
      </x:c>
      <x:c r="D525">
        <x:v>8479594</x:v>
      </x:c>
      <x:c r="E525" t="s">
        <x:v>267</x:v>
      </x:c>
      <x:c r="G525">
        <x:v>1</x:v>
      </x:c>
      <x:c r="J525" t="s">
        <x:v>2487</x:v>
      </x:c>
      <x:c r="K525">
        <x:v>63</x:v>
      </x:c>
      <x:c r="L525">
        <x:v>37</x:v>
      </x:c>
      <x:c r="M525">
        <x:v>86</x:v>
      </x:c>
      <x:c r="N525">
        <x:v>32</x:v>
      </x:c>
      <x:c r="O525">
        <x:v>83</x:v>
      </x:c>
      <x:c r="P525">
        <x:v>82</x:v>
      </x:c>
      <x:c r="Q525">
        <x:v>86</x:v>
      </x:c>
      <x:c r="R525">
        <x:v>32</x:v>
      </x:c>
      <x:c r="S525">
        <x:v>30</x:v>
      </x:c>
      <x:c r="T525" s="63" t="n">
        <x:f>MAX(30,MIN(AB525-VLOOKUP(AE525,'AHL_PA_SC_BALANCE'!$A$8:$E$18,2,FALSE),VLOOKUP(AE525,'AHL_PA_SC_BALANCE'!$A$8:$E$18,4,FALSE)))</x:f>
        <x:v>42</x:v>
      </x:c>
      <x:c r="U525" s="63" t="n">
        <x:f>MAX(30,MIN(AC525-VLOOKUP(AE525,'AHL_PA_SC_BALANCE'!$A$8:$E$18,3,FALSE),VLOOKUP(AE525,'AHL_PA_SC_BALANCE'!$A$8:$E$18,5,FALSE)))</x:f>
        <x:v>39</x:v>
      </x:c>
      <x:c r="V525">
        <x:v>65</x:v>
      </x:c>
      <x:c r="W525">
        <x:v>45</x:v>
      </x:c>
      <x:c r="X525">
        <x:v>69</x:v>
      </x:c>
      <x:c r="Y525">
        <x:v>68</x:v>
      </x:c>
      <x:c r="Z525">
        <x:v>51</x:v>
      </x:c>
      <x:c r="AA525">
        <x:v>49</x:v>
      </x:c>
      <x:c r="AB525" s="57" t="n">
        <x:v>42</x:v>
      </x:c>
      <x:c r="AC525" s="57" t="n">
        <x:v>39</x:v>
      </x:c>
      <x:c r="AD525" s="59"/>
      <x:c r="AE525" s="61" t="str">
        <x:f>IF(N(F525)&gt;=10,"NHL_LATEST_10",IF(AND(N(F525)&gt;0,N(G525)&gt;0),"NHL_BOTH_SEASONS",IF(N(G525)&gt;=10,"NHL_PREVIOUS_10",IF(AND(ISNUMBER(AD525),AD525=0,SUM(F525:G525)=0),"FARM_CAREER_0",IF(COUNT(F525:G525)&lt;2,"UNKNOWN_GP",IF(AND(F525=0,G525=0),IF(AD525&gt;=10,"FARM_LEGACY_10",IF(AND(ISNUMBER(AD525),AD525&gt;0),"FARM_CAREER_1_9","FARM_0_0")),IF(F525&gt;=1,IF(F525&lt;=3,"FARM_RECENT_1_3","FARM_RECENT_4_9"),"FARM_PREV_1_9_ONLY")))))))</x:f>
        <x:v>UNKNOWN_GP</x:v>
      </x:c>
      <x:c r="AF525" s="57" t="n">
        <x:f>AB525-T525</x:f>
        <x:v>0</x:v>
      </x:c>
      <x:c r="AG525" s="57" t="n">
        <x:f>AC525-U525</x:f>
        <x:v>0</x:v>
      </x:c>
    </x:row>
    <x:row r="526">
      <x:c r="A526" t="s">
        <x:v>1548</x:v>
      </x:c>
      <x:c r="C526" t="s">
        <x:v>358</x:v>
      </x:c>
      <x:c r="D526">
        <x:v>8479746</x:v>
      </x:c>
      <x:c r="E526" t="s">
        <x:v>267</x:v>
      </x:c>
      <x:c r="J526" t="s">
        <x:v>2474</x:v>
      </x:c>
      <x:c r="K526">
        <x:v>60</x:v>
      </x:c>
      <x:c r="L526">
        <x:v>37</x:v>
      </x:c>
      <x:c r="M526">
        <x:v>81</x:v>
      </x:c>
      <x:c r="N526">
        <x:v>45</x:v>
      </x:c>
      <x:c r="O526">
        <x:v>77</x:v>
      </x:c>
      <x:c r="P526">
        <x:v>88</x:v>
      </x:c>
      <x:c r="Q526">
        <x:v>90</x:v>
      </x:c>
      <x:c r="R526">
        <x:v>45</x:v>
      </x:c>
      <x:c r="S526">
        <x:v>46</x:v>
      </x:c>
      <x:c r="T526" s="63" t="n">
        <x:f>MAX(30,MIN(AB526-VLOOKUP(AE526,'AHL_PA_SC_BALANCE'!$A$8:$E$18,2,FALSE),VLOOKUP(AE526,'AHL_PA_SC_BALANCE'!$A$8:$E$18,4,FALSE)))</x:f>
        <x:v>44</x:v>
      </x:c>
      <x:c r="U526" s="63" t="n">
        <x:f>MAX(30,MIN(AC526-VLOOKUP(AE526,'AHL_PA_SC_BALANCE'!$A$8:$E$18,3,FALSE),VLOOKUP(AE526,'AHL_PA_SC_BALANCE'!$A$8:$E$18,5,FALSE)))</x:f>
        <x:v>45</x:v>
      </x:c>
      <x:c r="V526">
        <x:v>58</x:v>
      </x:c>
      <x:c r="W526">
        <x:v>65</x:v>
      </x:c>
      <x:c r="X526">
        <x:v>70</x:v>
      </x:c>
      <x:c r="Y526">
        <x:v>71</x:v>
      </x:c>
      <x:c r="Z526">
        <x:v>51</x:v>
      </x:c>
      <x:c r="AA526">
        <x:v>49</x:v>
      </x:c>
      <x:c r="AB526" s="57" t="n">
        <x:v>44</x:v>
      </x:c>
      <x:c r="AC526" s="57" t="n">
        <x:v>45</x:v>
      </x:c>
      <x:c r="AD526" s="59"/>
      <x:c r="AE526" s="61" t="str">
        <x:f>IF(N(F526)&gt;=10,"NHL_LATEST_10",IF(AND(N(F526)&gt;0,N(G526)&gt;0),"NHL_BOTH_SEASONS",IF(N(G526)&gt;=10,"NHL_PREVIOUS_10",IF(AND(ISNUMBER(AD526),AD526=0,SUM(F526:G526)=0),"FARM_CAREER_0",IF(COUNT(F526:G526)&lt;2,"UNKNOWN_GP",IF(AND(F526=0,G526=0),IF(AD526&gt;=10,"FARM_LEGACY_10",IF(AND(ISNUMBER(AD526),AD526&gt;0),"FARM_CAREER_1_9","FARM_0_0")),IF(F526&gt;=1,IF(F526&lt;=3,"FARM_RECENT_1_3","FARM_RECENT_4_9"),"FARM_PREV_1_9_ONLY")))))))</x:f>
        <x:v>UNKNOWN_GP</x:v>
      </x:c>
      <x:c r="AF526" s="57" t="n">
        <x:f>AB526-T526</x:f>
        <x:v>0</x:v>
      </x:c>
      <x:c r="AG526" s="57" t="n">
        <x:f>AC526-U526</x:f>
        <x:v>0</x:v>
      </x:c>
    </x:row>
    <x:row r="527">
      <x:c r="A527" t="s">
        <x:v>1549</x:v>
      </x:c>
      <x:c r="C527" t="s">
        <x:v>358</x:v>
      </x:c>
      <x:c r="D527">
        <x:v>8476353</x:v>
      </x:c>
      <x:c r="E527" t="s">
        <x:v>267</x:v>
      </x:c>
      <x:c r="J527" t="s">
        <x:v>2474</x:v>
      </x:c>
      <x:c r="K527">
        <x:v>80</x:v>
      </x:c>
      <x:c r="L527">
        <x:v>53</x:v>
      </x:c>
      <x:c r="M527">
        <x:v>73</x:v>
      </x:c>
      <x:c r="N527">
        <x:v>36</x:v>
      </x:c>
      <x:c r="O527">
        <x:v>82</x:v>
      </x:c>
      <x:c r="P527">
        <x:v>78</x:v>
      </x:c>
      <x:c r="Q527">
        <x:v>81</x:v>
      </x:c>
      <x:c r="R527">
        <x:v>35</x:v>
      </x:c>
      <x:c r="S527">
        <x:v>62</x:v>
      </x:c>
      <x:c r="T527" s="63" t="n">
        <x:f>MAX(30,MIN(AB527-VLOOKUP(AE527,'AHL_PA_SC_BALANCE'!$A$8:$E$18,2,FALSE),VLOOKUP(AE527,'AHL_PA_SC_BALANCE'!$A$8:$E$18,4,FALSE)))</x:f>
        <x:v>39</x:v>
      </x:c>
      <x:c r="U527" s="63" t="n">
        <x:f>MAX(30,MIN(AC527-VLOOKUP(AE527,'AHL_PA_SC_BALANCE'!$A$8:$E$18,3,FALSE),VLOOKUP(AE527,'AHL_PA_SC_BALANCE'!$A$8:$E$18,5,FALSE)))</x:f>
        <x:v>39</x:v>
      </x:c>
      <x:c r="V527">
        <x:v>60</x:v>
      </x:c>
      <x:c r="W527">
        <x:v>57</x:v>
      </x:c>
      <x:c r="X527">
        <x:v>80</x:v>
      </x:c>
      <x:c r="Y527">
        <x:v>79</x:v>
      </x:c>
      <x:c r="Z527">
        <x:v>51</x:v>
      </x:c>
      <x:c r="AA527">
        <x:v>49</x:v>
      </x:c>
      <x:c r="AB527" s="57" t="n">
        <x:v>39</x:v>
      </x:c>
      <x:c r="AC527" s="57" t="n">
        <x:v>39</x:v>
      </x:c>
      <x:c r="AD527" s="59"/>
      <x:c r="AE527" s="61" t="str">
        <x:f>IF(N(F527)&gt;=10,"NHL_LATEST_10",IF(AND(N(F527)&gt;0,N(G527)&gt;0),"NHL_BOTH_SEASONS",IF(N(G527)&gt;=10,"NHL_PREVIOUS_10",IF(AND(ISNUMBER(AD527),AD527=0,SUM(F527:G527)=0),"FARM_CAREER_0",IF(COUNT(F527:G527)&lt;2,"UNKNOWN_GP",IF(AND(F527=0,G527=0),IF(AD527&gt;=10,"FARM_LEGACY_10",IF(AND(ISNUMBER(AD527),AD527&gt;0),"FARM_CAREER_1_9","FARM_0_0")),IF(F527&gt;=1,IF(F527&lt;=3,"FARM_RECENT_1_3","FARM_RECENT_4_9"),"FARM_PREV_1_9_ONLY")))))))</x:f>
        <x:v>UNKNOWN_GP</x:v>
      </x:c>
      <x:c r="AF527" s="57" t="n">
        <x:f>AB527-T527</x:f>
        <x:v>0</x:v>
      </x:c>
      <x:c r="AG527" s="57" t="n">
        <x:f>AC527-U527</x:f>
        <x:v>0</x:v>
      </x:c>
    </x:row>
    <x:row r="528">
      <x:c r="A528" t="s">
        <x:v>1550</x:v>
      </x:c>
      <x:c r="C528" t="s">
        <x:v>319</x:v>
      </x:c>
      <x:c r="D528">
        <x:v>8484224</x:v>
      </x:c>
      <x:c r="E528" t="s">
        <x:v>267</x:v>
      </x:c>
      <x:c r="J528" t="s">
        <x:v>2474</x:v>
      </x:c>
      <x:c r="K528">
        <x:v>60</x:v>
      </x:c>
      <x:c r="L528">
        <x:v>36</x:v>
      </x:c>
      <x:c r="M528">
        <x:v>86</x:v>
      </x:c>
      <x:c r="N528">
        <x:v>46</x:v>
      </x:c>
      <x:c r="O528">
        <x:v>76</x:v>
      </x:c>
      <x:c r="P528">
        <x:v>76</x:v>
      </x:c>
      <x:c r="Q528">
        <x:v>79</x:v>
      </x:c>
      <x:c r="R528">
        <x:v>46</x:v>
      </x:c>
      <x:c r="S528">
        <x:v>74</x:v>
      </x:c>
      <x:c r="T528" s="63" t="n">
        <x:f>MAX(30,MIN(AB528-VLOOKUP(AE528,'AHL_PA_SC_BALANCE'!$A$8:$E$18,2,FALSE),VLOOKUP(AE528,'AHL_PA_SC_BALANCE'!$A$8:$E$18,4,FALSE)))</x:f>
        <x:v>49</x:v>
      </x:c>
      <x:c r="U528" s="63" t="n">
        <x:f>MAX(30,MIN(AC528-VLOOKUP(AE528,'AHL_PA_SC_BALANCE'!$A$8:$E$18,3,FALSE),VLOOKUP(AE528,'AHL_PA_SC_BALANCE'!$A$8:$E$18,5,FALSE)))</x:f>
        <x:v>43</x:v>
      </x:c>
      <x:c r="V528">
        <x:v>59</x:v>
      </x:c>
      <x:c r="W528">
        <x:v>67</x:v>
      </x:c>
      <x:c r="X528">
        <x:v>65</x:v>
      </x:c>
      <x:c r="Y528">
        <x:v>65</x:v>
      </x:c>
      <x:c r="Z528">
        <x:v>51</x:v>
      </x:c>
      <x:c r="AA528">
        <x:v>49</x:v>
      </x:c>
      <x:c r="AB528" s="57" t="n">
        <x:v>49</x:v>
      </x:c>
      <x:c r="AC528" s="57" t="n">
        <x:v>43</x:v>
      </x:c>
      <x:c r="AD528" s="59"/>
      <x:c r="AE528" s="61" t="str">
        <x:f>IF(N(F528)&gt;=10,"NHL_LATEST_10",IF(AND(N(F528)&gt;0,N(G528)&gt;0),"NHL_BOTH_SEASONS",IF(N(G528)&gt;=10,"NHL_PREVIOUS_10",IF(AND(ISNUMBER(AD528),AD528=0,SUM(F528:G528)=0),"FARM_CAREER_0",IF(COUNT(F528:G528)&lt;2,"UNKNOWN_GP",IF(AND(F528=0,G528=0),IF(AD528&gt;=10,"FARM_LEGACY_10",IF(AND(ISNUMBER(AD528),AD528&gt;0),"FARM_CAREER_1_9","FARM_0_0")),IF(F528&gt;=1,IF(F528&lt;=3,"FARM_RECENT_1_3","FARM_RECENT_4_9"),"FARM_PREV_1_9_ONLY")))))))</x:f>
        <x:v>UNKNOWN_GP</x:v>
      </x:c>
      <x:c r="AF528" s="57" t="n">
        <x:f>AB528-T528</x:f>
        <x:v>0</x:v>
      </x:c>
      <x:c r="AG528" s="57" t="n">
        <x:f>AC528-U528</x:f>
        <x:v>0</x:v>
      </x:c>
    </x:row>
    <x:row r="529">
      <x:c r="A529" t="s">
        <x:v>1551</x:v>
      </x:c>
      <x:c r="C529" t="s">
        <x:v>331</x:v>
      </x:c>
      <x:c r="D529">
        <x:v>8486120</x:v>
      </x:c>
      <x:c r="E529" t="s">
        <x:v>267</x:v>
      </x:c>
      <x:c r="J529" t="s">
        <x:v>2474</x:v>
      </x:c>
      <x:c r="K529">
        <x:v>68</x:v>
      </x:c>
      <x:c r="L529">
        <x:v>32</x:v>
      </x:c>
      <x:c r="M529">
        <x:v>91</x:v>
      </x:c>
      <x:c r="N529">
        <x:v>32</x:v>
      </x:c>
      <x:c r="O529">
        <x:v>80</x:v>
      </x:c>
      <x:c r="P529">
        <x:v>67</x:v>
      </x:c>
      <x:c r="Q529">
        <x:v>70</x:v>
      </x:c>
      <x:c r="R529">
        <x:v>31</x:v>
      </x:c>
      <x:c r="S529">
        <x:v>30</x:v>
      </x:c>
      <x:c r="T529" s="63" t="n">
        <x:f>MAX(30,MIN(AB529-VLOOKUP(AE529,'AHL_PA_SC_BALANCE'!$A$8:$E$18,2,FALSE),VLOOKUP(AE529,'AHL_PA_SC_BALANCE'!$A$8:$E$18,4,FALSE)))</x:f>
        <x:v>39</x:v>
      </x:c>
      <x:c r="U529" s="63" t="n">
        <x:f>MAX(30,MIN(AC529-VLOOKUP(AE529,'AHL_PA_SC_BALANCE'!$A$8:$E$18,3,FALSE),VLOOKUP(AE529,'AHL_PA_SC_BALANCE'!$A$8:$E$18,5,FALSE)))</x:f>
        <x:v>38</x:v>
      </x:c>
      <x:c r="V529">
        <x:v>64</x:v>
      </x:c>
      <x:c r="W529">
        <x:v>43</x:v>
      </x:c>
      <x:c r="X529">
        <x:v>66</x:v>
      </x:c>
      <x:c r="Y529">
        <x:v>66</x:v>
      </x:c>
      <x:c r="Z529">
        <x:v>51</x:v>
      </x:c>
      <x:c r="AA529">
        <x:v>49</x:v>
      </x:c>
      <x:c r="AB529" s="57" t="n">
        <x:v>39</x:v>
      </x:c>
      <x:c r="AC529" s="57" t="n">
        <x:v>38</x:v>
      </x:c>
      <x:c r="AD529" s="59"/>
      <x:c r="AE529" s="61" t="str">
        <x:f>IF(N(F529)&gt;=10,"NHL_LATEST_10",IF(AND(N(F529)&gt;0,N(G529)&gt;0),"NHL_BOTH_SEASONS",IF(N(G529)&gt;=10,"NHL_PREVIOUS_10",IF(AND(ISNUMBER(AD529),AD529=0,SUM(F529:G529)=0),"FARM_CAREER_0",IF(COUNT(F529:G529)&lt;2,"UNKNOWN_GP",IF(AND(F529=0,G529=0),IF(AD529&gt;=10,"FARM_LEGACY_10",IF(AND(ISNUMBER(AD529),AD529&gt;0),"FARM_CAREER_1_9","FARM_0_0")),IF(F529&gt;=1,IF(F529&lt;=3,"FARM_RECENT_1_3","FARM_RECENT_4_9"),"FARM_PREV_1_9_ONLY")))))))</x:f>
        <x:v>UNKNOWN_GP</x:v>
      </x:c>
      <x:c r="AF529" s="57" t="n">
        <x:f>AB529-T529</x:f>
        <x:v>0</x:v>
      </x:c>
      <x:c r="AG529" s="57" t="n">
        <x:f>AC529-U529</x:f>
        <x:v>0</x:v>
      </x:c>
    </x:row>
    <x:row r="530">
      <x:c r="A530" t="s">
        <x:v>1552</x:v>
      </x:c>
      <x:c r="C530" t="s">
        <x:v>358</x:v>
      </x:c>
      <x:c r="D530">
        <x:v>8484834</x:v>
      </x:c>
      <x:c r="E530" t="s">
        <x:v>267</x:v>
      </x:c>
      <x:c r="J530" t="s">
        <x:v>2474</x:v>
      </x:c>
      <x:c r="K530">
        <x:v>62</x:v>
      </x:c>
      <x:c r="L530">
        <x:v>32</x:v>
      </x:c>
      <x:c r="M530">
        <x:v>76</x:v>
      </x:c>
      <x:c r="N530">
        <x:v>45</x:v>
      </x:c>
      <x:c r="O530">
        <x:v>73</x:v>
      </x:c>
      <x:c r="P530">
        <x:v>89</x:v>
      </x:c>
      <x:c r="Q530">
        <x:v>94</x:v>
      </x:c>
      <x:c r="R530">
        <x:v>44</x:v>
      </x:c>
      <x:c r="S530">
        <x:v>51</x:v>
      </x:c>
      <x:c r="T530" s="63" t="n">
        <x:f>MAX(30,MIN(AB530-VLOOKUP(AE530,'AHL_PA_SC_BALANCE'!$A$8:$E$18,2,FALSE),VLOOKUP(AE530,'AHL_PA_SC_BALANCE'!$A$8:$E$18,4,FALSE)))</x:f>
        <x:v>45</x:v>
      </x:c>
      <x:c r="U530" s="63" t="n">
        <x:f>MAX(30,MIN(AC530-VLOOKUP(AE530,'AHL_PA_SC_BALANCE'!$A$8:$E$18,3,FALSE),VLOOKUP(AE530,'AHL_PA_SC_BALANCE'!$A$8:$E$18,5,FALSE)))</x:f>
        <x:v>44</x:v>
      </x:c>
      <x:c r="V530">
        <x:v>63</x:v>
      </x:c>
      <x:c r="W530">
        <x:v>65</x:v>
      </x:c>
      <x:c r="X530">
        <x:v>67</x:v>
      </x:c>
      <x:c r="Y530">
        <x:v>68</x:v>
      </x:c>
      <x:c r="Z530">
        <x:v>51</x:v>
      </x:c>
      <x:c r="AA530">
        <x:v>49</x:v>
      </x:c>
      <x:c r="AB530" s="57" t="n">
        <x:v>45</x:v>
      </x:c>
      <x:c r="AC530" s="57" t="n">
        <x:v>44</x:v>
      </x:c>
      <x:c r="AD530" s="59"/>
      <x:c r="AE530" s="61" t="str">
        <x:f>IF(N(F530)&gt;=10,"NHL_LATEST_10",IF(AND(N(F530)&gt;0,N(G530)&gt;0),"NHL_BOTH_SEASONS",IF(N(G530)&gt;=10,"NHL_PREVIOUS_10",IF(AND(ISNUMBER(AD530),AD530=0,SUM(F530:G530)=0),"FARM_CAREER_0",IF(COUNT(F530:G530)&lt;2,"UNKNOWN_GP",IF(AND(F530=0,G530=0),IF(AD530&gt;=10,"FARM_LEGACY_10",IF(AND(ISNUMBER(AD530),AD530&gt;0),"FARM_CAREER_1_9","FARM_0_0")),IF(F530&gt;=1,IF(F530&lt;=3,"FARM_RECENT_1_3","FARM_RECENT_4_9"),"FARM_PREV_1_9_ONLY")))))))</x:f>
        <x:v>UNKNOWN_GP</x:v>
      </x:c>
      <x:c r="AF530" s="57" t="n">
        <x:f>AB530-T530</x:f>
        <x:v>0</x:v>
      </x:c>
      <x:c r="AG530" s="57" t="n">
        <x:f>AC530-U530</x:f>
        <x:v>0</x:v>
      </x:c>
    </x:row>
    <x:row r="531">
      <x:c r="A531" t="s">
        <x:v>1553</x:v>
      </x:c>
      <x:c r="C531" t="s">
        <x:v>326</x:v>
      </x:c>
      <x:c r="D531">
        <x:v>8483696</x:v>
      </x:c>
      <x:c r="E531" t="s">
        <x:v>267</x:v>
      </x:c>
      <x:c r="J531" t="s">
        <x:v>2474</x:v>
      </x:c>
      <x:c r="K531">
        <x:v>68</x:v>
      </x:c>
      <x:c r="L531">
        <x:v>43</x:v>
      </x:c>
      <x:c r="M531">
        <x:v>89</x:v>
      </x:c>
      <x:c r="N531">
        <x:v>44</x:v>
      </x:c>
      <x:c r="O531">
        <x:v>76</x:v>
      </x:c>
      <x:c r="P531">
        <x:v>82</x:v>
      </x:c>
      <x:c r="Q531">
        <x:v>88</x:v>
      </x:c>
      <x:c r="R531">
        <x:v>43</x:v>
      </x:c>
      <x:c r="S531">
        <x:v>72</x:v>
      </x:c>
      <x:c r="T531" s="63" t="n">
        <x:f>MAX(30,MIN(AB531-VLOOKUP(AE531,'AHL_PA_SC_BALANCE'!$A$8:$E$18,2,FALSE),VLOOKUP(AE531,'AHL_PA_SC_BALANCE'!$A$8:$E$18,4,FALSE)))</x:f>
        <x:v>45</x:v>
      </x:c>
      <x:c r="U531" s="63" t="n">
        <x:f>MAX(30,MIN(AC531-VLOOKUP(AE531,'AHL_PA_SC_BALANCE'!$A$8:$E$18,3,FALSE),VLOOKUP(AE531,'AHL_PA_SC_BALANCE'!$A$8:$E$18,5,FALSE)))</x:f>
        <x:v>44</x:v>
      </x:c>
      <x:c r="V531">
        <x:v>60</x:v>
      </x:c>
      <x:c r="W531">
        <x:v>66</x:v>
      </x:c>
      <x:c r="X531">
        <x:v>67</x:v>
      </x:c>
      <x:c r="Y531">
        <x:v>67</x:v>
      </x:c>
      <x:c r="Z531">
        <x:v>51</x:v>
      </x:c>
      <x:c r="AA531">
        <x:v>49</x:v>
      </x:c>
      <x:c r="AB531" s="57" t="n">
        <x:v>45</x:v>
      </x:c>
      <x:c r="AC531" s="57" t="n">
        <x:v>44</x:v>
      </x:c>
      <x:c r="AD531" s="59"/>
      <x:c r="AE531" s="61" t="str">
        <x:f>IF(N(F531)&gt;=10,"NHL_LATEST_10",IF(AND(N(F531)&gt;0,N(G531)&gt;0),"NHL_BOTH_SEASONS",IF(N(G531)&gt;=10,"NHL_PREVIOUS_10",IF(AND(ISNUMBER(AD531),AD531=0,SUM(F531:G531)=0),"FARM_CAREER_0",IF(COUNT(F531:G531)&lt;2,"UNKNOWN_GP",IF(AND(F531=0,G531=0),IF(AD531&gt;=10,"FARM_LEGACY_10",IF(AND(ISNUMBER(AD531),AD531&gt;0),"FARM_CAREER_1_9","FARM_0_0")),IF(F531&gt;=1,IF(F531&lt;=3,"FARM_RECENT_1_3","FARM_RECENT_4_9"),"FARM_PREV_1_9_ONLY")))))))</x:f>
        <x:v>UNKNOWN_GP</x:v>
      </x:c>
      <x:c r="AF531" s="57" t="n">
        <x:f>AB531-T531</x:f>
        <x:v>0</x:v>
      </x:c>
      <x:c r="AG531" s="57" t="n">
        <x:f>AC531-U531</x:f>
        <x:v>0</x:v>
      </x:c>
    </x:row>
    <x:row r="532">
      <x:c r="A532" t="s">
        <x:v>1554</x:v>
      </x:c>
      <x:c r="B532" t="s">
        <x:v>584</x:v>
      </x:c>
      <x:c r="C532" t="s">
        <x:v>331</x:v>
      </x:c>
      <x:c r="D532">
        <x:v>8485516</x:v>
      </x:c>
      <x:c r="E532" t="s">
        <x:v>267</x:v>
      </x:c>
      <x:c r="J532" t="s">
        <x:v>2476</x:v>
      </x:c>
      <x:c r="K532">
        <x:v>73</x:v>
      </x:c>
      <x:c r="L532">
        <x:v>34</x:v>
      </x:c>
      <x:c r="M532">
        <x:v>89</x:v>
      </x:c>
      <x:c r="N532">
        <x:v>31</x:v>
      </x:c>
      <x:c r="O532">
        <x:v>75</x:v>
      </x:c>
      <x:c r="P532">
        <x:v>73</x:v>
      </x:c>
      <x:c r="Q532">
        <x:v>76</x:v>
      </x:c>
      <x:c r="R532">
        <x:v>31</x:v>
      </x:c>
      <x:c r="S532">
        <x:v>30</x:v>
      </x:c>
      <x:c r="T532" s="63" t="n">
        <x:f>MAX(30,MIN(AB532-VLOOKUP(AE532,'AHL_PA_SC_BALANCE'!$A$8:$E$18,2,FALSE),VLOOKUP(AE532,'AHL_PA_SC_BALANCE'!$A$8:$E$18,4,FALSE)))</x:f>
        <x:v>40</x:v>
      </x:c>
      <x:c r="U532" s="63" t="n">
        <x:f>MAX(30,MIN(AC532-VLOOKUP(AE532,'AHL_PA_SC_BALANCE'!$A$8:$E$18,3,FALSE),VLOOKUP(AE532,'AHL_PA_SC_BALANCE'!$A$8:$E$18,5,FALSE)))</x:f>
        <x:v>37</x:v>
      </x:c>
      <x:c r="V532">
        <x:v>63</x:v>
      </x:c>
      <x:c r="W532">
        <x:v>44</x:v>
      </x:c>
      <x:c r="X532">
        <x:v>68</x:v>
      </x:c>
      <x:c r="Y532">
        <x:v>67</x:v>
      </x:c>
      <x:c r="Z532">
        <x:v>47</x:v>
      </x:c>
      <x:c r="AA532">
        <x:v>49</x:v>
      </x:c>
      <x:c r="AB532" s="57" t="n">
        <x:v>40</x:v>
      </x:c>
      <x:c r="AC532" s="57" t="n">
        <x:v>37</x:v>
      </x:c>
      <x:c r="AD532" s="59"/>
      <x:c r="AE532" s="61" t="str">
        <x:f>IF(N(F532)&gt;=10,"NHL_LATEST_10",IF(AND(N(F532)&gt;0,N(G532)&gt;0),"NHL_BOTH_SEASONS",IF(N(G532)&gt;=10,"NHL_PREVIOUS_10",IF(AND(ISNUMBER(AD532),AD532=0,SUM(F532:G532)=0),"FARM_CAREER_0",IF(COUNT(F532:G532)&lt;2,"UNKNOWN_GP",IF(AND(F532=0,G532=0),IF(AD532&gt;=10,"FARM_LEGACY_10",IF(AND(ISNUMBER(AD532),AD532&gt;0),"FARM_CAREER_1_9","FARM_0_0")),IF(F532&gt;=1,IF(F532&lt;=3,"FARM_RECENT_1_3","FARM_RECENT_4_9"),"FARM_PREV_1_9_ONLY")))))))</x:f>
        <x:v>UNKNOWN_GP</x:v>
      </x:c>
      <x:c r="AF532" s="57" t="n">
        <x:f>AB532-T532</x:f>
        <x:v>0</x:v>
      </x:c>
      <x:c r="AG532" s="57" t="n">
        <x:f>AC532-U532</x:f>
        <x:v>0</x:v>
      </x:c>
    </x:row>
    <x:row r="533">
      <x:c r="A533" t="s">
        <x:v>1555</x:v>
      </x:c>
      <x:c r="C533" t="s">
        <x:v>331</x:v>
      </x:c>
      <x:c r="D533">
        <x:v>8484908</x:v>
      </x:c>
      <x:c r="E533" t="s">
        <x:v>267</x:v>
      </x:c>
      <x:c r="J533" t="s">
        <x:v>2474</x:v>
      </x:c>
      <x:c r="K533">
        <x:v>58</x:v>
      </x:c>
      <x:c r="L533">
        <x:v>31</x:v>
      </x:c>
      <x:c r="M533">
        <x:v>72</x:v>
      </x:c>
      <x:c r="N533">
        <x:v>39</x:v>
      </x:c>
      <x:c r="O533">
        <x:v>81</x:v>
      </x:c>
      <x:c r="P533">
        <x:v>79</x:v>
      </x:c>
      <x:c r="Q533">
        <x:v>81</x:v>
      </x:c>
      <x:c r="R533">
        <x:v>38</x:v>
      </x:c>
      <x:c r="S533">
        <x:v>61</x:v>
      </x:c>
      <x:c r="T533" s="63" t="n">
        <x:f>MAX(30,MIN(AB533-VLOOKUP(AE533,'AHL_PA_SC_BALANCE'!$A$8:$E$18,2,FALSE),VLOOKUP(AE533,'AHL_PA_SC_BALANCE'!$A$8:$E$18,4,FALSE)))</x:f>
        <x:v>40</x:v>
      </x:c>
      <x:c r="U533" s="63" t="n">
        <x:f>MAX(30,MIN(AC533-VLOOKUP(AE533,'AHL_PA_SC_BALANCE'!$A$8:$E$18,3,FALSE),VLOOKUP(AE533,'AHL_PA_SC_BALANCE'!$A$8:$E$18,5,FALSE)))</x:f>
        <x:v>42</x:v>
      </x:c>
      <x:c r="V533">
        <x:v>57</x:v>
      </x:c>
      <x:c r="W533">
        <x:v>60</x:v>
      </x:c>
      <x:c r="X533">
        <x:v>69</x:v>
      </x:c>
      <x:c r="Y533">
        <x:v>69</x:v>
      </x:c>
      <x:c r="Z533">
        <x:v>51</x:v>
      </x:c>
      <x:c r="AA533">
        <x:v>49</x:v>
      </x:c>
      <x:c r="AB533" s="57" t="n">
        <x:v>40</x:v>
      </x:c>
      <x:c r="AC533" s="57" t="n">
        <x:v>42</x:v>
      </x:c>
      <x:c r="AD533" s="59"/>
      <x:c r="AE533" s="61" t="str">
        <x:f>IF(N(F533)&gt;=10,"NHL_LATEST_10",IF(AND(N(F533)&gt;0,N(G533)&gt;0),"NHL_BOTH_SEASONS",IF(N(G533)&gt;=10,"NHL_PREVIOUS_10",IF(AND(ISNUMBER(AD533),AD533=0,SUM(F533:G533)=0),"FARM_CAREER_0",IF(COUNT(F533:G533)&lt;2,"UNKNOWN_GP",IF(AND(F533=0,G533=0),IF(AD533&gt;=10,"FARM_LEGACY_10",IF(AND(ISNUMBER(AD533),AD533&gt;0),"FARM_CAREER_1_9","FARM_0_0")),IF(F533&gt;=1,IF(F533&lt;=3,"FARM_RECENT_1_3","FARM_RECENT_4_9"),"FARM_PREV_1_9_ONLY")))))))</x:f>
        <x:v>UNKNOWN_GP</x:v>
      </x:c>
      <x:c r="AF533" s="57" t="n">
        <x:f>AB533-T533</x:f>
        <x:v>0</x:v>
      </x:c>
      <x:c r="AG533" s="57" t="n">
        <x:f>AC533-U533</x:f>
        <x:v>0</x:v>
      </x:c>
    </x:row>
    <x:row r="534">
      <x:c r="A534" t="s">
        <x:v>1556</x:v>
      </x:c>
      <x:c r="C534" t="s">
        <x:v>331</x:v>
      </x:c>
      <x:c r="D534">
        <x:v>8484263</x:v>
      </x:c>
      <x:c r="E534" t="s">
        <x:v>267</x:v>
      </x:c>
      <x:c r="J534" t="s">
        <x:v>2474</x:v>
      </x:c>
      <x:c r="K534">
        <x:v>76</x:v>
      </x:c>
      <x:c r="L534">
        <x:v>33</x:v>
      </x:c>
      <x:c r="M534">
        <x:v>86</x:v>
      </x:c>
      <x:c r="N534">
        <x:v>31</x:v>
      </x:c>
      <x:c r="O534">
        <x:v>84</x:v>
      </x:c>
      <x:c r="P534">
        <x:v>76</x:v>
      </x:c>
      <x:c r="Q534">
        <x:v>78</x:v>
      </x:c>
      <x:c r="R534">
        <x:v>31</x:v>
      </x:c>
      <x:c r="S534">
        <x:v>30</x:v>
      </x:c>
      <x:c r="T534" s="63" t="n">
        <x:f>MAX(30,MIN(AB534-VLOOKUP(AE534,'AHL_PA_SC_BALANCE'!$A$8:$E$18,2,FALSE),VLOOKUP(AE534,'AHL_PA_SC_BALANCE'!$A$8:$E$18,4,FALSE)))</x:f>
        <x:v>41</x:v>
      </x:c>
      <x:c r="U534" s="63" t="n">
        <x:f>MAX(30,MIN(AC534-VLOOKUP(AE534,'AHL_PA_SC_BALANCE'!$A$8:$E$18,3,FALSE),VLOOKUP(AE534,'AHL_PA_SC_BALANCE'!$A$8:$E$18,5,FALSE)))</x:f>
        <x:v>37</x:v>
      </x:c>
      <x:c r="V534">
        <x:v>63</x:v>
      </x:c>
      <x:c r="W534">
        <x:v>44</x:v>
      </x:c>
      <x:c r="X534">
        <x:v>69</x:v>
      </x:c>
      <x:c r="Y534">
        <x:v>68</x:v>
      </x:c>
      <x:c r="Z534">
        <x:v>51</x:v>
      </x:c>
      <x:c r="AA534">
        <x:v>49</x:v>
      </x:c>
      <x:c r="AB534" s="57" t="n">
        <x:v>41</x:v>
      </x:c>
      <x:c r="AC534" s="57" t="n">
        <x:v>37</x:v>
      </x:c>
      <x:c r="AD534" s="59"/>
      <x:c r="AE534" s="61" t="str">
        <x:f>IF(N(F534)&gt;=10,"NHL_LATEST_10",IF(AND(N(F534)&gt;0,N(G534)&gt;0),"NHL_BOTH_SEASONS",IF(N(G534)&gt;=10,"NHL_PREVIOUS_10",IF(AND(ISNUMBER(AD534),AD534=0,SUM(F534:G534)=0),"FARM_CAREER_0",IF(COUNT(F534:G534)&lt;2,"UNKNOWN_GP",IF(AND(F534=0,G534=0),IF(AD534&gt;=10,"FARM_LEGACY_10",IF(AND(ISNUMBER(AD534),AD534&gt;0),"FARM_CAREER_1_9","FARM_0_0")),IF(F534&gt;=1,IF(F534&lt;=3,"FARM_RECENT_1_3","FARM_RECENT_4_9"),"FARM_PREV_1_9_ONLY")))))))</x:f>
        <x:v>UNKNOWN_GP</x:v>
      </x:c>
      <x:c r="AF534" s="57" t="n">
        <x:f>AB534-T534</x:f>
        <x:v>0</x:v>
      </x:c>
      <x:c r="AG534" s="57" t="n">
        <x:f>AC534-U534</x:f>
        <x:v>0</x:v>
      </x:c>
    </x:row>
    <x:row r="535">
      <x:c r="A535" t="s">
        <x:v>1557</x:v>
      </x:c>
      <x:c r="C535" t="s">
        <x:v>329</x:v>
      </x:c>
      <x:c r="D535">
        <x:v>8482106</x:v>
      </x:c>
      <x:c r="E535" t="s">
        <x:v>267</x:v>
      </x:c>
      <x:c r="J535" t="s">
        <x:v>2474</x:v>
      </x:c>
      <x:c r="K535">
        <x:v>63</x:v>
      </x:c>
      <x:c r="L535">
        <x:v>35</x:v>
      </x:c>
      <x:c r="M535">
        <x:v>83</x:v>
      </x:c>
      <x:c r="N535">
        <x:v>45</x:v>
      </x:c>
      <x:c r="O535">
        <x:v>77</x:v>
      </x:c>
      <x:c r="P535">
        <x:v>83</x:v>
      </x:c>
      <x:c r="Q535">
        <x:v>85</x:v>
      </x:c>
      <x:c r="R535">
        <x:v>44</x:v>
      </x:c>
      <x:c r="S535">
        <x:v>64</x:v>
      </x:c>
      <x:c r="T535" s="63" t="n">
        <x:f>MAX(30,MIN(AB535-VLOOKUP(AE535,'AHL_PA_SC_BALANCE'!$A$8:$E$18,2,FALSE),VLOOKUP(AE535,'AHL_PA_SC_BALANCE'!$A$8:$E$18,4,FALSE)))</x:f>
        <x:v>47</x:v>
      </x:c>
      <x:c r="U535" s="63" t="n">
        <x:f>MAX(30,MIN(AC535-VLOOKUP(AE535,'AHL_PA_SC_BALANCE'!$A$8:$E$18,3,FALSE),VLOOKUP(AE535,'AHL_PA_SC_BALANCE'!$A$8:$E$18,5,FALSE)))</x:f>
        <x:v>45</x:v>
      </x:c>
      <x:c r="V535">
        <x:v>61</x:v>
      </x:c>
      <x:c r="W535">
        <x:v>67</x:v>
      </x:c>
      <x:c r="X535">
        <x:v>67</x:v>
      </x:c>
      <x:c r="Y535">
        <x:v>66</x:v>
      </x:c>
      <x:c r="Z535">
        <x:v>51</x:v>
      </x:c>
      <x:c r="AA535">
        <x:v>49</x:v>
      </x:c>
      <x:c r="AB535" s="57" t="n">
        <x:v>47</x:v>
      </x:c>
      <x:c r="AC535" s="57" t="n">
        <x:v>45</x:v>
      </x:c>
      <x:c r="AD535" s="59"/>
      <x:c r="AE535" s="61" t="str">
        <x:f>IF(N(F535)&gt;=10,"NHL_LATEST_10",IF(AND(N(F535)&gt;0,N(G535)&gt;0),"NHL_BOTH_SEASONS",IF(N(G535)&gt;=10,"NHL_PREVIOUS_10",IF(AND(ISNUMBER(AD535),AD535=0,SUM(F535:G535)=0),"FARM_CAREER_0",IF(COUNT(F535:G535)&lt;2,"UNKNOWN_GP",IF(AND(F535=0,G535=0),IF(AD535&gt;=10,"FARM_LEGACY_10",IF(AND(ISNUMBER(AD535),AD535&gt;0),"FARM_CAREER_1_9","FARM_0_0")),IF(F535&gt;=1,IF(F535&lt;=3,"FARM_RECENT_1_3","FARM_RECENT_4_9"),"FARM_PREV_1_9_ONLY")))))))</x:f>
        <x:v>UNKNOWN_GP</x:v>
      </x:c>
      <x:c r="AF535" s="57" t="n">
        <x:f>AB535-T535</x:f>
        <x:v>0</x:v>
      </x:c>
      <x:c r="AG535" s="57" t="n">
        <x:f>AC535-U535</x:f>
        <x:v>0</x:v>
      </x:c>
    </x:row>
    <x:row r="536">
      <x:c r="A536" t="s">
        <x:v>1558</x:v>
      </x:c>
      <x:c r="C536" t="s">
        <x:v>331</x:v>
      </x:c>
      <x:c r="D536">
        <x:v>8482138</x:v>
      </x:c>
      <x:c r="E536" t="s">
        <x:v>267</x:v>
      </x:c>
      <x:c r="J536" t="s">
        <x:v>2474</x:v>
      </x:c>
      <x:c r="K536">
        <x:v>72</x:v>
      </x:c>
      <x:c r="L536">
        <x:v>36</x:v>
      </x:c>
      <x:c r="M536">
        <x:v>88</x:v>
      </x:c>
      <x:c r="N536">
        <x:v>31</x:v>
      </x:c>
      <x:c r="O536">
        <x:v>81</x:v>
      </x:c>
      <x:c r="P536">
        <x:v>82</x:v>
      </x:c>
      <x:c r="Q536">
        <x:v>85</x:v>
      </x:c>
      <x:c r="R536">
        <x:v>31</x:v>
      </x:c>
      <x:c r="S536">
        <x:v>30</x:v>
      </x:c>
      <x:c r="T536" s="63" t="n">
        <x:f>MAX(30,MIN(AB536-VLOOKUP(AE536,'AHL_PA_SC_BALANCE'!$A$8:$E$18,2,FALSE),VLOOKUP(AE536,'AHL_PA_SC_BALANCE'!$A$8:$E$18,4,FALSE)))</x:f>
        <x:v>40</x:v>
      </x:c>
      <x:c r="U536" s="63" t="n">
        <x:f>MAX(30,MIN(AC536-VLOOKUP(AE536,'AHL_PA_SC_BALANCE'!$A$8:$E$18,3,FALSE),VLOOKUP(AE536,'AHL_PA_SC_BALANCE'!$A$8:$E$18,5,FALSE)))</x:f>
        <x:v>38</x:v>
      </x:c>
      <x:c r="V536">
        <x:v>66</x:v>
      </x:c>
      <x:c r="W536">
        <x:v>44</x:v>
      </x:c>
      <x:c r="X536">
        <x:v>67</x:v>
      </x:c>
      <x:c r="Y536">
        <x:v>68</x:v>
      </x:c>
      <x:c r="Z536">
        <x:v>51</x:v>
      </x:c>
      <x:c r="AA536">
        <x:v>49</x:v>
      </x:c>
      <x:c r="AB536" s="57" t="n">
        <x:v>40</x:v>
      </x:c>
      <x:c r="AC536" s="57" t="n">
        <x:v>38</x:v>
      </x:c>
      <x:c r="AD536" s="59"/>
      <x:c r="AE536" s="61" t="str">
        <x:f>IF(N(F536)&gt;=10,"NHL_LATEST_10",IF(AND(N(F536)&gt;0,N(G536)&gt;0),"NHL_BOTH_SEASONS",IF(N(G536)&gt;=10,"NHL_PREVIOUS_10",IF(AND(ISNUMBER(AD536),AD536=0,SUM(F536:G536)=0),"FARM_CAREER_0",IF(COUNT(F536:G536)&lt;2,"UNKNOWN_GP",IF(AND(F536=0,G536=0),IF(AD536&gt;=10,"FARM_LEGACY_10",IF(AND(ISNUMBER(AD536),AD536&gt;0),"FARM_CAREER_1_9","FARM_0_0")),IF(F536&gt;=1,IF(F536&lt;=3,"FARM_RECENT_1_3","FARM_RECENT_4_9"),"FARM_PREV_1_9_ONLY")))))))</x:f>
        <x:v>UNKNOWN_GP</x:v>
      </x:c>
      <x:c r="AF536" s="57" t="n">
        <x:f>AB536-T536</x:f>
        <x:v>0</x:v>
      </x:c>
      <x:c r="AG536" s="57" t="n">
        <x:f>AC536-U536</x:f>
        <x:v>0</x:v>
      </x:c>
    </x:row>
    <x:row r="537">
      <x:c r="A537" t="s">
        <x:v>1559</x:v>
      </x:c>
      <x:c r="C537" t="s">
        <x:v>319</x:v>
      </x:c>
      <x:c r="D537">
        <x:v>8483444</x:v>
      </x:c>
      <x:c r="E537" t="s">
        <x:v>267</x:v>
      </x:c>
      <x:c r="J537" t="s">
        <x:v>2474</x:v>
      </x:c>
      <x:c r="K537">
        <x:v>79</x:v>
      </x:c>
      <x:c r="L537">
        <x:v>32</x:v>
      </x:c>
      <x:c r="M537">
        <x:v>80</x:v>
      </x:c>
      <x:c r="N537">
        <x:v>41</x:v>
      </x:c>
      <x:c r="O537">
        <x:v>85</x:v>
      </x:c>
      <x:c r="P537">
        <x:v>87</x:v>
      </x:c>
      <x:c r="Q537">
        <x:v>89</x:v>
      </x:c>
      <x:c r="R537">
        <x:v>40</x:v>
      </x:c>
      <x:c r="S537">
        <x:v>81</x:v>
      </x:c>
      <x:c r="T537" s="63" t="n">
        <x:f>MAX(30,MIN(AB537-VLOOKUP(AE537,'AHL_PA_SC_BALANCE'!$A$8:$E$18,2,FALSE),VLOOKUP(AE537,'AHL_PA_SC_BALANCE'!$A$8:$E$18,4,FALSE)))</x:f>
        <x:v>43</x:v>
      </x:c>
      <x:c r="U537" s="63" t="n">
        <x:f>MAX(30,MIN(AC537-VLOOKUP(AE537,'AHL_PA_SC_BALANCE'!$A$8:$E$18,3,FALSE),VLOOKUP(AE537,'AHL_PA_SC_BALANCE'!$A$8:$E$18,5,FALSE)))</x:f>
        <x:v>44</x:v>
      </x:c>
      <x:c r="V537">
        <x:v>61</x:v>
      </x:c>
      <x:c r="W537">
        <x:v>64</x:v>
      </x:c>
      <x:c r="X537">
        <x:v>66</x:v>
      </x:c>
      <x:c r="Y537">
        <x:v>66</x:v>
      </x:c>
      <x:c r="Z537">
        <x:v>51</x:v>
      </x:c>
      <x:c r="AA537">
        <x:v>49</x:v>
      </x:c>
      <x:c r="AB537" s="57" t="n">
        <x:v>43</x:v>
      </x:c>
      <x:c r="AC537" s="57" t="n">
        <x:v>44</x:v>
      </x:c>
      <x:c r="AD537" s="59"/>
      <x:c r="AE537" s="61" t="str">
        <x:f>IF(N(F537)&gt;=10,"NHL_LATEST_10",IF(AND(N(F537)&gt;0,N(G537)&gt;0),"NHL_BOTH_SEASONS",IF(N(G537)&gt;=10,"NHL_PREVIOUS_10",IF(AND(ISNUMBER(AD537),AD537=0,SUM(F537:G537)=0),"FARM_CAREER_0",IF(COUNT(F537:G537)&lt;2,"UNKNOWN_GP",IF(AND(F537=0,G537=0),IF(AD537&gt;=10,"FARM_LEGACY_10",IF(AND(ISNUMBER(AD537),AD537&gt;0),"FARM_CAREER_1_9","FARM_0_0")),IF(F537&gt;=1,IF(F537&lt;=3,"FARM_RECENT_1_3","FARM_RECENT_4_9"),"FARM_PREV_1_9_ONLY")))))))</x:f>
        <x:v>UNKNOWN_GP</x:v>
      </x:c>
      <x:c r="AF537" s="57" t="n">
        <x:f>AB537-T537</x:f>
        <x:v>0</x:v>
      </x:c>
      <x:c r="AG537" s="57" t="n">
        <x:f>AC537-U537</x:f>
        <x:v>0</x:v>
      </x:c>
    </x:row>
    <x:row r="538">
      <x:c r="A538" t="s">
        <x:v>1560</x:v>
      </x:c>
      <x:c r="B538" t="s">
        <x:v>584</x:v>
      </x:c>
      <x:c r="C538" t="s">
        <x:v>333</x:v>
      </x:c>
      <x:c r="D538">
        <x:v>8482635</x:v>
      </x:c>
      <x:c r="E538" t="s">
        <x:v>267</x:v>
      </x:c>
      <x:c r="G538">
        <x:v>2</x:v>
      </x:c>
      <x:c r="J538" t="s">
        <x:v>2488</x:v>
      </x:c>
      <x:c r="K538">
        <x:v>86</x:v>
      </x:c>
      <x:c r="L538">
        <x:v>84</x:v>
      </x:c>
      <x:c r="M538">
        <x:v>90</x:v>
      </x:c>
      <x:c r="N538">
        <x:v>41</x:v>
      </x:c>
      <x:c r="O538">
        <x:v>83</x:v>
      </x:c>
      <x:c r="P538">
        <x:v>84</x:v>
      </x:c>
      <x:c r="Q538">
        <x:v>86</x:v>
      </x:c>
      <x:c r="R538">
        <x:v>42</x:v>
      </x:c>
      <x:c r="S538">
        <x:v>61</x:v>
      </x:c>
      <x:c r="T538" s="63" t="n">
        <x:f>MAX(30,MIN(AB538-VLOOKUP(AE538,'AHL_PA_SC_BALANCE'!$A$8:$E$18,2,FALSE),VLOOKUP(AE538,'AHL_PA_SC_BALANCE'!$A$8:$E$18,4,FALSE)))</x:f>
        <x:v>43</x:v>
      </x:c>
      <x:c r="U538" s="63" t="n">
        <x:f>MAX(30,MIN(AC538-VLOOKUP(AE538,'AHL_PA_SC_BALANCE'!$A$8:$E$18,3,FALSE),VLOOKUP(AE538,'AHL_PA_SC_BALANCE'!$A$8:$E$18,5,FALSE)))</x:f>
        <x:v>43</x:v>
      </x:c>
      <x:c r="V538">
        <x:v>64</x:v>
      </x:c>
      <x:c r="W538">
        <x:v>63</x:v>
      </x:c>
      <x:c r="X538">
        <x:v>69</x:v>
      </x:c>
      <x:c r="Y538">
        <x:v>69</x:v>
      </x:c>
      <x:c r="Z538">
        <x:v>51</x:v>
      </x:c>
      <x:c r="AA538">
        <x:v>49</x:v>
      </x:c>
      <x:c r="AB538" s="57" t="n">
        <x:v>43</x:v>
      </x:c>
      <x:c r="AC538" s="57" t="n">
        <x:v>43</x:v>
      </x:c>
      <x:c r="AD538" s="59"/>
      <x:c r="AE538" s="61" t="str">
        <x:f>IF(N(F538)&gt;=10,"NHL_LATEST_10",IF(AND(N(F538)&gt;0,N(G538)&gt;0),"NHL_BOTH_SEASONS",IF(N(G538)&gt;=10,"NHL_PREVIOUS_10",IF(AND(ISNUMBER(AD538),AD538=0,SUM(F538:G538)=0),"FARM_CAREER_0",IF(COUNT(F538:G538)&lt;2,"UNKNOWN_GP",IF(AND(F538=0,G538=0),IF(AD538&gt;=10,"FARM_LEGACY_10",IF(AND(ISNUMBER(AD538),AD538&gt;0),"FARM_CAREER_1_9","FARM_0_0")),IF(F538&gt;=1,IF(F538&lt;=3,"FARM_RECENT_1_3","FARM_RECENT_4_9"),"FARM_PREV_1_9_ONLY")))))))</x:f>
        <x:v>UNKNOWN_GP</x:v>
      </x:c>
      <x:c r="AF538" s="57" t="n">
        <x:f>AB538-T538</x:f>
        <x:v>0</x:v>
      </x:c>
      <x:c r="AG538" s="57" t="n">
        <x:f>AC538-U538</x:f>
        <x:v>0</x:v>
      </x:c>
    </x:row>
    <x:row r="539">
      <x:c r="A539" t="s">
        <x:v>1561</x:v>
      </x:c>
      <x:c r="C539" t="s">
        <x:v>358</x:v>
      </x:c>
      <x:c r="D539">
        <x:v>8480017</x:v>
      </x:c>
      <x:c r="E539" t="s">
        <x:v>267</x:v>
      </x:c>
      <x:c r="J539" t="s">
        <x:v>2474</x:v>
      </x:c>
      <x:c r="K539">
        <x:v>81</x:v>
      </x:c>
      <x:c r="L539">
        <x:v>40</x:v>
      </x:c>
      <x:c r="M539">
        <x:v>83</x:v>
      </x:c>
      <x:c r="N539">
        <x:v>41</x:v>
      </x:c>
      <x:c r="O539">
        <x:v>85</x:v>
      </x:c>
      <x:c r="P539">
        <x:v>83</x:v>
      </x:c>
      <x:c r="Q539">
        <x:v>85</x:v>
      </x:c>
      <x:c r="R539">
        <x:v>41</x:v>
      </x:c>
      <x:c r="S539">
        <x:v>51</x:v>
      </x:c>
      <x:c r="T539" s="63" t="n">
        <x:f>MAX(30,MIN(AB539-VLOOKUP(AE539,'AHL_PA_SC_BALANCE'!$A$8:$E$18,2,FALSE),VLOOKUP(AE539,'AHL_PA_SC_BALANCE'!$A$8:$E$18,4,FALSE)))</x:f>
        <x:v>44</x:v>
      </x:c>
      <x:c r="U539" s="63" t="n">
        <x:f>MAX(30,MIN(AC539-VLOOKUP(AE539,'AHL_PA_SC_BALANCE'!$A$8:$E$18,3,FALSE),VLOOKUP(AE539,'AHL_PA_SC_BALANCE'!$A$8:$E$18,5,FALSE)))</x:f>
        <x:v>43</x:v>
      </x:c>
      <x:c r="V539">
        <x:v>61</x:v>
      </x:c>
      <x:c r="W539">
        <x:v>63</x:v>
      </x:c>
      <x:c r="X539">
        <x:v>69</x:v>
      </x:c>
      <x:c r="Y539">
        <x:v>68</x:v>
      </x:c>
      <x:c r="Z539">
        <x:v>51</x:v>
      </x:c>
      <x:c r="AA539">
        <x:v>49</x:v>
      </x:c>
      <x:c r="AB539" s="57" t="n">
        <x:v>44</x:v>
      </x:c>
      <x:c r="AC539" s="57" t="n">
        <x:v>43</x:v>
      </x:c>
      <x:c r="AD539" s="59"/>
      <x:c r="AE539" s="61" t="str">
        <x:f>IF(N(F539)&gt;=10,"NHL_LATEST_10",IF(AND(N(F539)&gt;0,N(G539)&gt;0),"NHL_BOTH_SEASONS",IF(N(G539)&gt;=10,"NHL_PREVIOUS_10",IF(AND(ISNUMBER(AD539),AD539=0,SUM(F539:G539)=0),"FARM_CAREER_0",IF(COUNT(F539:G539)&lt;2,"UNKNOWN_GP",IF(AND(F539=0,G539=0),IF(AD539&gt;=10,"FARM_LEGACY_10",IF(AND(ISNUMBER(AD539),AD539&gt;0),"FARM_CAREER_1_9","FARM_0_0")),IF(F539&gt;=1,IF(F539&lt;=3,"FARM_RECENT_1_3","FARM_RECENT_4_9"),"FARM_PREV_1_9_ONLY")))))))</x:f>
        <x:v>UNKNOWN_GP</x:v>
      </x:c>
      <x:c r="AF539" s="57" t="n">
        <x:f>AB539-T539</x:f>
        <x:v>0</x:v>
      </x:c>
      <x:c r="AG539" s="57" t="n">
        <x:f>AC539-U539</x:f>
        <x:v>0</x:v>
      </x:c>
    </x:row>
    <x:row r="540">
      <x:c r="A540" t="s">
        <x:v>1562</x:v>
      </x:c>
      <x:c r="B540" t="s">
        <x:v>584</x:v>
      </x:c>
      <x:c r="C540" t="s">
        <x:v>358</x:v>
      </x:c>
      <x:c r="D540">
        <x:v>8481070</x:v>
      </x:c>
      <x:c r="E540" t="s">
        <x:v>267</x:v>
      </x:c>
      <x:c r="F540">
        <x:v>3</x:v>
      </x:c>
      <x:c r="J540" t="s">
        <x:v>2480</x:v>
      </x:c>
      <x:c r="K540">
        <x:v>62</x:v>
      </x:c>
      <x:c r="L540">
        <x:v>37</x:v>
      </x:c>
      <x:c r="M540">
        <x:v>79</x:v>
      </x:c>
      <x:c r="N540">
        <x:v>43</x:v>
      </x:c>
      <x:c r="O540">
        <x:v>73</x:v>
      </x:c>
      <x:c r="P540">
        <x:v>90</x:v>
      </x:c>
      <x:c r="Q540">
        <x:v>93</x:v>
      </x:c>
      <x:c r="R540">
        <x:v>44</x:v>
      </x:c>
      <x:c r="S540">
        <x:v>78</x:v>
      </x:c>
      <x:c r="T540" s="63" t="n">
        <x:f>MAX(30,MIN(AB540-VLOOKUP(AE540,'AHL_PA_SC_BALANCE'!$A$8:$E$18,2,FALSE),VLOOKUP(AE540,'AHL_PA_SC_BALANCE'!$A$8:$E$18,4,FALSE)))</x:f>
        <x:v>44</x:v>
      </x:c>
      <x:c r="U540" s="63" t="n">
        <x:f>MAX(30,MIN(AC540-VLOOKUP(AE540,'AHL_PA_SC_BALANCE'!$A$8:$E$18,3,FALSE),VLOOKUP(AE540,'AHL_PA_SC_BALANCE'!$A$8:$E$18,5,FALSE)))</x:f>
        <x:v>44</x:v>
      </x:c>
      <x:c r="V540">
        <x:v>63</x:v>
      </x:c>
      <x:c r="W540">
        <x:v>65</x:v>
      </x:c>
      <x:c r="X540">
        <x:v>70</x:v>
      </x:c>
      <x:c r="Y540">
        <x:v>70</x:v>
      </x:c>
      <x:c r="Z540">
        <x:v>51</x:v>
      </x:c>
      <x:c r="AA540">
        <x:v>49</x:v>
      </x:c>
      <x:c r="AB540" s="57" t="n">
        <x:v>44</x:v>
      </x:c>
      <x:c r="AC540" s="57" t="n">
        <x:v>44</x:v>
      </x:c>
      <x:c r="AD540" s="59"/>
      <x:c r="AE540" s="61" t="str">
        <x:f>IF(N(F540)&gt;=10,"NHL_LATEST_10",IF(AND(N(F540)&gt;0,N(G540)&gt;0),"NHL_BOTH_SEASONS",IF(N(G540)&gt;=10,"NHL_PREVIOUS_10",IF(AND(ISNUMBER(AD540),AD540=0,SUM(F540:G540)=0),"FARM_CAREER_0",IF(COUNT(F540:G540)&lt;2,"UNKNOWN_GP",IF(AND(F540=0,G540=0),IF(AD540&gt;=10,"FARM_LEGACY_10",IF(AND(ISNUMBER(AD540),AD540&gt;0),"FARM_CAREER_1_9","FARM_0_0")),IF(F540&gt;=1,IF(F540&lt;=3,"FARM_RECENT_1_3","FARM_RECENT_4_9"),"FARM_PREV_1_9_ONLY")))))))</x:f>
        <x:v>UNKNOWN_GP</x:v>
      </x:c>
      <x:c r="AF540" s="57" t="n">
        <x:f>AB540-T540</x:f>
        <x:v>0</x:v>
      </x:c>
      <x:c r="AG540" s="57" t="n">
        <x:f>AC540-U540</x:f>
        <x:v>0</x:v>
      </x:c>
    </x:row>
    <x:row r="541">
      <x:c r="A541" t="s">
        <x:v>1563</x:v>
      </x:c>
      <x:c r="C541" t="s">
        <x:v>326</x:v>
      </x:c>
      <x:c r="D541">
        <x:v>8483433</x:v>
      </x:c>
      <x:c r="E541" t="s">
        <x:v>267</x:v>
      </x:c>
      <x:c r="J541" t="s">
        <x:v>2474</x:v>
      </x:c>
      <x:c r="K541">
        <x:v>60</x:v>
      </x:c>
      <x:c r="L541">
        <x:v>37</x:v>
      </x:c>
      <x:c r="M541">
        <x:v>79</x:v>
      </x:c>
      <x:c r="N541">
        <x:v>46</x:v>
      </x:c>
      <x:c r="O541">
        <x:v>79</x:v>
      </x:c>
      <x:c r="P541">
        <x:v>89</x:v>
      </x:c>
      <x:c r="Q541">
        <x:v>93</x:v>
      </x:c>
      <x:c r="R541">
        <x:v>45</x:v>
      </x:c>
      <x:c r="S541">
        <x:v>58</x:v>
      </x:c>
      <x:c r="T541" s="63" t="n">
        <x:f>MAX(30,MIN(AB541-VLOOKUP(AE541,'AHL_PA_SC_BALANCE'!$A$8:$E$18,2,FALSE),VLOOKUP(AE541,'AHL_PA_SC_BALANCE'!$A$8:$E$18,4,FALSE)))</x:f>
        <x:v>48</x:v>
      </x:c>
      <x:c r="U541" s="63" t="n">
        <x:f>MAX(30,MIN(AC541-VLOOKUP(AE541,'AHL_PA_SC_BALANCE'!$A$8:$E$18,3,FALSE),VLOOKUP(AE541,'AHL_PA_SC_BALANCE'!$A$8:$E$18,5,FALSE)))</x:f>
        <x:v>45</x:v>
      </x:c>
      <x:c r="V541">
        <x:v>58</x:v>
      </x:c>
      <x:c r="W541">
        <x:v>68</x:v>
      </x:c>
      <x:c r="X541">
        <x:v>65</x:v>
      </x:c>
      <x:c r="Y541">
        <x:v>66</x:v>
      </x:c>
      <x:c r="Z541">
        <x:v>51</x:v>
      </x:c>
      <x:c r="AA541">
        <x:v>49</x:v>
      </x:c>
      <x:c r="AB541" s="57" t="n">
        <x:v>48</x:v>
      </x:c>
      <x:c r="AC541" s="57" t="n">
        <x:v>45</x:v>
      </x:c>
      <x:c r="AD541" s="59"/>
      <x:c r="AE541" s="61" t="str">
        <x:f>IF(N(F541)&gt;=10,"NHL_LATEST_10",IF(AND(N(F541)&gt;0,N(G541)&gt;0),"NHL_BOTH_SEASONS",IF(N(G541)&gt;=10,"NHL_PREVIOUS_10",IF(AND(ISNUMBER(AD541),AD541=0,SUM(F541:G541)=0),"FARM_CAREER_0",IF(COUNT(F541:G541)&lt;2,"UNKNOWN_GP",IF(AND(F541=0,G541=0),IF(AD541&gt;=10,"FARM_LEGACY_10",IF(AND(ISNUMBER(AD541),AD541&gt;0),"FARM_CAREER_1_9","FARM_0_0")),IF(F541&gt;=1,IF(F541&lt;=3,"FARM_RECENT_1_3","FARM_RECENT_4_9"),"FARM_PREV_1_9_ONLY")))))))</x:f>
        <x:v>UNKNOWN_GP</x:v>
      </x:c>
      <x:c r="AF541" s="57" t="n">
        <x:f>AB541-T541</x:f>
        <x:v>0</x:v>
      </x:c>
      <x:c r="AG541" s="57" t="n">
        <x:f>AC541-U541</x:f>
        <x:v>0</x:v>
      </x:c>
    </x:row>
    <x:row r="542">
      <x:c r="A542" t="s">
        <x:v>1564</x:v>
      </x:c>
      <x:c r="C542" t="s">
        <x:v>323</x:v>
      </x:c>
      <x:c r="D542">
        <x:v>8485461</x:v>
      </x:c>
      <x:c r="E542" t="s">
        <x:v>267</x:v>
      </x:c>
      <x:c r="J542" t="s">
        <x:v>2474</x:v>
      </x:c>
      <x:c r="K542">
        <x:v>89</x:v>
      </x:c>
      <x:c r="L542">
        <x:v>45</x:v>
      </x:c>
      <x:c r="M542">
        <x:v>87</x:v>
      </x:c>
      <x:c r="N542">
        <x:v>40</x:v>
      </x:c>
      <x:c r="O542">
        <x:v>89</x:v>
      </x:c>
      <x:c r="P542">
        <x:v>80</x:v>
      </x:c>
      <x:c r="Q542">
        <x:v>85</x:v>
      </x:c>
      <x:c r="R542">
        <x:v>41</x:v>
      </x:c>
      <x:c r="S542">
        <x:v>75</x:v>
      </x:c>
      <x:c r="T542" s="63" t="n">
        <x:f>MAX(30,MIN(AB542-VLOOKUP(AE542,'AHL_PA_SC_BALANCE'!$A$8:$E$18,2,FALSE),VLOOKUP(AE542,'AHL_PA_SC_BALANCE'!$A$8:$E$18,4,FALSE)))</x:f>
        <x:v>42</x:v>
      </x:c>
      <x:c r="U542" s="63" t="n">
        <x:f>MAX(30,MIN(AC542-VLOOKUP(AE542,'AHL_PA_SC_BALANCE'!$A$8:$E$18,3,FALSE),VLOOKUP(AE542,'AHL_PA_SC_BALANCE'!$A$8:$E$18,5,FALSE)))</x:f>
        <x:v>43</x:v>
      </x:c>
      <x:c r="V542">
        <x:v>60</x:v>
      </x:c>
      <x:c r="W542">
        <x:v>62</x:v>
      </x:c>
      <x:c r="X542">
        <x:v>68</x:v>
      </x:c>
      <x:c r="Y542">
        <x:v>69</x:v>
      </x:c>
      <x:c r="Z542">
        <x:v>51</x:v>
      </x:c>
      <x:c r="AA542">
        <x:v>49</x:v>
      </x:c>
      <x:c r="AB542" s="57" t="n">
        <x:v>42</x:v>
      </x:c>
      <x:c r="AC542" s="57" t="n">
        <x:v>43</x:v>
      </x:c>
      <x:c r="AD542" s="59"/>
      <x:c r="AE542" s="61" t="str">
        <x:f>IF(N(F542)&gt;=10,"NHL_LATEST_10",IF(AND(N(F542)&gt;0,N(G542)&gt;0),"NHL_BOTH_SEASONS",IF(N(G542)&gt;=10,"NHL_PREVIOUS_10",IF(AND(ISNUMBER(AD542),AD542=0,SUM(F542:G542)=0),"FARM_CAREER_0",IF(COUNT(F542:G542)&lt;2,"UNKNOWN_GP",IF(AND(F542=0,G542=0),IF(AD542&gt;=10,"FARM_LEGACY_10",IF(AND(ISNUMBER(AD542),AD542&gt;0),"FARM_CAREER_1_9","FARM_0_0")),IF(F542&gt;=1,IF(F542&lt;=3,"FARM_RECENT_1_3","FARM_RECENT_4_9"),"FARM_PREV_1_9_ONLY")))))))</x:f>
        <x:v>UNKNOWN_GP</x:v>
      </x:c>
      <x:c r="AF542" s="57" t="n">
        <x:f>AB542-T542</x:f>
        <x:v>0</x:v>
      </x:c>
      <x:c r="AG542" s="57" t="n">
        <x:f>AC542-U542</x:f>
        <x:v>0</x:v>
      </x:c>
    </x:row>
    <x:row r="543">
      <x:c r="A543" t="s">
        <x:v>1565</x:v>
      </x:c>
      <x:c r="C543" t="s">
        <x:v>331</x:v>
      </x:c>
      <x:c r="D543">
        <x:v>8481051</x:v>
      </x:c>
      <x:c r="E543" t="s">
        <x:v>267</x:v>
      </x:c>
      <x:c r="J543" t="s">
        <x:v>2474</x:v>
      </x:c>
      <x:c r="K543">
        <x:v>67</x:v>
      </x:c>
      <x:c r="L543">
        <x:v>40</x:v>
      </x:c>
      <x:c r="M543">
        <x:v>86</x:v>
      </x:c>
      <x:c r="N543">
        <x:v>30</x:v>
      </x:c>
      <x:c r="O543">
        <x:v>80</x:v>
      </x:c>
      <x:c r="P543">
        <x:v>72</x:v>
      </x:c>
      <x:c r="Q543">
        <x:v>73</x:v>
      </x:c>
      <x:c r="R543">
        <x:v>30</x:v>
      </x:c>
      <x:c r="S543">
        <x:v>30</x:v>
      </x:c>
      <x:c r="T543" s="63" t="n">
        <x:f>MAX(30,MIN(AB543-VLOOKUP(AE543,'AHL_PA_SC_BALANCE'!$A$8:$E$18,2,FALSE),VLOOKUP(AE543,'AHL_PA_SC_BALANCE'!$A$8:$E$18,4,FALSE)))</x:f>
        <x:v>39</x:v>
      </x:c>
      <x:c r="U543" s="63" t="n">
        <x:f>MAX(30,MIN(AC543-VLOOKUP(AE543,'AHL_PA_SC_BALANCE'!$A$8:$E$18,3,FALSE),VLOOKUP(AE543,'AHL_PA_SC_BALANCE'!$A$8:$E$18,5,FALSE)))</x:f>
        <x:v>38</x:v>
      </x:c>
      <x:c r="V543">
        <x:v>67</x:v>
      </x:c>
      <x:c r="W543">
        <x:v>44</x:v>
      </x:c>
      <x:c r="X543">
        <x:v>69</x:v>
      </x:c>
      <x:c r="Y543">
        <x:v>68</x:v>
      </x:c>
      <x:c r="Z543">
        <x:v>51</x:v>
      </x:c>
      <x:c r="AA543">
        <x:v>49</x:v>
      </x:c>
      <x:c r="AB543" s="57" t="n">
        <x:v>39</x:v>
      </x:c>
      <x:c r="AC543" s="57" t="n">
        <x:v>38</x:v>
      </x:c>
      <x:c r="AD543" s="59"/>
      <x:c r="AE543" s="61" t="str">
        <x:f>IF(N(F543)&gt;=10,"NHL_LATEST_10",IF(AND(N(F543)&gt;0,N(G543)&gt;0),"NHL_BOTH_SEASONS",IF(N(G543)&gt;=10,"NHL_PREVIOUS_10",IF(AND(ISNUMBER(AD543),AD543=0,SUM(F543:G543)=0),"FARM_CAREER_0",IF(COUNT(F543:G543)&lt;2,"UNKNOWN_GP",IF(AND(F543=0,G543=0),IF(AD543&gt;=10,"FARM_LEGACY_10",IF(AND(ISNUMBER(AD543),AD543&gt;0),"FARM_CAREER_1_9","FARM_0_0")),IF(F543&gt;=1,IF(F543&lt;=3,"FARM_RECENT_1_3","FARM_RECENT_4_9"),"FARM_PREV_1_9_ONLY")))))))</x:f>
        <x:v>UNKNOWN_GP</x:v>
      </x:c>
      <x:c r="AF543" s="57" t="n">
        <x:f>AB543-T543</x:f>
        <x:v>0</x:v>
      </x:c>
      <x:c r="AG543" s="57" t="n">
        <x:f>AC543-U543</x:f>
        <x:v>0</x:v>
      </x:c>
    </x:row>
    <x:row r="544">
      <x:c r="A544" t="s">
        <x:v>1566</x:v>
      </x:c>
      <x:c r="B544" t="s">
        <x:v>584</x:v>
      </x:c>
      <x:c r="C544" t="s">
        <x:v>331</x:v>
      </x:c>
      <x:c r="D544">
        <x:v>8485193</x:v>
      </x:c>
      <x:c r="E544" t="s">
        <x:v>267</x:v>
      </x:c>
      <x:c r="J544" t="s">
        <x:v>2476</x:v>
      </x:c>
      <x:c r="K544">
        <x:v>68</x:v>
      </x:c>
      <x:c r="L544">
        <x:v>34</x:v>
      </x:c>
      <x:c r="M544">
        <x:v>80</x:v>
      </x:c>
      <x:c r="N544">
        <x:v>30</x:v>
      </x:c>
      <x:c r="O544">
        <x:v>82</x:v>
      </x:c>
      <x:c r="P544">
        <x:v>69</x:v>
      </x:c>
      <x:c r="Q544">
        <x:v>72</x:v>
      </x:c>
      <x:c r="R544">
        <x:v>30</x:v>
      </x:c>
      <x:c r="S544">
        <x:v>30</x:v>
      </x:c>
      <x:c r="T544" s="63" t="n">
        <x:f>MAX(30,MIN(AB544-VLOOKUP(AE544,'AHL_PA_SC_BALANCE'!$A$8:$E$18,2,FALSE),VLOOKUP(AE544,'AHL_PA_SC_BALANCE'!$A$8:$E$18,4,FALSE)))</x:f>
        <x:v>39</x:v>
      </x:c>
      <x:c r="U544" s="63" t="n">
        <x:f>MAX(30,MIN(AC544-VLOOKUP(AE544,'AHL_PA_SC_BALANCE'!$A$8:$E$18,3,FALSE),VLOOKUP(AE544,'AHL_PA_SC_BALANCE'!$A$8:$E$18,5,FALSE)))</x:f>
        <x:v>38</x:v>
      </x:c>
      <x:c r="V544">
        <x:v>65</x:v>
      </x:c>
      <x:c r="W544">
        <x:v>43</x:v>
      </x:c>
      <x:c r="X544">
        <x:v>68</x:v>
      </x:c>
      <x:c r="Y544">
        <x:v>69</x:v>
      </x:c>
      <x:c r="Z544">
        <x:v>51</x:v>
      </x:c>
      <x:c r="AA544">
        <x:v>49</x:v>
      </x:c>
      <x:c r="AB544" s="57" t="n">
        <x:v>39</x:v>
      </x:c>
      <x:c r="AC544" s="57" t="n">
        <x:v>38</x:v>
      </x:c>
      <x:c r="AD544" s="59"/>
      <x:c r="AE544" s="61" t="str">
        <x:f>IF(N(F544)&gt;=10,"NHL_LATEST_10",IF(AND(N(F544)&gt;0,N(G544)&gt;0),"NHL_BOTH_SEASONS",IF(N(G544)&gt;=10,"NHL_PREVIOUS_10",IF(AND(ISNUMBER(AD544),AD544=0,SUM(F544:G544)=0),"FARM_CAREER_0",IF(COUNT(F544:G544)&lt;2,"UNKNOWN_GP",IF(AND(F544=0,G544=0),IF(AD544&gt;=10,"FARM_LEGACY_10",IF(AND(ISNUMBER(AD544),AD544&gt;0),"FARM_CAREER_1_9","FARM_0_0")),IF(F544&gt;=1,IF(F544&lt;=3,"FARM_RECENT_1_3","FARM_RECENT_4_9"),"FARM_PREV_1_9_ONLY")))))))</x:f>
        <x:v>UNKNOWN_GP</x:v>
      </x:c>
      <x:c r="AF544" s="57" t="n">
        <x:f>AB544-T544</x:f>
        <x:v>0</x:v>
      </x:c>
      <x:c r="AG544" s="57" t="n">
        <x:f>AC544-U544</x:f>
        <x:v>0</x:v>
      </x:c>
    </x:row>
    <x:row r="545">
      <x:c r="A545" t="s">
        <x:v>1567</x:v>
      </x:c>
      <x:c r="C545" t="s">
        <x:v>331</x:v>
      </x:c>
      <x:c r="D545">
        <x:v>8480984</x:v>
      </x:c>
      <x:c r="E545" t="s">
        <x:v>267</x:v>
      </x:c>
      <x:c r="J545" t="s">
        <x:v>2474</x:v>
      </x:c>
      <x:c r="K545">
        <x:v>63</x:v>
      </x:c>
      <x:c r="L545">
        <x:v>38</x:v>
      </x:c>
      <x:c r="M545">
        <x:v>77</x:v>
      </x:c>
      <x:c r="N545">
        <x:v>31</x:v>
      </x:c>
      <x:c r="O545">
        <x:v>79</x:v>
      </x:c>
      <x:c r="P545">
        <x:v>76</x:v>
      </x:c>
      <x:c r="Q545">
        <x:v>77</x:v>
      </x:c>
      <x:c r="R545">
        <x:v>32</x:v>
      </x:c>
      <x:c r="S545">
        <x:v>30</x:v>
      </x:c>
      <x:c r="T545" s="63" t="n">
        <x:f>MAX(30,MIN(AB545-VLOOKUP(AE545,'AHL_PA_SC_BALANCE'!$A$8:$E$18,2,FALSE),VLOOKUP(AE545,'AHL_PA_SC_BALANCE'!$A$8:$E$18,4,FALSE)))</x:f>
        <x:v>40</x:v>
      </x:c>
      <x:c r="U545" s="63" t="n">
        <x:f>MAX(30,MIN(AC545-VLOOKUP(AE545,'AHL_PA_SC_BALANCE'!$A$8:$E$18,3,FALSE),VLOOKUP(AE545,'AHL_PA_SC_BALANCE'!$A$8:$E$18,5,FALSE)))</x:f>
        <x:v>38</x:v>
      </x:c>
      <x:c r="V545">
        <x:v>67</x:v>
      </x:c>
      <x:c r="W545">
        <x:v>44</x:v>
      </x:c>
      <x:c r="X545">
        <x:v>69</x:v>
      </x:c>
      <x:c r="Y545">
        <x:v>69</x:v>
      </x:c>
      <x:c r="Z545">
        <x:v>51</x:v>
      </x:c>
      <x:c r="AA545">
        <x:v>49</x:v>
      </x:c>
      <x:c r="AB545" s="57" t="n">
        <x:v>40</x:v>
      </x:c>
      <x:c r="AC545" s="57" t="n">
        <x:v>38</x:v>
      </x:c>
      <x:c r="AD545" s="59"/>
      <x:c r="AE545" s="61" t="str">
        <x:f>IF(N(F545)&gt;=10,"NHL_LATEST_10",IF(AND(N(F545)&gt;0,N(G545)&gt;0),"NHL_BOTH_SEASONS",IF(N(G545)&gt;=10,"NHL_PREVIOUS_10",IF(AND(ISNUMBER(AD545),AD545=0,SUM(F545:G545)=0),"FARM_CAREER_0",IF(COUNT(F545:G545)&lt;2,"UNKNOWN_GP",IF(AND(F545=0,G545=0),IF(AD545&gt;=10,"FARM_LEGACY_10",IF(AND(ISNUMBER(AD545),AD545&gt;0),"FARM_CAREER_1_9","FARM_0_0")),IF(F545&gt;=1,IF(F545&lt;=3,"FARM_RECENT_1_3","FARM_RECENT_4_9"),"FARM_PREV_1_9_ONLY")))))))</x:f>
        <x:v>UNKNOWN_GP</x:v>
      </x:c>
      <x:c r="AF545" s="57" t="n">
        <x:f>AB545-T545</x:f>
        <x:v>0</x:v>
      </x:c>
      <x:c r="AG545" s="57" t="n">
        <x:f>AC545-U545</x:f>
        <x:v>0</x:v>
      </x:c>
    </x:row>
    <x:row r="546">
      <x:c r="A546" t="s">
        <x:v>1568</x:v>
      </x:c>
      <x:c r="C546" t="s">
        <x:v>358</x:v>
      </x:c>
      <x:c r="D546">
        <x:v>8484248</x:v>
      </x:c>
      <x:c r="E546" t="s">
        <x:v>267</x:v>
      </x:c>
      <x:c r="J546" t="s">
        <x:v>2474</x:v>
      </x:c>
      <x:c r="K546">
        <x:v>71</x:v>
      </x:c>
      <x:c r="L546">
        <x:v>37</x:v>
      </x:c>
      <x:c r="M546">
        <x:v>72</x:v>
      </x:c>
      <x:c r="N546">
        <x:v>39</x:v>
      </x:c>
      <x:c r="O546">
        <x:v>82</x:v>
      </x:c>
      <x:c r="P546">
        <x:v>88</x:v>
      </x:c>
      <x:c r="Q546">
        <x:v>93</x:v>
      </x:c>
      <x:c r="R546">
        <x:v>38</x:v>
      </x:c>
      <x:c r="S546">
        <x:v>73</x:v>
      </x:c>
      <x:c r="T546" s="63" t="n">
        <x:f>MAX(30,MIN(AB546-VLOOKUP(AE546,'AHL_PA_SC_BALANCE'!$A$8:$E$18,2,FALSE),VLOOKUP(AE546,'AHL_PA_SC_BALANCE'!$A$8:$E$18,4,FALSE)))</x:f>
        <x:v>43</x:v>
      </x:c>
      <x:c r="U546" s="63" t="n">
        <x:f>MAX(30,MIN(AC546-VLOOKUP(AE546,'AHL_PA_SC_BALANCE'!$A$8:$E$18,3,FALSE),VLOOKUP(AE546,'AHL_PA_SC_BALANCE'!$A$8:$E$18,5,FALSE)))</x:f>
        <x:v>42</x:v>
      </x:c>
      <x:c r="V546">
        <x:v>58</x:v>
      </x:c>
      <x:c r="W546">
        <x:v>60</x:v>
      </x:c>
      <x:c r="X546">
        <x:v>69</x:v>
      </x:c>
      <x:c r="Y546">
        <x:v>69</x:v>
      </x:c>
      <x:c r="Z546">
        <x:v>51</x:v>
      </x:c>
      <x:c r="AA546">
        <x:v>49</x:v>
      </x:c>
      <x:c r="AB546" s="57" t="n">
        <x:v>43</x:v>
      </x:c>
      <x:c r="AC546" s="57" t="n">
        <x:v>42</x:v>
      </x:c>
      <x:c r="AD546" s="59"/>
      <x:c r="AE546" s="61" t="str">
        <x:f>IF(N(F546)&gt;=10,"NHL_LATEST_10",IF(AND(N(F546)&gt;0,N(G546)&gt;0),"NHL_BOTH_SEASONS",IF(N(G546)&gt;=10,"NHL_PREVIOUS_10",IF(AND(ISNUMBER(AD546),AD546=0,SUM(F546:G546)=0),"FARM_CAREER_0",IF(COUNT(F546:G546)&lt;2,"UNKNOWN_GP",IF(AND(F546=0,G546=0),IF(AD546&gt;=10,"FARM_LEGACY_10",IF(AND(ISNUMBER(AD546),AD546&gt;0),"FARM_CAREER_1_9","FARM_0_0")),IF(F546&gt;=1,IF(F546&lt;=3,"FARM_RECENT_1_3","FARM_RECENT_4_9"),"FARM_PREV_1_9_ONLY")))))))</x:f>
        <x:v>UNKNOWN_GP</x:v>
      </x:c>
      <x:c r="AF546" s="57" t="n">
        <x:f>AB546-T546</x:f>
        <x:v>0</x:v>
      </x:c>
      <x:c r="AG546" s="57" t="n">
        <x:f>AC546-U546</x:f>
        <x:v>0</x:v>
      </x:c>
    </x:row>
    <x:row r="547">
      <x:c r="A547" t="s">
        <x:v>1569</x:v>
      </x:c>
      <x:c r="B547" t="s">
        <x:v>584</x:v>
      </x:c>
      <x:c r="C547" t="s">
        <x:v>319</x:v>
      </x:c>
      <x:c r="D547">
        <x:v>8479516</x:v>
      </x:c>
      <x:c r="E547" t="s">
        <x:v>267</x:v>
      </x:c>
      <x:c r="J547" t="s">
        <x:v>2476</x:v>
      </x:c>
      <x:c r="K547">
        <x:v>67</x:v>
      </x:c>
      <x:c r="L547">
        <x:v>37</x:v>
      </x:c>
      <x:c r="M547">
        <x:v>89</x:v>
      </x:c>
      <x:c r="N547">
        <x:v>43</x:v>
      </x:c>
      <x:c r="O547">
        <x:v>79</x:v>
      </x:c>
      <x:c r="P547">
        <x:v>85</x:v>
      </x:c>
      <x:c r="Q547">
        <x:v>86</x:v>
      </x:c>
      <x:c r="R547">
        <x:v>42</x:v>
      </x:c>
      <x:c r="S547">
        <x:v>76</x:v>
      </x:c>
      <x:c r="T547" s="63" t="n">
        <x:f>MAX(30,MIN(AB547-VLOOKUP(AE547,'AHL_PA_SC_BALANCE'!$A$8:$E$18,2,FALSE),VLOOKUP(AE547,'AHL_PA_SC_BALANCE'!$A$8:$E$18,4,FALSE)))</x:f>
        <x:v>48</x:v>
      </x:c>
      <x:c r="U547" s="63" t="n">
        <x:f>MAX(30,MIN(AC547-VLOOKUP(AE547,'AHL_PA_SC_BALANCE'!$A$8:$E$18,3,FALSE),VLOOKUP(AE547,'AHL_PA_SC_BALANCE'!$A$8:$E$18,5,FALSE)))</x:f>
        <x:v>42</x:v>
      </x:c>
      <x:c r="V547">
        <x:v>62</x:v>
      </x:c>
      <x:c r="W547">
        <x:v>66</x:v>
      </x:c>
      <x:c r="X547">
        <x:v>70</x:v>
      </x:c>
      <x:c r="Y547">
        <x:v>71</x:v>
      </x:c>
      <x:c r="Z547">
        <x:v>51</x:v>
      </x:c>
      <x:c r="AA547">
        <x:v>49</x:v>
      </x:c>
      <x:c r="AB547" s="57" t="n">
        <x:v>48</x:v>
      </x:c>
      <x:c r="AC547" s="57" t="n">
        <x:v>42</x:v>
      </x:c>
      <x:c r="AD547" s="59"/>
      <x:c r="AE547" s="61" t="str">
        <x:f>IF(N(F547)&gt;=10,"NHL_LATEST_10",IF(AND(N(F547)&gt;0,N(G547)&gt;0),"NHL_BOTH_SEASONS",IF(N(G547)&gt;=10,"NHL_PREVIOUS_10",IF(AND(ISNUMBER(AD547),AD547=0,SUM(F547:G547)=0),"FARM_CAREER_0",IF(COUNT(F547:G547)&lt;2,"UNKNOWN_GP",IF(AND(F547=0,G547=0),IF(AD547&gt;=10,"FARM_LEGACY_10",IF(AND(ISNUMBER(AD547),AD547&gt;0),"FARM_CAREER_1_9","FARM_0_0")),IF(F547&gt;=1,IF(F547&lt;=3,"FARM_RECENT_1_3","FARM_RECENT_4_9"),"FARM_PREV_1_9_ONLY")))))))</x:f>
        <x:v>UNKNOWN_GP</x:v>
      </x:c>
      <x:c r="AF547" s="57" t="n">
        <x:f>AB547-T547</x:f>
        <x:v>0</x:v>
      </x:c>
      <x:c r="AG547" s="57" t="n">
        <x:f>AC547-U547</x:f>
        <x:v>0</x:v>
      </x:c>
    </x:row>
    <x:row r="548">
      <x:c r="A548" t="s">
        <x:v>1570</x:v>
      </x:c>
      <x:c r="C548" t="s">
        <x:v>319</x:v>
      </x:c>
      <x:c r="D548">
        <x:v>8480291</x:v>
      </x:c>
      <x:c r="E548" t="s">
        <x:v>267</x:v>
      </x:c>
      <x:c r="J548" t="s">
        <x:v>2474</x:v>
      </x:c>
      <x:c r="K548">
        <x:v>59</x:v>
      </x:c>
      <x:c r="L548">
        <x:v>34</x:v>
      </x:c>
      <x:c r="M548">
        <x:v>83</x:v>
      </x:c>
      <x:c r="N548">
        <x:v>43</x:v>
      </x:c>
      <x:c r="O548">
        <x:v>79</x:v>
      </x:c>
      <x:c r="P548">
        <x:v>92</x:v>
      </x:c>
      <x:c r="Q548">
        <x:v>96</x:v>
      </x:c>
      <x:c r="R548">
        <x:v>44</x:v>
      </x:c>
      <x:c r="S548">
        <x:v>73</x:v>
      </x:c>
      <x:c r="T548" s="63" t="n">
        <x:f>MAX(30,MIN(AB548-VLOOKUP(AE548,'AHL_PA_SC_BALANCE'!$A$8:$E$18,2,FALSE),VLOOKUP(AE548,'AHL_PA_SC_BALANCE'!$A$8:$E$18,4,FALSE)))</x:f>
        <x:v>43</x:v>
      </x:c>
      <x:c r="U548" s="63" t="n">
        <x:f>MAX(30,MIN(AC548-VLOOKUP(AE548,'AHL_PA_SC_BALANCE'!$A$8:$E$18,3,FALSE),VLOOKUP(AE548,'AHL_PA_SC_BALANCE'!$A$8:$E$18,5,FALSE)))</x:f>
        <x:v>45</x:v>
      </x:c>
      <x:c r="V548">
        <x:v>67</x:v>
      </x:c>
      <x:c r="W548">
        <x:v>65</x:v>
      </x:c>
      <x:c r="X548">
        <x:v>69</x:v>
      </x:c>
      <x:c r="Y548">
        <x:v>70</x:v>
      </x:c>
      <x:c r="Z548">
        <x:v>51</x:v>
      </x:c>
      <x:c r="AA548">
        <x:v>49</x:v>
      </x:c>
      <x:c r="AB548" s="57" t="n">
        <x:v>43</x:v>
      </x:c>
      <x:c r="AC548" s="57" t="n">
        <x:v>45</x:v>
      </x:c>
      <x:c r="AD548" s="59"/>
      <x:c r="AE548" s="61" t="str">
        <x:f>IF(N(F548)&gt;=10,"NHL_LATEST_10",IF(AND(N(F548)&gt;0,N(G548)&gt;0),"NHL_BOTH_SEASONS",IF(N(G548)&gt;=10,"NHL_PREVIOUS_10",IF(AND(ISNUMBER(AD548),AD548=0,SUM(F548:G548)=0),"FARM_CAREER_0",IF(COUNT(F548:G548)&lt;2,"UNKNOWN_GP",IF(AND(F548=0,G548=0),IF(AD548&gt;=10,"FARM_LEGACY_10",IF(AND(ISNUMBER(AD548),AD548&gt;0),"FARM_CAREER_1_9","FARM_0_0")),IF(F548&gt;=1,IF(F548&lt;=3,"FARM_RECENT_1_3","FARM_RECENT_4_9"),"FARM_PREV_1_9_ONLY")))))))</x:f>
        <x:v>UNKNOWN_GP</x:v>
      </x:c>
      <x:c r="AF548" s="57" t="n">
        <x:f>AB548-T548</x:f>
        <x:v>0</x:v>
      </x:c>
      <x:c r="AG548" s="57" t="n">
        <x:f>AC548-U548</x:f>
        <x:v>0</x:v>
      </x:c>
    </x:row>
    <x:row r="549">
      <x:c r="A549" t="s">
        <x:v>1571</x:v>
      </x:c>
      <x:c r="C549" t="s">
        <x:v>326</x:v>
      </x:c>
      <x:c r="D549">
        <x:v>8483518</x:v>
      </x:c>
      <x:c r="E549" t="s">
        <x:v>267</x:v>
      </x:c>
      <x:c r="J549" t="s">
        <x:v>2474</x:v>
      </x:c>
      <x:c r="K549">
        <x:v>63</x:v>
      </x:c>
      <x:c r="L549">
        <x:v>39</x:v>
      </x:c>
      <x:c r="M549">
        <x:v>91</x:v>
      </x:c>
      <x:c r="N549">
        <x:v>45</x:v>
      </x:c>
      <x:c r="O549">
        <x:v>78</x:v>
      </x:c>
      <x:c r="P549">
        <x:v>77</x:v>
      </x:c>
      <x:c r="Q549">
        <x:v>80</x:v>
      </x:c>
      <x:c r="R549">
        <x:v>44</x:v>
      </x:c>
      <x:c r="S549">
        <x:v>69</x:v>
      </x:c>
      <x:c r="T549" s="63" t="n">
        <x:f>MAX(30,MIN(AB549-VLOOKUP(AE549,'AHL_PA_SC_BALANCE'!$A$8:$E$18,2,FALSE),VLOOKUP(AE549,'AHL_PA_SC_BALANCE'!$A$8:$E$18,4,FALSE)))</x:f>
        <x:v>46</x:v>
      </x:c>
      <x:c r="U549" s="63" t="n">
        <x:f>MAX(30,MIN(AC549-VLOOKUP(AE549,'AHL_PA_SC_BALANCE'!$A$8:$E$18,3,FALSE),VLOOKUP(AE549,'AHL_PA_SC_BALANCE'!$A$8:$E$18,5,FALSE)))</x:f>
        <x:v>45</x:v>
      </x:c>
      <x:c r="V549">
        <x:v>60</x:v>
      </x:c>
      <x:c r="W549">
        <x:v>66</x:v>
      </x:c>
      <x:c r="X549">
        <x:v>65</x:v>
      </x:c>
      <x:c r="Y549">
        <x:v>66</x:v>
      </x:c>
      <x:c r="Z549">
        <x:v>51</x:v>
      </x:c>
      <x:c r="AA549">
        <x:v>49</x:v>
      </x:c>
      <x:c r="AB549" s="57" t="n">
        <x:v>46</x:v>
      </x:c>
      <x:c r="AC549" s="57" t="n">
        <x:v>45</x:v>
      </x:c>
      <x:c r="AD549" s="59"/>
      <x:c r="AE549" s="61" t="str">
        <x:f>IF(N(F549)&gt;=10,"NHL_LATEST_10",IF(AND(N(F549)&gt;0,N(G549)&gt;0),"NHL_BOTH_SEASONS",IF(N(G549)&gt;=10,"NHL_PREVIOUS_10",IF(AND(ISNUMBER(AD549),AD549=0,SUM(F549:G549)=0),"FARM_CAREER_0",IF(COUNT(F549:G549)&lt;2,"UNKNOWN_GP",IF(AND(F549=0,G549=0),IF(AD549&gt;=10,"FARM_LEGACY_10",IF(AND(ISNUMBER(AD549),AD549&gt;0),"FARM_CAREER_1_9","FARM_0_0")),IF(F549&gt;=1,IF(F549&lt;=3,"FARM_RECENT_1_3","FARM_RECENT_4_9"),"FARM_PREV_1_9_ONLY")))))))</x:f>
        <x:v>UNKNOWN_GP</x:v>
      </x:c>
      <x:c r="AF549" s="57" t="n">
        <x:f>AB549-T549</x:f>
        <x:v>0</x:v>
      </x:c>
      <x:c r="AG549" s="57" t="n">
        <x:f>AC549-U549</x:f>
        <x:v>0</x:v>
      </x:c>
    </x:row>
    <x:row r="550">
      <x:c r="A550" t="s">
        <x:v>1572</x:v>
      </x:c>
      <x:c r="C550" t="s">
        <x:v>331</x:v>
      </x:c>
      <x:c r="D550">
        <x:v>8473529</x:v>
      </x:c>
      <x:c r="E550" t="s">
        <x:v>267</x:v>
      </x:c>
      <x:c r="J550" t="s">
        <x:v>2474</x:v>
      </x:c>
      <x:c r="K550">
        <x:v>68</x:v>
      </x:c>
      <x:c r="L550">
        <x:v>37</x:v>
      </x:c>
      <x:c r="M550">
        <x:v>86</x:v>
      </x:c>
      <x:c r="N550">
        <x:v>31</x:v>
      </x:c>
      <x:c r="O550">
        <x:v>82</x:v>
      </x:c>
      <x:c r="P550">
        <x:v>81</x:v>
      </x:c>
      <x:c r="Q550">
        <x:v>84</x:v>
      </x:c>
      <x:c r="R550">
        <x:v>31</x:v>
      </x:c>
      <x:c r="S550">
        <x:v>30</x:v>
      </x:c>
      <x:c r="T550" s="63" t="n">
        <x:f>MAX(30,MIN(AB550-VLOOKUP(AE550,'AHL_PA_SC_BALANCE'!$A$8:$E$18,2,FALSE),VLOOKUP(AE550,'AHL_PA_SC_BALANCE'!$A$8:$E$18,4,FALSE)))</x:f>
        <x:v>40</x:v>
      </x:c>
      <x:c r="U550" s="63" t="n">
        <x:f>MAX(30,MIN(AC550-VLOOKUP(AE550,'AHL_PA_SC_BALANCE'!$A$8:$E$18,3,FALSE),VLOOKUP(AE550,'AHL_PA_SC_BALANCE'!$A$8:$E$18,5,FALSE)))</x:f>
        <x:v>40</x:v>
      </x:c>
      <x:c r="V550">
        <x:v>65</x:v>
      </x:c>
      <x:c r="W550">
        <x:v>45</x:v>
      </x:c>
      <x:c r="X550">
        <x:v>69</x:v>
      </x:c>
      <x:c r="Y550">
        <x:v>70</x:v>
      </x:c>
      <x:c r="Z550">
        <x:v>51</x:v>
      </x:c>
      <x:c r="AA550">
        <x:v>49</x:v>
      </x:c>
      <x:c r="AB550" s="57" t="n">
        <x:v>40</x:v>
      </x:c>
      <x:c r="AC550" s="57" t="n">
        <x:v>40</x:v>
      </x:c>
      <x:c r="AD550" s="59"/>
      <x:c r="AE550" s="61" t="str">
        <x:f>IF(N(F550)&gt;=10,"NHL_LATEST_10",IF(AND(N(F550)&gt;0,N(G550)&gt;0),"NHL_BOTH_SEASONS",IF(N(G550)&gt;=10,"NHL_PREVIOUS_10",IF(AND(ISNUMBER(AD550),AD550=0,SUM(F550:G550)=0),"FARM_CAREER_0",IF(COUNT(F550:G550)&lt;2,"UNKNOWN_GP",IF(AND(F550=0,G550=0),IF(AD550&gt;=10,"FARM_LEGACY_10",IF(AND(ISNUMBER(AD550),AD550&gt;0),"FARM_CAREER_1_9","FARM_0_0")),IF(F550&gt;=1,IF(F550&lt;=3,"FARM_RECENT_1_3","FARM_RECENT_4_9"),"FARM_PREV_1_9_ONLY")))))))</x:f>
        <x:v>UNKNOWN_GP</x:v>
      </x:c>
      <x:c r="AF550" s="57" t="n">
        <x:f>AB550-T550</x:f>
        <x:v>0</x:v>
      </x:c>
      <x:c r="AG550" s="57" t="n">
        <x:f>AC550-U550</x:f>
        <x:v>0</x:v>
      </x:c>
    </x:row>
    <x:row r="551">
      <x:c r="A551" t="s">
        <x:v>1573</x:v>
      </x:c>
      <x:c r="C551" t="s">
        <x:v>333</x:v>
      </x:c>
      <x:c r="D551">
        <x:v>8482153</x:v>
      </x:c>
      <x:c r="E551" t="s">
        <x:v>267</x:v>
      </x:c>
      <x:c r="J551" t="s">
        <x:v>2474</x:v>
      </x:c>
      <x:c r="K551">
        <x:v>66</x:v>
      </x:c>
      <x:c r="L551">
        <x:v>33</x:v>
      </x:c>
      <x:c r="M551">
        <x:v>80</x:v>
      </x:c>
      <x:c r="N551">
        <x:v>44</x:v>
      </x:c>
      <x:c r="O551">
        <x:v>75</x:v>
      </x:c>
      <x:c r="P551">
        <x:v>90</x:v>
      </x:c>
      <x:c r="Q551">
        <x:v>94</x:v>
      </x:c>
      <x:c r="R551">
        <x:v>43</x:v>
      </x:c>
      <x:c r="S551">
        <x:v>69</x:v>
      </x:c>
      <x:c r="T551" s="63" t="n">
        <x:f>MAX(30,MIN(AB551-VLOOKUP(AE551,'AHL_PA_SC_BALANCE'!$A$8:$E$18,2,FALSE),VLOOKUP(AE551,'AHL_PA_SC_BALANCE'!$A$8:$E$18,4,FALSE)))</x:f>
        <x:v>50</x:v>
      </x:c>
      <x:c r="U551" s="63" t="n">
        <x:f>MAX(30,MIN(AC551-VLOOKUP(AE551,'AHL_PA_SC_BALANCE'!$A$8:$E$18,3,FALSE),VLOOKUP(AE551,'AHL_PA_SC_BALANCE'!$A$8:$E$18,5,FALSE)))</x:f>
        <x:v>50</x:v>
      </x:c>
      <x:c r="V551">
        <x:v>61</x:v>
      </x:c>
      <x:c r="W551">
        <x:v>65</x:v>
      </x:c>
      <x:c r="X551">
        <x:v>68</x:v>
      </x:c>
      <x:c r="Y551">
        <x:v>67</x:v>
      </x:c>
      <x:c r="Z551">
        <x:v>51</x:v>
      </x:c>
      <x:c r="AA551">
        <x:v>49</x:v>
      </x:c>
      <x:c r="AB551" s="57" t="n">
        <x:v>50</x:v>
      </x:c>
      <x:c r="AC551" s="57" t="n">
        <x:v>50</x:v>
      </x:c>
      <x:c r="AD551" s="59"/>
      <x:c r="AE551" s="61" t="str">
        <x:f>IF(N(F551)&gt;=10,"NHL_LATEST_10",IF(AND(N(F551)&gt;0,N(G551)&gt;0),"NHL_BOTH_SEASONS",IF(N(G551)&gt;=10,"NHL_PREVIOUS_10",IF(AND(ISNUMBER(AD551),AD551=0,SUM(F551:G551)=0),"FARM_CAREER_0",IF(COUNT(F551:G551)&lt;2,"UNKNOWN_GP",IF(AND(F551=0,G551=0),IF(AD551&gt;=10,"FARM_LEGACY_10",IF(AND(ISNUMBER(AD551),AD551&gt;0),"FARM_CAREER_1_9","FARM_0_0")),IF(F551&gt;=1,IF(F551&lt;=3,"FARM_RECENT_1_3","FARM_RECENT_4_9"),"FARM_PREV_1_9_ONLY")))))))</x:f>
        <x:v>UNKNOWN_GP</x:v>
      </x:c>
      <x:c r="AF551" s="57" t="n">
        <x:f>AB551-T551</x:f>
        <x:v>0</x:v>
      </x:c>
      <x:c r="AG551" s="57" t="n">
        <x:f>AC551-U551</x:f>
        <x:v>0</x:v>
      </x:c>
    </x:row>
    <x:row r="552">
      <x:c r="A552" t="s">
        <x:v>1574</x:v>
      </x:c>
      <x:c r="C552" t="s">
        <x:v>326</x:v>
      </x:c>
      <x:c r="D552">
        <x:v>8482206</x:v>
      </x:c>
      <x:c r="E552" t="s">
        <x:v>267</x:v>
      </x:c>
      <x:c r="J552" t="s">
        <x:v>2474</x:v>
      </x:c>
      <x:c r="K552">
        <x:v>65</x:v>
      </x:c>
      <x:c r="L552">
        <x:v>32</x:v>
      </x:c>
      <x:c r="M552">
        <x:v>82</x:v>
      </x:c>
      <x:c r="N552">
        <x:v>45</x:v>
      </x:c>
      <x:c r="O552">
        <x:v>79</x:v>
      </x:c>
      <x:c r="P552">
        <x:v>82</x:v>
      </x:c>
      <x:c r="Q552">
        <x:v>82</x:v>
      </x:c>
      <x:c r="R552">
        <x:v>45</x:v>
      </x:c>
      <x:c r="S552">
        <x:v>60</x:v>
      </x:c>
      <x:c r="T552" s="63" t="n">
        <x:f>MAX(30,MIN(AB552-VLOOKUP(AE552,'AHL_PA_SC_BALANCE'!$A$8:$E$18,2,FALSE),VLOOKUP(AE552,'AHL_PA_SC_BALANCE'!$A$8:$E$18,4,FALSE)))</x:f>
        <x:v>48</x:v>
      </x:c>
      <x:c r="U552" s="63" t="n">
        <x:f>MAX(30,MIN(AC552-VLOOKUP(AE552,'AHL_PA_SC_BALANCE'!$A$8:$E$18,3,FALSE),VLOOKUP(AE552,'AHL_PA_SC_BALANCE'!$A$8:$E$18,5,FALSE)))</x:f>
        <x:v>49</x:v>
      </x:c>
      <x:c r="V552">
        <x:v>61</x:v>
      </x:c>
      <x:c r="W552">
        <x:v>67</x:v>
      </x:c>
      <x:c r="X552">
        <x:v>67</x:v>
      </x:c>
      <x:c r="Y552">
        <x:v>67</x:v>
      </x:c>
      <x:c r="Z552">
        <x:v>51</x:v>
      </x:c>
      <x:c r="AA552">
        <x:v>49</x:v>
      </x:c>
      <x:c r="AB552" s="57" t="n">
        <x:v>48</x:v>
      </x:c>
      <x:c r="AC552" s="57" t="n">
        <x:v>49</x:v>
      </x:c>
      <x:c r="AD552" s="59"/>
      <x:c r="AE552" s="61" t="str">
        <x:f>IF(N(F552)&gt;=10,"NHL_LATEST_10",IF(AND(N(F552)&gt;0,N(G552)&gt;0),"NHL_BOTH_SEASONS",IF(N(G552)&gt;=10,"NHL_PREVIOUS_10",IF(AND(ISNUMBER(AD552),AD552=0,SUM(F552:G552)=0),"FARM_CAREER_0",IF(COUNT(F552:G552)&lt;2,"UNKNOWN_GP",IF(AND(F552=0,G552=0),IF(AD552&gt;=10,"FARM_LEGACY_10",IF(AND(ISNUMBER(AD552),AD552&gt;0),"FARM_CAREER_1_9","FARM_0_0")),IF(F552&gt;=1,IF(F552&lt;=3,"FARM_RECENT_1_3","FARM_RECENT_4_9"),"FARM_PREV_1_9_ONLY")))))))</x:f>
        <x:v>UNKNOWN_GP</x:v>
      </x:c>
      <x:c r="AF552" s="57" t="n">
        <x:f>AB552-T552</x:f>
        <x:v>0</x:v>
      </x:c>
      <x:c r="AG552" s="57" t="n">
        <x:f>AC552-U552</x:f>
        <x:v>0</x:v>
      </x:c>
    </x:row>
    <x:row r="553">
      <x:c r="A553" t="s">
        <x:v>1575</x:v>
      </x:c>
      <x:c r="C553" t="s">
        <x:v>331</x:v>
      </x:c>
      <x:c r="D553">
        <x:v>8481861</x:v>
      </x:c>
      <x:c r="E553" t="s">
        <x:v>267</x:v>
      </x:c>
      <x:c r="J553" t="s">
        <x:v>2474</x:v>
      </x:c>
      <x:c r="K553">
        <x:v>68</x:v>
      </x:c>
      <x:c r="L553">
        <x:v>34</x:v>
      </x:c>
      <x:c r="M553">
        <x:v>71</x:v>
      </x:c>
      <x:c r="N553">
        <x:v>30</x:v>
      </x:c>
      <x:c r="O553">
        <x:v>82</x:v>
      </x:c>
      <x:c r="P553">
        <x:v>79</x:v>
      </x:c>
      <x:c r="Q553">
        <x:v>83</x:v>
      </x:c>
      <x:c r="R553">
        <x:v>30</x:v>
      </x:c>
      <x:c r="S553">
        <x:v>30</x:v>
      </x:c>
      <x:c r="T553" s="63" t="n">
        <x:f>MAX(30,MIN(AB553-VLOOKUP(AE553,'AHL_PA_SC_BALANCE'!$A$8:$E$18,2,FALSE),VLOOKUP(AE553,'AHL_PA_SC_BALANCE'!$A$8:$E$18,4,FALSE)))</x:f>
        <x:v>40</x:v>
      </x:c>
      <x:c r="U553" s="63" t="n">
        <x:f>MAX(30,MIN(AC553-VLOOKUP(AE553,'AHL_PA_SC_BALANCE'!$A$8:$E$18,3,FALSE),VLOOKUP(AE553,'AHL_PA_SC_BALANCE'!$A$8:$E$18,5,FALSE)))</x:f>
        <x:v>39</x:v>
      </x:c>
      <x:c r="V553">
        <x:v>64</x:v>
      </x:c>
      <x:c r="W553">
        <x:v>45</x:v>
      </x:c>
      <x:c r="X553">
        <x:v>68</x:v>
      </x:c>
      <x:c r="Y553">
        <x:v>67</x:v>
      </x:c>
      <x:c r="Z553">
        <x:v>51</x:v>
      </x:c>
      <x:c r="AA553">
        <x:v>49</x:v>
      </x:c>
      <x:c r="AB553" s="57" t="n">
        <x:v>40</x:v>
      </x:c>
      <x:c r="AC553" s="57" t="n">
        <x:v>39</x:v>
      </x:c>
      <x:c r="AD553" s="59"/>
      <x:c r="AE553" s="61" t="str">
        <x:f>IF(N(F553)&gt;=10,"NHL_LATEST_10",IF(AND(N(F553)&gt;0,N(G553)&gt;0),"NHL_BOTH_SEASONS",IF(N(G553)&gt;=10,"NHL_PREVIOUS_10",IF(AND(ISNUMBER(AD553),AD553=0,SUM(F553:G553)=0),"FARM_CAREER_0",IF(COUNT(F553:G553)&lt;2,"UNKNOWN_GP",IF(AND(F553=0,G553=0),IF(AD553&gt;=10,"FARM_LEGACY_10",IF(AND(ISNUMBER(AD553),AD553&gt;0),"FARM_CAREER_1_9","FARM_0_0")),IF(F553&gt;=1,IF(F553&lt;=3,"FARM_RECENT_1_3","FARM_RECENT_4_9"),"FARM_PREV_1_9_ONLY")))))))</x:f>
        <x:v>UNKNOWN_GP</x:v>
      </x:c>
      <x:c r="AF553" s="57" t="n">
        <x:f>AB553-T553</x:f>
        <x:v>0</x:v>
      </x:c>
      <x:c r="AG553" s="57" t="n">
        <x:f>AC553-U553</x:f>
        <x:v>0</x:v>
      </x:c>
    </x:row>
    <x:row r="554">
      <x:c r="A554" t="s">
        <x:v>1577</x:v>
      </x:c>
      <x:c r="C554" t="s">
        <x:v>358</x:v>
      </x:c>
      <x:c r="D554">
        <x:v>8484891</x:v>
      </x:c>
      <x:c r="E554" t="s">
        <x:v>267</x:v>
      </x:c>
      <x:c r="J554" t="s">
        <x:v>2474</x:v>
      </x:c>
      <x:c r="K554">
        <x:v>60</x:v>
      </x:c>
      <x:c r="L554">
        <x:v>31</x:v>
      </x:c>
      <x:c r="M554">
        <x:v>90</x:v>
      </x:c>
      <x:c r="N554">
        <x:v>44</x:v>
      </x:c>
      <x:c r="O554">
        <x:v>77</x:v>
      </x:c>
      <x:c r="P554">
        <x:v>85</x:v>
      </x:c>
      <x:c r="Q554">
        <x:v>89</x:v>
      </x:c>
      <x:c r="R554">
        <x:v>45</x:v>
      </x:c>
      <x:c r="S554">
        <x:v>58</x:v>
      </x:c>
      <x:c r="T554" s="63" t="n">
        <x:f>MAX(30,MIN(AB554-VLOOKUP(AE554,'AHL_PA_SC_BALANCE'!$A$8:$E$18,2,FALSE),VLOOKUP(AE554,'AHL_PA_SC_BALANCE'!$A$8:$E$18,4,FALSE)))</x:f>
        <x:v>47</x:v>
      </x:c>
      <x:c r="U554" s="63" t="n">
        <x:f>MAX(30,MIN(AC554-VLOOKUP(AE554,'AHL_PA_SC_BALANCE'!$A$8:$E$18,3,FALSE),VLOOKUP(AE554,'AHL_PA_SC_BALANCE'!$A$8:$E$18,5,FALSE)))</x:f>
        <x:v>43</x:v>
      </x:c>
      <x:c r="V554">
        <x:v>60</x:v>
      </x:c>
      <x:c r="W554">
        <x:v>66</x:v>
      </x:c>
      <x:c r="X554">
        <x:v>67</x:v>
      </x:c>
      <x:c r="Y554">
        <x:v>66</x:v>
      </x:c>
      <x:c r="Z554">
        <x:v>51</x:v>
      </x:c>
      <x:c r="AA554">
        <x:v>49</x:v>
      </x:c>
      <x:c r="AB554" s="57" t="n">
        <x:v>47</x:v>
      </x:c>
      <x:c r="AC554" s="57" t="n">
        <x:v>43</x:v>
      </x:c>
      <x:c r="AD554" s="59"/>
      <x:c r="AE554" s="61" t="str">
        <x:f>IF(N(F554)&gt;=10,"NHL_LATEST_10",IF(AND(N(F554)&gt;0,N(G554)&gt;0),"NHL_BOTH_SEASONS",IF(N(G554)&gt;=10,"NHL_PREVIOUS_10",IF(AND(ISNUMBER(AD554),AD554=0,SUM(F554:G554)=0),"FARM_CAREER_0",IF(COUNT(F554:G554)&lt;2,"UNKNOWN_GP",IF(AND(F554=0,G554=0),IF(AD554&gt;=10,"FARM_LEGACY_10",IF(AND(ISNUMBER(AD554),AD554&gt;0),"FARM_CAREER_1_9","FARM_0_0")),IF(F554&gt;=1,IF(F554&lt;=3,"FARM_RECENT_1_3","FARM_RECENT_4_9"),"FARM_PREV_1_9_ONLY")))))))</x:f>
        <x:v>UNKNOWN_GP</x:v>
      </x:c>
      <x:c r="AF554" s="57" t="n">
        <x:f>AB554-T554</x:f>
        <x:v>0</x:v>
      </x:c>
      <x:c r="AG554" s="57" t="n">
        <x:f>AC554-U554</x:f>
        <x:v>0</x:v>
      </x:c>
    </x:row>
    <x:row r="555">
      <x:c r="A555" t="s">
        <x:v>1578</x:v>
      </x:c>
      <x:c r="C555" t="s">
        <x:v>326</x:v>
      </x:c>
      <x:c r="D555">
        <x:v>8481578</x:v>
      </x:c>
      <x:c r="E555" t="s">
        <x:v>267</x:v>
      </x:c>
      <x:c r="J555" t="s">
        <x:v>2474</x:v>
      </x:c>
      <x:c r="K555">
        <x:v>58</x:v>
      </x:c>
      <x:c r="L555">
        <x:v>38</x:v>
      </x:c>
      <x:c r="M555">
        <x:v>83</x:v>
      </x:c>
      <x:c r="N555">
        <x:v>44</x:v>
      </x:c>
      <x:c r="O555">
        <x:v>74</x:v>
      </x:c>
      <x:c r="P555">
        <x:v>88</x:v>
      </x:c>
      <x:c r="Q555">
        <x:v>90</x:v>
      </x:c>
      <x:c r="R555">
        <x:v>44</x:v>
      </x:c>
      <x:c r="S555">
        <x:v>72</x:v>
      </x:c>
      <x:c r="T555" s="63" t="n">
        <x:f>MAX(30,MIN(AB555-VLOOKUP(AE555,'AHL_PA_SC_BALANCE'!$A$8:$E$18,2,FALSE),VLOOKUP(AE555,'AHL_PA_SC_BALANCE'!$A$8:$E$18,4,FALSE)))</x:f>
        <x:v>46</x:v>
      </x:c>
      <x:c r="U555" s="63" t="n">
        <x:f>MAX(30,MIN(AC555-VLOOKUP(AE555,'AHL_PA_SC_BALANCE'!$A$8:$E$18,3,FALSE),VLOOKUP(AE555,'AHL_PA_SC_BALANCE'!$A$8:$E$18,5,FALSE)))</x:f>
        <x:v>45</x:v>
      </x:c>
      <x:c r="V555">
        <x:v>58</x:v>
      </x:c>
      <x:c r="W555">
        <x:v>67</x:v>
      </x:c>
      <x:c r="X555">
        <x:v>68</x:v>
      </x:c>
      <x:c r="Y555">
        <x:v>68</x:v>
      </x:c>
      <x:c r="Z555">
        <x:v>51</x:v>
      </x:c>
      <x:c r="AA555">
        <x:v>49</x:v>
      </x:c>
      <x:c r="AB555" s="57" t="n">
        <x:v>46</x:v>
      </x:c>
      <x:c r="AC555" s="57" t="n">
        <x:v>45</x:v>
      </x:c>
      <x:c r="AD555" s="59"/>
      <x:c r="AE555" s="61" t="str">
        <x:f>IF(N(F555)&gt;=10,"NHL_LATEST_10",IF(AND(N(F555)&gt;0,N(G555)&gt;0),"NHL_BOTH_SEASONS",IF(N(G555)&gt;=10,"NHL_PREVIOUS_10",IF(AND(ISNUMBER(AD555),AD555=0,SUM(F555:G555)=0),"FARM_CAREER_0",IF(COUNT(F555:G555)&lt;2,"UNKNOWN_GP",IF(AND(F555=0,G555=0),IF(AD555&gt;=10,"FARM_LEGACY_10",IF(AND(ISNUMBER(AD555),AD555&gt;0),"FARM_CAREER_1_9","FARM_0_0")),IF(F555&gt;=1,IF(F555&lt;=3,"FARM_RECENT_1_3","FARM_RECENT_4_9"),"FARM_PREV_1_9_ONLY")))))))</x:f>
        <x:v>UNKNOWN_GP</x:v>
      </x:c>
      <x:c r="AF555" s="57" t="n">
        <x:f>AB555-T555</x:f>
        <x:v>0</x:v>
      </x:c>
      <x:c r="AG555" s="57" t="n">
        <x:f>AC555-U555</x:f>
        <x:v>0</x:v>
      </x:c>
    </x:row>
    <x:row r="556">
      <x:c r="A556" t="s">
        <x:v>1579</x:v>
      </x:c>
      <x:c r="C556" t="s">
        <x:v>319</x:v>
      </x:c>
      <x:c r="D556">
        <x:v>8479972</x:v>
      </x:c>
      <x:c r="E556" t="s">
        <x:v>267</x:v>
      </x:c>
      <x:c r="J556" t="s">
        <x:v>2474</x:v>
      </x:c>
      <x:c r="K556">
        <x:v>69</x:v>
      </x:c>
      <x:c r="L556">
        <x:v>89</x:v>
      </x:c>
      <x:c r="M556">
        <x:v>77</x:v>
      </x:c>
      <x:c r="N556">
        <x:v>45</x:v>
      </x:c>
      <x:c r="O556">
        <x:v>76</x:v>
      </x:c>
      <x:c r="P556">
        <x:v>90</x:v>
      </x:c>
      <x:c r="Q556">
        <x:v>95</x:v>
      </x:c>
      <x:c r="R556">
        <x:v>44</x:v>
      </x:c>
      <x:c r="S556">
        <x:v>64</x:v>
      </x:c>
      <x:c r="T556" s="63" t="n">
        <x:f>MAX(30,MIN(AB556-VLOOKUP(AE556,'AHL_PA_SC_BALANCE'!$A$8:$E$18,2,FALSE),VLOOKUP(AE556,'AHL_PA_SC_BALANCE'!$A$8:$E$18,4,FALSE)))</x:f>
        <x:v>49</x:v>
      </x:c>
      <x:c r="U556" s="63" t="n">
        <x:f>MAX(30,MIN(AC556-VLOOKUP(AE556,'AHL_PA_SC_BALANCE'!$A$8:$E$18,3,FALSE),VLOOKUP(AE556,'AHL_PA_SC_BALANCE'!$A$8:$E$18,5,FALSE)))</x:f>
        <x:v>47</x:v>
      </x:c>
      <x:c r="V556">
        <x:v>59</x:v>
      </x:c>
      <x:c r="W556">
        <x:v>67</x:v>
      </x:c>
      <x:c r="X556">
        <x:v>70</x:v>
      </x:c>
      <x:c r="Y556">
        <x:v>70</x:v>
      </x:c>
      <x:c r="Z556">
        <x:v>51</x:v>
      </x:c>
      <x:c r="AA556">
        <x:v>49</x:v>
      </x:c>
      <x:c r="AB556" s="57" t="n">
        <x:v>49</x:v>
      </x:c>
      <x:c r="AC556" s="57" t="n">
        <x:v>47</x:v>
      </x:c>
      <x:c r="AD556" s="59"/>
      <x:c r="AE556" s="61" t="str">
        <x:f>IF(N(F556)&gt;=10,"NHL_LATEST_10",IF(AND(N(F556)&gt;0,N(G556)&gt;0),"NHL_BOTH_SEASONS",IF(N(G556)&gt;=10,"NHL_PREVIOUS_10",IF(AND(ISNUMBER(AD556),AD556=0,SUM(F556:G556)=0),"FARM_CAREER_0",IF(COUNT(F556:G556)&lt;2,"UNKNOWN_GP",IF(AND(F556=0,G556=0),IF(AD556&gt;=10,"FARM_LEGACY_10",IF(AND(ISNUMBER(AD556),AD556&gt;0),"FARM_CAREER_1_9","FARM_0_0")),IF(F556&gt;=1,IF(F556&lt;=3,"FARM_RECENT_1_3","FARM_RECENT_4_9"),"FARM_PREV_1_9_ONLY")))))))</x:f>
        <x:v>UNKNOWN_GP</x:v>
      </x:c>
      <x:c r="AF556" s="57" t="n">
        <x:f>AB556-T556</x:f>
        <x:v>0</x:v>
      </x:c>
      <x:c r="AG556" s="57" t="n">
        <x:f>AC556-U556</x:f>
        <x:v>0</x:v>
      </x:c>
    </x:row>
    <x:row r="557">
      <x:c r="A557" t="s">
        <x:v>1580</x:v>
      </x:c>
      <x:c r="C557" t="s">
        <x:v>326</x:v>
      </x:c>
      <x:c r="D557">
        <x:v>8479379</x:v>
      </x:c>
      <x:c r="E557" t="s">
        <x:v>267</x:v>
      </x:c>
      <x:c r="J557" t="s">
        <x:v>2474</x:v>
      </x:c>
      <x:c r="K557">
        <x:v>70</x:v>
      </x:c>
      <x:c r="L557">
        <x:v>93</x:v>
      </x:c>
      <x:c r="M557">
        <x:v>71</x:v>
      </x:c>
      <x:c r="N557">
        <x:v>40</x:v>
      </x:c>
      <x:c r="O557">
        <x:v>86</x:v>
      </x:c>
      <x:c r="P557">
        <x:v>72</x:v>
      </x:c>
      <x:c r="Q557">
        <x:v>73</x:v>
      </x:c>
      <x:c r="R557">
        <x:v>39</x:v>
      </x:c>
      <x:c r="S557">
        <x:v>63</x:v>
      </x:c>
      <x:c r="T557" s="63" t="n">
        <x:f>MAX(30,MIN(AB557-VLOOKUP(AE557,'AHL_PA_SC_BALANCE'!$A$8:$E$18,2,FALSE),VLOOKUP(AE557,'AHL_PA_SC_BALANCE'!$A$8:$E$18,4,FALSE)))</x:f>
        <x:v>47</x:v>
      </x:c>
      <x:c r="U557" s="63" t="n">
        <x:f>MAX(30,MIN(AC557-VLOOKUP(AE557,'AHL_PA_SC_BALANCE'!$A$8:$E$18,3,FALSE),VLOOKUP(AE557,'AHL_PA_SC_BALANCE'!$A$8:$E$18,5,FALSE)))</x:f>
        <x:v>47</x:v>
      </x:c>
      <x:c r="V557">
        <x:v>60</x:v>
      </x:c>
      <x:c r="W557">
        <x:v>62</x:v>
      </x:c>
      <x:c r="X557">
        <x:v>73</x:v>
      </x:c>
      <x:c r="Y557">
        <x:v>69</x:v>
      </x:c>
      <x:c r="Z557">
        <x:v>51</x:v>
      </x:c>
      <x:c r="AA557">
        <x:v>49</x:v>
      </x:c>
      <x:c r="AB557" s="57" t="n">
        <x:v>47</x:v>
      </x:c>
      <x:c r="AC557" s="57" t="n">
        <x:v>47</x:v>
      </x:c>
      <x:c r="AD557" s="59"/>
      <x:c r="AE557" s="61" t="str">
        <x:f>IF(N(F557)&gt;=10,"NHL_LATEST_10",IF(AND(N(F557)&gt;0,N(G557)&gt;0),"NHL_BOTH_SEASONS",IF(N(G557)&gt;=10,"NHL_PREVIOUS_10",IF(AND(ISNUMBER(AD557),AD557=0,SUM(F557:G557)=0),"FARM_CAREER_0",IF(COUNT(F557:G557)&lt;2,"UNKNOWN_GP",IF(AND(F557=0,G557=0),IF(AD557&gt;=10,"FARM_LEGACY_10",IF(AND(ISNUMBER(AD557),AD557&gt;0),"FARM_CAREER_1_9","FARM_0_0")),IF(F557&gt;=1,IF(F557&lt;=3,"FARM_RECENT_1_3","FARM_RECENT_4_9"),"FARM_PREV_1_9_ONLY")))))))</x:f>
        <x:v>UNKNOWN_GP</x:v>
      </x:c>
      <x:c r="AF557" s="57" t="n">
        <x:f>AB557-T557</x:f>
        <x:v>0</x:v>
      </x:c>
      <x:c r="AG557" s="57" t="n">
        <x:f>AC557-U557</x:f>
        <x:v>0</x:v>
      </x:c>
    </x:row>
    <x:row r="558">
      <x:c r="A558" t="s">
        <x:v>1581</x:v>
      </x:c>
      <x:c r="B558" t="s">
        <x:v>584</x:v>
      </x:c>
      <x:c r="C558" t="s">
        <x:v>319</x:v>
      </x:c>
      <x:c r="D558">
        <x:v>8480248</x:v>
      </x:c>
      <x:c r="E558" t="s">
        <x:v>267</x:v>
      </x:c>
      <x:c r="J558" t="s">
        <x:v>2476</x:v>
      </x:c>
      <x:c r="K558">
        <x:v>60</x:v>
      </x:c>
      <x:c r="L558">
        <x:v>37</x:v>
      </x:c>
      <x:c r="M558">
        <x:v>87</x:v>
      </x:c>
      <x:c r="N558">
        <x:v>40</x:v>
      </x:c>
      <x:c r="O558">
        <x:v>74</x:v>
      </x:c>
      <x:c r="P558">
        <x:v>79</x:v>
      </x:c>
      <x:c r="Q558">
        <x:v>80</x:v>
      </x:c>
      <x:c r="R558">
        <x:v>40</x:v>
      </x:c>
      <x:c r="S558">
        <x:v>74</x:v>
      </x:c>
      <x:c r="T558" s="63" t="n">
        <x:f>MAX(30,MIN(AB558-VLOOKUP(AE558,'AHL_PA_SC_BALANCE'!$A$8:$E$18,2,FALSE),VLOOKUP(AE558,'AHL_PA_SC_BALANCE'!$A$8:$E$18,4,FALSE)))</x:f>
        <x:v>44</x:v>
      </x:c>
      <x:c r="U558" s="63" t="n">
        <x:f>MAX(30,MIN(AC558-VLOOKUP(AE558,'AHL_PA_SC_BALANCE'!$A$8:$E$18,3,FALSE),VLOOKUP(AE558,'AHL_PA_SC_BALANCE'!$A$8:$E$18,5,FALSE)))</x:f>
        <x:v>40</x:v>
      </x:c>
      <x:c r="V558">
        <x:v>61</x:v>
      </x:c>
      <x:c r="W558">
        <x:v>61</x:v>
      </x:c>
      <x:c r="X558">
        <x:v>69</x:v>
      </x:c>
      <x:c r="Y558">
        <x:v>68</x:v>
      </x:c>
      <x:c r="Z558">
        <x:v>51</x:v>
      </x:c>
      <x:c r="AA558">
        <x:v>49</x:v>
      </x:c>
      <x:c r="AB558" s="57" t="n">
        <x:v>44</x:v>
      </x:c>
      <x:c r="AC558" s="57" t="n">
        <x:v>40</x:v>
      </x:c>
      <x:c r="AD558" s="59"/>
      <x:c r="AE558" s="61" t="str">
        <x:f>IF(N(F558)&gt;=10,"NHL_LATEST_10",IF(AND(N(F558)&gt;0,N(G558)&gt;0),"NHL_BOTH_SEASONS",IF(N(G558)&gt;=10,"NHL_PREVIOUS_10",IF(AND(ISNUMBER(AD558),AD558=0,SUM(F558:G558)=0),"FARM_CAREER_0",IF(COUNT(F558:G558)&lt;2,"UNKNOWN_GP",IF(AND(F558=0,G558=0),IF(AD558&gt;=10,"FARM_LEGACY_10",IF(AND(ISNUMBER(AD558),AD558&gt;0),"FARM_CAREER_1_9","FARM_0_0")),IF(F558&gt;=1,IF(F558&lt;=3,"FARM_RECENT_1_3","FARM_RECENT_4_9"),"FARM_PREV_1_9_ONLY")))))))</x:f>
        <x:v>UNKNOWN_GP</x:v>
      </x:c>
      <x:c r="AF558" s="57" t="n">
        <x:f>AB558-T558</x:f>
        <x:v>0</x:v>
      </x:c>
      <x:c r="AG558" s="57" t="n">
        <x:f>AC558-U558</x:f>
        <x:v>0</x:v>
      </x:c>
    </x:row>
    <x:row r="559">
      <x:c r="A559" t="s">
        <x:v>1582</x:v>
      </x:c>
      <x:c r="C559" t="s">
        <x:v>331</x:v>
      </x:c>
      <x:c r="D559">
        <x:v>8482468</x:v>
      </x:c>
      <x:c r="E559" t="s">
        <x:v>267</x:v>
      </x:c>
      <x:c r="J559" t="s">
        <x:v>2474</x:v>
      </x:c>
      <x:c r="K559">
        <x:v>71</x:v>
      </x:c>
      <x:c r="L559">
        <x:v>43</x:v>
      </x:c>
      <x:c r="M559">
        <x:v>78</x:v>
      </x:c>
      <x:c r="N559">
        <x:v>32</x:v>
      </x:c>
      <x:c r="O559">
        <x:v>83</x:v>
      </x:c>
      <x:c r="P559">
        <x:v>71</x:v>
      </x:c>
      <x:c r="Q559">
        <x:v>75</x:v>
      </x:c>
      <x:c r="R559">
        <x:v>33</x:v>
      </x:c>
      <x:c r="S559">
        <x:v>30</x:v>
      </x:c>
      <x:c r="T559" s="63" t="n">
        <x:f>MAX(30,MIN(AB559-VLOOKUP(AE559,'AHL_PA_SC_BALANCE'!$A$8:$E$18,2,FALSE),VLOOKUP(AE559,'AHL_PA_SC_BALANCE'!$A$8:$E$18,4,FALSE)))</x:f>
        <x:v>41</x:v>
      </x:c>
      <x:c r="U559" s="63" t="n">
        <x:f>MAX(30,MIN(AC559-VLOOKUP(AE559,'AHL_PA_SC_BALANCE'!$A$8:$E$18,3,FALSE),VLOOKUP(AE559,'AHL_PA_SC_BALANCE'!$A$8:$E$18,5,FALSE)))</x:f>
        <x:v>37</x:v>
      </x:c>
      <x:c r="V559">
        <x:v>63</x:v>
      </x:c>
      <x:c r="W559">
        <x:v>44</x:v>
      </x:c>
      <x:c r="X559">
        <x:v>68</x:v>
      </x:c>
      <x:c r="Y559">
        <x:v>67</x:v>
      </x:c>
      <x:c r="Z559">
        <x:v>51</x:v>
      </x:c>
      <x:c r="AA559">
        <x:v>49</x:v>
      </x:c>
      <x:c r="AB559" s="57" t="n">
        <x:v>41</x:v>
      </x:c>
      <x:c r="AC559" s="57" t="n">
        <x:v>37</x:v>
      </x:c>
      <x:c r="AD559" s="59"/>
      <x:c r="AE559" s="61" t="str">
        <x:f>IF(N(F559)&gt;=10,"NHL_LATEST_10",IF(AND(N(F559)&gt;0,N(G559)&gt;0),"NHL_BOTH_SEASONS",IF(N(G559)&gt;=10,"NHL_PREVIOUS_10",IF(AND(ISNUMBER(AD559),AD559=0,SUM(F559:G559)=0),"FARM_CAREER_0",IF(COUNT(F559:G559)&lt;2,"UNKNOWN_GP",IF(AND(F559=0,G559=0),IF(AD559&gt;=10,"FARM_LEGACY_10",IF(AND(ISNUMBER(AD559),AD559&gt;0),"FARM_CAREER_1_9","FARM_0_0")),IF(F559&gt;=1,IF(F559&lt;=3,"FARM_RECENT_1_3","FARM_RECENT_4_9"),"FARM_PREV_1_9_ONLY")))))))</x:f>
        <x:v>UNKNOWN_GP</x:v>
      </x:c>
      <x:c r="AF559" s="57" t="n">
        <x:f>AB559-T559</x:f>
        <x:v>0</x:v>
      </x:c>
      <x:c r="AG559" s="57" t="n">
        <x:f>AC559-U559</x:f>
        <x:v>0</x:v>
      </x:c>
    </x:row>
    <x:row r="560">
      <x:c r="A560" t="s">
        <x:v>1583</x:v>
      </x:c>
      <x:c r="C560" t="s">
        <x:v>326</x:v>
      </x:c>
      <x:c r="D560">
        <x:v>8479315</x:v>
      </x:c>
      <x:c r="E560" t="s">
        <x:v>267</x:v>
      </x:c>
      <x:c r="J560" t="s">
        <x:v>2474</x:v>
      </x:c>
      <x:c r="K560">
        <x:v>62</x:v>
      </x:c>
      <x:c r="L560">
        <x:v>34</x:v>
      </x:c>
      <x:c r="M560">
        <x:v>90</x:v>
      </x:c>
      <x:c r="N560">
        <x:v>40</x:v>
      </x:c>
      <x:c r="O560">
        <x:v>81</x:v>
      </x:c>
      <x:c r="P560">
        <x:v>80</x:v>
      </x:c>
      <x:c r="Q560">
        <x:v>83</x:v>
      </x:c>
      <x:c r="R560">
        <x:v>39</x:v>
      </x:c>
      <x:c r="S560">
        <x:v>62</x:v>
      </x:c>
      <x:c r="T560" s="63" t="n">
        <x:f>MAX(30,MIN(AB560-VLOOKUP(AE560,'AHL_PA_SC_BALANCE'!$A$8:$E$18,2,FALSE),VLOOKUP(AE560,'AHL_PA_SC_BALANCE'!$A$8:$E$18,4,FALSE)))</x:f>
        <x:v>50</x:v>
      </x:c>
      <x:c r="U560" s="63" t="n">
        <x:f>MAX(30,MIN(AC560-VLOOKUP(AE560,'AHL_PA_SC_BALANCE'!$A$8:$E$18,3,FALSE),VLOOKUP(AE560,'AHL_PA_SC_BALANCE'!$A$8:$E$18,5,FALSE)))</x:f>
        <x:v>49</x:v>
      </x:c>
      <x:c r="V560">
        <x:v>65</x:v>
      </x:c>
      <x:c r="W560">
        <x:v>63</x:v>
      </x:c>
      <x:c r="X560">
        <x:v>75</x:v>
      </x:c>
      <x:c r="Y560">
        <x:v>71</x:v>
      </x:c>
      <x:c r="Z560">
        <x:v>51</x:v>
      </x:c>
      <x:c r="AA560">
        <x:v>49</x:v>
      </x:c>
      <x:c r="AB560" s="57" t="n">
        <x:v>50</x:v>
      </x:c>
      <x:c r="AC560" s="57" t="n">
        <x:v>49</x:v>
      </x:c>
      <x:c r="AD560" s="59"/>
      <x:c r="AE560" s="61" t="str">
        <x:f>IF(N(F560)&gt;=10,"NHL_LATEST_10",IF(AND(N(F560)&gt;0,N(G560)&gt;0),"NHL_BOTH_SEASONS",IF(N(G560)&gt;=10,"NHL_PREVIOUS_10",IF(AND(ISNUMBER(AD560),AD560=0,SUM(F560:G560)=0),"FARM_CAREER_0",IF(COUNT(F560:G560)&lt;2,"UNKNOWN_GP",IF(AND(F560=0,G560=0),IF(AD560&gt;=10,"FARM_LEGACY_10",IF(AND(ISNUMBER(AD560),AD560&gt;0),"FARM_CAREER_1_9","FARM_0_0")),IF(F560&gt;=1,IF(F560&lt;=3,"FARM_RECENT_1_3","FARM_RECENT_4_9"),"FARM_PREV_1_9_ONLY")))))))</x:f>
        <x:v>UNKNOWN_GP</x:v>
      </x:c>
      <x:c r="AF560" s="57" t="n">
        <x:f>AB560-T560</x:f>
        <x:v>0</x:v>
      </x:c>
      <x:c r="AG560" s="57" t="n">
        <x:f>AC560-U560</x:f>
        <x:v>0</x:v>
      </x:c>
    </x:row>
    <x:row r="561">
      <x:c r="A561" t="s">
        <x:v>1584</x:v>
      </x:c>
      <x:c r="C561" t="s">
        <x:v>331</x:v>
      </x:c>
      <x:c r="D561">
        <x:v>8483683</x:v>
      </x:c>
      <x:c r="E561" t="s">
        <x:v>267</x:v>
      </x:c>
      <x:c r="J561" t="s">
        <x:v>2474</x:v>
      </x:c>
      <x:c r="K561">
        <x:v>70</x:v>
      </x:c>
      <x:c r="L561">
        <x:v>38</x:v>
      </x:c>
      <x:c r="M561">
        <x:v>85</x:v>
      </x:c>
      <x:c r="N561">
        <x:v>30</x:v>
      </x:c>
      <x:c r="O561">
        <x:v>80</x:v>
      </x:c>
      <x:c r="P561">
        <x:v>78</x:v>
      </x:c>
      <x:c r="Q561">
        <x:v>82</x:v>
      </x:c>
      <x:c r="R561">
        <x:v>30</x:v>
      </x:c>
      <x:c r="S561">
        <x:v>30</x:v>
      </x:c>
      <x:c r="T561" s="63" t="n">
        <x:f>MAX(30,MIN(AB561-VLOOKUP(AE561,'AHL_PA_SC_BALANCE'!$A$8:$E$18,2,FALSE),VLOOKUP(AE561,'AHL_PA_SC_BALANCE'!$A$8:$E$18,4,FALSE)))</x:f>
        <x:v>39</x:v>
      </x:c>
      <x:c r="U561" s="63" t="n">
        <x:f>MAX(30,MIN(AC561-VLOOKUP(AE561,'AHL_PA_SC_BALANCE'!$A$8:$E$18,3,FALSE),VLOOKUP(AE561,'AHL_PA_SC_BALANCE'!$A$8:$E$18,5,FALSE)))</x:f>
        <x:v>41</x:v>
      </x:c>
      <x:c r="V561">
        <x:v>68</x:v>
      </x:c>
      <x:c r="W561">
        <x:v>45</x:v>
      </x:c>
      <x:c r="X561">
        <x:v>66</x:v>
      </x:c>
      <x:c r="Y561">
        <x:v>65</x:v>
      </x:c>
      <x:c r="Z561">
        <x:v>51</x:v>
      </x:c>
      <x:c r="AA561">
        <x:v>49</x:v>
      </x:c>
      <x:c r="AB561" s="57" t="n">
        <x:v>39</x:v>
      </x:c>
      <x:c r="AC561" s="57" t="n">
        <x:v>41</x:v>
      </x:c>
      <x:c r="AD561" s="59"/>
      <x:c r="AE561" s="61" t="str">
        <x:f>IF(N(F561)&gt;=10,"NHL_LATEST_10",IF(AND(N(F561)&gt;0,N(G561)&gt;0),"NHL_BOTH_SEASONS",IF(N(G561)&gt;=10,"NHL_PREVIOUS_10",IF(AND(ISNUMBER(AD561),AD561=0,SUM(F561:G561)=0),"FARM_CAREER_0",IF(COUNT(F561:G561)&lt;2,"UNKNOWN_GP",IF(AND(F561=0,G561=0),IF(AD561&gt;=10,"FARM_LEGACY_10",IF(AND(ISNUMBER(AD561),AD561&gt;0),"FARM_CAREER_1_9","FARM_0_0")),IF(F561&gt;=1,IF(F561&lt;=3,"FARM_RECENT_1_3","FARM_RECENT_4_9"),"FARM_PREV_1_9_ONLY")))))))</x:f>
        <x:v>UNKNOWN_GP</x:v>
      </x:c>
      <x:c r="AF561" s="57" t="n">
        <x:f>AB561-T561</x:f>
        <x:v>0</x:v>
      </x:c>
      <x:c r="AG561" s="57" t="n">
        <x:f>AC561-U561</x:f>
        <x:v>0</x:v>
      </x:c>
    </x:row>
    <x:row r="562">
      <x:c r="A562" t="s">
        <x:v>1585</x:v>
      </x:c>
      <x:c r="C562" t="s">
        <x:v>331</x:v>
      </x:c>
      <x:c r="D562">
        <x:v>8484246</x:v>
      </x:c>
      <x:c r="E562" t="s">
        <x:v>267</x:v>
      </x:c>
      <x:c r="J562" t="s">
        <x:v>2474</x:v>
      </x:c>
      <x:c r="K562">
        <x:v>71</x:v>
      </x:c>
      <x:c r="L562">
        <x:v>40</x:v>
      </x:c>
      <x:c r="M562">
        <x:v>92</x:v>
      </x:c>
      <x:c r="N562">
        <x:v>30</x:v>
      </x:c>
      <x:c r="O562">
        <x:v>77</x:v>
      </x:c>
      <x:c r="P562">
        <x:v>77</x:v>
      </x:c>
      <x:c r="Q562">
        <x:v>78</x:v>
      </x:c>
      <x:c r="R562">
        <x:v>30</x:v>
      </x:c>
      <x:c r="S562">
        <x:v>30</x:v>
      </x:c>
      <x:c r="T562" s="63" t="n">
        <x:f>MAX(30,MIN(AB562-VLOOKUP(AE562,'AHL_PA_SC_BALANCE'!$A$8:$E$18,2,FALSE),VLOOKUP(AE562,'AHL_PA_SC_BALANCE'!$A$8:$E$18,4,FALSE)))</x:f>
        <x:v>41</x:v>
      </x:c>
      <x:c r="U562" s="63" t="n">
        <x:f>MAX(30,MIN(AC562-VLOOKUP(AE562,'AHL_PA_SC_BALANCE'!$A$8:$E$18,3,FALSE),VLOOKUP(AE562,'AHL_PA_SC_BALANCE'!$A$8:$E$18,5,FALSE)))</x:f>
        <x:v>38</x:v>
      </x:c>
      <x:c r="V562">
        <x:v>63</x:v>
      </x:c>
      <x:c r="W562">
        <x:v>45</x:v>
      </x:c>
      <x:c r="X562">
        <x:v>69</x:v>
      </x:c>
      <x:c r="Y562">
        <x:v>69</x:v>
      </x:c>
      <x:c r="Z562">
        <x:v>51</x:v>
      </x:c>
      <x:c r="AA562">
        <x:v>49</x:v>
      </x:c>
      <x:c r="AB562" s="57" t="n">
        <x:v>41</x:v>
      </x:c>
      <x:c r="AC562" s="57" t="n">
        <x:v>38</x:v>
      </x:c>
      <x:c r="AD562" s="59"/>
      <x:c r="AE562" s="61" t="str">
        <x:f>IF(N(F562)&gt;=10,"NHL_LATEST_10",IF(AND(N(F562)&gt;0,N(G562)&gt;0),"NHL_BOTH_SEASONS",IF(N(G562)&gt;=10,"NHL_PREVIOUS_10",IF(AND(ISNUMBER(AD562),AD562=0,SUM(F562:G562)=0),"FARM_CAREER_0",IF(COUNT(F562:G562)&lt;2,"UNKNOWN_GP",IF(AND(F562=0,G562=0),IF(AD562&gt;=10,"FARM_LEGACY_10",IF(AND(ISNUMBER(AD562),AD562&gt;0),"FARM_CAREER_1_9","FARM_0_0")),IF(F562&gt;=1,IF(F562&lt;=3,"FARM_RECENT_1_3","FARM_RECENT_4_9"),"FARM_PREV_1_9_ONLY")))))))</x:f>
        <x:v>UNKNOWN_GP</x:v>
      </x:c>
      <x:c r="AF562" s="57" t="n">
        <x:f>AB562-T562</x:f>
        <x:v>0</x:v>
      </x:c>
      <x:c r="AG562" s="57" t="n">
        <x:f>AC562-U562</x:f>
        <x:v>0</x:v>
      </x:c>
    </x:row>
    <x:row r="563">
      <x:c r="A563" t="s">
        <x:v>1586</x:v>
      </x:c>
      <x:c r="C563" t="s">
        <x:v>339</x:v>
      </x:c>
      <x:c r="D563">
        <x:v>8484461</x:v>
      </x:c>
      <x:c r="E563" t="s">
        <x:v>267</x:v>
      </x:c>
      <x:c r="J563" t="s">
        <x:v>2474</x:v>
      </x:c>
      <x:c r="K563">
        <x:v>85</x:v>
      </x:c>
      <x:c r="L563">
        <x:v>34</x:v>
      </x:c>
      <x:c r="M563">
        <x:v>78</x:v>
      </x:c>
      <x:c r="N563">
        <x:v>40</x:v>
      </x:c>
      <x:c r="O563">
        <x:v>86</x:v>
      </x:c>
      <x:c r="P563">
        <x:v>93</x:v>
      </x:c>
      <x:c r="Q563">
        <x:v>97</x:v>
      </x:c>
      <x:c r="R563">
        <x:v>40</x:v>
      </x:c>
      <x:c r="S563">
        <x:v>77</x:v>
      </x:c>
      <x:c r="T563" s="63" t="n">
        <x:f>MAX(30,MIN(AB563-VLOOKUP(AE563,'AHL_PA_SC_BALANCE'!$A$8:$E$18,2,FALSE),VLOOKUP(AE563,'AHL_PA_SC_BALANCE'!$A$8:$E$18,4,FALSE)))</x:f>
        <x:v>43</x:v>
      </x:c>
      <x:c r="U563" s="63" t="n">
        <x:f>MAX(30,MIN(AC563-VLOOKUP(AE563,'AHL_PA_SC_BALANCE'!$A$8:$E$18,3,FALSE),VLOOKUP(AE563,'AHL_PA_SC_BALANCE'!$A$8:$E$18,5,FALSE)))</x:f>
        <x:v>43</x:v>
      </x:c>
      <x:c r="V563">
        <x:v>65</x:v>
      </x:c>
      <x:c r="W563">
        <x:v>63</x:v>
      </x:c>
      <x:c r="X563">
        <x:v>66</x:v>
      </x:c>
      <x:c r="Y563">
        <x:v>65</x:v>
      </x:c>
      <x:c r="Z563">
        <x:v>51</x:v>
      </x:c>
      <x:c r="AA563">
        <x:v>49</x:v>
      </x:c>
      <x:c r="AB563" s="57" t="n">
        <x:v>43</x:v>
      </x:c>
      <x:c r="AC563" s="57" t="n">
        <x:v>43</x:v>
      </x:c>
      <x:c r="AD563" s="59"/>
      <x:c r="AE563" s="61" t="str">
        <x:f>IF(N(F563)&gt;=10,"NHL_LATEST_10",IF(AND(N(F563)&gt;0,N(G563)&gt;0),"NHL_BOTH_SEASONS",IF(N(G563)&gt;=10,"NHL_PREVIOUS_10",IF(AND(ISNUMBER(AD563),AD563=0,SUM(F563:G563)=0),"FARM_CAREER_0",IF(COUNT(F563:G563)&lt;2,"UNKNOWN_GP",IF(AND(F563=0,G563=0),IF(AD563&gt;=10,"FARM_LEGACY_10",IF(AND(ISNUMBER(AD563),AD563&gt;0),"FARM_CAREER_1_9","FARM_0_0")),IF(F563&gt;=1,IF(F563&lt;=3,"FARM_RECENT_1_3","FARM_RECENT_4_9"),"FARM_PREV_1_9_ONLY")))))))</x:f>
        <x:v>UNKNOWN_GP</x:v>
      </x:c>
      <x:c r="AF563" s="57" t="n">
        <x:f>AB563-T563</x:f>
        <x:v>0</x:v>
      </x:c>
      <x:c r="AG563" s="57" t="n">
        <x:f>AC563-U563</x:f>
        <x:v>0</x:v>
      </x:c>
    </x:row>
    <x:row r="564">
      <x:c r="A564" t="s">
        <x:v>1587</x:v>
      </x:c>
      <x:c r="C564" t="s">
        <x:v>331</x:v>
      </x:c>
      <x:c r="D564">
        <x:v>8484217</x:v>
      </x:c>
      <x:c r="E564" t="s">
        <x:v>267</x:v>
      </x:c>
      <x:c r="J564" t="s">
        <x:v>2474</x:v>
      </x:c>
      <x:c r="K564">
        <x:v>62</x:v>
      </x:c>
      <x:c r="L564">
        <x:v>38</x:v>
      </x:c>
      <x:c r="M564">
        <x:v>86</x:v>
      </x:c>
      <x:c r="N564">
        <x:v>34</x:v>
      </x:c>
      <x:c r="O564">
        <x:v>80</x:v>
      </x:c>
      <x:c r="P564">
        <x:v>77</x:v>
      </x:c>
      <x:c r="Q564">
        <x:v>80</x:v>
      </x:c>
      <x:c r="R564">
        <x:v>34</x:v>
      </x:c>
      <x:c r="S564">
        <x:v>30</x:v>
      </x:c>
      <x:c r="T564" s="63" t="n">
        <x:f>MAX(30,MIN(AB564-VLOOKUP(AE564,'AHL_PA_SC_BALANCE'!$A$8:$E$18,2,FALSE),VLOOKUP(AE564,'AHL_PA_SC_BALANCE'!$A$8:$E$18,4,FALSE)))</x:f>
        <x:v>43</x:v>
      </x:c>
      <x:c r="U564" s="63" t="n">
        <x:f>MAX(30,MIN(AC564-VLOOKUP(AE564,'AHL_PA_SC_BALANCE'!$A$8:$E$18,3,FALSE),VLOOKUP(AE564,'AHL_PA_SC_BALANCE'!$A$8:$E$18,5,FALSE)))</x:f>
        <x:v>40</x:v>
      </x:c>
      <x:c r="V564">
        <x:v>64</x:v>
      </x:c>
      <x:c r="W564">
        <x:v>46</x:v>
      </x:c>
      <x:c r="X564">
        <x:v>65</x:v>
      </x:c>
      <x:c r="Y564">
        <x:v>65</x:v>
      </x:c>
      <x:c r="Z564">
        <x:v>51</x:v>
      </x:c>
      <x:c r="AA564">
        <x:v>49</x:v>
      </x:c>
      <x:c r="AB564" s="57" t="n">
        <x:v>43</x:v>
      </x:c>
      <x:c r="AC564" s="57" t="n">
        <x:v>40</x:v>
      </x:c>
      <x:c r="AD564" s="59"/>
      <x:c r="AE564" s="61" t="str">
        <x:f>IF(N(F564)&gt;=10,"NHL_LATEST_10",IF(AND(N(F564)&gt;0,N(G564)&gt;0),"NHL_BOTH_SEASONS",IF(N(G564)&gt;=10,"NHL_PREVIOUS_10",IF(AND(ISNUMBER(AD564),AD564=0,SUM(F564:G564)=0),"FARM_CAREER_0",IF(COUNT(F564:G564)&lt;2,"UNKNOWN_GP",IF(AND(F564=0,G564=0),IF(AD564&gt;=10,"FARM_LEGACY_10",IF(AND(ISNUMBER(AD564),AD564&gt;0),"FARM_CAREER_1_9","FARM_0_0")),IF(F564&gt;=1,IF(F564&lt;=3,"FARM_RECENT_1_3","FARM_RECENT_4_9"),"FARM_PREV_1_9_ONLY")))))))</x:f>
        <x:v>UNKNOWN_GP</x:v>
      </x:c>
      <x:c r="AF564" s="57" t="n">
        <x:f>AB564-T564</x:f>
        <x:v>0</x:v>
      </x:c>
      <x:c r="AG564" s="57" t="n">
        <x:f>AC564-U564</x:f>
        <x:v>0</x:v>
      </x:c>
    </x:row>
    <x:row r="565">
      <x:c r="A565" t="s">
        <x:v>1588</x:v>
      </x:c>
      <x:c r="C565" t="s">
        <x:v>329</x:v>
      </x:c>
      <x:c r="D565">
        <x:v>8484836</x:v>
      </x:c>
      <x:c r="E565" t="s">
        <x:v>267</x:v>
      </x:c>
      <x:c r="J565" t="s">
        <x:v>2474</x:v>
      </x:c>
      <x:c r="K565">
        <x:v>77</x:v>
      </x:c>
      <x:c r="L565">
        <x:v>38</x:v>
      </x:c>
      <x:c r="M565">
        <x:v>84</x:v>
      </x:c>
      <x:c r="N565">
        <x:v>45</x:v>
      </x:c>
      <x:c r="O565">
        <x:v>78</x:v>
      </x:c>
      <x:c r="P565">
        <x:v>83</x:v>
      </x:c>
      <x:c r="Q565">
        <x:v>86</x:v>
      </x:c>
      <x:c r="R565">
        <x:v>45</x:v>
      </x:c>
      <x:c r="S565">
        <x:v>77</x:v>
      </x:c>
      <x:c r="T565" s="63" t="n">
        <x:f>MAX(30,MIN(AB565-VLOOKUP(AE565,'AHL_PA_SC_BALANCE'!$A$8:$E$18,2,FALSE),VLOOKUP(AE565,'AHL_PA_SC_BALANCE'!$A$8:$E$18,4,FALSE)))</x:f>
        <x:v>45</x:v>
      </x:c>
      <x:c r="U565" s="63" t="n">
        <x:f>MAX(30,MIN(AC565-VLOOKUP(AE565,'AHL_PA_SC_BALANCE'!$A$8:$E$18,3,FALSE),VLOOKUP(AE565,'AHL_PA_SC_BALANCE'!$A$8:$E$18,5,FALSE)))</x:f>
        <x:v>43</x:v>
      </x:c>
      <x:c r="V565">
        <x:v>60</x:v>
      </x:c>
      <x:c r="W565">
        <x:v>65</x:v>
      </x:c>
      <x:c r="X565">
        <x:v>65</x:v>
      </x:c>
      <x:c r="Y565">
        <x:v>66</x:v>
      </x:c>
      <x:c r="Z565">
        <x:v>51</x:v>
      </x:c>
      <x:c r="AA565">
        <x:v>49</x:v>
      </x:c>
      <x:c r="AB565" s="57" t="n">
        <x:v>45</x:v>
      </x:c>
      <x:c r="AC565" s="57" t="n">
        <x:v>43</x:v>
      </x:c>
      <x:c r="AD565" s="59"/>
      <x:c r="AE565" s="61" t="str">
        <x:f>IF(N(F565)&gt;=10,"NHL_LATEST_10",IF(AND(N(F565)&gt;0,N(G565)&gt;0),"NHL_BOTH_SEASONS",IF(N(G565)&gt;=10,"NHL_PREVIOUS_10",IF(AND(ISNUMBER(AD565),AD565=0,SUM(F565:G565)=0),"FARM_CAREER_0",IF(COUNT(F565:G565)&lt;2,"UNKNOWN_GP",IF(AND(F565=0,G565=0),IF(AD565&gt;=10,"FARM_LEGACY_10",IF(AND(ISNUMBER(AD565),AD565&gt;0),"FARM_CAREER_1_9","FARM_0_0")),IF(F565&gt;=1,IF(F565&lt;=3,"FARM_RECENT_1_3","FARM_RECENT_4_9"),"FARM_PREV_1_9_ONLY")))))))</x:f>
        <x:v>UNKNOWN_GP</x:v>
      </x:c>
      <x:c r="AF565" s="57" t="n">
        <x:f>AB565-T565</x:f>
        <x:v>0</x:v>
      </x:c>
      <x:c r="AG565" s="57" t="n">
        <x:f>AC565-U565</x:f>
        <x:v>0</x:v>
      </x:c>
    </x:row>
    <x:row r="566">
      <x:c r="A566" t="s">
        <x:v>1589</x:v>
      </x:c>
      <x:c r="C566" t="s">
        <x:v>319</x:v>
      </x:c>
      <x:c r="D566">
        <x:v>8482654</x:v>
      </x:c>
      <x:c r="E566" t="s">
        <x:v>267</x:v>
      </x:c>
      <x:c r="J566" t="s">
        <x:v>2474</x:v>
      </x:c>
      <x:c r="K566">
        <x:v>59</x:v>
      </x:c>
      <x:c r="L566">
        <x:v>35</x:v>
      </x:c>
      <x:c r="M566">
        <x:v>90</x:v>
      </x:c>
      <x:c r="N566">
        <x:v>39</x:v>
      </x:c>
      <x:c r="O566">
        <x:v>79</x:v>
      </x:c>
      <x:c r="P566">
        <x:v>81</x:v>
      </x:c>
      <x:c r="Q566">
        <x:v>81</x:v>
      </x:c>
      <x:c r="R566">
        <x:v>39</x:v>
      </x:c>
      <x:c r="S566">
        <x:v>74</x:v>
      </x:c>
      <x:c r="T566" s="63" t="n">
        <x:f>MAX(30,MIN(AB566-VLOOKUP(AE566,'AHL_PA_SC_BALANCE'!$A$8:$E$18,2,FALSE),VLOOKUP(AE566,'AHL_PA_SC_BALANCE'!$A$8:$E$18,4,FALSE)))</x:f>
        <x:v>41</x:v>
      </x:c>
      <x:c r="U566" s="63" t="n">
        <x:f>MAX(30,MIN(AC566-VLOOKUP(AE566,'AHL_PA_SC_BALANCE'!$A$8:$E$18,3,FALSE),VLOOKUP(AE566,'AHL_PA_SC_BALANCE'!$A$8:$E$18,5,FALSE)))</x:f>
        <x:v>42</x:v>
      </x:c>
      <x:c r="V566">
        <x:v>68</x:v>
      </x:c>
      <x:c r="W566">
        <x:v>61</x:v>
      </x:c>
      <x:c r="X566">
        <x:v>71</x:v>
      </x:c>
      <x:c r="Y566">
        <x:v>71</x:v>
      </x:c>
      <x:c r="Z566">
        <x:v>51</x:v>
      </x:c>
      <x:c r="AA566">
        <x:v>49</x:v>
      </x:c>
      <x:c r="AB566" s="57" t="n">
        <x:v>41</x:v>
      </x:c>
      <x:c r="AC566" s="57" t="n">
        <x:v>42</x:v>
      </x:c>
      <x:c r="AD566" s="59"/>
      <x:c r="AE566" s="61" t="str">
        <x:f>IF(N(F566)&gt;=10,"NHL_LATEST_10",IF(AND(N(F566)&gt;0,N(G566)&gt;0),"NHL_BOTH_SEASONS",IF(N(G566)&gt;=10,"NHL_PREVIOUS_10",IF(AND(ISNUMBER(AD566),AD566=0,SUM(F566:G566)=0),"FARM_CAREER_0",IF(COUNT(F566:G566)&lt;2,"UNKNOWN_GP",IF(AND(F566=0,G566=0),IF(AD566&gt;=10,"FARM_LEGACY_10",IF(AND(ISNUMBER(AD566),AD566&gt;0),"FARM_CAREER_1_9","FARM_0_0")),IF(F566&gt;=1,IF(F566&lt;=3,"FARM_RECENT_1_3","FARM_RECENT_4_9"),"FARM_PREV_1_9_ONLY")))))))</x:f>
        <x:v>UNKNOWN_GP</x:v>
      </x:c>
      <x:c r="AF566" s="57" t="n">
        <x:f>AB566-T566</x:f>
        <x:v>0</x:v>
      </x:c>
      <x:c r="AG566" s="57" t="n">
        <x:f>AC566-U566</x:f>
        <x:v>0</x:v>
      </x:c>
    </x:row>
    <x:row r="567">
      <x:c r="A567" t="s">
        <x:v>1590</x:v>
      </x:c>
      <x:c r="B567" t="s">
        <x:v>584</x:v>
      </x:c>
      <x:c r="C567" t="s">
        <x:v>326</x:v>
      </x:c>
      <x:c r="D567">
        <x:v>8479986</x:v>
      </x:c>
      <x:c r="E567" t="s">
        <x:v>267</x:v>
      </x:c>
      <x:c r="J567" t="s">
        <x:v>2476</x:v>
      </x:c>
      <x:c r="K567">
        <x:v>64</x:v>
      </x:c>
      <x:c r="L567">
        <x:v>36</x:v>
      </x:c>
      <x:c r="M567">
        <x:v>75</x:v>
      </x:c>
      <x:c r="N567">
        <x:v>45</x:v>
      </x:c>
      <x:c r="O567">
        <x:v>78</x:v>
      </x:c>
      <x:c r="P567">
        <x:v>92</x:v>
      </x:c>
      <x:c r="Q567">
        <x:v>95</x:v>
      </x:c>
      <x:c r="R567">
        <x:v>44</x:v>
      </x:c>
      <x:c r="S567">
        <x:v>68</x:v>
      </x:c>
      <x:c r="T567" s="63" t="n">
        <x:f>MAX(30,MIN(AB567-VLOOKUP(AE567,'AHL_PA_SC_BALANCE'!$A$8:$E$18,2,FALSE),VLOOKUP(AE567,'AHL_PA_SC_BALANCE'!$A$8:$E$18,4,FALSE)))</x:f>
        <x:v>47</x:v>
      </x:c>
      <x:c r="U567" s="63" t="n">
        <x:f>MAX(30,MIN(AC567-VLOOKUP(AE567,'AHL_PA_SC_BALANCE'!$A$8:$E$18,3,FALSE),VLOOKUP(AE567,'AHL_PA_SC_BALANCE'!$A$8:$E$18,5,FALSE)))</x:f>
        <x:v>43</x:v>
      </x:c>
      <x:c r="V567">
        <x:v>60</x:v>
      </x:c>
      <x:c r="W567">
        <x:v>66</x:v>
      </x:c>
      <x:c r="X567">
        <x:v>70</x:v>
      </x:c>
      <x:c r="Y567">
        <x:v>71</x:v>
      </x:c>
      <x:c r="Z567">
        <x:v>51</x:v>
      </x:c>
      <x:c r="AA567">
        <x:v>49</x:v>
      </x:c>
      <x:c r="AB567" s="57" t="n">
        <x:v>47</x:v>
      </x:c>
      <x:c r="AC567" s="57" t="n">
        <x:v>43</x:v>
      </x:c>
      <x:c r="AD567" s="59"/>
      <x:c r="AE567" s="61" t="str">
        <x:f>IF(N(F567)&gt;=10,"NHL_LATEST_10",IF(AND(N(F567)&gt;0,N(G567)&gt;0),"NHL_BOTH_SEASONS",IF(N(G567)&gt;=10,"NHL_PREVIOUS_10",IF(AND(ISNUMBER(AD567),AD567=0,SUM(F567:G567)=0),"FARM_CAREER_0",IF(COUNT(F567:G567)&lt;2,"UNKNOWN_GP",IF(AND(F567=0,G567=0),IF(AD567&gt;=10,"FARM_LEGACY_10",IF(AND(ISNUMBER(AD567),AD567&gt;0),"FARM_CAREER_1_9","FARM_0_0")),IF(F567&gt;=1,IF(F567&lt;=3,"FARM_RECENT_1_3","FARM_RECENT_4_9"),"FARM_PREV_1_9_ONLY")))))))</x:f>
        <x:v>UNKNOWN_GP</x:v>
      </x:c>
      <x:c r="AF567" s="57" t="n">
        <x:f>AB567-T567</x:f>
        <x:v>0</x:v>
      </x:c>
      <x:c r="AG567" s="57" t="n">
        <x:f>AC567-U567</x:f>
        <x:v>0</x:v>
      </x:c>
    </x:row>
    <x:row r="568">
      <x:c r="A568" t="s">
        <x:v>1591</x:v>
      </x:c>
      <x:c r="C568" t="s">
        <x:v>331</x:v>
      </x:c>
      <x:c r="D568">
        <x:v>8480274</x:v>
      </x:c>
      <x:c r="E568" t="s">
        <x:v>267</x:v>
      </x:c>
      <x:c r="J568" t="s">
        <x:v>2474</x:v>
      </x:c>
      <x:c r="K568">
        <x:v>69</x:v>
      </x:c>
      <x:c r="L568">
        <x:v>42</x:v>
      </x:c>
      <x:c r="M568">
        <x:v>80</x:v>
      </x:c>
      <x:c r="N568">
        <x:v>32</x:v>
      </x:c>
      <x:c r="O568">
        <x:v>83</x:v>
      </x:c>
      <x:c r="P568">
        <x:v>90</x:v>
      </x:c>
      <x:c r="Q568">
        <x:v>94</x:v>
      </x:c>
      <x:c r="R568">
        <x:v>33</x:v>
      </x:c>
      <x:c r="S568">
        <x:v>30</x:v>
      </x:c>
      <x:c r="T568" s="63" t="n">
        <x:f>MAX(30,MIN(AB568-VLOOKUP(AE568,'AHL_PA_SC_BALANCE'!$A$8:$E$18,2,FALSE),VLOOKUP(AE568,'AHL_PA_SC_BALANCE'!$A$8:$E$18,4,FALSE)))</x:f>
        <x:v>39</x:v>
      </x:c>
      <x:c r="U568" s="63" t="n">
        <x:f>MAX(30,MIN(AC568-VLOOKUP(AE568,'AHL_PA_SC_BALANCE'!$A$8:$E$18,3,FALSE),VLOOKUP(AE568,'AHL_PA_SC_BALANCE'!$A$8:$E$18,5,FALSE)))</x:f>
        <x:v>39</x:v>
      </x:c>
      <x:c r="V568">
        <x:v>65</x:v>
      </x:c>
      <x:c r="W568">
        <x:v>44</x:v>
      </x:c>
      <x:c r="X568">
        <x:v>69</x:v>
      </x:c>
      <x:c r="Y568">
        <x:v>70</x:v>
      </x:c>
      <x:c r="Z568">
        <x:v>51</x:v>
      </x:c>
      <x:c r="AA568">
        <x:v>49</x:v>
      </x:c>
      <x:c r="AB568" s="57" t="n">
        <x:v>39</x:v>
      </x:c>
      <x:c r="AC568" s="57" t="n">
        <x:v>39</x:v>
      </x:c>
      <x:c r="AD568" s="59"/>
      <x:c r="AE568" s="61" t="str">
        <x:f>IF(N(F568)&gt;=10,"NHL_LATEST_10",IF(AND(N(F568)&gt;0,N(G568)&gt;0),"NHL_BOTH_SEASONS",IF(N(G568)&gt;=10,"NHL_PREVIOUS_10",IF(AND(ISNUMBER(AD568),AD568=0,SUM(F568:G568)=0),"FARM_CAREER_0",IF(COUNT(F568:G568)&lt;2,"UNKNOWN_GP",IF(AND(F568=0,G568=0),IF(AD568&gt;=10,"FARM_LEGACY_10",IF(AND(ISNUMBER(AD568),AD568&gt;0),"FARM_CAREER_1_9","FARM_0_0")),IF(F568&gt;=1,IF(F568&lt;=3,"FARM_RECENT_1_3","FARM_RECENT_4_9"),"FARM_PREV_1_9_ONLY")))))))</x:f>
        <x:v>UNKNOWN_GP</x:v>
      </x:c>
      <x:c r="AF568" s="57" t="n">
        <x:f>AB568-T568</x:f>
        <x:v>0</x:v>
      </x:c>
      <x:c r="AG568" s="57" t="n">
        <x:f>AC568-U568</x:f>
        <x:v>0</x:v>
      </x:c>
    </x:row>
    <x:row r="569">
      <x:c r="A569" t="s">
        <x:v>1592</x:v>
      </x:c>
      <x:c r="C569" t="s">
        <x:v>331</x:v>
      </x:c>
      <x:c r="D569">
        <x:v>8483692</x:v>
      </x:c>
      <x:c r="E569" t="s">
        <x:v>267</x:v>
      </x:c>
      <x:c r="J569" t="s">
        <x:v>2474</x:v>
      </x:c>
      <x:c r="K569">
        <x:v>72</x:v>
      </x:c>
      <x:c r="L569">
        <x:v>40</x:v>
      </x:c>
      <x:c r="M569">
        <x:v>89</x:v>
      </x:c>
      <x:c r="N569">
        <x:v>30</x:v>
      </x:c>
      <x:c r="O569">
        <x:v>80</x:v>
      </x:c>
      <x:c r="P569">
        <x:v>71</x:v>
      </x:c>
      <x:c r="Q569">
        <x:v>73</x:v>
      </x:c>
      <x:c r="R569">
        <x:v>30</x:v>
      </x:c>
      <x:c r="S569">
        <x:v>30</x:v>
      </x:c>
      <x:c r="T569" s="63" t="n">
        <x:f>MAX(30,MIN(AB569-VLOOKUP(AE569,'AHL_PA_SC_BALANCE'!$A$8:$E$18,2,FALSE),VLOOKUP(AE569,'AHL_PA_SC_BALANCE'!$A$8:$E$18,4,FALSE)))</x:f>
        <x:v>39</x:v>
      </x:c>
      <x:c r="U569" s="63" t="n">
        <x:f>MAX(30,MIN(AC569-VLOOKUP(AE569,'AHL_PA_SC_BALANCE'!$A$8:$E$18,3,FALSE),VLOOKUP(AE569,'AHL_PA_SC_BALANCE'!$A$8:$E$18,5,FALSE)))</x:f>
        <x:v>39</x:v>
      </x:c>
      <x:c r="V569">
        <x:v>64</x:v>
      </x:c>
      <x:c r="W569">
        <x:v>44</x:v>
      </x:c>
      <x:c r="X569">
        <x:v>65</x:v>
      </x:c>
      <x:c r="Y569">
        <x:v>64</x:v>
      </x:c>
      <x:c r="Z569">
        <x:v>51</x:v>
      </x:c>
      <x:c r="AA569">
        <x:v>49</x:v>
      </x:c>
      <x:c r="AB569" s="57" t="n">
        <x:v>39</x:v>
      </x:c>
      <x:c r="AC569" s="57" t="n">
        <x:v>39</x:v>
      </x:c>
      <x:c r="AD569" s="59"/>
      <x:c r="AE569" s="61" t="str">
        <x:f>IF(N(F569)&gt;=10,"NHL_LATEST_10",IF(AND(N(F569)&gt;0,N(G569)&gt;0),"NHL_BOTH_SEASONS",IF(N(G569)&gt;=10,"NHL_PREVIOUS_10",IF(AND(ISNUMBER(AD569),AD569=0,SUM(F569:G569)=0),"FARM_CAREER_0",IF(COUNT(F569:G569)&lt;2,"UNKNOWN_GP",IF(AND(F569=0,G569=0),IF(AD569&gt;=10,"FARM_LEGACY_10",IF(AND(ISNUMBER(AD569),AD569&gt;0),"FARM_CAREER_1_9","FARM_0_0")),IF(F569&gt;=1,IF(F569&lt;=3,"FARM_RECENT_1_3","FARM_RECENT_4_9"),"FARM_PREV_1_9_ONLY")))))))</x:f>
        <x:v>UNKNOWN_GP</x:v>
      </x:c>
      <x:c r="AF569" s="57" t="n">
        <x:f>AB569-T569</x:f>
        <x:v>0</x:v>
      </x:c>
      <x:c r="AG569" s="57" t="n">
        <x:f>AC569-U569</x:f>
        <x:v>0</x:v>
      </x:c>
    </x:row>
    <x:row r="570">
      <x:c r="A570" t="s">
        <x:v>1593</x:v>
      </x:c>
      <x:c r="C570" t="s">
        <x:v>331</x:v>
      </x:c>
      <x:c r="D570">
        <x:v>8486006</x:v>
      </x:c>
      <x:c r="E570" t="s">
        <x:v>267</x:v>
      </x:c>
      <x:c r="J570" t="s">
        <x:v>2474</x:v>
      </x:c>
      <x:c r="K570">
        <x:v>69</x:v>
      </x:c>
      <x:c r="L570">
        <x:v>36</x:v>
      </x:c>
      <x:c r="M570">
        <x:v>90</x:v>
      </x:c>
      <x:c r="N570">
        <x:v>31</x:v>
      </x:c>
      <x:c r="O570">
        <x:v>82</x:v>
      </x:c>
      <x:c r="P570">
        <x:v>68</x:v>
      </x:c>
      <x:c r="Q570">
        <x:v>71</x:v>
      </x:c>
      <x:c r="R570">
        <x:v>32</x:v>
      </x:c>
      <x:c r="S570">
        <x:v>30</x:v>
      </x:c>
      <x:c r="T570" s="63" t="n">
        <x:f>MAX(30,MIN(AB570-VLOOKUP(AE570,'AHL_PA_SC_BALANCE'!$A$8:$E$18,2,FALSE),VLOOKUP(AE570,'AHL_PA_SC_BALANCE'!$A$8:$E$18,4,FALSE)))</x:f>
        <x:v>39</x:v>
      </x:c>
      <x:c r="U570" s="63" t="n">
        <x:f>MAX(30,MIN(AC570-VLOOKUP(AE570,'AHL_PA_SC_BALANCE'!$A$8:$E$18,3,FALSE),VLOOKUP(AE570,'AHL_PA_SC_BALANCE'!$A$8:$E$18,5,FALSE)))</x:f>
        <x:v>40</x:v>
      </x:c>
      <x:c r="V570">
        <x:v>65</x:v>
      </x:c>
      <x:c r="W570">
        <x:v>44</x:v>
      </x:c>
      <x:c r="X570">
        <x:v>67</x:v>
      </x:c>
      <x:c r="Y570">
        <x:v>67</x:v>
      </x:c>
      <x:c r="Z570">
        <x:v>51</x:v>
      </x:c>
      <x:c r="AA570">
        <x:v>49</x:v>
      </x:c>
      <x:c r="AB570" s="57" t="n">
        <x:v>39</x:v>
      </x:c>
      <x:c r="AC570" s="57" t="n">
        <x:v>40</x:v>
      </x:c>
      <x:c r="AD570" s="59"/>
      <x:c r="AE570" s="61" t="str">
        <x:f>IF(N(F570)&gt;=10,"NHL_LATEST_10",IF(AND(N(F570)&gt;0,N(G570)&gt;0),"NHL_BOTH_SEASONS",IF(N(G570)&gt;=10,"NHL_PREVIOUS_10",IF(AND(ISNUMBER(AD570),AD570=0,SUM(F570:G570)=0),"FARM_CAREER_0",IF(COUNT(F570:G570)&lt;2,"UNKNOWN_GP",IF(AND(F570=0,G570=0),IF(AD570&gt;=10,"FARM_LEGACY_10",IF(AND(ISNUMBER(AD570),AD570&gt;0),"FARM_CAREER_1_9","FARM_0_0")),IF(F570&gt;=1,IF(F570&lt;=3,"FARM_RECENT_1_3","FARM_RECENT_4_9"),"FARM_PREV_1_9_ONLY")))))))</x:f>
        <x:v>UNKNOWN_GP</x:v>
      </x:c>
      <x:c r="AF570" s="57" t="n">
        <x:f>AB570-T570</x:f>
        <x:v>0</x:v>
      </x:c>
      <x:c r="AG570" s="57" t="n">
        <x:f>AC570-U570</x:f>
        <x:v>0</x:v>
      </x:c>
    </x:row>
    <x:row r="571">
      <x:c r="A571" t="s">
        <x:v>1594</x:v>
      </x:c>
      <x:c r="C571" t="s">
        <x:v>358</x:v>
      </x:c>
      <x:c r="D571">
        <x:v>8484393</x:v>
      </x:c>
      <x:c r="E571" t="s">
        <x:v>267</x:v>
      </x:c>
      <x:c r="J571" t="s">
        <x:v>2474</x:v>
      </x:c>
      <x:c r="K571">
        <x:v>64</x:v>
      </x:c>
      <x:c r="L571">
        <x:v>38</x:v>
      </x:c>
      <x:c r="M571">
        <x:v>91</x:v>
      </x:c>
      <x:c r="N571">
        <x:v>43</x:v>
      </x:c>
      <x:c r="O571">
        <x:v>83</x:v>
      </x:c>
      <x:c r="P571">
        <x:v>89</x:v>
      </x:c>
      <x:c r="Q571">
        <x:v>93</x:v>
      </x:c>
      <x:c r="R571">
        <x:v>43</x:v>
      </x:c>
      <x:c r="S571">
        <x:v>68</x:v>
      </x:c>
      <x:c r="T571" s="63" t="n">
        <x:f>MAX(30,MIN(AB571-VLOOKUP(AE571,'AHL_PA_SC_BALANCE'!$A$8:$E$18,2,FALSE),VLOOKUP(AE571,'AHL_PA_SC_BALANCE'!$A$8:$E$18,4,FALSE)))</x:f>
        <x:v>46</x:v>
      </x:c>
      <x:c r="U571" s="63" t="n">
        <x:f>MAX(30,MIN(AC571-VLOOKUP(AE571,'AHL_PA_SC_BALANCE'!$A$8:$E$18,3,FALSE),VLOOKUP(AE571,'AHL_PA_SC_BALANCE'!$A$8:$E$18,5,FALSE)))</x:f>
        <x:v>43</x:v>
      </x:c>
      <x:c r="V571">
        <x:v>62</x:v>
      </x:c>
      <x:c r="W571">
        <x:v>65</x:v>
      </x:c>
      <x:c r="X571">
        <x:v>65</x:v>
      </x:c>
      <x:c r="Y571">
        <x:v>65</x:v>
      </x:c>
      <x:c r="Z571">
        <x:v>51</x:v>
      </x:c>
      <x:c r="AA571">
        <x:v>49</x:v>
      </x:c>
      <x:c r="AB571" s="57" t="n">
        <x:v>46</x:v>
      </x:c>
      <x:c r="AC571" s="57" t="n">
        <x:v>43</x:v>
      </x:c>
      <x:c r="AD571" s="59"/>
      <x:c r="AE571" s="61" t="str">
        <x:f>IF(N(F571)&gt;=10,"NHL_LATEST_10",IF(AND(N(F571)&gt;0,N(G571)&gt;0),"NHL_BOTH_SEASONS",IF(N(G571)&gt;=10,"NHL_PREVIOUS_10",IF(AND(ISNUMBER(AD571),AD571=0,SUM(F571:G571)=0),"FARM_CAREER_0",IF(COUNT(F571:G571)&lt;2,"UNKNOWN_GP",IF(AND(F571=0,G571=0),IF(AD571&gt;=10,"FARM_LEGACY_10",IF(AND(ISNUMBER(AD571),AD571&gt;0),"FARM_CAREER_1_9","FARM_0_0")),IF(F571&gt;=1,IF(F571&lt;=3,"FARM_RECENT_1_3","FARM_RECENT_4_9"),"FARM_PREV_1_9_ONLY")))))))</x:f>
        <x:v>UNKNOWN_GP</x:v>
      </x:c>
      <x:c r="AF571" s="57" t="n">
        <x:f>AB571-T571</x:f>
        <x:v>0</x:v>
      </x:c>
      <x:c r="AG571" s="57" t="n">
        <x:f>AC571-U571</x:f>
        <x:v>0</x:v>
      </x:c>
    </x:row>
    <x:row r="572">
      <x:c r="A572" t="s">
        <x:v>1595</x:v>
      </x:c>
      <x:c r="C572" t="s">
        <x:v>331</x:v>
      </x:c>
      <x:c r="D572">
        <x:v>8484198</x:v>
      </x:c>
      <x:c r="E572" t="s">
        <x:v>267</x:v>
      </x:c>
      <x:c r="J572" t="s">
        <x:v>2474</x:v>
      </x:c>
      <x:c r="K572">
        <x:v>64</x:v>
      </x:c>
      <x:c r="L572">
        <x:v>37</x:v>
      </x:c>
      <x:c r="M572">
        <x:v>89</x:v>
      </x:c>
      <x:c r="N572">
        <x:v>31</x:v>
      </x:c>
      <x:c r="O572">
        <x:v>79</x:v>
      </x:c>
      <x:c r="P572">
        <x:v>77</x:v>
      </x:c>
      <x:c r="Q572">
        <x:v>80</x:v>
      </x:c>
      <x:c r="R572">
        <x:v>30</x:v>
      </x:c>
      <x:c r="S572">
        <x:v>30</x:v>
      </x:c>
      <x:c r="T572" s="63" t="n">
        <x:f>MAX(30,MIN(AB572-VLOOKUP(AE572,'AHL_PA_SC_BALANCE'!$A$8:$E$18,2,FALSE),VLOOKUP(AE572,'AHL_PA_SC_BALANCE'!$A$8:$E$18,4,FALSE)))</x:f>
        <x:v>41</x:v>
      </x:c>
      <x:c r="U572" s="63" t="n">
        <x:f>MAX(30,MIN(AC572-VLOOKUP(AE572,'AHL_PA_SC_BALANCE'!$A$8:$E$18,3,FALSE),VLOOKUP(AE572,'AHL_PA_SC_BALANCE'!$A$8:$E$18,5,FALSE)))</x:f>
        <x:v>39</x:v>
      </x:c>
      <x:c r="V572">
        <x:v>64</x:v>
      </x:c>
      <x:c r="W572">
        <x:v>45</x:v>
      </x:c>
      <x:c r="X572">
        <x:v>65</x:v>
      </x:c>
      <x:c r="Y572">
        <x:v>69</x:v>
      </x:c>
      <x:c r="Z572">
        <x:v>51</x:v>
      </x:c>
      <x:c r="AA572">
        <x:v>49</x:v>
      </x:c>
      <x:c r="AB572" s="57" t="n">
        <x:v>41</x:v>
      </x:c>
      <x:c r="AC572" s="57" t="n">
        <x:v>39</x:v>
      </x:c>
      <x:c r="AD572" s="59"/>
      <x:c r="AE572" s="61" t="str">
        <x:f>IF(N(F572)&gt;=10,"NHL_LATEST_10",IF(AND(N(F572)&gt;0,N(G572)&gt;0),"NHL_BOTH_SEASONS",IF(N(G572)&gt;=10,"NHL_PREVIOUS_10",IF(AND(ISNUMBER(AD572),AD572=0,SUM(F572:G572)=0),"FARM_CAREER_0",IF(COUNT(F572:G572)&lt;2,"UNKNOWN_GP",IF(AND(F572=0,G572=0),IF(AD572&gt;=10,"FARM_LEGACY_10",IF(AND(ISNUMBER(AD572),AD572&gt;0),"FARM_CAREER_1_9","FARM_0_0")),IF(F572&gt;=1,IF(F572&lt;=3,"FARM_RECENT_1_3","FARM_RECENT_4_9"),"FARM_PREV_1_9_ONLY")))))))</x:f>
        <x:v>UNKNOWN_GP</x:v>
      </x:c>
      <x:c r="AF572" s="57" t="n">
        <x:f>AB572-T572</x:f>
        <x:v>0</x:v>
      </x:c>
      <x:c r="AG572" s="57" t="n">
        <x:f>AC572-U572</x:f>
        <x:v>0</x:v>
      </x:c>
    </x:row>
    <x:row r="573">
      <x:c r="A573" t="s">
        <x:v>1596</x:v>
      </x:c>
      <x:c r="C573" t="s">
        <x:v>331</x:v>
      </x:c>
      <x:c r="D573">
        <x:v>8483400</x:v>
      </x:c>
      <x:c r="E573" t="s">
        <x:v>267</x:v>
      </x:c>
      <x:c r="J573" t="s">
        <x:v>2474</x:v>
      </x:c>
      <x:c r="K573">
        <x:v>67</x:v>
      </x:c>
      <x:c r="L573">
        <x:v>38</x:v>
      </x:c>
      <x:c r="M573">
        <x:v>89</x:v>
      </x:c>
      <x:c r="N573">
        <x:v>30</x:v>
      </x:c>
      <x:c r="O573">
        <x:v>77</x:v>
      </x:c>
      <x:c r="P573">
        <x:v>71</x:v>
      </x:c>
      <x:c r="Q573">
        <x:v>73</x:v>
      </x:c>
      <x:c r="R573">
        <x:v>30</x:v>
      </x:c>
      <x:c r="S573">
        <x:v>30</x:v>
      </x:c>
      <x:c r="T573" s="63" t="n">
        <x:f>MAX(30,MIN(AB573-VLOOKUP(AE573,'AHL_PA_SC_BALANCE'!$A$8:$E$18,2,FALSE),VLOOKUP(AE573,'AHL_PA_SC_BALANCE'!$A$8:$E$18,4,FALSE)))</x:f>
        <x:v>39</x:v>
      </x:c>
      <x:c r="U573" s="63" t="n">
        <x:f>MAX(30,MIN(AC573-VLOOKUP(AE573,'AHL_PA_SC_BALANCE'!$A$8:$E$18,3,FALSE),VLOOKUP(AE573,'AHL_PA_SC_BALANCE'!$A$8:$E$18,5,FALSE)))</x:f>
        <x:v>38</x:v>
      </x:c>
      <x:c r="V573">
        <x:v>69</x:v>
      </x:c>
      <x:c r="W573">
        <x:v>44</x:v>
      </x:c>
      <x:c r="X573">
        <x:v>70</x:v>
      </x:c>
      <x:c r="Y573">
        <x:v>71</x:v>
      </x:c>
      <x:c r="Z573">
        <x:v>51</x:v>
      </x:c>
      <x:c r="AA573">
        <x:v>49</x:v>
      </x:c>
      <x:c r="AB573" s="57" t="n">
        <x:v>39</x:v>
      </x:c>
      <x:c r="AC573" s="57" t="n">
        <x:v>38</x:v>
      </x:c>
      <x:c r="AD573" s="59"/>
      <x:c r="AE573" s="61" t="str">
        <x:f>IF(N(F573)&gt;=10,"NHL_LATEST_10",IF(AND(N(F573)&gt;0,N(G573)&gt;0),"NHL_BOTH_SEASONS",IF(N(G573)&gt;=10,"NHL_PREVIOUS_10",IF(AND(ISNUMBER(AD573),AD573=0,SUM(F573:G573)=0),"FARM_CAREER_0",IF(COUNT(F573:G573)&lt;2,"UNKNOWN_GP",IF(AND(F573=0,G573=0),IF(AD573&gt;=10,"FARM_LEGACY_10",IF(AND(ISNUMBER(AD573),AD573&gt;0),"FARM_CAREER_1_9","FARM_0_0")),IF(F573&gt;=1,IF(F573&lt;=3,"FARM_RECENT_1_3","FARM_RECENT_4_9"),"FARM_PREV_1_9_ONLY")))))))</x:f>
        <x:v>UNKNOWN_GP</x:v>
      </x:c>
      <x:c r="AF573" s="57" t="n">
        <x:f>AB573-T573</x:f>
        <x:v>0</x:v>
      </x:c>
      <x:c r="AG573" s="57" t="n">
        <x:f>AC573-U573</x:f>
        <x:v>0</x:v>
      </x:c>
    </x:row>
    <x:row r="574">
      <x:c r="A574" t="s">
        <x:v>1597</x:v>
      </x:c>
      <x:c r="C574" t="s">
        <x:v>339</x:v>
      </x:c>
      <x:c r="D574">
        <x:v>8483841</x:v>
      </x:c>
      <x:c r="E574" t="s">
        <x:v>267</x:v>
      </x:c>
      <x:c r="J574" t="s">
        <x:v>2474</x:v>
      </x:c>
      <x:c r="K574">
        <x:v>62</x:v>
      </x:c>
      <x:c r="L574">
        <x:v>36</x:v>
      </x:c>
      <x:c r="M574">
        <x:v>76</x:v>
      </x:c>
      <x:c r="N574">
        <x:v>45</x:v>
      </x:c>
      <x:c r="O574">
        <x:v>73</x:v>
      </x:c>
      <x:c r="P574">
        <x:v>89</x:v>
      </x:c>
      <x:c r="Q574">
        <x:v>92</x:v>
      </x:c>
      <x:c r="R574">
        <x:v>46</x:v>
      </x:c>
      <x:c r="S574">
        <x:v>77</x:v>
      </x:c>
      <x:c r="T574" s="63" t="n">
        <x:f>MAX(30,MIN(AB574-VLOOKUP(AE574,'AHL_PA_SC_BALANCE'!$A$8:$E$18,2,FALSE),VLOOKUP(AE574,'AHL_PA_SC_BALANCE'!$A$8:$E$18,4,FALSE)))</x:f>
        <x:v>45</x:v>
      </x:c>
      <x:c r="U574" s="63" t="n">
        <x:f>MAX(30,MIN(AC574-VLOOKUP(AE574,'AHL_PA_SC_BALANCE'!$A$8:$E$18,3,FALSE),VLOOKUP(AE574,'AHL_PA_SC_BALANCE'!$A$8:$E$18,5,FALSE)))</x:f>
        <x:v>45</x:v>
      </x:c>
      <x:c r="V574">
        <x:v>57</x:v>
      </x:c>
      <x:c r="W574">
        <x:v>66</x:v>
      </x:c>
      <x:c r="X574">
        <x:v>68</x:v>
      </x:c>
      <x:c r="Y574">
        <x:v>69</x:v>
      </x:c>
      <x:c r="Z574">
        <x:v>51</x:v>
      </x:c>
      <x:c r="AA574">
        <x:v>49</x:v>
      </x:c>
      <x:c r="AB574" s="57" t="n">
        <x:v>45</x:v>
      </x:c>
      <x:c r="AC574" s="57" t="n">
        <x:v>45</x:v>
      </x:c>
      <x:c r="AD574" s="59"/>
      <x:c r="AE574" s="61" t="str">
        <x:f>IF(N(F574)&gt;=10,"NHL_LATEST_10",IF(AND(N(F574)&gt;0,N(G574)&gt;0),"NHL_BOTH_SEASONS",IF(N(G574)&gt;=10,"NHL_PREVIOUS_10",IF(AND(ISNUMBER(AD574),AD574=0,SUM(F574:G574)=0),"FARM_CAREER_0",IF(COUNT(F574:G574)&lt;2,"UNKNOWN_GP",IF(AND(F574=0,G574=0),IF(AD574&gt;=10,"FARM_LEGACY_10",IF(AND(ISNUMBER(AD574),AD574&gt;0),"FARM_CAREER_1_9","FARM_0_0")),IF(F574&gt;=1,IF(F574&lt;=3,"FARM_RECENT_1_3","FARM_RECENT_4_9"),"FARM_PREV_1_9_ONLY")))))))</x:f>
        <x:v>UNKNOWN_GP</x:v>
      </x:c>
      <x:c r="AF574" s="57" t="n">
        <x:f>AB574-T574</x:f>
        <x:v>0</x:v>
      </x:c>
      <x:c r="AG574" s="57" t="n">
        <x:f>AC574-U574</x:f>
        <x:v>0</x:v>
      </x:c>
    </x:row>
    <x:row r="575">
      <x:c r="A575" t="s">
        <x:v>1598</x:v>
      </x:c>
      <x:c r="C575" t="s">
        <x:v>329</x:v>
      </x:c>
      <x:c r="D575">
        <x:v>8484123</x:v>
      </x:c>
      <x:c r="E575" t="s">
        <x:v>267</x:v>
      </x:c>
      <x:c r="J575" t="s">
        <x:v>2474</x:v>
      </x:c>
      <x:c r="K575">
        <x:v>66</x:v>
      </x:c>
      <x:c r="L575">
        <x:v>37</x:v>
      </x:c>
      <x:c r="M575">
        <x:v>74</x:v>
      </x:c>
      <x:c r="N575">
        <x:v>40</x:v>
      </x:c>
      <x:c r="O575">
        <x:v>78</x:v>
      </x:c>
      <x:c r="P575">
        <x:v>87</x:v>
      </x:c>
      <x:c r="Q575">
        <x:v>90</x:v>
      </x:c>
      <x:c r="R575">
        <x:v>39</x:v>
      </x:c>
      <x:c r="S575">
        <x:v>66</x:v>
      </x:c>
      <x:c r="T575" s="63" t="n">
        <x:f>MAX(30,MIN(AB575-VLOOKUP(AE575,'AHL_PA_SC_BALANCE'!$A$8:$E$18,2,FALSE),VLOOKUP(AE575,'AHL_PA_SC_BALANCE'!$A$8:$E$18,4,FALSE)))</x:f>
        <x:v>41</x:v>
      </x:c>
      <x:c r="U575" s="63" t="n">
        <x:f>MAX(30,MIN(AC575-VLOOKUP(AE575,'AHL_PA_SC_BALANCE'!$A$8:$E$18,3,FALSE),VLOOKUP(AE575,'AHL_PA_SC_BALANCE'!$A$8:$E$18,5,FALSE)))</x:f>
        <x:v>42</x:v>
      </x:c>
      <x:c r="V575">
        <x:v>58</x:v>
      </x:c>
      <x:c r="W575">
        <x:v>61</x:v>
      </x:c>
      <x:c r="X575">
        <x:v>71</x:v>
      </x:c>
      <x:c r="Y575">
        <x:v>71</x:v>
      </x:c>
      <x:c r="Z575">
        <x:v>51</x:v>
      </x:c>
      <x:c r="AA575">
        <x:v>49</x:v>
      </x:c>
      <x:c r="AB575" s="57" t="n">
        <x:v>41</x:v>
      </x:c>
      <x:c r="AC575" s="57" t="n">
        <x:v>42</x:v>
      </x:c>
      <x:c r="AD575" s="59"/>
      <x:c r="AE575" s="61" t="str">
        <x:f>IF(N(F575)&gt;=10,"NHL_LATEST_10",IF(AND(N(F575)&gt;0,N(G575)&gt;0),"NHL_BOTH_SEASONS",IF(N(G575)&gt;=10,"NHL_PREVIOUS_10",IF(AND(ISNUMBER(AD575),AD575=0,SUM(F575:G575)=0),"FARM_CAREER_0",IF(COUNT(F575:G575)&lt;2,"UNKNOWN_GP",IF(AND(F575=0,G575=0),IF(AD575&gt;=10,"FARM_LEGACY_10",IF(AND(ISNUMBER(AD575),AD575&gt;0),"FARM_CAREER_1_9","FARM_0_0")),IF(F575&gt;=1,IF(F575&lt;=3,"FARM_RECENT_1_3","FARM_RECENT_4_9"),"FARM_PREV_1_9_ONLY")))))))</x:f>
        <x:v>UNKNOWN_GP</x:v>
      </x:c>
      <x:c r="AF575" s="57" t="n">
        <x:f>AB575-T575</x:f>
        <x:v>0</x:v>
      </x:c>
      <x:c r="AG575" s="57" t="n">
        <x:f>AC575-U575</x:f>
        <x:v>0</x:v>
      </x:c>
    </x:row>
    <x:row r="576">
      <x:c r="A576" t="s">
        <x:v>1599</x:v>
      </x:c>
      <x:c r="C576" t="s">
        <x:v>319</x:v>
      </x:c>
      <x:c r="D576">
        <x:v>8483105</x:v>
      </x:c>
      <x:c r="E576" t="s">
        <x:v>267</x:v>
      </x:c>
      <x:c r="J576" t="s">
        <x:v>2474</x:v>
      </x:c>
      <x:c r="K576">
        <x:v>62</x:v>
      </x:c>
      <x:c r="L576">
        <x:v>36</x:v>
      </x:c>
      <x:c r="M576">
        <x:v>86</x:v>
      </x:c>
      <x:c r="N576">
        <x:v>45</x:v>
      </x:c>
      <x:c r="O576">
        <x:v>79</x:v>
      </x:c>
      <x:c r="P576">
        <x:v>81</x:v>
      </x:c>
      <x:c r="Q576">
        <x:v>85</x:v>
      </x:c>
      <x:c r="R576">
        <x:v>45</x:v>
      </x:c>
      <x:c r="S576">
        <x:v>60</x:v>
      </x:c>
      <x:c r="T576" s="63" t="n">
        <x:f>MAX(30,MIN(AB576-VLOOKUP(AE576,'AHL_PA_SC_BALANCE'!$A$8:$E$18,2,FALSE),VLOOKUP(AE576,'AHL_PA_SC_BALANCE'!$A$8:$E$18,4,FALSE)))</x:f>
        <x:v>46</x:v>
      </x:c>
      <x:c r="U576" s="63" t="n">
        <x:f>MAX(30,MIN(AC576-VLOOKUP(AE576,'AHL_PA_SC_BALANCE'!$A$8:$E$18,3,FALSE),VLOOKUP(AE576,'AHL_PA_SC_BALANCE'!$A$8:$E$18,5,FALSE)))</x:f>
        <x:v>45</x:v>
      </x:c>
      <x:c r="V576">
        <x:v>59</x:v>
      </x:c>
      <x:c r="W576">
        <x:v>66</x:v>
      </x:c>
      <x:c r="X576">
        <x:v>65</x:v>
      </x:c>
      <x:c r="Y576">
        <x:v>65</x:v>
      </x:c>
      <x:c r="Z576">
        <x:v>51</x:v>
      </x:c>
      <x:c r="AA576">
        <x:v>49</x:v>
      </x:c>
      <x:c r="AB576" s="57" t="n">
        <x:v>46</x:v>
      </x:c>
      <x:c r="AC576" s="57" t="n">
        <x:v>45</x:v>
      </x:c>
      <x:c r="AD576" s="59"/>
      <x:c r="AE576" s="61" t="str">
        <x:f>IF(N(F576)&gt;=10,"NHL_LATEST_10",IF(AND(N(F576)&gt;0,N(G576)&gt;0),"NHL_BOTH_SEASONS",IF(N(G576)&gt;=10,"NHL_PREVIOUS_10",IF(AND(ISNUMBER(AD576),AD576=0,SUM(F576:G576)=0),"FARM_CAREER_0",IF(COUNT(F576:G576)&lt;2,"UNKNOWN_GP",IF(AND(F576=0,G576=0),IF(AD576&gt;=10,"FARM_LEGACY_10",IF(AND(ISNUMBER(AD576),AD576&gt;0),"FARM_CAREER_1_9","FARM_0_0")),IF(F576&gt;=1,IF(F576&lt;=3,"FARM_RECENT_1_3","FARM_RECENT_4_9"),"FARM_PREV_1_9_ONLY")))))))</x:f>
        <x:v>UNKNOWN_GP</x:v>
      </x:c>
      <x:c r="AF576" s="57" t="n">
        <x:f>AB576-T576</x:f>
        <x:v>0</x:v>
      </x:c>
      <x:c r="AG576" s="57" t="n">
        <x:f>AC576-U576</x:f>
        <x:v>0</x:v>
      </x:c>
    </x:row>
    <x:row r="577">
      <x:c r="A577" t="s">
        <x:v>1600</x:v>
      </x:c>
      <x:c r="C577" t="s">
        <x:v>331</x:v>
      </x:c>
      <x:c r="D577">
        <x:v>8483901</x:v>
      </x:c>
      <x:c r="E577" t="s">
        <x:v>267</x:v>
      </x:c>
      <x:c r="J577" t="s">
        <x:v>2474</x:v>
      </x:c>
      <x:c r="K577">
        <x:v>66</x:v>
      </x:c>
      <x:c r="L577">
        <x:v>33</x:v>
      </x:c>
      <x:c r="M577">
        <x:v>88</x:v>
      </x:c>
      <x:c r="N577">
        <x:v>30</x:v>
      </x:c>
      <x:c r="O577">
        <x:v>80</x:v>
      </x:c>
      <x:c r="P577">
        <x:v>68</x:v>
      </x:c>
      <x:c r="Q577">
        <x:v>71</x:v>
      </x:c>
      <x:c r="R577">
        <x:v>31</x:v>
      </x:c>
      <x:c r="S577">
        <x:v>30</x:v>
      </x:c>
      <x:c r="T577" s="63" t="n">
        <x:f>MAX(30,MIN(AB577-VLOOKUP(AE577,'AHL_PA_SC_BALANCE'!$A$8:$E$18,2,FALSE),VLOOKUP(AE577,'AHL_PA_SC_BALANCE'!$A$8:$E$18,4,FALSE)))</x:f>
        <x:v>39</x:v>
      </x:c>
      <x:c r="U577" s="63" t="n">
        <x:f>MAX(30,MIN(AC577-VLOOKUP(AE577,'AHL_PA_SC_BALANCE'!$A$8:$E$18,3,FALSE),VLOOKUP(AE577,'AHL_PA_SC_BALANCE'!$A$8:$E$18,5,FALSE)))</x:f>
        <x:v>38</x:v>
      </x:c>
      <x:c r="V577">
        <x:v>67</x:v>
      </x:c>
      <x:c r="W577">
        <x:v>43</x:v>
      </x:c>
      <x:c r="X577">
        <x:v>66</x:v>
      </x:c>
      <x:c r="Y577">
        <x:v>67</x:v>
      </x:c>
      <x:c r="Z577">
        <x:v>51</x:v>
      </x:c>
      <x:c r="AA577">
        <x:v>49</x:v>
      </x:c>
      <x:c r="AB577" s="57" t="n">
        <x:v>39</x:v>
      </x:c>
      <x:c r="AC577" s="57" t="n">
        <x:v>38</x:v>
      </x:c>
      <x:c r="AD577" s="59"/>
      <x:c r="AE577" s="61" t="str">
        <x:f>IF(N(F577)&gt;=10,"NHL_LATEST_10",IF(AND(N(F577)&gt;0,N(G577)&gt;0),"NHL_BOTH_SEASONS",IF(N(G577)&gt;=10,"NHL_PREVIOUS_10",IF(AND(ISNUMBER(AD577),AD577=0,SUM(F577:G577)=0),"FARM_CAREER_0",IF(COUNT(F577:G577)&lt;2,"UNKNOWN_GP",IF(AND(F577=0,G577=0),IF(AD577&gt;=10,"FARM_LEGACY_10",IF(AND(ISNUMBER(AD577),AD577&gt;0),"FARM_CAREER_1_9","FARM_0_0")),IF(F577&gt;=1,IF(F577&lt;=3,"FARM_RECENT_1_3","FARM_RECENT_4_9"),"FARM_PREV_1_9_ONLY")))))))</x:f>
        <x:v>UNKNOWN_GP</x:v>
      </x:c>
      <x:c r="AF577" s="57" t="n">
        <x:f>AB577-T577</x:f>
        <x:v>0</x:v>
      </x:c>
      <x:c r="AG577" s="57" t="n">
        <x:f>AC577-U577</x:f>
        <x:v>0</x:v>
      </x:c>
    </x:row>
    <x:row r="578">
      <x:c r="A578" t="s">
        <x:v>1601</x:v>
      </x:c>
      <x:c r="C578" t="s">
        <x:v>331</x:v>
      </x:c>
      <x:c r="D578">
        <x:v>8480999</x:v>
      </x:c>
      <x:c r="E578" t="s">
        <x:v>267</x:v>
      </x:c>
      <x:c r="J578" t="s">
        <x:v>2474</x:v>
      </x:c>
      <x:c r="K578">
        <x:v>65</x:v>
      </x:c>
      <x:c r="L578">
        <x:v>38</x:v>
      </x:c>
      <x:c r="M578">
        <x:v>83</x:v>
      </x:c>
      <x:c r="N578">
        <x:v>31</x:v>
      </x:c>
      <x:c r="O578">
        <x:v>79</x:v>
      </x:c>
      <x:c r="P578">
        <x:v>77</x:v>
      </x:c>
      <x:c r="Q578">
        <x:v>79</x:v>
      </x:c>
      <x:c r="R578">
        <x:v>31</x:v>
      </x:c>
      <x:c r="S578">
        <x:v>30</x:v>
      </x:c>
      <x:c r="T578" s="63" t="n">
        <x:f>MAX(30,MIN(AB578-VLOOKUP(AE578,'AHL_PA_SC_BALANCE'!$A$8:$E$18,2,FALSE),VLOOKUP(AE578,'AHL_PA_SC_BALANCE'!$A$8:$E$18,4,FALSE)))</x:f>
        <x:v>39</x:v>
      </x:c>
      <x:c r="U578" s="63" t="n">
        <x:f>MAX(30,MIN(AC578-VLOOKUP(AE578,'AHL_PA_SC_BALANCE'!$A$8:$E$18,3,FALSE),VLOOKUP(AE578,'AHL_PA_SC_BALANCE'!$A$8:$E$18,5,FALSE)))</x:f>
        <x:v>39</x:v>
      </x:c>
      <x:c r="V578">
        <x:v>67</x:v>
      </x:c>
      <x:c r="W578">
        <x:v>44</x:v>
      </x:c>
      <x:c r="X578">
        <x:v>69</x:v>
      </x:c>
      <x:c r="Y578">
        <x:v>68</x:v>
      </x:c>
      <x:c r="Z578">
        <x:v>51</x:v>
      </x:c>
      <x:c r="AA578">
        <x:v>49</x:v>
      </x:c>
      <x:c r="AB578" s="57" t="n">
        <x:v>39</x:v>
      </x:c>
      <x:c r="AC578" s="57" t="n">
        <x:v>39</x:v>
      </x:c>
      <x:c r="AD578" s="59"/>
      <x:c r="AE578" s="61" t="str">
        <x:f>IF(N(F578)&gt;=10,"NHL_LATEST_10",IF(AND(N(F578)&gt;0,N(G578)&gt;0),"NHL_BOTH_SEASONS",IF(N(G578)&gt;=10,"NHL_PREVIOUS_10",IF(AND(ISNUMBER(AD578),AD578=0,SUM(F578:G578)=0),"FARM_CAREER_0",IF(COUNT(F578:G578)&lt;2,"UNKNOWN_GP",IF(AND(F578=0,G578=0),IF(AD578&gt;=10,"FARM_LEGACY_10",IF(AND(ISNUMBER(AD578),AD578&gt;0),"FARM_CAREER_1_9","FARM_0_0")),IF(F578&gt;=1,IF(F578&lt;=3,"FARM_RECENT_1_3","FARM_RECENT_4_9"),"FARM_PREV_1_9_ONLY")))))))</x:f>
        <x:v>UNKNOWN_GP</x:v>
      </x:c>
      <x:c r="AF578" s="57" t="n">
        <x:f>AB578-T578</x:f>
        <x:v>0</x:v>
      </x:c>
      <x:c r="AG578" s="57" t="n">
        <x:f>AC578-U578</x:f>
        <x:v>0</x:v>
      </x:c>
    </x:row>
    <x:row r="579">
      <x:c r="A579" t="s">
        <x:v>1602</x:v>
      </x:c>
      <x:c r="C579" t="s">
        <x:v>319</x:v>
      </x:c>
      <x:c r="D579">
        <x:v>8484383</x:v>
      </x:c>
      <x:c r="E579" t="s">
        <x:v>267</x:v>
      </x:c>
      <x:c r="J579" t="s">
        <x:v>2474</x:v>
      </x:c>
      <x:c r="K579">
        <x:v>67</x:v>
      </x:c>
      <x:c r="L579">
        <x:v>31</x:v>
      </x:c>
      <x:c r="M579">
        <x:v>77</x:v>
      </x:c>
      <x:c r="N579">
        <x:v>39</x:v>
      </x:c>
      <x:c r="O579">
        <x:v>77</x:v>
      </x:c>
      <x:c r="P579">
        <x:v>77</x:v>
      </x:c>
      <x:c r="Q579">
        <x:v>80</x:v>
      </x:c>
      <x:c r="R579">
        <x:v>40</x:v>
      </x:c>
      <x:c r="S579">
        <x:v>77</x:v>
      </x:c>
      <x:c r="T579" s="63" t="n">
        <x:f>MAX(30,MIN(AB579-VLOOKUP(AE579,'AHL_PA_SC_BALANCE'!$A$8:$E$18,2,FALSE),VLOOKUP(AE579,'AHL_PA_SC_BALANCE'!$A$8:$E$18,4,FALSE)))</x:f>
        <x:v>40</x:v>
      </x:c>
      <x:c r="U579" s="63" t="n">
        <x:f>MAX(30,MIN(AC579-VLOOKUP(AE579,'AHL_PA_SC_BALANCE'!$A$8:$E$18,3,FALSE),VLOOKUP(AE579,'AHL_PA_SC_BALANCE'!$A$8:$E$18,5,FALSE)))</x:f>
        <x:v>42</x:v>
      </x:c>
      <x:c r="V579">
        <x:v>60</x:v>
      </x:c>
      <x:c r="W579">
        <x:v>60</x:v>
      </x:c>
      <x:c r="X579">
        <x:v>70</x:v>
      </x:c>
      <x:c r="Y579">
        <x:v>70</x:v>
      </x:c>
      <x:c r="Z579">
        <x:v>51</x:v>
      </x:c>
      <x:c r="AA579">
        <x:v>49</x:v>
      </x:c>
      <x:c r="AB579" s="57" t="n">
        <x:v>40</x:v>
      </x:c>
      <x:c r="AC579" s="57" t="n">
        <x:v>42</x:v>
      </x:c>
      <x:c r="AD579" s="59"/>
      <x:c r="AE579" s="61" t="str">
        <x:f>IF(N(F579)&gt;=10,"NHL_LATEST_10",IF(AND(N(F579)&gt;0,N(G579)&gt;0),"NHL_BOTH_SEASONS",IF(N(G579)&gt;=10,"NHL_PREVIOUS_10",IF(AND(ISNUMBER(AD579),AD579=0,SUM(F579:G579)=0),"FARM_CAREER_0",IF(COUNT(F579:G579)&lt;2,"UNKNOWN_GP",IF(AND(F579=0,G579=0),IF(AD579&gt;=10,"FARM_LEGACY_10",IF(AND(ISNUMBER(AD579),AD579&gt;0),"FARM_CAREER_1_9","FARM_0_0")),IF(F579&gt;=1,IF(F579&lt;=3,"FARM_RECENT_1_3","FARM_RECENT_4_9"),"FARM_PREV_1_9_ONLY")))))))</x:f>
        <x:v>UNKNOWN_GP</x:v>
      </x:c>
      <x:c r="AF579" s="57" t="n">
        <x:f>AB579-T579</x:f>
        <x:v>0</x:v>
      </x:c>
      <x:c r="AG579" s="57" t="n">
        <x:f>AC579-U579</x:f>
        <x:v>0</x:v>
      </x:c>
    </x:row>
    <x:row r="580">
      <x:c r="A580" t="s">
        <x:v>1603</x:v>
      </x:c>
      <x:c r="C580" t="s">
        <x:v>331</x:v>
      </x:c>
      <x:c r="D580">
        <x:v>8486182</x:v>
      </x:c>
      <x:c r="E580" t="s">
        <x:v>267</x:v>
      </x:c>
      <x:c r="J580" t="s">
        <x:v>2474</x:v>
      </x:c>
      <x:c r="K580">
        <x:v>67</x:v>
      </x:c>
      <x:c r="L580">
        <x:v>34</x:v>
      </x:c>
      <x:c r="M580">
        <x:v>89</x:v>
      </x:c>
      <x:c r="N580">
        <x:v>31</x:v>
      </x:c>
      <x:c r="O580">
        <x:v>77</x:v>
      </x:c>
      <x:c r="P580">
        <x:v>68</x:v>
      </x:c>
      <x:c r="Q580">
        <x:v>71</x:v>
      </x:c>
      <x:c r="R580">
        <x:v>32</x:v>
      </x:c>
      <x:c r="S580">
        <x:v>30</x:v>
      </x:c>
      <x:c r="T580" s="63" t="n">
        <x:f>MAX(30,MIN(AB580-VLOOKUP(AE580,'AHL_PA_SC_BALANCE'!$A$8:$E$18,2,FALSE),VLOOKUP(AE580,'AHL_PA_SC_BALANCE'!$A$8:$E$18,4,FALSE)))</x:f>
        <x:v>39</x:v>
      </x:c>
      <x:c r="U580" s="63" t="n">
        <x:f>MAX(30,MIN(AC580-VLOOKUP(AE580,'AHL_PA_SC_BALANCE'!$A$8:$E$18,3,FALSE),VLOOKUP(AE580,'AHL_PA_SC_BALANCE'!$A$8:$E$18,5,FALSE)))</x:f>
        <x:v>38</x:v>
      </x:c>
      <x:c r="V580">
        <x:v>65</x:v>
      </x:c>
      <x:c r="W580">
        <x:v>43</x:v>
      </x:c>
      <x:c r="X580">
        <x:v>66</x:v>
      </x:c>
      <x:c r="Y580">
        <x:v>65</x:v>
      </x:c>
      <x:c r="Z580">
        <x:v>51</x:v>
      </x:c>
      <x:c r="AA580">
        <x:v>49</x:v>
      </x:c>
      <x:c r="AB580" s="57" t="n">
        <x:v>39</x:v>
      </x:c>
      <x:c r="AC580" s="57" t="n">
        <x:v>38</x:v>
      </x:c>
      <x:c r="AD580" s="59"/>
      <x:c r="AE580" s="61" t="str">
        <x:f>IF(N(F580)&gt;=10,"NHL_LATEST_10",IF(AND(N(F580)&gt;0,N(G580)&gt;0),"NHL_BOTH_SEASONS",IF(N(G580)&gt;=10,"NHL_PREVIOUS_10",IF(AND(ISNUMBER(AD580),AD580=0,SUM(F580:G580)=0),"FARM_CAREER_0",IF(COUNT(F580:G580)&lt;2,"UNKNOWN_GP",IF(AND(F580=0,G580=0),IF(AD580&gt;=10,"FARM_LEGACY_10",IF(AND(ISNUMBER(AD580),AD580&gt;0),"FARM_CAREER_1_9","FARM_0_0")),IF(F580&gt;=1,IF(F580&lt;=3,"FARM_RECENT_1_3","FARM_RECENT_4_9"),"FARM_PREV_1_9_ONLY")))))))</x:f>
        <x:v>UNKNOWN_GP</x:v>
      </x:c>
      <x:c r="AF580" s="57" t="n">
        <x:f>AB580-T580</x:f>
        <x:v>0</x:v>
      </x:c>
      <x:c r="AG580" s="57" t="n">
        <x:f>AC580-U580</x:f>
        <x:v>0</x:v>
      </x:c>
    </x:row>
    <x:row r="581">
      <x:c r="A581" t="s">
        <x:v>1604</x:v>
      </x:c>
      <x:c r="C581" t="s">
        <x:v>339</x:v>
      </x:c>
      <x:c r="D581">
        <x:v>8481561</x:v>
      </x:c>
      <x:c r="E581" t="s">
        <x:v>267</x:v>
      </x:c>
      <x:c r="J581" t="s">
        <x:v>2474</x:v>
      </x:c>
      <x:c r="K581">
        <x:v>57</x:v>
      </x:c>
      <x:c r="L581">
        <x:v>31</x:v>
      </x:c>
      <x:c r="M581">
        <x:v>82</x:v>
      </x:c>
      <x:c r="N581">
        <x:v>45</x:v>
      </x:c>
      <x:c r="O581">
        <x:v>77</x:v>
      </x:c>
      <x:c r="P581">
        <x:v>80</x:v>
      </x:c>
      <x:c r="Q581">
        <x:v>83</x:v>
      </x:c>
      <x:c r="R581">
        <x:v>46</x:v>
      </x:c>
      <x:c r="S581">
        <x:v>75</x:v>
      </x:c>
      <x:c r="T581" s="63" t="n">
        <x:f>MAX(30,MIN(AB581-VLOOKUP(AE581,'AHL_PA_SC_BALANCE'!$A$8:$E$18,2,FALSE),VLOOKUP(AE581,'AHL_PA_SC_BALANCE'!$A$8:$E$18,4,FALSE)))</x:f>
        <x:v>46</x:v>
      </x:c>
      <x:c r="U581" s="63" t="n">
        <x:f>MAX(30,MIN(AC581-VLOOKUP(AE581,'AHL_PA_SC_BALANCE'!$A$8:$E$18,3,FALSE),VLOOKUP(AE581,'AHL_PA_SC_BALANCE'!$A$8:$E$18,5,FALSE)))</x:f>
        <x:v>45</x:v>
      </x:c>
      <x:c r="V581">
        <x:v>58</x:v>
      </x:c>
      <x:c r="W581">
        <x:v>66</x:v>
      </x:c>
      <x:c r="X581">
        <x:v>68</x:v>
      </x:c>
      <x:c r="Y581">
        <x:v>67</x:v>
      </x:c>
      <x:c r="Z581">
        <x:v>51</x:v>
      </x:c>
      <x:c r="AA581">
        <x:v>49</x:v>
      </x:c>
      <x:c r="AB581" s="57" t="n">
        <x:v>46</x:v>
      </x:c>
      <x:c r="AC581" s="57" t="n">
        <x:v>45</x:v>
      </x:c>
      <x:c r="AD581" s="59"/>
      <x:c r="AE581" s="61" t="str">
        <x:f>IF(N(F581)&gt;=10,"NHL_LATEST_10",IF(AND(N(F581)&gt;0,N(G581)&gt;0),"NHL_BOTH_SEASONS",IF(N(G581)&gt;=10,"NHL_PREVIOUS_10",IF(AND(ISNUMBER(AD581),AD581=0,SUM(F581:G581)=0),"FARM_CAREER_0",IF(COUNT(F581:G581)&lt;2,"UNKNOWN_GP",IF(AND(F581=0,G581=0),IF(AD581&gt;=10,"FARM_LEGACY_10",IF(AND(ISNUMBER(AD581),AD581&gt;0),"FARM_CAREER_1_9","FARM_0_0")),IF(F581&gt;=1,IF(F581&lt;=3,"FARM_RECENT_1_3","FARM_RECENT_4_9"),"FARM_PREV_1_9_ONLY")))))))</x:f>
        <x:v>UNKNOWN_GP</x:v>
      </x:c>
      <x:c r="AF581" s="57" t="n">
        <x:f>AB581-T581</x:f>
        <x:v>0</x:v>
      </x:c>
      <x:c r="AG581" s="57" t="n">
        <x:f>AC581-U581</x:f>
        <x:v>0</x:v>
      </x:c>
    </x:row>
    <x:row r="582">
      <x:c r="A582" t="s">
        <x:v>1605</x:v>
      </x:c>
      <x:c r="C582" t="s">
        <x:v>326</x:v>
      </x:c>
      <x:c r="D582">
        <x:v>8482727</x:v>
      </x:c>
      <x:c r="E582" t="s">
        <x:v>267</x:v>
      </x:c>
      <x:c r="J582" t="s">
        <x:v>2474</x:v>
      </x:c>
      <x:c r="K582">
        <x:v>60</x:v>
      </x:c>
      <x:c r="L582">
        <x:v>32</x:v>
      </x:c>
      <x:c r="M582">
        <x:v>87</x:v>
      </x:c>
      <x:c r="N582">
        <x:v>42</x:v>
      </x:c>
      <x:c r="O582">
        <x:v>79</x:v>
      </x:c>
      <x:c r="P582">
        <x:v>77</x:v>
      </x:c>
      <x:c r="Q582">
        <x:v>78</x:v>
      </x:c>
      <x:c r="R582">
        <x:v>43</x:v>
      </x:c>
      <x:c r="S582">
        <x:v>70</x:v>
      </x:c>
      <x:c r="T582" s="63" t="n">
        <x:f>MAX(30,MIN(AB582-VLOOKUP(AE582,'AHL_PA_SC_BALANCE'!$A$8:$E$18,2,FALSE),VLOOKUP(AE582,'AHL_PA_SC_BALANCE'!$A$8:$E$18,4,FALSE)))</x:f>
        <x:v>48</x:v>
      </x:c>
      <x:c r="U582" s="63" t="n">
        <x:f>MAX(30,MIN(AC582-VLOOKUP(AE582,'AHL_PA_SC_BALANCE'!$A$8:$E$18,3,FALSE),VLOOKUP(AE582,'AHL_PA_SC_BALANCE'!$A$8:$E$18,5,FALSE)))</x:f>
        <x:v>43</x:v>
      </x:c>
      <x:c r="V582">
        <x:v>59</x:v>
      </x:c>
      <x:c r="W582">
        <x:v>65</x:v>
      </x:c>
      <x:c r="X582">
        <x:v>66</x:v>
      </x:c>
      <x:c r="Y582">
        <x:v>66</x:v>
      </x:c>
      <x:c r="Z582">
        <x:v>51</x:v>
      </x:c>
      <x:c r="AA582">
        <x:v>49</x:v>
      </x:c>
      <x:c r="AB582" s="57" t="n">
        <x:v>48</x:v>
      </x:c>
      <x:c r="AC582" s="57" t="n">
        <x:v>43</x:v>
      </x:c>
      <x:c r="AD582" s="59"/>
      <x:c r="AE582" s="61" t="str">
        <x:f>IF(N(F582)&gt;=10,"NHL_LATEST_10",IF(AND(N(F582)&gt;0,N(G582)&gt;0),"NHL_BOTH_SEASONS",IF(N(G582)&gt;=10,"NHL_PREVIOUS_10",IF(AND(ISNUMBER(AD582),AD582=0,SUM(F582:G582)=0),"FARM_CAREER_0",IF(COUNT(F582:G582)&lt;2,"UNKNOWN_GP",IF(AND(F582=0,G582=0),IF(AD582&gt;=10,"FARM_LEGACY_10",IF(AND(ISNUMBER(AD582),AD582&gt;0),"FARM_CAREER_1_9","FARM_0_0")),IF(F582&gt;=1,IF(F582&lt;=3,"FARM_RECENT_1_3","FARM_RECENT_4_9"),"FARM_PREV_1_9_ONLY")))))))</x:f>
        <x:v>UNKNOWN_GP</x:v>
      </x:c>
      <x:c r="AF582" s="57" t="n">
        <x:f>AB582-T582</x:f>
        <x:v>0</x:v>
      </x:c>
      <x:c r="AG582" s="57" t="n">
        <x:f>AC582-U582</x:f>
        <x:v>0</x:v>
      </x:c>
    </x:row>
    <x:row r="583">
      <x:c r="A583" t="s">
        <x:v>1606</x:v>
      </x:c>
      <x:c r="C583" t="s">
        <x:v>331</x:v>
      </x:c>
      <x:c r="D583">
        <x:v>8481849</x:v>
      </x:c>
      <x:c r="E583" t="s">
        <x:v>267</x:v>
      </x:c>
      <x:c r="J583" t="s">
        <x:v>2474</x:v>
      </x:c>
      <x:c r="K583">
        <x:v>63</x:v>
      </x:c>
      <x:c r="L583">
        <x:v>64</x:v>
      </x:c>
      <x:c r="M583">
        <x:v>83</x:v>
      </x:c>
      <x:c r="N583">
        <x:v>30</x:v>
      </x:c>
      <x:c r="O583">
        <x:v>86</x:v>
      </x:c>
      <x:c r="P583">
        <x:v>76</x:v>
      </x:c>
      <x:c r="Q583">
        <x:v>79</x:v>
      </x:c>
      <x:c r="R583">
        <x:v>31</x:v>
      </x:c>
      <x:c r="S583">
        <x:v>30</x:v>
      </x:c>
      <x:c r="T583" s="63" t="n">
        <x:f>MAX(30,MIN(AB583-VLOOKUP(AE583,'AHL_PA_SC_BALANCE'!$A$8:$E$18,2,FALSE),VLOOKUP(AE583,'AHL_PA_SC_BALANCE'!$A$8:$E$18,4,FALSE)))</x:f>
        <x:v>39</x:v>
      </x:c>
      <x:c r="U583" s="63" t="n">
        <x:f>MAX(30,MIN(AC583-VLOOKUP(AE583,'AHL_PA_SC_BALANCE'!$A$8:$E$18,3,FALSE),VLOOKUP(AE583,'AHL_PA_SC_BALANCE'!$A$8:$E$18,5,FALSE)))</x:f>
        <x:v>39</x:v>
      </x:c>
      <x:c r="V583">
        <x:v>65</x:v>
      </x:c>
      <x:c r="W583">
        <x:v>44</x:v>
      </x:c>
      <x:c r="X583">
        <x:v>69</x:v>
      </x:c>
      <x:c r="Y583">
        <x:v>68</x:v>
      </x:c>
      <x:c r="Z583">
        <x:v>51</x:v>
      </x:c>
      <x:c r="AA583">
        <x:v>49</x:v>
      </x:c>
      <x:c r="AB583" s="57" t="n">
        <x:v>39</x:v>
      </x:c>
      <x:c r="AC583" s="57" t="n">
        <x:v>39</x:v>
      </x:c>
      <x:c r="AD583" s="59"/>
      <x:c r="AE583" s="61" t="str">
        <x:f>IF(N(F583)&gt;=10,"NHL_LATEST_10",IF(AND(N(F583)&gt;0,N(G583)&gt;0),"NHL_BOTH_SEASONS",IF(N(G583)&gt;=10,"NHL_PREVIOUS_10",IF(AND(ISNUMBER(AD583),AD583=0,SUM(F583:G583)=0),"FARM_CAREER_0",IF(COUNT(F583:G583)&lt;2,"UNKNOWN_GP",IF(AND(F583=0,G583=0),IF(AD583&gt;=10,"FARM_LEGACY_10",IF(AND(ISNUMBER(AD583),AD583&gt;0),"FARM_CAREER_1_9","FARM_0_0")),IF(F583&gt;=1,IF(F583&lt;=3,"FARM_RECENT_1_3","FARM_RECENT_4_9"),"FARM_PREV_1_9_ONLY")))))))</x:f>
        <x:v>UNKNOWN_GP</x:v>
      </x:c>
      <x:c r="AF583" s="57" t="n">
        <x:f>AB583-T583</x:f>
        <x:v>0</x:v>
      </x:c>
      <x:c r="AG583" s="57" t="n">
        <x:f>AC583-U583</x:f>
        <x:v>0</x:v>
      </x:c>
    </x:row>
    <x:row r="584">
      <x:c r="A584" t="s">
        <x:v>1607</x:v>
      </x:c>
      <x:c r="C584" t="s">
        <x:v>331</x:v>
      </x:c>
      <x:c r="D584">
        <x:v>8481790</x:v>
      </x:c>
      <x:c r="E584" t="s">
        <x:v>267</x:v>
      </x:c>
      <x:c r="J584" t="s">
        <x:v>2474</x:v>
      </x:c>
      <x:c r="K584">
        <x:v>68</x:v>
      </x:c>
      <x:c r="L584">
        <x:v>34</x:v>
      </x:c>
      <x:c r="M584">
        <x:v>79</x:v>
      </x:c>
      <x:c r="N584">
        <x:v>32</x:v>
      </x:c>
      <x:c r="O584">
        <x:v>78</x:v>
      </x:c>
      <x:c r="P584">
        <x:v>68</x:v>
      </x:c>
      <x:c r="Q584">
        <x:v>71</x:v>
      </x:c>
      <x:c r="R584">
        <x:v>33</x:v>
      </x:c>
      <x:c r="S584">
        <x:v>30</x:v>
      </x:c>
      <x:c r="T584" s="63" t="n">
        <x:f>MAX(30,MIN(AB584-VLOOKUP(AE584,'AHL_PA_SC_BALANCE'!$A$8:$E$18,2,FALSE),VLOOKUP(AE584,'AHL_PA_SC_BALANCE'!$A$8:$E$18,4,FALSE)))</x:f>
        <x:v>39</x:v>
      </x:c>
      <x:c r="U584" s="63" t="n">
        <x:f>MAX(30,MIN(AC584-VLOOKUP(AE584,'AHL_PA_SC_BALANCE'!$A$8:$E$18,3,FALSE),VLOOKUP(AE584,'AHL_PA_SC_BALANCE'!$A$8:$E$18,5,FALSE)))</x:f>
        <x:v>38</x:v>
      </x:c>
      <x:c r="V584">
        <x:v>64</x:v>
      </x:c>
      <x:c r="W584">
        <x:v>43</x:v>
      </x:c>
      <x:c r="X584">
        <x:v>67</x:v>
      </x:c>
      <x:c r="Y584">
        <x:v>66</x:v>
      </x:c>
      <x:c r="Z584">
        <x:v>51</x:v>
      </x:c>
      <x:c r="AA584">
        <x:v>49</x:v>
      </x:c>
      <x:c r="AB584" s="57" t="n">
        <x:v>39</x:v>
      </x:c>
      <x:c r="AC584" s="57" t="n">
        <x:v>38</x:v>
      </x:c>
      <x:c r="AD584" s="59"/>
      <x:c r="AE584" s="61" t="str">
        <x:f>IF(N(F584)&gt;=10,"NHL_LATEST_10",IF(AND(N(F584)&gt;0,N(G584)&gt;0),"NHL_BOTH_SEASONS",IF(N(G584)&gt;=10,"NHL_PREVIOUS_10",IF(AND(ISNUMBER(AD584),AD584=0,SUM(F584:G584)=0),"FARM_CAREER_0",IF(COUNT(F584:G584)&lt;2,"UNKNOWN_GP",IF(AND(F584=0,G584=0),IF(AD584&gt;=10,"FARM_LEGACY_10",IF(AND(ISNUMBER(AD584),AD584&gt;0),"FARM_CAREER_1_9","FARM_0_0")),IF(F584&gt;=1,IF(F584&lt;=3,"FARM_RECENT_1_3","FARM_RECENT_4_9"),"FARM_PREV_1_9_ONLY")))))))</x:f>
        <x:v>UNKNOWN_GP</x:v>
      </x:c>
      <x:c r="AF584" s="57" t="n">
        <x:f>AB584-T584</x:f>
        <x:v>0</x:v>
      </x:c>
      <x:c r="AG584" s="57" t="n">
        <x:f>AC584-U584</x:f>
        <x:v>0</x:v>
      </x:c>
    </x:row>
    <x:row r="585">
      <x:c r="A585" t="s">
        <x:v>1608</x:v>
      </x:c>
      <x:c r="C585" t="s">
        <x:v>331</x:v>
      </x:c>
      <x:c r="D585">
        <x:v>8484151</x:v>
      </x:c>
      <x:c r="E585" t="s">
        <x:v>267</x:v>
      </x:c>
      <x:c r="J585" t="s">
        <x:v>2474</x:v>
      </x:c>
      <x:c r="K585">
        <x:v>69</x:v>
      </x:c>
      <x:c r="L585">
        <x:v>55</x:v>
      </x:c>
      <x:c r="M585">
        <x:v>70</x:v>
      </x:c>
      <x:c r="N585">
        <x:v>32</x:v>
      </x:c>
      <x:c r="O585">
        <x:v>83</x:v>
      </x:c>
      <x:c r="P585">
        <x:v>75</x:v>
      </x:c>
      <x:c r="Q585">
        <x:v>78</x:v>
      </x:c>
      <x:c r="R585">
        <x:v>33</x:v>
      </x:c>
      <x:c r="S585">
        <x:v>30</x:v>
      </x:c>
      <x:c r="T585" s="63" t="n">
        <x:f>MAX(30,MIN(AB585-VLOOKUP(AE585,'AHL_PA_SC_BALANCE'!$A$8:$E$18,2,FALSE),VLOOKUP(AE585,'AHL_PA_SC_BALANCE'!$A$8:$E$18,4,FALSE)))</x:f>
        <x:v>42</x:v>
      </x:c>
      <x:c r="U585" s="63" t="n">
        <x:f>MAX(30,MIN(AC585-VLOOKUP(AE585,'AHL_PA_SC_BALANCE'!$A$8:$E$18,3,FALSE),VLOOKUP(AE585,'AHL_PA_SC_BALANCE'!$A$8:$E$18,5,FALSE)))</x:f>
        <x:v>37</x:v>
      </x:c>
      <x:c r="V585">
        <x:v>65</x:v>
      </x:c>
      <x:c r="W585">
        <x:v>44</x:v>
      </x:c>
      <x:c r="X585">
        <x:v>65</x:v>
      </x:c>
      <x:c r="Y585">
        <x:v>65</x:v>
      </x:c>
      <x:c r="Z585">
        <x:v>51</x:v>
      </x:c>
      <x:c r="AA585">
        <x:v>49</x:v>
      </x:c>
      <x:c r="AB585" s="57" t="n">
        <x:v>42</x:v>
      </x:c>
      <x:c r="AC585" s="57" t="n">
        <x:v>37</x:v>
      </x:c>
      <x:c r="AD585" s="59"/>
      <x:c r="AE585" s="61" t="str">
        <x:f>IF(N(F585)&gt;=10,"NHL_LATEST_10",IF(AND(N(F585)&gt;0,N(G585)&gt;0),"NHL_BOTH_SEASONS",IF(N(G585)&gt;=10,"NHL_PREVIOUS_10",IF(AND(ISNUMBER(AD585),AD585=0,SUM(F585:G585)=0),"FARM_CAREER_0",IF(COUNT(F585:G585)&lt;2,"UNKNOWN_GP",IF(AND(F585=0,G585=0),IF(AD585&gt;=10,"FARM_LEGACY_10",IF(AND(ISNUMBER(AD585),AD585&gt;0),"FARM_CAREER_1_9","FARM_0_0")),IF(F585&gt;=1,IF(F585&lt;=3,"FARM_RECENT_1_3","FARM_RECENT_4_9"),"FARM_PREV_1_9_ONLY")))))))</x:f>
        <x:v>UNKNOWN_GP</x:v>
      </x:c>
      <x:c r="AF585" s="57" t="n">
        <x:f>AB585-T585</x:f>
        <x:v>0</x:v>
      </x:c>
      <x:c r="AG585" s="57" t="n">
        <x:f>AC585-U585</x:f>
        <x:v>0</x:v>
      </x:c>
    </x:row>
    <x:row r="586">
      <x:c r="A586" t="s">
        <x:v>1609</x:v>
      </x:c>
      <x:c r="C586" t="s">
        <x:v>319</x:v>
      </x:c>
      <x:c r="D586">
        <x:v>8477314</x:v>
      </x:c>
      <x:c r="E586" t="s">
        <x:v>267</x:v>
      </x:c>
      <x:c r="J586" t="s">
        <x:v>2474</x:v>
      </x:c>
      <x:c r="K586">
        <x:v>63</x:v>
      </x:c>
      <x:c r="L586">
        <x:v>37</x:v>
      </x:c>
      <x:c r="M586">
        <x:v>90</x:v>
      </x:c>
      <x:c r="N586">
        <x:v>44</x:v>
      </x:c>
      <x:c r="O586">
        <x:v>81</x:v>
      </x:c>
      <x:c r="P586">
        <x:v>92</x:v>
      </x:c>
      <x:c r="Q586">
        <x:v>95</x:v>
      </x:c>
      <x:c r="R586">
        <x:v>44</x:v>
      </x:c>
      <x:c r="S586">
        <x:v>77</x:v>
      </x:c>
      <x:c r="T586" s="63" t="n">
        <x:f>MAX(30,MIN(AB586-VLOOKUP(AE586,'AHL_PA_SC_BALANCE'!$A$8:$E$18,2,FALSE),VLOOKUP(AE586,'AHL_PA_SC_BALANCE'!$A$8:$E$18,4,FALSE)))</x:f>
        <x:v>45</x:v>
      </x:c>
      <x:c r="U586" s="63" t="n">
        <x:f>MAX(30,MIN(AC586-VLOOKUP(AE586,'AHL_PA_SC_BALANCE'!$A$8:$E$18,3,FALSE),VLOOKUP(AE586,'AHL_PA_SC_BALANCE'!$A$8:$E$18,5,FALSE)))</x:f>
        <x:v>44</x:v>
      </x:c>
      <x:c r="V586">
        <x:v>59</x:v>
      </x:c>
      <x:c r="W586">
        <x:v>65</x:v>
      </x:c>
      <x:c r="X586">
        <x:v>74</x:v>
      </x:c>
      <x:c r="Y586">
        <x:v>75</x:v>
      </x:c>
      <x:c r="Z586">
        <x:v>51</x:v>
      </x:c>
      <x:c r="AA586">
        <x:v>49</x:v>
      </x:c>
      <x:c r="AB586" s="57" t="n">
        <x:v>45</x:v>
      </x:c>
      <x:c r="AC586" s="57" t="n">
        <x:v>44</x:v>
      </x:c>
      <x:c r="AD586" s="59"/>
      <x:c r="AE586" s="61" t="str">
        <x:f>IF(N(F586)&gt;=10,"NHL_LATEST_10",IF(AND(N(F586)&gt;0,N(G586)&gt;0),"NHL_BOTH_SEASONS",IF(N(G586)&gt;=10,"NHL_PREVIOUS_10",IF(AND(ISNUMBER(AD586),AD586=0,SUM(F586:G586)=0),"FARM_CAREER_0",IF(COUNT(F586:G586)&lt;2,"UNKNOWN_GP",IF(AND(F586=0,G586=0),IF(AD586&gt;=10,"FARM_LEGACY_10",IF(AND(ISNUMBER(AD586),AD586&gt;0),"FARM_CAREER_1_9","FARM_0_0")),IF(F586&gt;=1,IF(F586&lt;=3,"FARM_RECENT_1_3","FARM_RECENT_4_9"),"FARM_PREV_1_9_ONLY")))))))</x:f>
        <x:v>UNKNOWN_GP</x:v>
      </x:c>
      <x:c r="AF586" s="57" t="n">
        <x:f>AB586-T586</x:f>
        <x:v>0</x:v>
      </x:c>
      <x:c r="AG586" s="57" t="n">
        <x:f>AC586-U586</x:f>
        <x:v>0</x:v>
      </x:c>
    </x:row>
    <x:row r="587">
      <x:c r="A587" t="s">
        <x:v>1610</x:v>
      </x:c>
      <x:c r="C587" t="s">
        <x:v>331</x:v>
      </x:c>
      <x:c r="D587">
        <x:v>8486154</x:v>
      </x:c>
      <x:c r="E587" t="s">
        <x:v>267</x:v>
      </x:c>
      <x:c r="J587" t="s">
        <x:v>2474</x:v>
      </x:c>
      <x:c r="K587">
        <x:v>65</x:v>
      </x:c>
      <x:c r="L587">
        <x:v>35</x:v>
      </x:c>
      <x:c r="M587">
        <x:v>82</x:v>
      </x:c>
      <x:c r="N587">
        <x:v>31</x:v>
      </x:c>
      <x:c r="O587">
        <x:v>81</x:v>
      </x:c>
      <x:c r="P587">
        <x:v>70</x:v>
      </x:c>
      <x:c r="Q587">
        <x:v>73</x:v>
      </x:c>
      <x:c r="R587">
        <x:v>32</x:v>
      </x:c>
      <x:c r="S587">
        <x:v>30</x:v>
      </x:c>
      <x:c r="T587" s="63" t="n">
        <x:f>MAX(30,MIN(AB587-VLOOKUP(AE587,'AHL_PA_SC_BALANCE'!$A$8:$E$18,2,FALSE),VLOOKUP(AE587,'AHL_PA_SC_BALANCE'!$A$8:$E$18,4,FALSE)))</x:f>
        <x:v>41</x:v>
      </x:c>
      <x:c r="U587" s="63" t="n">
        <x:f>MAX(30,MIN(AC587-VLOOKUP(AE587,'AHL_PA_SC_BALANCE'!$A$8:$E$18,3,FALSE),VLOOKUP(AE587,'AHL_PA_SC_BALANCE'!$A$8:$E$18,5,FALSE)))</x:f>
        <x:v>38</x:v>
      </x:c>
      <x:c r="V587">
        <x:v>65</x:v>
      </x:c>
      <x:c r="W587">
        <x:v>44</x:v>
      </x:c>
      <x:c r="X587">
        <x:v>66</x:v>
      </x:c>
      <x:c r="Y587">
        <x:v>66</x:v>
      </x:c>
      <x:c r="Z587">
        <x:v>51</x:v>
      </x:c>
      <x:c r="AA587">
        <x:v>49</x:v>
      </x:c>
      <x:c r="AB587" s="57" t="n">
        <x:v>41</x:v>
      </x:c>
      <x:c r="AC587" s="57" t="n">
        <x:v>38</x:v>
      </x:c>
      <x:c r="AD587" s="59"/>
      <x:c r="AE587" s="61" t="str">
        <x:f>IF(N(F587)&gt;=10,"NHL_LATEST_10",IF(AND(N(F587)&gt;0,N(G587)&gt;0),"NHL_BOTH_SEASONS",IF(N(G587)&gt;=10,"NHL_PREVIOUS_10",IF(AND(ISNUMBER(AD587),AD587=0,SUM(F587:G587)=0),"FARM_CAREER_0",IF(COUNT(F587:G587)&lt;2,"UNKNOWN_GP",IF(AND(F587=0,G587=0),IF(AD587&gt;=10,"FARM_LEGACY_10",IF(AND(ISNUMBER(AD587),AD587&gt;0),"FARM_CAREER_1_9","FARM_0_0")),IF(F587&gt;=1,IF(F587&lt;=3,"FARM_RECENT_1_3","FARM_RECENT_4_9"),"FARM_PREV_1_9_ONLY")))))))</x:f>
        <x:v>UNKNOWN_GP</x:v>
      </x:c>
      <x:c r="AF587" s="57" t="n">
        <x:f>AB587-T587</x:f>
        <x:v>0</x:v>
      </x:c>
      <x:c r="AG587" s="57" t="n">
        <x:f>AC587-U587</x:f>
        <x:v>0</x:v>
      </x:c>
    </x:row>
    <x:row r="588">
      <x:c r="A588" t="s">
        <x:v>1611</x:v>
      </x:c>
      <x:c r="C588" t="s">
        <x:v>331</x:v>
      </x:c>
      <x:c r="D588">
        <x:v>8483834</x:v>
      </x:c>
      <x:c r="E588" t="s">
        <x:v>267</x:v>
      </x:c>
      <x:c r="J588" t="s">
        <x:v>2474</x:v>
      </x:c>
      <x:c r="K588">
        <x:v>70</x:v>
      </x:c>
      <x:c r="L588">
        <x:v>37</x:v>
      </x:c>
      <x:c r="M588">
        <x:v>88</x:v>
      </x:c>
      <x:c r="N588">
        <x:v>30</x:v>
      </x:c>
      <x:c r="O588">
        <x:v>79</x:v>
      </x:c>
      <x:c r="P588">
        <x:v>71</x:v>
      </x:c>
      <x:c r="Q588">
        <x:v>72</x:v>
      </x:c>
      <x:c r="R588">
        <x:v>31</x:v>
      </x:c>
      <x:c r="S588">
        <x:v>30</x:v>
      </x:c>
      <x:c r="T588" s="63" t="n">
        <x:f>MAX(30,MIN(AB588-VLOOKUP(AE588,'AHL_PA_SC_BALANCE'!$A$8:$E$18,2,FALSE),VLOOKUP(AE588,'AHL_PA_SC_BALANCE'!$A$8:$E$18,4,FALSE)))</x:f>
        <x:v>40</x:v>
      </x:c>
      <x:c r="U588" s="63" t="n">
        <x:f>MAX(30,MIN(AC588-VLOOKUP(AE588,'AHL_PA_SC_BALANCE'!$A$8:$E$18,3,FALSE),VLOOKUP(AE588,'AHL_PA_SC_BALANCE'!$A$8:$E$18,5,FALSE)))</x:f>
        <x:v>38</x:v>
      </x:c>
      <x:c r="V588">
        <x:v>64</x:v>
      </x:c>
      <x:c r="W588">
        <x:v>44</x:v>
      </x:c>
      <x:c r="X588">
        <x:v>68</x:v>
      </x:c>
      <x:c r="Y588">
        <x:v>69</x:v>
      </x:c>
      <x:c r="Z588">
        <x:v>51</x:v>
      </x:c>
      <x:c r="AA588">
        <x:v>49</x:v>
      </x:c>
      <x:c r="AB588" s="57" t="n">
        <x:v>40</x:v>
      </x:c>
      <x:c r="AC588" s="57" t="n">
        <x:v>38</x:v>
      </x:c>
      <x:c r="AD588" s="59"/>
      <x:c r="AE588" s="61" t="str">
        <x:f>IF(N(F588)&gt;=10,"NHL_LATEST_10",IF(AND(N(F588)&gt;0,N(G588)&gt;0),"NHL_BOTH_SEASONS",IF(N(G588)&gt;=10,"NHL_PREVIOUS_10",IF(AND(ISNUMBER(AD588),AD588=0,SUM(F588:G588)=0),"FARM_CAREER_0",IF(COUNT(F588:G588)&lt;2,"UNKNOWN_GP",IF(AND(F588=0,G588=0),IF(AD588&gt;=10,"FARM_LEGACY_10",IF(AND(ISNUMBER(AD588),AD588&gt;0),"FARM_CAREER_1_9","FARM_0_0")),IF(F588&gt;=1,IF(F588&lt;=3,"FARM_RECENT_1_3","FARM_RECENT_4_9"),"FARM_PREV_1_9_ONLY")))))))</x:f>
        <x:v>UNKNOWN_GP</x:v>
      </x:c>
      <x:c r="AF588" s="57" t="n">
        <x:f>AB588-T588</x:f>
        <x:v>0</x:v>
      </x:c>
      <x:c r="AG588" s="57" t="n">
        <x:f>AC588-U588</x:f>
        <x:v>0</x:v>
      </x:c>
    </x:row>
    <x:row r="589">
      <x:c r="A589" t="s">
        <x:v>1612</x:v>
      </x:c>
      <x:c r="B589" t="s">
        <x:v>584</x:v>
      </x:c>
      <x:c r="C589" t="s">
        <x:v>331</x:v>
      </x:c>
      <x:c r="D589">
        <x:v>8483533</x:v>
      </x:c>
      <x:c r="E589" t="s">
        <x:v>267</x:v>
      </x:c>
      <x:c r="J589" t="s">
        <x:v>2476</x:v>
      </x:c>
      <x:c r="K589">
        <x:v>63</x:v>
      </x:c>
      <x:c r="L589">
        <x:v>33</x:v>
      </x:c>
      <x:c r="M589">
        <x:v>81</x:v>
      </x:c>
      <x:c r="N589">
        <x:v>30</x:v>
      </x:c>
      <x:c r="O589">
        <x:v>81</x:v>
      </x:c>
      <x:c r="P589">
        <x:v>69</x:v>
      </x:c>
      <x:c r="Q589">
        <x:v>72</x:v>
      </x:c>
      <x:c r="R589">
        <x:v>30</x:v>
      </x:c>
      <x:c r="S589">
        <x:v>30</x:v>
      </x:c>
      <x:c r="T589" s="63" t="n">
        <x:f>MAX(30,MIN(AB589-VLOOKUP(AE589,'AHL_PA_SC_BALANCE'!$A$8:$E$18,2,FALSE),VLOOKUP(AE589,'AHL_PA_SC_BALANCE'!$A$8:$E$18,4,FALSE)))</x:f>
        <x:v>39</x:v>
      </x:c>
      <x:c r="U589" s="63" t="n">
        <x:f>MAX(30,MIN(AC589-VLOOKUP(AE589,'AHL_PA_SC_BALANCE'!$A$8:$E$18,3,FALSE),VLOOKUP(AE589,'AHL_PA_SC_BALANCE'!$A$8:$E$18,5,FALSE)))</x:f>
        <x:v>38</x:v>
      </x:c>
      <x:c r="V589">
        <x:v>66</x:v>
      </x:c>
      <x:c r="W589">
        <x:v>43</x:v>
      </x:c>
      <x:c r="X589">
        <x:v>69</x:v>
      </x:c>
      <x:c r="Y589">
        <x:v>71</x:v>
      </x:c>
      <x:c r="Z589">
        <x:v>51</x:v>
      </x:c>
      <x:c r="AA589">
        <x:v>49</x:v>
      </x:c>
      <x:c r="AB589" s="57" t="n">
        <x:v>39</x:v>
      </x:c>
      <x:c r="AC589" s="57" t="n">
        <x:v>38</x:v>
      </x:c>
      <x:c r="AD589" s="59"/>
      <x:c r="AE589" s="61" t="str">
        <x:f>IF(N(F589)&gt;=10,"NHL_LATEST_10",IF(AND(N(F589)&gt;0,N(G589)&gt;0),"NHL_BOTH_SEASONS",IF(N(G589)&gt;=10,"NHL_PREVIOUS_10",IF(AND(ISNUMBER(AD589),AD589=0,SUM(F589:G589)=0),"FARM_CAREER_0",IF(COUNT(F589:G589)&lt;2,"UNKNOWN_GP",IF(AND(F589=0,G589=0),IF(AD589&gt;=10,"FARM_LEGACY_10",IF(AND(ISNUMBER(AD589),AD589&gt;0),"FARM_CAREER_1_9","FARM_0_0")),IF(F589&gt;=1,IF(F589&lt;=3,"FARM_RECENT_1_3","FARM_RECENT_4_9"),"FARM_PREV_1_9_ONLY")))))))</x:f>
        <x:v>UNKNOWN_GP</x:v>
      </x:c>
      <x:c r="AF589" s="57" t="n">
        <x:f>AB589-T589</x:f>
        <x:v>0</x:v>
      </x:c>
      <x:c r="AG589" s="57" t="n">
        <x:f>AC589-U589</x:f>
        <x:v>0</x:v>
      </x:c>
    </x:row>
    <x:row r="590">
      <x:c r="A590" t="s">
        <x:v>1613</x:v>
      </x:c>
      <x:c r="C590" t="s">
        <x:v>319</x:v>
      </x:c>
      <x:c r="D590">
        <x:v>8483039</x:v>
      </x:c>
      <x:c r="E590" t="s">
        <x:v>267</x:v>
      </x:c>
      <x:c r="J590" t="s">
        <x:v>2474</x:v>
      </x:c>
      <x:c r="K590">
        <x:v>59</x:v>
      </x:c>
      <x:c r="L590">
        <x:v>37</x:v>
      </x:c>
      <x:c r="M590">
        <x:v>79</x:v>
      </x:c>
      <x:c r="N590">
        <x:v>46</x:v>
      </x:c>
      <x:c r="O590">
        <x:v>77</x:v>
      </x:c>
      <x:c r="P590">
        <x:v>91</x:v>
      </x:c>
      <x:c r="Q590">
        <x:v>94</x:v>
      </x:c>
      <x:c r="R590">
        <x:v>45</x:v>
      </x:c>
      <x:c r="S590">
        <x:v>74</x:v>
      </x:c>
      <x:c r="T590" s="63" t="n">
        <x:f>MAX(30,MIN(AB590-VLOOKUP(AE590,'AHL_PA_SC_BALANCE'!$A$8:$E$18,2,FALSE),VLOOKUP(AE590,'AHL_PA_SC_BALANCE'!$A$8:$E$18,4,FALSE)))</x:f>
        <x:v>45</x:v>
      </x:c>
      <x:c r="U590" s="63" t="n">
        <x:f>MAX(30,MIN(AC590-VLOOKUP(AE590,'AHL_PA_SC_BALANCE'!$A$8:$E$18,3,FALSE),VLOOKUP(AE590,'AHL_PA_SC_BALANCE'!$A$8:$E$18,5,FALSE)))</x:f>
        <x:v>47</x:v>
      </x:c>
      <x:c r="V590">
        <x:v>57</x:v>
      </x:c>
      <x:c r="W590">
        <x:v>68</x:v>
      </x:c>
      <x:c r="X590">
        <x:v>69</x:v>
      </x:c>
      <x:c r="Y590">
        <x:v>69</x:v>
      </x:c>
      <x:c r="Z590">
        <x:v>51</x:v>
      </x:c>
      <x:c r="AA590">
        <x:v>49</x:v>
      </x:c>
      <x:c r="AB590" s="57" t="n">
        <x:v>45</x:v>
      </x:c>
      <x:c r="AC590" s="57" t="n">
        <x:v>47</x:v>
      </x:c>
      <x:c r="AD590" s="59"/>
      <x:c r="AE590" s="61" t="str">
        <x:f>IF(N(F590)&gt;=10,"NHL_LATEST_10",IF(AND(N(F590)&gt;0,N(G590)&gt;0),"NHL_BOTH_SEASONS",IF(N(G590)&gt;=10,"NHL_PREVIOUS_10",IF(AND(ISNUMBER(AD590),AD590=0,SUM(F590:G590)=0),"FARM_CAREER_0",IF(COUNT(F590:G590)&lt;2,"UNKNOWN_GP",IF(AND(F590=0,G590=0),IF(AD590&gt;=10,"FARM_LEGACY_10",IF(AND(ISNUMBER(AD590),AD590&gt;0),"FARM_CAREER_1_9","FARM_0_0")),IF(F590&gt;=1,IF(F590&lt;=3,"FARM_RECENT_1_3","FARM_RECENT_4_9"),"FARM_PREV_1_9_ONLY")))))))</x:f>
        <x:v>UNKNOWN_GP</x:v>
      </x:c>
      <x:c r="AF590" s="57" t="n">
        <x:f>AB590-T590</x:f>
        <x:v>0</x:v>
      </x:c>
      <x:c r="AG590" s="57" t="n">
        <x:f>AC590-U590</x:f>
        <x:v>0</x:v>
      </x:c>
    </x:row>
    <x:row r="591">
      <x:c r="A591" t="s">
        <x:v>1614</x:v>
      </x:c>
      <x:c r="C591" t="s">
        <x:v>331</x:v>
      </x:c>
      <x:c r="D591">
        <x:v>8483103</x:v>
      </x:c>
      <x:c r="E591" t="s">
        <x:v>267</x:v>
      </x:c>
      <x:c r="J591" t="s">
        <x:v>2474</x:v>
      </x:c>
      <x:c r="K591">
        <x:v>69</x:v>
      </x:c>
      <x:c r="L591">
        <x:v>34</x:v>
      </x:c>
      <x:c r="M591">
        <x:v>81</x:v>
      </x:c>
      <x:c r="N591">
        <x:v>32</x:v>
      </x:c>
      <x:c r="O591">
        <x:v>77</x:v>
      </x:c>
      <x:c r="P591">
        <x:v>75</x:v>
      </x:c>
      <x:c r="Q591">
        <x:v>79</x:v>
      </x:c>
      <x:c r="R591">
        <x:v>32</x:v>
      </x:c>
      <x:c r="S591">
        <x:v>30</x:v>
      </x:c>
      <x:c r="T591" s="63" t="n">
        <x:f>MAX(30,MIN(AB591-VLOOKUP(AE591,'AHL_PA_SC_BALANCE'!$A$8:$E$18,2,FALSE),VLOOKUP(AE591,'AHL_PA_SC_BALANCE'!$A$8:$E$18,4,FALSE)))</x:f>
        <x:v>41</x:v>
      </x:c>
      <x:c r="U591" s="63" t="n">
        <x:f>MAX(30,MIN(AC591-VLOOKUP(AE591,'AHL_PA_SC_BALANCE'!$A$8:$E$18,3,FALSE),VLOOKUP(AE591,'AHL_PA_SC_BALANCE'!$A$8:$E$18,5,FALSE)))</x:f>
        <x:v>39</x:v>
      </x:c>
      <x:c r="V591">
        <x:v>63</x:v>
      </x:c>
      <x:c r="W591">
        <x:v>45</x:v>
      </x:c>
      <x:c r="X591">
        <x:v>68</x:v>
      </x:c>
      <x:c r="Y591">
        <x:v>67</x:v>
      </x:c>
      <x:c r="Z591">
        <x:v>51</x:v>
      </x:c>
      <x:c r="AA591">
        <x:v>49</x:v>
      </x:c>
      <x:c r="AB591" s="57" t="n">
        <x:v>41</x:v>
      </x:c>
      <x:c r="AC591" s="57" t="n">
        <x:v>39</x:v>
      </x:c>
      <x:c r="AD591" s="59"/>
      <x:c r="AE591" s="61" t="str">
        <x:f>IF(N(F591)&gt;=10,"NHL_LATEST_10",IF(AND(N(F591)&gt;0,N(G591)&gt;0),"NHL_BOTH_SEASONS",IF(N(G591)&gt;=10,"NHL_PREVIOUS_10",IF(AND(ISNUMBER(AD591),AD591=0,SUM(F591:G591)=0),"FARM_CAREER_0",IF(COUNT(F591:G591)&lt;2,"UNKNOWN_GP",IF(AND(F591=0,G591=0),IF(AD591&gt;=10,"FARM_LEGACY_10",IF(AND(ISNUMBER(AD591),AD591&gt;0),"FARM_CAREER_1_9","FARM_0_0")),IF(F591&gt;=1,IF(F591&lt;=3,"FARM_RECENT_1_3","FARM_RECENT_4_9"),"FARM_PREV_1_9_ONLY")))))))</x:f>
        <x:v>UNKNOWN_GP</x:v>
      </x:c>
      <x:c r="AF591" s="57" t="n">
        <x:f>AB591-T591</x:f>
        <x:v>0</x:v>
      </x:c>
      <x:c r="AG591" s="57" t="n">
        <x:f>AC591-U591</x:f>
        <x:v>0</x:v>
      </x:c>
    </x:row>
    <x:row r="592">
      <x:c r="A592" t="s">
        <x:v>1615</x:v>
      </x:c>
      <x:c r="C592" t="s">
        <x:v>331</x:v>
      </x:c>
      <x:c r="D592">
        <x:v>8484523</x:v>
      </x:c>
      <x:c r="E592" t="s">
        <x:v>267</x:v>
      </x:c>
      <x:c r="J592" t="s">
        <x:v>2474</x:v>
      </x:c>
      <x:c r="K592">
        <x:v>66</x:v>
      </x:c>
      <x:c r="L592">
        <x:v>40</x:v>
      </x:c>
      <x:c r="M592">
        <x:v>81</x:v>
      </x:c>
      <x:c r="N592">
        <x:v>31</x:v>
      </x:c>
      <x:c r="O592">
        <x:v>82</x:v>
      </x:c>
      <x:c r="P592">
        <x:v>73</x:v>
      </x:c>
      <x:c r="Q592">
        <x:v>76</x:v>
      </x:c>
      <x:c r="R592">
        <x:v>32</x:v>
      </x:c>
      <x:c r="S592">
        <x:v>30</x:v>
      </x:c>
      <x:c r="T592" s="63" t="n">
        <x:f>MAX(30,MIN(AB592-VLOOKUP(AE592,'AHL_PA_SC_BALANCE'!$A$8:$E$18,2,FALSE),VLOOKUP(AE592,'AHL_PA_SC_BALANCE'!$A$8:$E$18,4,FALSE)))</x:f>
        <x:v>41</x:v>
      </x:c>
      <x:c r="U592" s="63" t="n">
        <x:f>MAX(30,MIN(AC592-VLOOKUP(AE592,'AHL_PA_SC_BALANCE'!$A$8:$E$18,3,FALSE),VLOOKUP(AE592,'AHL_PA_SC_BALANCE'!$A$8:$E$18,5,FALSE)))</x:f>
        <x:v>37</x:v>
      </x:c>
      <x:c r="V592">
        <x:v>66</x:v>
      </x:c>
      <x:c r="W592">
        <x:v>44</x:v>
      </x:c>
      <x:c r="X592">
        <x:v>65</x:v>
      </x:c>
      <x:c r="Y592">
        <x:v>65</x:v>
      </x:c>
      <x:c r="Z592">
        <x:v>51</x:v>
      </x:c>
      <x:c r="AA592">
        <x:v>49</x:v>
      </x:c>
      <x:c r="AB592" s="57" t="n">
        <x:v>41</x:v>
      </x:c>
      <x:c r="AC592" s="57" t="n">
        <x:v>37</x:v>
      </x:c>
      <x:c r="AD592" s="59"/>
      <x:c r="AE592" s="61" t="str">
        <x:f>IF(N(F592)&gt;=10,"NHL_LATEST_10",IF(AND(N(F592)&gt;0,N(G592)&gt;0),"NHL_BOTH_SEASONS",IF(N(G592)&gt;=10,"NHL_PREVIOUS_10",IF(AND(ISNUMBER(AD592),AD592=0,SUM(F592:G592)=0),"FARM_CAREER_0",IF(COUNT(F592:G592)&lt;2,"UNKNOWN_GP",IF(AND(F592=0,G592=0),IF(AD592&gt;=10,"FARM_LEGACY_10",IF(AND(ISNUMBER(AD592),AD592&gt;0),"FARM_CAREER_1_9","FARM_0_0")),IF(F592&gt;=1,IF(F592&lt;=3,"FARM_RECENT_1_3","FARM_RECENT_4_9"),"FARM_PREV_1_9_ONLY")))))))</x:f>
        <x:v>UNKNOWN_GP</x:v>
      </x:c>
      <x:c r="AF592" s="57" t="n">
        <x:f>AB592-T592</x:f>
        <x:v>0</x:v>
      </x:c>
      <x:c r="AG592" s="57" t="n">
        <x:f>AC592-U592</x:f>
        <x:v>0</x:v>
      </x:c>
    </x:row>
    <x:row r="593">
      <x:c r="A593" t="s">
        <x:v>1616</x:v>
      </x:c>
      <x:c r="C593" t="s">
        <x:v>319</x:v>
      </x:c>
      <x:c r="D593">
        <x:v>8484537</x:v>
      </x:c>
      <x:c r="E593" t="s">
        <x:v>267</x:v>
      </x:c>
      <x:c r="J593" t="s">
        <x:v>2474</x:v>
      </x:c>
      <x:c r="K593">
        <x:v>70</x:v>
      </x:c>
      <x:c r="L593">
        <x:v>45</x:v>
      </x:c>
      <x:c r="M593">
        <x:v>72</x:v>
      </x:c>
      <x:c r="N593">
        <x:v>43</x:v>
      </x:c>
      <x:c r="O593">
        <x:v>79</x:v>
      </x:c>
      <x:c r="P593">
        <x:v>87</x:v>
      </x:c>
      <x:c r="Q593">
        <x:v>91</x:v>
      </x:c>
      <x:c r="R593">
        <x:v>42</x:v>
      </x:c>
      <x:c r="S593">
        <x:v>64</x:v>
      </x:c>
      <x:c r="T593" s="63" t="n">
        <x:f>MAX(30,MIN(AB593-VLOOKUP(AE593,'AHL_PA_SC_BALANCE'!$A$8:$E$18,2,FALSE),VLOOKUP(AE593,'AHL_PA_SC_BALANCE'!$A$8:$E$18,4,FALSE)))</x:f>
        <x:v>44</x:v>
      </x:c>
      <x:c r="U593" s="63" t="n">
        <x:f>MAX(30,MIN(AC593-VLOOKUP(AE593,'AHL_PA_SC_BALANCE'!$A$8:$E$18,3,FALSE),VLOOKUP(AE593,'AHL_PA_SC_BALANCE'!$A$8:$E$18,5,FALSE)))</x:f>
        <x:v>44</x:v>
      </x:c>
      <x:c r="V593">
        <x:v>63</x:v>
      </x:c>
      <x:c r="W593">
        <x:v>64</x:v>
      </x:c>
      <x:c r="X593">
        <x:v>65</x:v>
      </x:c>
      <x:c r="Y593">
        <x:v>64</x:v>
      </x:c>
      <x:c r="Z593">
        <x:v>51</x:v>
      </x:c>
      <x:c r="AA593">
        <x:v>49</x:v>
      </x:c>
      <x:c r="AB593" s="57" t="n">
        <x:v>44</x:v>
      </x:c>
      <x:c r="AC593" s="57" t="n">
        <x:v>44</x:v>
      </x:c>
      <x:c r="AD593" s="59"/>
      <x:c r="AE593" s="61" t="str">
        <x:f>IF(N(F593)&gt;=10,"NHL_LATEST_10",IF(AND(N(F593)&gt;0,N(G593)&gt;0),"NHL_BOTH_SEASONS",IF(N(G593)&gt;=10,"NHL_PREVIOUS_10",IF(AND(ISNUMBER(AD593),AD593=0,SUM(F593:G593)=0),"FARM_CAREER_0",IF(COUNT(F593:G593)&lt;2,"UNKNOWN_GP",IF(AND(F593=0,G593=0),IF(AD593&gt;=10,"FARM_LEGACY_10",IF(AND(ISNUMBER(AD593),AD593&gt;0),"FARM_CAREER_1_9","FARM_0_0")),IF(F593&gt;=1,IF(F593&lt;=3,"FARM_RECENT_1_3","FARM_RECENT_4_9"),"FARM_PREV_1_9_ONLY")))))))</x:f>
        <x:v>UNKNOWN_GP</x:v>
      </x:c>
      <x:c r="AF593" s="57" t="n">
        <x:f>AB593-T593</x:f>
        <x:v>0</x:v>
      </x:c>
      <x:c r="AG593" s="57" t="n">
        <x:f>AC593-U593</x:f>
        <x:v>0</x:v>
      </x:c>
    </x:row>
    <x:row r="594">
      <x:c r="A594" t="s">
        <x:v>1617</x:v>
      </x:c>
      <x:c r="C594" t="s">
        <x:v>358</x:v>
      </x:c>
      <x:c r="D594">
        <x:v>8480468</x:v>
      </x:c>
      <x:c r="E594" t="s">
        <x:v>267</x:v>
      </x:c>
      <x:c r="J594" t="s">
        <x:v>2474</x:v>
      </x:c>
      <x:c r="K594">
        <x:v>60</x:v>
      </x:c>
      <x:c r="L594">
        <x:v>31</x:v>
      </x:c>
      <x:c r="M594">
        <x:v>85</x:v>
      </x:c>
      <x:c r="N594">
        <x:v>45</x:v>
      </x:c>
      <x:c r="O594">
        <x:v>74</x:v>
      </x:c>
      <x:c r="P594">
        <x:v>84</x:v>
      </x:c>
      <x:c r="Q594">
        <x:v>88</x:v>
      </x:c>
      <x:c r="R594">
        <x:v>45</x:v>
      </x:c>
      <x:c r="S594">
        <x:v>79</x:v>
      </x:c>
      <x:c r="T594" s="63" t="n">
        <x:f>MAX(30,MIN(AB594-VLOOKUP(AE594,'AHL_PA_SC_BALANCE'!$A$8:$E$18,2,FALSE),VLOOKUP(AE594,'AHL_PA_SC_BALANCE'!$A$8:$E$18,4,FALSE)))</x:f>
        <x:v>47</x:v>
      </x:c>
      <x:c r="U594" s="63" t="n">
        <x:f>MAX(30,MIN(AC594-VLOOKUP(AE594,'AHL_PA_SC_BALANCE'!$A$8:$E$18,3,FALSE),VLOOKUP(AE594,'AHL_PA_SC_BALANCE'!$A$8:$E$18,5,FALSE)))</x:f>
        <x:v>50</x:v>
      </x:c>
      <x:c r="V594">
        <x:v>63</x:v>
      </x:c>
      <x:c r="W594">
        <x:v>67</x:v>
      </x:c>
      <x:c r="X594">
        <x:v>69</x:v>
      </x:c>
      <x:c r="Y594">
        <x:v>70</x:v>
      </x:c>
      <x:c r="Z594">
        <x:v>51</x:v>
      </x:c>
      <x:c r="AA594">
        <x:v>49</x:v>
      </x:c>
      <x:c r="AB594" s="57" t="n">
        <x:v>47</x:v>
      </x:c>
      <x:c r="AC594" s="57" t="n">
        <x:v>50</x:v>
      </x:c>
      <x:c r="AD594" s="59"/>
      <x:c r="AE594" s="61" t="str">
        <x:f>IF(N(F594)&gt;=10,"NHL_LATEST_10",IF(AND(N(F594)&gt;0,N(G594)&gt;0),"NHL_BOTH_SEASONS",IF(N(G594)&gt;=10,"NHL_PREVIOUS_10",IF(AND(ISNUMBER(AD594),AD594=0,SUM(F594:G594)=0),"FARM_CAREER_0",IF(COUNT(F594:G594)&lt;2,"UNKNOWN_GP",IF(AND(F594=0,G594=0),IF(AD594&gt;=10,"FARM_LEGACY_10",IF(AND(ISNUMBER(AD594),AD594&gt;0),"FARM_CAREER_1_9","FARM_0_0")),IF(F594&gt;=1,IF(F594&lt;=3,"FARM_RECENT_1_3","FARM_RECENT_4_9"),"FARM_PREV_1_9_ONLY")))))))</x:f>
        <x:v>UNKNOWN_GP</x:v>
      </x:c>
      <x:c r="AF594" s="57" t="n">
        <x:f>AB594-T594</x:f>
        <x:v>0</x:v>
      </x:c>
      <x:c r="AG594" s="57" t="n">
        <x:f>AC594-U594</x:f>
        <x:v>0</x:v>
      </x:c>
    </x:row>
    <x:row r="595">
      <x:c r="A595" t="s">
        <x:v>1618</x:v>
      </x:c>
      <x:c r="C595" t="s">
        <x:v>333</x:v>
      </x:c>
      <x:c r="D595">
        <x:v>8481239</x:v>
      </x:c>
      <x:c r="E595" t="s">
        <x:v>267</x:v>
      </x:c>
      <x:c r="J595" t="s">
        <x:v>2474</x:v>
      </x:c>
      <x:c r="K595">
        <x:v>60</x:v>
      </x:c>
      <x:c r="L595">
        <x:v>37</x:v>
      </x:c>
      <x:c r="M595">
        <x:v>87</x:v>
      </x:c>
      <x:c r="N595">
        <x:v>44</x:v>
      </x:c>
      <x:c r="O595">
        <x:v>81</x:v>
      </x:c>
      <x:c r="P595">
        <x:v>91</x:v>
      </x:c>
      <x:c r="Q595">
        <x:v>95</x:v>
      </x:c>
      <x:c r="R595">
        <x:v>44</x:v>
      </x:c>
      <x:c r="S595">
        <x:v>52</x:v>
      </x:c>
      <x:c r="T595" s="63" t="n">
        <x:f>MAX(30,MIN(AB595-VLOOKUP(AE595,'AHL_PA_SC_BALANCE'!$A$8:$E$18,2,FALSE),VLOOKUP(AE595,'AHL_PA_SC_BALANCE'!$A$8:$E$18,4,FALSE)))</x:f>
        <x:v>43</x:v>
      </x:c>
      <x:c r="U595" s="63" t="n">
        <x:f>MAX(30,MIN(AC595-VLOOKUP(AE595,'AHL_PA_SC_BALANCE'!$A$8:$E$18,3,FALSE),VLOOKUP(AE595,'AHL_PA_SC_BALANCE'!$A$8:$E$18,5,FALSE)))</x:f>
        <x:v>46</x:v>
      </x:c>
      <x:c r="V595">
        <x:v>58</x:v>
      </x:c>
      <x:c r="W595">
        <x:v>65</x:v>
      </x:c>
      <x:c r="X595">
        <x:v>69</x:v>
      </x:c>
      <x:c r="Y595">
        <x:v>68</x:v>
      </x:c>
      <x:c r="Z595">
        <x:v>51</x:v>
      </x:c>
      <x:c r="AA595">
        <x:v>49</x:v>
      </x:c>
      <x:c r="AB595" s="57" t="n">
        <x:v>43</x:v>
      </x:c>
      <x:c r="AC595" s="57" t="n">
        <x:v>46</x:v>
      </x:c>
      <x:c r="AD595" s="59"/>
      <x:c r="AE595" s="61" t="str">
        <x:f>IF(N(F595)&gt;=10,"NHL_LATEST_10",IF(AND(N(F595)&gt;0,N(G595)&gt;0),"NHL_BOTH_SEASONS",IF(N(G595)&gt;=10,"NHL_PREVIOUS_10",IF(AND(ISNUMBER(AD595),AD595=0,SUM(F595:G595)=0),"FARM_CAREER_0",IF(COUNT(F595:G595)&lt;2,"UNKNOWN_GP",IF(AND(F595=0,G595=0),IF(AD595&gt;=10,"FARM_LEGACY_10",IF(AND(ISNUMBER(AD595),AD595&gt;0),"FARM_CAREER_1_9","FARM_0_0")),IF(F595&gt;=1,IF(F595&lt;=3,"FARM_RECENT_1_3","FARM_RECENT_4_9"),"FARM_PREV_1_9_ONLY")))))))</x:f>
        <x:v>UNKNOWN_GP</x:v>
      </x:c>
      <x:c r="AF595" s="57" t="n">
        <x:f>AB595-T595</x:f>
        <x:v>0</x:v>
      </x:c>
      <x:c r="AG595" s="57" t="n">
        <x:f>AC595-U595</x:f>
        <x:v>0</x:v>
      </x:c>
    </x:row>
    <x:row r="596">
      <x:c r="A596" t="s">
        <x:v>1619</x:v>
      </x:c>
      <x:c r="C596" t="s">
        <x:v>358</x:v>
      </x:c>
      <x:c r="D596">
        <x:v>8481585</x:v>
      </x:c>
      <x:c r="E596" t="s">
        <x:v>267</x:v>
      </x:c>
      <x:c r="J596" t="s">
        <x:v>2474</x:v>
      </x:c>
      <x:c r="K596">
        <x:v>66</x:v>
      </x:c>
      <x:c r="L596">
        <x:v>43</x:v>
      </x:c>
      <x:c r="M596">
        <x:v>79</x:v>
      </x:c>
      <x:c r="N596">
        <x:v>41</x:v>
      </x:c>
      <x:c r="O596">
        <x:v>83</x:v>
      </x:c>
      <x:c r="P596">
        <x:v>85</x:v>
      </x:c>
      <x:c r="Q596">
        <x:v>89</x:v>
      </x:c>
      <x:c r="R596">
        <x:v>42</x:v>
      </x:c>
      <x:c r="S596">
        <x:v>70</x:v>
      </x:c>
      <x:c r="T596" s="63" t="n">
        <x:f>MAX(30,MIN(AB596-VLOOKUP(AE596,'AHL_PA_SC_BALANCE'!$A$8:$E$18,2,FALSE),VLOOKUP(AE596,'AHL_PA_SC_BALANCE'!$A$8:$E$18,4,FALSE)))</x:f>
        <x:v>48</x:v>
      </x:c>
      <x:c r="U596" s="63" t="n">
        <x:f>MAX(30,MIN(AC596-VLOOKUP(AE596,'AHL_PA_SC_BALANCE'!$A$8:$E$18,3,FALSE),VLOOKUP(AE596,'AHL_PA_SC_BALANCE'!$A$8:$E$18,5,FALSE)))</x:f>
        <x:v>44</x:v>
      </x:c>
      <x:c r="V596">
        <x:v>63</x:v>
      </x:c>
      <x:c r="W596">
        <x:v>63</x:v>
      </x:c>
      <x:c r="X596">
        <x:v>67</x:v>
      </x:c>
      <x:c r="Y596">
        <x:v>67</x:v>
      </x:c>
      <x:c r="Z596">
        <x:v>51</x:v>
      </x:c>
      <x:c r="AA596">
        <x:v>49</x:v>
      </x:c>
      <x:c r="AB596" s="57" t="n">
        <x:v>48</x:v>
      </x:c>
      <x:c r="AC596" s="57" t="n">
        <x:v>44</x:v>
      </x:c>
      <x:c r="AD596" s="59"/>
      <x:c r="AE596" s="61" t="str">
        <x:f>IF(N(F596)&gt;=10,"NHL_LATEST_10",IF(AND(N(F596)&gt;0,N(G596)&gt;0),"NHL_BOTH_SEASONS",IF(N(G596)&gt;=10,"NHL_PREVIOUS_10",IF(AND(ISNUMBER(AD596),AD596=0,SUM(F596:G596)=0),"FARM_CAREER_0",IF(COUNT(F596:G596)&lt;2,"UNKNOWN_GP",IF(AND(F596=0,G596=0),IF(AD596&gt;=10,"FARM_LEGACY_10",IF(AND(ISNUMBER(AD596),AD596&gt;0),"FARM_CAREER_1_9","FARM_0_0")),IF(F596&gt;=1,IF(F596&lt;=3,"FARM_RECENT_1_3","FARM_RECENT_4_9"),"FARM_PREV_1_9_ONLY")))))))</x:f>
        <x:v>UNKNOWN_GP</x:v>
      </x:c>
      <x:c r="AF596" s="57" t="n">
        <x:f>AB596-T596</x:f>
        <x:v>0</x:v>
      </x:c>
      <x:c r="AG596" s="57" t="n">
        <x:f>AC596-U596</x:f>
        <x:v>0</x:v>
      </x:c>
    </x:row>
    <x:row r="597">
      <x:c r="A597" t="s">
        <x:v>1620</x:v>
      </x:c>
      <x:c r="B597" t="s">
        <x:v>584</x:v>
      </x:c>
      <x:c r="C597" t="s">
        <x:v>358</x:v>
      </x:c>
      <x:c r="D597">
        <x:v>8481093</x:v>
      </x:c>
      <x:c r="E597" t="s">
        <x:v>267</x:v>
      </x:c>
      <x:c r="F597">
        <x:v>1</x:v>
      </x:c>
      <x:c r="G597">
        <x:v>1</x:v>
      </x:c>
      <x:c r="J597" t="s">
        <x:v>2489</x:v>
      </x:c>
      <x:c r="K597">
        <x:v>67</x:v>
      </x:c>
      <x:c r="L597">
        <x:v>33</x:v>
      </x:c>
      <x:c r="M597">
        <x:v>85</x:v>
      </x:c>
      <x:c r="N597">
        <x:v>44</x:v>
      </x:c>
      <x:c r="O597">
        <x:v>75</x:v>
      </x:c>
      <x:c r="P597">
        <x:v>85</x:v>
      </x:c>
      <x:c r="Q597">
        <x:v>90</x:v>
      </x:c>
      <x:c r="R597">
        <x:v>43</x:v>
      </x:c>
      <x:c r="S597">
        <x:v>70</x:v>
      </x:c>
      <x:c r="T597" s="63" t="n">
        <x:f>MAX(30,MIN(AB597-VLOOKUP(AE597,'AHL_PA_SC_BALANCE'!$A$8:$E$18,2,FALSE),VLOOKUP(AE597,'AHL_PA_SC_BALANCE'!$A$8:$E$18,4,FALSE)))</x:f>
        <x:v>52</x:v>
      </x:c>
      <x:c r="U597" s="63" t="n">
        <x:f>MAX(30,MIN(AC597-VLOOKUP(AE597,'AHL_PA_SC_BALANCE'!$A$8:$E$18,3,FALSE),VLOOKUP(AE597,'AHL_PA_SC_BALANCE'!$A$8:$E$18,5,FALSE)))</x:f>
        <x:v>52</x:v>
      </x:c>
      <x:c r="V597">
        <x:v>66</x:v>
      </x:c>
      <x:c r="W597">
        <x:v>65</x:v>
      </x:c>
      <x:c r="X597">
        <x:v>69</x:v>
      </x:c>
      <x:c r="Y597">
        <x:v>69</x:v>
      </x:c>
      <x:c r="Z597">
        <x:v>51</x:v>
      </x:c>
      <x:c r="AA597">
        <x:v>49</x:v>
      </x:c>
      <x:c r="AB597" s="57" t="n">
        <x:v>52</x:v>
      </x:c>
      <x:c r="AC597" s="57" t="n">
        <x:v>52</x:v>
      </x:c>
      <x:c r="AD597" s="59"/>
      <x:c r="AE597" s="61" t="str">
        <x:f>IF(N(F597)&gt;=10,"NHL_LATEST_10",IF(AND(N(F597)&gt;0,N(G597)&gt;0),"NHL_BOTH_SEASONS",IF(N(G597)&gt;=10,"NHL_PREVIOUS_10",IF(AND(ISNUMBER(AD597),AD597=0,SUM(F597:G597)=0),"FARM_CAREER_0",IF(COUNT(F597:G597)&lt;2,"UNKNOWN_GP",IF(AND(F597=0,G597=0),IF(AD597&gt;=10,"FARM_LEGACY_10",IF(AND(ISNUMBER(AD597),AD597&gt;0),"FARM_CAREER_1_9","FARM_0_0")),IF(F597&gt;=1,IF(F597&lt;=3,"FARM_RECENT_1_3","FARM_RECENT_4_9"),"FARM_PREV_1_9_ONLY")))))))</x:f>
        <x:v>NHL_BOTH_SEASONS</x:v>
      </x:c>
      <x:c r="AF597" s="57" t="n">
        <x:f>AB597-T597</x:f>
        <x:v>0</x:v>
      </x:c>
      <x:c r="AG597" s="57" t="n">
        <x:f>AC597-U597</x:f>
        <x:v>0</x:v>
      </x:c>
    </x:row>
    <x:row r="598">
      <x:c r="A598" t="s">
        <x:v>1621</x:v>
      </x:c>
      <x:c r="B598" t="s">
        <x:v>584</x:v>
      </x:c>
      <x:c r="C598" t="s">
        <x:v>331</x:v>
      </x:c>
      <x:c r="E598" t="s">
        <x:v>267</x:v>
      </x:c>
      <x:c r="J598" t="s">
        <x:v>2474</x:v>
      </x:c>
      <x:c r="K598">
        <x:v>63</x:v>
      </x:c>
      <x:c r="L598">
        <x:v>38</x:v>
      </x:c>
      <x:c r="M598">
        <x:v>71</x:v>
      </x:c>
      <x:c r="N598">
        <x:v>30</x:v>
      </x:c>
      <x:c r="O598">
        <x:v>84</x:v>
      </x:c>
      <x:c r="P598">
        <x:v>68</x:v>
      </x:c>
      <x:c r="Q598">
        <x:v>71</x:v>
      </x:c>
      <x:c r="R598">
        <x:v>31</x:v>
      </x:c>
      <x:c r="S598">
        <x:v>30</x:v>
      </x:c>
      <x:c r="T598" s="63" t="n">
        <x:f>MAX(30,MIN(AB598-VLOOKUP(AE598,'AHL_PA_SC_BALANCE'!$A$8:$E$18,2,FALSE),VLOOKUP(AE598,'AHL_PA_SC_BALANCE'!$A$8:$E$18,4,FALSE)))</x:f>
        <x:v>39</x:v>
      </x:c>
      <x:c r="U598" s="63" t="n">
        <x:f>MAX(30,MIN(AC598-VLOOKUP(AE598,'AHL_PA_SC_BALANCE'!$A$8:$E$18,3,FALSE),VLOOKUP(AE598,'AHL_PA_SC_BALANCE'!$A$8:$E$18,5,FALSE)))</x:f>
        <x:v>38</x:v>
      </x:c>
      <x:c r="V598">
        <x:v>67</x:v>
      </x:c>
      <x:c r="W598">
        <x:v>43</x:v>
      </x:c>
      <x:c r="X598">
        <x:v>69</x:v>
      </x:c>
      <x:c r="Y598">
        <x:v>69</x:v>
      </x:c>
      <x:c r="Z598">
        <x:v>51</x:v>
      </x:c>
      <x:c r="AA598">
        <x:v>49</x:v>
      </x:c>
      <x:c r="AB598" s="57" t="n">
        <x:v>39</x:v>
      </x:c>
      <x:c r="AC598" s="57" t="n">
        <x:v>38</x:v>
      </x:c>
      <x:c r="AD598" s="59"/>
      <x:c r="AE598" s="61" t="str">
        <x:f>IF(N(F598)&gt;=10,"NHL_LATEST_10",IF(AND(N(F598)&gt;0,N(G598)&gt;0),"NHL_BOTH_SEASONS",IF(N(G598)&gt;=10,"NHL_PREVIOUS_10",IF(AND(ISNUMBER(AD598),AD598=0,SUM(F598:G598)=0),"FARM_CAREER_0",IF(COUNT(F598:G598)&lt;2,"UNKNOWN_GP",IF(AND(F598=0,G598=0),IF(AD598&gt;=10,"FARM_LEGACY_10",IF(AND(ISNUMBER(AD598),AD598&gt;0),"FARM_CAREER_1_9","FARM_0_0")),IF(F598&gt;=1,IF(F598&lt;=3,"FARM_RECENT_1_3","FARM_RECENT_4_9"),"FARM_PREV_1_9_ONLY")))))))</x:f>
        <x:v>UNKNOWN_GP</x:v>
      </x:c>
      <x:c r="AF598" s="57" t="n">
        <x:f>AB598-T598</x:f>
        <x:v>0</x:v>
      </x:c>
      <x:c r="AG598" s="57" t="n">
        <x:f>AC598-U598</x:f>
        <x:v>0</x:v>
      </x:c>
    </x:row>
    <x:row r="599">
      <x:c r="A599" t="s">
        <x:v>1622</x:v>
      </x:c>
      <x:c r="B599" t="s">
        <x:v>327</x:v>
      </x:c>
      <x:c r="C599" t="s">
        <x:v>326</x:v>
      </x:c>
      <x:c r="D599">
        <x:v>8484173</x:v>
      </x:c>
      <x:c r="E599" t="s">
        <x:v>267</x:v>
      </x:c>
      <x:c r="J599" t="s">
        <x:v>2476</x:v>
      </x:c>
      <x:c r="K599">
        <x:v>72</x:v>
      </x:c>
      <x:c r="L599">
        <x:v>38</x:v>
      </x:c>
      <x:c r="M599">
        <x:v>91</x:v>
      </x:c>
      <x:c r="N599">
        <x:v>42</x:v>
      </x:c>
      <x:c r="O599">
        <x:v>79</x:v>
      </x:c>
      <x:c r="P599">
        <x:v>80</x:v>
      </x:c>
      <x:c r="Q599">
        <x:v>84</x:v>
      </x:c>
      <x:c r="R599">
        <x:v>41</x:v>
      </x:c>
      <x:c r="S599">
        <x:v>79</x:v>
      </x:c>
      <x:c r="T599" s="63" t="n">
        <x:f>MAX(30,MIN(AB599-VLOOKUP(AE599,'AHL_PA_SC_BALANCE'!$A$8:$E$18,2,FALSE),VLOOKUP(AE599,'AHL_PA_SC_BALANCE'!$A$8:$E$18,4,FALSE)))</x:f>
        <x:v>44</x:v>
      </x:c>
      <x:c r="U599" s="63" t="n">
        <x:f>MAX(30,MIN(AC599-VLOOKUP(AE599,'AHL_PA_SC_BALANCE'!$A$8:$E$18,3,FALSE),VLOOKUP(AE599,'AHL_PA_SC_BALANCE'!$A$8:$E$18,5,FALSE)))</x:f>
        <x:v>44</x:v>
      </x:c>
      <x:c r="V599">
        <x:v>66</x:v>
      </x:c>
      <x:c r="W599">
        <x:v>64</x:v>
      </x:c>
      <x:c r="X599">
        <x:v>65</x:v>
      </x:c>
      <x:c r="Y599">
        <x:v>66</x:v>
      </x:c>
      <x:c r="Z599">
        <x:v>51</x:v>
      </x:c>
      <x:c r="AA599">
        <x:v>49</x:v>
      </x:c>
      <x:c r="AB599" s="57" t="n">
        <x:v>44</x:v>
      </x:c>
      <x:c r="AC599" s="57" t="n">
        <x:v>44</x:v>
      </x:c>
      <x:c r="AD599" s="59"/>
      <x:c r="AE599" s="61" t="str">
        <x:f>IF(N(F599)&gt;=10,"NHL_LATEST_10",IF(AND(N(F599)&gt;0,N(G599)&gt;0),"NHL_BOTH_SEASONS",IF(N(G599)&gt;=10,"NHL_PREVIOUS_10",IF(AND(ISNUMBER(AD599),AD599=0,SUM(F599:G599)=0),"FARM_CAREER_0",IF(COUNT(F599:G599)&lt;2,"UNKNOWN_GP",IF(AND(F599=0,G599=0),IF(AD599&gt;=10,"FARM_LEGACY_10",IF(AND(ISNUMBER(AD599),AD599&gt;0),"FARM_CAREER_1_9","FARM_0_0")),IF(F599&gt;=1,IF(F599&lt;=3,"FARM_RECENT_1_3","FARM_RECENT_4_9"),"FARM_PREV_1_9_ONLY")))))))</x:f>
        <x:v>UNKNOWN_GP</x:v>
      </x:c>
      <x:c r="AF599" s="57" t="n">
        <x:f>AB599-T599</x:f>
        <x:v>0</x:v>
      </x:c>
      <x:c r="AG599" s="57" t="n">
        <x:f>AC599-U599</x:f>
        <x:v>0</x:v>
      </x:c>
    </x:row>
    <x:row r="600">
      <x:c r="A600" t="s">
        <x:v>1623</x:v>
      </x:c>
      <x:c r="C600" t="s">
        <x:v>331</x:v>
      </x:c>
      <x:c r="D600">
        <x:v>8482459</x:v>
      </x:c>
      <x:c r="E600" t="s">
        <x:v>267</x:v>
      </x:c>
      <x:c r="J600" t="s">
        <x:v>2474</x:v>
      </x:c>
      <x:c r="K600">
        <x:v>72</x:v>
      </x:c>
      <x:c r="L600">
        <x:v>37</x:v>
      </x:c>
      <x:c r="M600">
        <x:v>72</x:v>
      </x:c>
      <x:c r="N600">
        <x:v>31</x:v>
      </x:c>
      <x:c r="O600">
        <x:v>85</x:v>
      </x:c>
      <x:c r="P600">
        <x:v>82</x:v>
      </x:c>
      <x:c r="Q600">
        <x:v>84</x:v>
      </x:c>
      <x:c r="R600">
        <x:v>30</x:v>
      </x:c>
      <x:c r="S600">
        <x:v>30</x:v>
      </x:c>
      <x:c r="T600" s="63" t="n">
        <x:f>MAX(30,MIN(AB600-VLOOKUP(AE600,'AHL_PA_SC_BALANCE'!$A$8:$E$18,2,FALSE),VLOOKUP(AE600,'AHL_PA_SC_BALANCE'!$A$8:$E$18,4,FALSE)))</x:f>
        <x:v>40</x:v>
      </x:c>
      <x:c r="U600" s="63" t="n">
        <x:f>MAX(30,MIN(AC600-VLOOKUP(AE600,'AHL_PA_SC_BALANCE'!$A$8:$E$18,3,FALSE),VLOOKUP(AE600,'AHL_PA_SC_BALANCE'!$A$8:$E$18,5,FALSE)))</x:f>
        <x:v>39</x:v>
      </x:c>
      <x:c r="V600">
        <x:v>65</x:v>
      </x:c>
      <x:c r="W600">
        <x:v>44</x:v>
      </x:c>
      <x:c r="X600">
        <x:v>67</x:v>
      </x:c>
      <x:c r="Y600">
        <x:v>66</x:v>
      </x:c>
      <x:c r="Z600">
        <x:v>51</x:v>
      </x:c>
      <x:c r="AA600">
        <x:v>49</x:v>
      </x:c>
      <x:c r="AB600" s="57" t="n">
        <x:v>40</x:v>
      </x:c>
      <x:c r="AC600" s="57" t="n">
        <x:v>39</x:v>
      </x:c>
      <x:c r="AD600" s="59"/>
      <x:c r="AE600" s="61" t="str">
        <x:f>IF(N(F600)&gt;=10,"NHL_LATEST_10",IF(AND(N(F600)&gt;0,N(G600)&gt;0),"NHL_BOTH_SEASONS",IF(N(G600)&gt;=10,"NHL_PREVIOUS_10",IF(AND(ISNUMBER(AD600),AD600=0,SUM(F600:G600)=0),"FARM_CAREER_0",IF(COUNT(F600:G600)&lt;2,"UNKNOWN_GP",IF(AND(F600=0,G600=0),IF(AD600&gt;=10,"FARM_LEGACY_10",IF(AND(ISNUMBER(AD600),AD600&gt;0),"FARM_CAREER_1_9","FARM_0_0")),IF(F600&gt;=1,IF(F600&lt;=3,"FARM_RECENT_1_3","FARM_RECENT_4_9"),"FARM_PREV_1_9_ONLY")))))))</x:f>
        <x:v>UNKNOWN_GP</x:v>
      </x:c>
      <x:c r="AF600" s="57" t="n">
        <x:f>AB600-T600</x:f>
        <x:v>0</x:v>
      </x:c>
      <x:c r="AG600" s="57" t="n">
        <x:f>AC600-U600</x:f>
        <x:v>0</x:v>
      </x:c>
    </x:row>
    <x:row r="601">
      <x:c r="A601" t="s">
        <x:v>1624</x:v>
      </x:c>
      <x:c r="C601" t="s">
        <x:v>331</x:v>
      </x:c>
      <x:c r="D601">
        <x:v>8483509</x:v>
      </x:c>
      <x:c r="E601" t="s">
        <x:v>267</x:v>
      </x:c>
      <x:c r="J601" t="s">
        <x:v>2474</x:v>
      </x:c>
      <x:c r="K601">
        <x:v>65</x:v>
      </x:c>
      <x:c r="L601">
        <x:v>37</x:v>
      </x:c>
      <x:c r="M601">
        <x:v>84</x:v>
      </x:c>
      <x:c r="N601">
        <x:v>32</x:v>
      </x:c>
      <x:c r="O601">
        <x:v>80</x:v>
      </x:c>
      <x:c r="P601">
        <x:v>78</x:v>
      </x:c>
      <x:c r="Q601">
        <x:v>81</x:v>
      </x:c>
      <x:c r="R601">
        <x:v>33</x:v>
      </x:c>
      <x:c r="S601">
        <x:v>30</x:v>
      </x:c>
      <x:c r="T601" s="63" t="n">
        <x:f>MAX(30,MIN(AB601-VLOOKUP(AE601,'AHL_PA_SC_BALANCE'!$A$8:$E$18,2,FALSE),VLOOKUP(AE601,'AHL_PA_SC_BALANCE'!$A$8:$E$18,4,FALSE)))</x:f>
        <x:v>39</x:v>
      </x:c>
      <x:c r="U601" s="63" t="n">
        <x:f>MAX(30,MIN(AC601-VLOOKUP(AE601,'AHL_PA_SC_BALANCE'!$A$8:$E$18,3,FALSE),VLOOKUP(AE601,'AHL_PA_SC_BALANCE'!$A$8:$E$18,5,FALSE)))</x:f>
        <x:v>40</x:v>
      </x:c>
      <x:c r="V601">
        <x:v>64</x:v>
      </x:c>
      <x:c r="W601">
        <x:v>44</x:v>
      </x:c>
      <x:c r="X601">
        <x:v>65</x:v>
      </x:c>
      <x:c r="Y601">
        <x:v>66</x:v>
      </x:c>
      <x:c r="Z601">
        <x:v>51</x:v>
      </x:c>
      <x:c r="AA601">
        <x:v>49</x:v>
      </x:c>
      <x:c r="AB601" s="57" t="n">
        <x:v>39</x:v>
      </x:c>
      <x:c r="AC601" s="57" t="n">
        <x:v>40</x:v>
      </x:c>
      <x:c r="AD601" s="59"/>
      <x:c r="AE601" s="61" t="str">
        <x:f>IF(N(F601)&gt;=10,"NHL_LATEST_10",IF(AND(N(F601)&gt;0,N(G601)&gt;0),"NHL_BOTH_SEASONS",IF(N(G601)&gt;=10,"NHL_PREVIOUS_10",IF(AND(ISNUMBER(AD601),AD601=0,SUM(F601:G601)=0),"FARM_CAREER_0",IF(COUNT(F601:G601)&lt;2,"UNKNOWN_GP",IF(AND(F601=0,G601=0),IF(AD601&gt;=10,"FARM_LEGACY_10",IF(AND(ISNUMBER(AD601),AD601&gt;0),"FARM_CAREER_1_9","FARM_0_0")),IF(F601&gt;=1,IF(F601&lt;=3,"FARM_RECENT_1_3","FARM_RECENT_4_9"),"FARM_PREV_1_9_ONLY")))))))</x:f>
        <x:v>UNKNOWN_GP</x:v>
      </x:c>
      <x:c r="AF601" s="57" t="n">
        <x:f>AB601-T601</x:f>
        <x:v>0</x:v>
      </x:c>
      <x:c r="AG601" s="57" t="n">
        <x:f>AC601-U601</x:f>
        <x:v>0</x:v>
      </x:c>
    </x:row>
    <x:row r="602">
      <x:c r="A602" t="s">
        <x:v>1625</x:v>
      </x:c>
      <x:c r="C602" t="s">
        <x:v>331</x:v>
      </x:c>
      <x:c r="D602">
        <x:v>8482950</x:v>
      </x:c>
      <x:c r="E602" t="s">
        <x:v>267</x:v>
      </x:c>
      <x:c r="J602" t="s">
        <x:v>2474</x:v>
      </x:c>
      <x:c r="K602">
        <x:v>68</x:v>
      </x:c>
      <x:c r="L602">
        <x:v>35</x:v>
      </x:c>
      <x:c r="M602">
        <x:v>86</x:v>
      </x:c>
      <x:c r="N602">
        <x:v>31</x:v>
      </x:c>
      <x:c r="O602">
        <x:v>83</x:v>
      </x:c>
      <x:c r="P602">
        <x:v>70</x:v>
      </x:c>
      <x:c r="Q602">
        <x:v>73</x:v>
      </x:c>
      <x:c r="R602">
        <x:v>31</x:v>
      </x:c>
      <x:c r="S602">
        <x:v>30</x:v>
      </x:c>
      <x:c r="T602" s="63" t="n">
        <x:f>MAX(30,MIN(AB602-VLOOKUP(AE602,'AHL_PA_SC_BALANCE'!$A$8:$E$18,2,FALSE),VLOOKUP(AE602,'AHL_PA_SC_BALANCE'!$A$8:$E$18,4,FALSE)))</x:f>
        <x:v>41</x:v>
      </x:c>
      <x:c r="U602" s="63" t="n">
        <x:f>MAX(30,MIN(AC602-VLOOKUP(AE602,'AHL_PA_SC_BALANCE'!$A$8:$E$18,3,FALSE),VLOOKUP(AE602,'AHL_PA_SC_BALANCE'!$A$8:$E$18,5,FALSE)))</x:f>
        <x:v>38</x:v>
      </x:c>
      <x:c r="V602">
        <x:v>66</x:v>
      </x:c>
      <x:c r="W602">
        <x:v>44</x:v>
      </x:c>
      <x:c r="X602">
        <x:v>66</x:v>
      </x:c>
      <x:c r="Y602">
        <x:v>65</x:v>
      </x:c>
      <x:c r="Z602">
        <x:v>51</x:v>
      </x:c>
      <x:c r="AA602">
        <x:v>49</x:v>
      </x:c>
      <x:c r="AB602" s="57" t="n">
        <x:v>41</x:v>
      </x:c>
      <x:c r="AC602" s="57" t="n">
        <x:v>38</x:v>
      </x:c>
      <x:c r="AD602" s="59"/>
      <x:c r="AE602" s="61" t="str">
        <x:f>IF(N(F602)&gt;=10,"NHL_LATEST_10",IF(AND(N(F602)&gt;0,N(G602)&gt;0),"NHL_BOTH_SEASONS",IF(N(G602)&gt;=10,"NHL_PREVIOUS_10",IF(AND(ISNUMBER(AD602),AD602=0,SUM(F602:G602)=0),"FARM_CAREER_0",IF(COUNT(F602:G602)&lt;2,"UNKNOWN_GP",IF(AND(F602=0,G602=0),IF(AD602&gt;=10,"FARM_LEGACY_10",IF(AND(ISNUMBER(AD602),AD602&gt;0),"FARM_CAREER_1_9","FARM_0_0")),IF(F602&gt;=1,IF(F602&lt;=3,"FARM_RECENT_1_3","FARM_RECENT_4_9"),"FARM_PREV_1_9_ONLY")))))))</x:f>
        <x:v>UNKNOWN_GP</x:v>
      </x:c>
      <x:c r="AF602" s="57" t="n">
        <x:f>AB602-T602</x:f>
        <x:v>0</x:v>
      </x:c>
      <x:c r="AG602" s="57" t="n">
        <x:f>AC602-U602</x:f>
        <x:v>0</x:v>
      </x:c>
    </x:row>
    <x:row r="603">
      <x:c r="A603" t="s">
        <x:v>1626</x:v>
      </x:c>
      <x:c r="C603" t="s">
        <x:v>326</x:v>
      </x:c>
      <x:c r="D603">
        <x:v>8480825</x:v>
      </x:c>
      <x:c r="E603" t="s">
        <x:v>267</x:v>
      </x:c>
      <x:c r="J603" t="s">
        <x:v>2474</x:v>
      </x:c>
      <x:c r="K603">
        <x:v>75</x:v>
      </x:c>
      <x:c r="L603">
        <x:v>36</x:v>
      </x:c>
      <x:c r="M603">
        <x:v>90</x:v>
      </x:c>
      <x:c r="N603">
        <x:v>42</x:v>
      </x:c>
      <x:c r="O603">
        <x:v>86</x:v>
      </x:c>
      <x:c r="P603">
        <x:v>87</x:v>
      </x:c>
      <x:c r="Q603">
        <x:v>93</x:v>
      </x:c>
      <x:c r="R603">
        <x:v>42</x:v>
      </x:c>
      <x:c r="S603">
        <x:v>66</x:v>
      </x:c>
      <x:c r="T603" s="63" t="n">
        <x:f>MAX(30,MIN(AB603-VLOOKUP(AE603,'AHL_PA_SC_BALANCE'!$A$8:$E$18,2,FALSE),VLOOKUP(AE603,'AHL_PA_SC_BALANCE'!$A$8:$E$18,4,FALSE)))</x:f>
        <x:v>49</x:v>
      </x:c>
      <x:c r="U603" s="63" t="n">
        <x:f>MAX(30,MIN(AC603-VLOOKUP(AE603,'AHL_PA_SC_BALANCE'!$A$8:$E$18,3,FALSE),VLOOKUP(AE603,'AHL_PA_SC_BALANCE'!$A$8:$E$18,5,FALSE)))</x:f>
        <x:v>48</x:v>
      </x:c>
      <x:c r="V603">
        <x:v>62</x:v>
      </x:c>
      <x:c r="W603">
        <x:v>64</x:v>
      </x:c>
      <x:c r="X603">
        <x:v>69</x:v>
      </x:c>
      <x:c r="Y603">
        <x:v>68</x:v>
      </x:c>
      <x:c r="Z603">
        <x:v>51</x:v>
      </x:c>
      <x:c r="AA603">
        <x:v>49</x:v>
      </x:c>
      <x:c r="AB603" s="57" t="n">
        <x:v>49</x:v>
      </x:c>
      <x:c r="AC603" s="57" t="n">
        <x:v>48</x:v>
      </x:c>
      <x:c r="AD603" s="59"/>
      <x:c r="AE603" s="61" t="str">
        <x:f>IF(N(F603)&gt;=10,"NHL_LATEST_10",IF(AND(N(F603)&gt;0,N(G603)&gt;0),"NHL_BOTH_SEASONS",IF(N(G603)&gt;=10,"NHL_PREVIOUS_10",IF(AND(ISNUMBER(AD603),AD603=0,SUM(F603:G603)=0),"FARM_CAREER_0",IF(COUNT(F603:G603)&lt;2,"UNKNOWN_GP",IF(AND(F603=0,G603=0),IF(AD603&gt;=10,"FARM_LEGACY_10",IF(AND(ISNUMBER(AD603),AD603&gt;0),"FARM_CAREER_1_9","FARM_0_0")),IF(F603&gt;=1,IF(F603&lt;=3,"FARM_RECENT_1_3","FARM_RECENT_4_9"),"FARM_PREV_1_9_ONLY")))))))</x:f>
        <x:v>UNKNOWN_GP</x:v>
      </x:c>
      <x:c r="AF603" s="57" t="n">
        <x:f>AB603-T603</x:f>
        <x:v>0</x:v>
      </x:c>
      <x:c r="AG603" s="57" t="n">
        <x:f>AC603-U603</x:f>
        <x:v>0</x:v>
      </x:c>
    </x:row>
    <x:row r="604">
      <x:c r="A604" t="s">
        <x:v>1627</x:v>
      </x:c>
      <x:c r="C604" t="s">
        <x:v>331</x:v>
      </x:c>
      <x:c r="D604">
        <x:v>8483651</x:v>
      </x:c>
      <x:c r="E604" t="s">
        <x:v>267</x:v>
      </x:c>
      <x:c r="J604" t="s">
        <x:v>2474</x:v>
      </x:c>
      <x:c r="K604">
        <x:v>67</x:v>
      </x:c>
      <x:c r="L604">
        <x:v>36</x:v>
      </x:c>
      <x:c r="M604">
        <x:v>82</x:v>
      </x:c>
      <x:c r="N604">
        <x:v>31</x:v>
      </x:c>
      <x:c r="O604">
        <x:v>83</x:v>
      </x:c>
      <x:c r="P604">
        <x:v>70</x:v>
      </x:c>
      <x:c r="Q604">
        <x:v>73</x:v>
      </x:c>
      <x:c r="R604">
        <x:v>32</x:v>
      </x:c>
      <x:c r="S604">
        <x:v>30</x:v>
      </x:c>
      <x:c r="T604" s="63" t="n">
        <x:f>MAX(30,MIN(AB604-VLOOKUP(AE604,'AHL_PA_SC_BALANCE'!$A$8:$E$18,2,FALSE),VLOOKUP(AE604,'AHL_PA_SC_BALANCE'!$A$8:$E$18,4,FALSE)))</x:f>
        <x:v>39</x:v>
      </x:c>
      <x:c r="U604" s="63" t="n">
        <x:f>MAX(30,MIN(AC604-VLOOKUP(AE604,'AHL_PA_SC_BALANCE'!$A$8:$E$18,3,FALSE),VLOOKUP(AE604,'AHL_PA_SC_BALANCE'!$A$8:$E$18,5,FALSE)))</x:f>
        <x:v>38</x:v>
      </x:c>
      <x:c r="V604">
        <x:v>65</x:v>
      </x:c>
      <x:c r="W604">
        <x:v>43</x:v>
      </x:c>
      <x:c r="X604">
        <x:v>68</x:v>
      </x:c>
      <x:c r="Y604">
        <x:v>69</x:v>
      </x:c>
      <x:c r="Z604">
        <x:v>51</x:v>
      </x:c>
      <x:c r="AA604">
        <x:v>49</x:v>
      </x:c>
      <x:c r="AB604" s="57" t="n">
        <x:v>39</x:v>
      </x:c>
      <x:c r="AC604" s="57" t="n">
        <x:v>38</x:v>
      </x:c>
      <x:c r="AD604" s="59"/>
      <x:c r="AE604" s="61" t="str">
        <x:f>IF(N(F604)&gt;=10,"NHL_LATEST_10",IF(AND(N(F604)&gt;0,N(G604)&gt;0),"NHL_BOTH_SEASONS",IF(N(G604)&gt;=10,"NHL_PREVIOUS_10",IF(AND(ISNUMBER(AD604),AD604=0,SUM(F604:G604)=0),"FARM_CAREER_0",IF(COUNT(F604:G604)&lt;2,"UNKNOWN_GP",IF(AND(F604=0,G604=0),IF(AD604&gt;=10,"FARM_LEGACY_10",IF(AND(ISNUMBER(AD604),AD604&gt;0),"FARM_CAREER_1_9","FARM_0_0")),IF(F604&gt;=1,IF(F604&lt;=3,"FARM_RECENT_1_3","FARM_RECENT_4_9"),"FARM_PREV_1_9_ONLY")))))))</x:f>
        <x:v>UNKNOWN_GP</x:v>
      </x:c>
      <x:c r="AF604" s="57" t="n">
        <x:f>AB604-T604</x:f>
        <x:v>0</x:v>
      </x:c>
      <x:c r="AG604" s="57" t="n">
        <x:f>AC604-U604</x:f>
        <x:v>0</x:v>
      </x:c>
    </x:row>
    <x:row r="605">
      <x:c r="A605" t="s">
        <x:v>1628</x:v>
      </x:c>
      <x:c r="C605" t="s">
        <x:v>339</x:v>
      </x:c>
      <x:c r="D605">
        <x:v>8483090</x:v>
      </x:c>
      <x:c r="E605" t="s">
        <x:v>267</x:v>
      </x:c>
      <x:c r="J605" t="s">
        <x:v>2474</x:v>
      </x:c>
      <x:c r="K605">
        <x:v>60</x:v>
      </x:c>
      <x:c r="L605">
        <x:v>32</x:v>
      </x:c>
      <x:c r="M605">
        <x:v>84</x:v>
      </x:c>
      <x:c r="N605">
        <x:v>45</x:v>
      </x:c>
      <x:c r="O605">
        <x:v>81</x:v>
      </x:c>
      <x:c r="P605">
        <x:v>83</x:v>
      </x:c>
      <x:c r="Q605">
        <x:v>87</x:v>
      </x:c>
      <x:c r="R605">
        <x:v>46</x:v>
      </x:c>
      <x:c r="S605">
        <x:v>77</x:v>
      </x:c>
      <x:c r="T605" s="63" t="n">
        <x:f>MAX(30,MIN(AB605-VLOOKUP(AE605,'AHL_PA_SC_BALANCE'!$A$8:$E$18,2,FALSE),VLOOKUP(AE605,'AHL_PA_SC_BALANCE'!$A$8:$E$18,4,FALSE)))</x:f>
        <x:v>44</x:v>
      </x:c>
      <x:c r="U605" s="63" t="n">
        <x:f>MAX(30,MIN(AC605-VLOOKUP(AE605,'AHL_PA_SC_BALANCE'!$A$8:$E$18,3,FALSE),VLOOKUP(AE605,'AHL_PA_SC_BALANCE'!$A$8:$E$18,5,FALSE)))</x:f>
        <x:v>46</x:v>
      </x:c>
      <x:c r="V605">
        <x:v>60</x:v>
      </x:c>
      <x:c r="W605">
        <x:v>65</x:v>
      </x:c>
      <x:c r="X605">
        <x:v>67</x:v>
      </x:c>
      <x:c r="Y605">
        <x:v>68</x:v>
      </x:c>
      <x:c r="Z605">
        <x:v>51</x:v>
      </x:c>
      <x:c r="AA605">
        <x:v>49</x:v>
      </x:c>
      <x:c r="AB605" s="57" t="n">
        <x:v>44</x:v>
      </x:c>
      <x:c r="AC605" s="57" t="n">
        <x:v>46</x:v>
      </x:c>
      <x:c r="AD605" s="59"/>
      <x:c r="AE605" s="61" t="str">
        <x:f>IF(N(F605)&gt;=10,"NHL_LATEST_10",IF(AND(N(F605)&gt;0,N(G605)&gt;0),"NHL_BOTH_SEASONS",IF(N(G605)&gt;=10,"NHL_PREVIOUS_10",IF(AND(ISNUMBER(AD605),AD605=0,SUM(F605:G605)=0),"FARM_CAREER_0",IF(COUNT(F605:G605)&lt;2,"UNKNOWN_GP",IF(AND(F605=0,G605=0),IF(AD605&gt;=10,"FARM_LEGACY_10",IF(AND(ISNUMBER(AD605),AD605&gt;0),"FARM_CAREER_1_9","FARM_0_0")),IF(F605&gt;=1,IF(F605&lt;=3,"FARM_RECENT_1_3","FARM_RECENT_4_9"),"FARM_PREV_1_9_ONLY")))))))</x:f>
        <x:v>UNKNOWN_GP</x:v>
      </x:c>
      <x:c r="AF605" s="57" t="n">
        <x:f>AB605-T605</x:f>
        <x:v>0</x:v>
      </x:c>
      <x:c r="AG605" s="57" t="n">
        <x:f>AC605-U605</x:f>
        <x:v>0</x:v>
      </x:c>
    </x:row>
    <x:row r="606">
      <x:c r="A606" t="s">
        <x:v>1629</x:v>
      </x:c>
      <x:c r="C606" t="s">
        <x:v>331</x:v>
      </x:c>
      <x:c r="D606">
        <x:v>8484766</x:v>
      </x:c>
      <x:c r="E606" t="s">
        <x:v>267</x:v>
      </x:c>
      <x:c r="J606" t="s">
        <x:v>2474</x:v>
      </x:c>
      <x:c r="K606">
        <x:v>80</x:v>
      </x:c>
      <x:c r="L606">
        <x:v>40</x:v>
      </x:c>
      <x:c r="M606">
        <x:v>88</x:v>
      </x:c>
      <x:c r="N606">
        <x:v>30</x:v>
      </x:c>
      <x:c r="O606">
        <x:v>82</x:v>
      </x:c>
      <x:c r="P606">
        <x:v>73</x:v>
      </x:c>
      <x:c r="Q606">
        <x:v>76</x:v>
      </x:c>
      <x:c r="R606">
        <x:v>31</x:v>
      </x:c>
      <x:c r="S606">
        <x:v>30</x:v>
      </x:c>
      <x:c r="T606" s="63" t="n">
        <x:f>MAX(30,MIN(AB606-VLOOKUP(AE606,'AHL_PA_SC_BALANCE'!$A$8:$E$18,2,FALSE),VLOOKUP(AE606,'AHL_PA_SC_BALANCE'!$A$8:$E$18,4,FALSE)))</x:f>
        <x:v>39</x:v>
      </x:c>
      <x:c r="U606" s="63" t="n">
        <x:f>MAX(30,MIN(AC606-VLOOKUP(AE606,'AHL_PA_SC_BALANCE'!$A$8:$E$18,3,FALSE),VLOOKUP(AE606,'AHL_PA_SC_BALANCE'!$A$8:$E$18,5,FALSE)))</x:f>
        <x:v>37</x:v>
      </x:c>
      <x:c r="V606">
        <x:v>66</x:v>
      </x:c>
      <x:c r="W606">
        <x:v>43</x:v>
      </x:c>
      <x:c r="X606">
        <x:v>65</x:v>
      </x:c>
      <x:c r="Y606">
        <x:v>64</x:v>
      </x:c>
      <x:c r="Z606">
        <x:v>51</x:v>
      </x:c>
      <x:c r="AA606">
        <x:v>49</x:v>
      </x:c>
      <x:c r="AB606" s="57" t="n">
        <x:v>39</x:v>
      </x:c>
      <x:c r="AC606" s="57" t="n">
        <x:v>37</x:v>
      </x:c>
      <x:c r="AD606" s="59"/>
      <x:c r="AE606" s="61" t="str">
        <x:f>IF(N(F606)&gt;=10,"NHL_LATEST_10",IF(AND(N(F606)&gt;0,N(G606)&gt;0),"NHL_BOTH_SEASONS",IF(N(G606)&gt;=10,"NHL_PREVIOUS_10",IF(AND(ISNUMBER(AD606),AD606=0,SUM(F606:G606)=0),"FARM_CAREER_0",IF(COUNT(F606:G606)&lt;2,"UNKNOWN_GP",IF(AND(F606=0,G606=0),IF(AD606&gt;=10,"FARM_LEGACY_10",IF(AND(ISNUMBER(AD606),AD606&gt;0),"FARM_CAREER_1_9","FARM_0_0")),IF(F606&gt;=1,IF(F606&lt;=3,"FARM_RECENT_1_3","FARM_RECENT_4_9"),"FARM_PREV_1_9_ONLY")))))))</x:f>
        <x:v>UNKNOWN_GP</x:v>
      </x:c>
      <x:c r="AF606" s="57" t="n">
        <x:f>AB606-T606</x:f>
        <x:v>0</x:v>
      </x:c>
      <x:c r="AG606" s="57" t="n">
        <x:f>AC606-U606</x:f>
        <x:v>0</x:v>
      </x:c>
    </x:row>
    <x:row r="607">
      <x:c r="A607" t="s">
        <x:v>1630</x:v>
      </x:c>
      <x:c r="C607" t="s">
        <x:v>326</x:v>
      </x:c>
      <x:c r="D607">
        <x:v>8482101</x:v>
      </x:c>
      <x:c r="E607" t="s">
        <x:v>267</x:v>
      </x:c>
      <x:c r="J607" t="s">
        <x:v>2474</x:v>
      </x:c>
      <x:c r="K607">
        <x:v>60</x:v>
      </x:c>
      <x:c r="L607">
        <x:v>33</x:v>
      </x:c>
      <x:c r="M607">
        <x:v>84</x:v>
      </x:c>
      <x:c r="N607">
        <x:v>46</x:v>
      </x:c>
      <x:c r="O607">
        <x:v>74</x:v>
      </x:c>
      <x:c r="P607">
        <x:v>82</x:v>
      </x:c>
      <x:c r="Q607">
        <x:v>84</x:v>
      </x:c>
      <x:c r="R607">
        <x:v>47</x:v>
      </x:c>
      <x:c r="S607">
        <x:v>58</x:v>
      </x:c>
      <x:c r="T607" s="63" t="n">
        <x:f>MAX(30,MIN(AB607-VLOOKUP(AE607,'AHL_PA_SC_BALANCE'!$A$8:$E$18,2,FALSE),VLOOKUP(AE607,'AHL_PA_SC_BALANCE'!$A$8:$E$18,4,FALSE)))</x:f>
        <x:v>48</x:v>
      </x:c>
      <x:c r="U607" s="63" t="n">
        <x:f>MAX(30,MIN(AC607-VLOOKUP(AE607,'AHL_PA_SC_BALANCE'!$A$8:$E$18,3,FALSE),VLOOKUP(AE607,'AHL_PA_SC_BALANCE'!$A$8:$E$18,5,FALSE)))</x:f>
        <x:v>49</x:v>
      </x:c>
      <x:c r="V607">
        <x:v>61</x:v>
      </x:c>
      <x:c r="W607">
        <x:v>67</x:v>
      </x:c>
      <x:c r="X607">
        <x:v>67</x:v>
      </x:c>
      <x:c r="Y607">
        <x:v>66</x:v>
      </x:c>
      <x:c r="Z607">
        <x:v>51</x:v>
      </x:c>
      <x:c r="AA607">
        <x:v>49</x:v>
      </x:c>
      <x:c r="AB607" s="57" t="n">
        <x:v>48</x:v>
      </x:c>
      <x:c r="AC607" s="57" t="n">
        <x:v>49</x:v>
      </x:c>
      <x:c r="AD607" s="59"/>
      <x:c r="AE607" s="61" t="str">
        <x:f>IF(N(F607)&gt;=10,"NHL_LATEST_10",IF(AND(N(F607)&gt;0,N(G607)&gt;0),"NHL_BOTH_SEASONS",IF(N(G607)&gt;=10,"NHL_PREVIOUS_10",IF(AND(ISNUMBER(AD607),AD607=0,SUM(F607:G607)=0),"FARM_CAREER_0",IF(COUNT(F607:G607)&lt;2,"UNKNOWN_GP",IF(AND(F607=0,G607=0),IF(AD607&gt;=10,"FARM_LEGACY_10",IF(AND(ISNUMBER(AD607),AD607&gt;0),"FARM_CAREER_1_9","FARM_0_0")),IF(F607&gt;=1,IF(F607&lt;=3,"FARM_RECENT_1_3","FARM_RECENT_4_9"),"FARM_PREV_1_9_ONLY")))))))</x:f>
        <x:v>UNKNOWN_GP</x:v>
      </x:c>
      <x:c r="AF607" s="57" t="n">
        <x:f>AB607-T607</x:f>
        <x:v>0</x:v>
      </x:c>
      <x:c r="AG607" s="57" t="n">
        <x:f>AC607-U607</x:f>
        <x:v>0</x:v>
      </x:c>
    </x:row>
    <x:row r="608">
      <x:c r="A608" t="s">
        <x:v>1631</x:v>
      </x:c>
      <x:c r="C608" t="s">
        <x:v>326</x:v>
      </x:c>
      <x:c r="D608">
        <x:v>8480007</x:v>
      </x:c>
      <x:c r="E608" t="s">
        <x:v>267</x:v>
      </x:c>
      <x:c r="J608" t="s">
        <x:v>2474</x:v>
      </x:c>
      <x:c r="K608">
        <x:v>61</x:v>
      </x:c>
      <x:c r="L608">
        <x:v>34</x:v>
      </x:c>
      <x:c r="M608">
        <x:v>90</x:v>
      </x:c>
      <x:c r="N608">
        <x:v>44</x:v>
      </x:c>
      <x:c r="O608">
        <x:v>83</x:v>
      </x:c>
      <x:c r="P608">
        <x:v>80</x:v>
      </x:c>
      <x:c r="Q608">
        <x:v>83</x:v>
      </x:c>
      <x:c r="R608">
        <x:v>43</x:v>
      </x:c>
      <x:c r="S608">
        <x:v>70</x:v>
      </x:c>
      <x:c r="T608" s="63" t="n">
        <x:f>MAX(30,MIN(AB608-VLOOKUP(AE608,'AHL_PA_SC_BALANCE'!$A$8:$E$18,2,FALSE),VLOOKUP(AE608,'AHL_PA_SC_BALANCE'!$A$8:$E$18,4,FALSE)))</x:f>
        <x:v>50</x:v>
      </x:c>
      <x:c r="U608" s="63" t="n">
        <x:f>MAX(30,MIN(AC608-VLOOKUP(AE608,'AHL_PA_SC_BALANCE'!$A$8:$E$18,3,FALSE),VLOOKUP(AE608,'AHL_PA_SC_BALANCE'!$A$8:$E$18,5,FALSE)))</x:f>
        <x:v>50</x:v>
      </x:c>
      <x:c r="V608">
        <x:v>64</x:v>
      </x:c>
      <x:c r="W608">
        <x:v>66</x:v>
      </x:c>
      <x:c r="X608">
        <x:v>71</x:v>
      </x:c>
      <x:c r="Y608">
        <x:v>69</x:v>
      </x:c>
      <x:c r="Z608">
        <x:v>51</x:v>
      </x:c>
      <x:c r="AA608">
        <x:v>49</x:v>
      </x:c>
      <x:c r="AB608" s="57" t="n">
        <x:v>50</x:v>
      </x:c>
      <x:c r="AC608" s="57" t="n">
        <x:v>50</x:v>
      </x:c>
      <x:c r="AD608" s="59"/>
      <x:c r="AE608" s="61" t="str">
        <x:f>IF(N(F608)&gt;=10,"NHL_LATEST_10",IF(AND(N(F608)&gt;0,N(G608)&gt;0),"NHL_BOTH_SEASONS",IF(N(G608)&gt;=10,"NHL_PREVIOUS_10",IF(AND(ISNUMBER(AD608),AD608=0,SUM(F608:G608)=0),"FARM_CAREER_0",IF(COUNT(F608:G608)&lt;2,"UNKNOWN_GP",IF(AND(F608=0,G608=0),IF(AD608&gt;=10,"FARM_LEGACY_10",IF(AND(ISNUMBER(AD608),AD608&gt;0),"FARM_CAREER_1_9","FARM_0_0")),IF(F608&gt;=1,IF(F608&lt;=3,"FARM_RECENT_1_3","FARM_RECENT_4_9"),"FARM_PREV_1_9_ONLY")))))))</x:f>
        <x:v>UNKNOWN_GP</x:v>
      </x:c>
      <x:c r="AF608" s="57" t="n">
        <x:f>AB608-T608</x:f>
        <x:v>0</x:v>
      </x:c>
      <x:c r="AG608" s="57" t="n">
        <x:f>AC608-U608</x:f>
        <x:v>0</x:v>
      </x:c>
    </x:row>
    <x:row r="609">
      <x:c r="A609" t="s">
        <x:v>1632</x:v>
      </x:c>
      <x:c r="C609" t="s">
        <x:v>331</x:v>
      </x:c>
      <x:c r="D609">
        <x:v>8484162</x:v>
      </x:c>
      <x:c r="E609" t="s">
        <x:v>267</x:v>
      </x:c>
      <x:c r="J609" t="s">
        <x:v>2474</x:v>
      </x:c>
      <x:c r="K609">
        <x:v>63</x:v>
      </x:c>
      <x:c r="L609">
        <x:v>39</x:v>
      </x:c>
      <x:c r="M609">
        <x:v>83</x:v>
      </x:c>
      <x:c r="N609">
        <x:v>33</x:v>
      </x:c>
      <x:c r="O609">
        <x:v>80</x:v>
      </x:c>
      <x:c r="P609">
        <x:v>78</x:v>
      </x:c>
      <x:c r="Q609">
        <x:v>81</x:v>
      </x:c>
      <x:c r="R609">
        <x:v>33</x:v>
      </x:c>
      <x:c r="S609">
        <x:v>30</x:v>
      </x:c>
      <x:c r="T609" s="63" t="n">
        <x:f>MAX(30,MIN(AB609-VLOOKUP(AE609,'AHL_PA_SC_BALANCE'!$A$8:$E$18,2,FALSE),VLOOKUP(AE609,'AHL_PA_SC_BALANCE'!$A$8:$E$18,4,FALSE)))</x:f>
        <x:v>43</x:v>
      </x:c>
      <x:c r="U609" s="63" t="n">
        <x:f>MAX(30,MIN(AC609-VLOOKUP(AE609,'AHL_PA_SC_BALANCE'!$A$8:$E$18,3,FALSE),VLOOKUP(AE609,'AHL_PA_SC_BALANCE'!$A$8:$E$18,5,FALSE)))</x:f>
        <x:v>39</x:v>
      </x:c>
      <x:c r="V609">
        <x:v>64</x:v>
      </x:c>
      <x:c r="W609">
        <x:v>46</x:v>
      </x:c>
      <x:c r="X609">
        <x:v>65</x:v>
      </x:c>
      <x:c r="Y609">
        <x:v>65</x:v>
      </x:c>
      <x:c r="Z609">
        <x:v>51</x:v>
      </x:c>
      <x:c r="AA609">
        <x:v>49</x:v>
      </x:c>
      <x:c r="AB609" s="57" t="n">
        <x:v>43</x:v>
      </x:c>
      <x:c r="AC609" s="57" t="n">
        <x:v>39</x:v>
      </x:c>
      <x:c r="AD609" s="59"/>
      <x:c r="AE609" s="61" t="str">
        <x:f>IF(N(F609)&gt;=10,"NHL_LATEST_10",IF(AND(N(F609)&gt;0,N(G609)&gt;0),"NHL_BOTH_SEASONS",IF(N(G609)&gt;=10,"NHL_PREVIOUS_10",IF(AND(ISNUMBER(AD609),AD609=0,SUM(F609:G609)=0),"FARM_CAREER_0",IF(COUNT(F609:G609)&lt;2,"UNKNOWN_GP",IF(AND(F609=0,G609=0),IF(AD609&gt;=10,"FARM_LEGACY_10",IF(AND(ISNUMBER(AD609),AD609&gt;0),"FARM_CAREER_1_9","FARM_0_0")),IF(F609&gt;=1,IF(F609&lt;=3,"FARM_RECENT_1_3","FARM_RECENT_4_9"),"FARM_PREV_1_9_ONLY")))))))</x:f>
        <x:v>UNKNOWN_GP</x:v>
      </x:c>
      <x:c r="AF609" s="57" t="n">
        <x:f>AB609-T609</x:f>
        <x:v>0</x:v>
      </x:c>
      <x:c r="AG609" s="57" t="n">
        <x:f>AC609-U609</x:f>
        <x:v>0</x:v>
      </x:c>
    </x:row>
    <x:row r="610">
      <x:c r="A610" t="s">
        <x:v>1633</x:v>
      </x:c>
      <x:c r="C610" t="s">
        <x:v>331</x:v>
      </x:c>
      <x:c r="D610">
        <x:v>8481762</x:v>
      </x:c>
      <x:c r="E610" t="s">
        <x:v>267</x:v>
      </x:c>
      <x:c r="J610" t="s">
        <x:v>2474</x:v>
      </x:c>
      <x:c r="K610">
        <x:v>72</x:v>
      </x:c>
      <x:c r="L610">
        <x:v>40</x:v>
      </x:c>
      <x:c r="M610">
        <x:v>83</x:v>
      </x:c>
      <x:c r="N610">
        <x:v>30</x:v>
      </x:c>
      <x:c r="O610">
        <x:v>82</x:v>
      </x:c>
      <x:c r="P610">
        <x:v>74</x:v>
      </x:c>
      <x:c r="Q610">
        <x:v>76</x:v>
      </x:c>
      <x:c r="R610">
        <x:v>30</x:v>
      </x:c>
      <x:c r="S610">
        <x:v>30</x:v>
      </x:c>
      <x:c r="T610" s="63" t="n">
        <x:f>MAX(30,MIN(AB610-VLOOKUP(AE610,'AHL_PA_SC_BALANCE'!$A$8:$E$18,2,FALSE),VLOOKUP(AE610,'AHL_PA_SC_BALANCE'!$A$8:$E$18,4,FALSE)))</x:f>
        <x:v>38</x:v>
      </x:c>
      <x:c r="U610" s="63" t="n">
        <x:f>MAX(30,MIN(AC610-VLOOKUP(AE610,'AHL_PA_SC_BALANCE'!$A$8:$E$18,3,FALSE),VLOOKUP(AE610,'AHL_PA_SC_BALANCE'!$A$8:$E$18,5,FALSE)))</x:f>
        <x:v>37</x:v>
      </x:c>
      <x:c r="V610">
        <x:v>70</x:v>
      </x:c>
      <x:c r="W610">
        <x:v>43</x:v>
      </x:c>
      <x:c r="X610">
        <x:v>68</x:v>
      </x:c>
      <x:c r="Y610">
        <x:v>68</x:v>
      </x:c>
      <x:c r="Z610">
        <x:v>47</x:v>
      </x:c>
      <x:c r="AA610">
        <x:v>49</x:v>
      </x:c>
      <x:c r="AB610" s="57" t="n">
        <x:v>38</x:v>
      </x:c>
      <x:c r="AC610" s="57" t="n">
        <x:v>37</x:v>
      </x:c>
      <x:c r="AD610" s="59"/>
      <x:c r="AE610" s="61" t="str">
        <x:f>IF(N(F610)&gt;=10,"NHL_LATEST_10",IF(AND(N(F610)&gt;0,N(G610)&gt;0),"NHL_BOTH_SEASONS",IF(N(G610)&gt;=10,"NHL_PREVIOUS_10",IF(AND(ISNUMBER(AD610),AD610=0,SUM(F610:G610)=0),"FARM_CAREER_0",IF(COUNT(F610:G610)&lt;2,"UNKNOWN_GP",IF(AND(F610=0,G610=0),IF(AD610&gt;=10,"FARM_LEGACY_10",IF(AND(ISNUMBER(AD610),AD610&gt;0),"FARM_CAREER_1_9","FARM_0_0")),IF(F610&gt;=1,IF(F610&lt;=3,"FARM_RECENT_1_3","FARM_RECENT_4_9"),"FARM_PREV_1_9_ONLY")))))))</x:f>
        <x:v>UNKNOWN_GP</x:v>
      </x:c>
      <x:c r="AF610" s="57" t="n">
        <x:f>AB610-T610</x:f>
        <x:v>0</x:v>
      </x:c>
      <x:c r="AG610" s="57" t="n">
        <x:f>AC610-U610</x:f>
        <x:v>0</x:v>
      </x:c>
    </x:row>
    <x:row r="611">
      <x:c r="A611" t="s">
        <x:v>1634</x:v>
      </x:c>
      <x:c r="C611" t="s">
        <x:v>339</x:v>
      </x:c>
      <x:c r="D611">
        <x:v>8482724</x:v>
      </x:c>
      <x:c r="E611" t="s">
        <x:v>267</x:v>
      </x:c>
      <x:c r="J611" t="s">
        <x:v>2474</x:v>
      </x:c>
      <x:c r="K611">
        <x:v>61</x:v>
      </x:c>
      <x:c r="L611">
        <x:v>33</x:v>
      </x:c>
      <x:c r="M611">
        <x:v>85</x:v>
      </x:c>
      <x:c r="N611">
        <x:v>45</x:v>
      </x:c>
      <x:c r="O611">
        <x:v>78</x:v>
      </x:c>
      <x:c r="P611">
        <x:v>85</x:v>
      </x:c>
      <x:c r="Q611">
        <x:v>88</x:v>
      </x:c>
      <x:c r="R611">
        <x:v>45</x:v>
      </x:c>
      <x:c r="S611">
        <x:v>66</x:v>
      </x:c>
      <x:c r="T611" s="63" t="n">
        <x:f>MAX(30,MIN(AB611-VLOOKUP(AE611,'AHL_PA_SC_BALANCE'!$A$8:$E$18,2,FALSE),VLOOKUP(AE611,'AHL_PA_SC_BALANCE'!$A$8:$E$18,4,FALSE)))</x:f>
        <x:v>45</x:v>
      </x:c>
      <x:c r="U611" s="63" t="n">
        <x:f>MAX(30,MIN(AC611-VLOOKUP(AE611,'AHL_PA_SC_BALANCE'!$A$8:$E$18,3,FALSE),VLOOKUP(AE611,'AHL_PA_SC_BALANCE'!$A$8:$E$18,5,FALSE)))</x:f>
        <x:v>44</x:v>
      </x:c>
      <x:c r="V611">
        <x:v>60</x:v>
      </x:c>
      <x:c r="W611">
        <x:v>65</x:v>
      </x:c>
      <x:c r="X611">
        <x:v>66</x:v>
      </x:c>
      <x:c r="Y611">
        <x:v>66</x:v>
      </x:c>
      <x:c r="Z611">
        <x:v>51</x:v>
      </x:c>
      <x:c r="AA611">
        <x:v>49</x:v>
      </x:c>
      <x:c r="AB611" s="57" t="n">
        <x:v>45</x:v>
      </x:c>
      <x:c r="AC611" s="57" t="n">
        <x:v>44</x:v>
      </x:c>
      <x:c r="AD611" s="59"/>
      <x:c r="AE611" s="61" t="str">
        <x:f>IF(N(F611)&gt;=10,"NHL_LATEST_10",IF(AND(N(F611)&gt;0,N(G611)&gt;0),"NHL_BOTH_SEASONS",IF(N(G611)&gt;=10,"NHL_PREVIOUS_10",IF(AND(ISNUMBER(AD611),AD611=0,SUM(F611:G611)=0),"FARM_CAREER_0",IF(COUNT(F611:G611)&lt;2,"UNKNOWN_GP",IF(AND(F611=0,G611=0),IF(AD611&gt;=10,"FARM_LEGACY_10",IF(AND(ISNUMBER(AD611),AD611&gt;0),"FARM_CAREER_1_9","FARM_0_0")),IF(F611&gt;=1,IF(F611&lt;=3,"FARM_RECENT_1_3","FARM_RECENT_4_9"),"FARM_PREV_1_9_ONLY")))))))</x:f>
        <x:v>UNKNOWN_GP</x:v>
      </x:c>
      <x:c r="AF611" s="57" t="n">
        <x:f>AB611-T611</x:f>
        <x:v>0</x:v>
      </x:c>
      <x:c r="AG611" s="57" t="n">
        <x:f>AC611-U611</x:f>
        <x:v>0</x:v>
      </x:c>
    </x:row>
    <x:row r="612">
      <x:c r="A612" t="s">
        <x:v>1635</x:v>
      </x:c>
      <x:c r="C612" t="s">
        <x:v>319</x:v>
      </x:c>
      <x:c r="D612">
        <x:v>8481848</x:v>
      </x:c>
      <x:c r="E612" t="s">
        <x:v>267</x:v>
      </x:c>
      <x:c r="J612" t="s">
        <x:v>2474</x:v>
      </x:c>
      <x:c r="K612">
        <x:v>58</x:v>
      </x:c>
      <x:c r="L612">
        <x:v>33</x:v>
      </x:c>
      <x:c r="M612">
        <x:v>83</x:v>
      </x:c>
      <x:c r="N612">
        <x:v>42</x:v>
      </x:c>
      <x:c r="O612">
        <x:v>81</x:v>
      </x:c>
      <x:c r="P612">
        <x:v>93</x:v>
      </x:c>
      <x:c r="Q612">
        <x:v>96</x:v>
      </x:c>
      <x:c r="R612">
        <x:v>42</x:v>
      </x:c>
      <x:c r="S612">
        <x:v>67</x:v>
      </x:c>
      <x:c r="T612" s="63" t="n">
        <x:f>MAX(30,MIN(AB612-VLOOKUP(AE612,'AHL_PA_SC_BALANCE'!$A$8:$E$18,2,FALSE),VLOOKUP(AE612,'AHL_PA_SC_BALANCE'!$A$8:$E$18,4,FALSE)))</x:f>
        <x:v>43</x:v>
      </x:c>
      <x:c r="U612" s="63" t="n">
        <x:f>MAX(30,MIN(AC612-VLOOKUP(AE612,'AHL_PA_SC_BALANCE'!$A$8:$E$18,3,FALSE),VLOOKUP(AE612,'AHL_PA_SC_BALANCE'!$A$8:$E$18,5,FALSE)))</x:f>
        <x:v>45</x:v>
      </x:c>
      <x:c r="V612">
        <x:v>60</x:v>
      </x:c>
      <x:c r="W612">
        <x:v>64</x:v>
      </x:c>
      <x:c r="X612">
        <x:v>68</x:v>
      </x:c>
      <x:c r="Y612">
        <x:v>67</x:v>
      </x:c>
      <x:c r="Z612">
        <x:v>51</x:v>
      </x:c>
      <x:c r="AA612">
        <x:v>48</x:v>
      </x:c>
      <x:c r="AB612" s="57" t="n">
        <x:v>43</x:v>
      </x:c>
      <x:c r="AC612" s="57" t="n">
        <x:v>45</x:v>
      </x:c>
      <x:c r="AD612" s="59"/>
      <x:c r="AE612" s="61" t="str">
        <x:f>IF(N(F612)&gt;=10,"NHL_LATEST_10",IF(AND(N(F612)&gt;0,N(G612)&gt;0),"NHL_BOTH_SEASONS",IF(N(G612)&gt;=10,"NHL_PREVIOUS_10",IF(AND(ISNUMBER(AD612),AD612=0,SUM(F612:G612)=0),"FARM_CAREER_0",IF(COUNT(F612:G612)&lt;2,"UNKNOWN_GP",IF(AND(F612=0,G612=0),IF(AD612&gt;=10,"FARM_LEGACY_10",IF(AND(ISNUMBER(AD612),AD612&gt;0),"FARM_CAREER_1_9","FARM_0_0")),IF(F612&gt;=1,IF(F612&lt;=3,"FARM_RECENT_1_3","FARM_RECENT_4_9"),"FARM_PREV_1_9_ONLY")))))))</x:f>
        <x:v>UNKNOWN_GP</x:v>
      </x:c>
      <x:c r="AF612" s="57" t="n">
        <x:f>AB612-T612</x:f>
        <x:v>0</x:v>
      </x:c>
      <x:c r="AG612" s="57" t="n">
        <x:f>AC612-U612</x:f>
        <x:v>0</x:v>
      </x:c>
    </x:row>
    <x:row r="613">
      <x:c r="A613" t="s">
        <x:v>1636</x:v>
      </x:c>
      <x:c r="C613" t="s">
        <x:v>339</x:v>
      </x:c>
      <x:c r="D613">
        <x:v>8482479</x:v>
      </x:c>
      <x:c r="E613" t="s">
        <x:v>267</x:v>
      </x:c>
      <x:c r="J613" t="s">
        <x:v>2474</x:v>
      </x:c>
      <x:c r="K613">
        <x:v>61</x:v>
      </x:c>
      <x:c r="L613">
        <x:v>32</x:v>
      </x:c>
      <x:c r="M613">
        <x:v>76</x:v>
      </x:c>
      <x:c r="N613">
        <x:v>42</x:v>
      </x:c>
      <x:c r="O613">
        <x:v>81</x:v>
      </x:c>
      <x:c r="P613">
        <x:v>89</x:v>
      </x:c>
      <x:c r="Q613">
        <x:v>94</x:v>
      </x:c>
      <x:c r="R613">
        <x:v>42</x:v>
      </x:c>
      <x:c r="S613">
        <x:v>78</x:v>
      </x:c>
      <x:c r="T613" s="63" t="n">
        <x:f>MAX(30,MIN(AB613-VLOOKUP(AE613,'AHL_PA_SC_BALANCE'!$A$8:$E$18,2,FALSE),VLOOKUP(AE613,'AHL_PA_SC_BALANCE'!$A$8:$E$18,4,FALSE)))</x:f>
        <x:v>43</x:v>
      </x:c>
      <x:c r="U613" s="63" t="n">
        <x:f>MAX(30,MIN(AC613-VLOOKUP(AE613,'AHL_PA_SC_BALANCE'!$A$8:$E$18,3,FALSE),VLOOKUP(AE613,'AHL_PA_SC_BALANCE'!$A$8:$E$18,5,FALSE)))</x:f>
        <x:v>44</x:v>
      </x:c>
      <x:c r="V613">
        <x:v>61</x:v>
      </x:c>
      <x:c r="W613">
        <x:v>63</x:v>
      </x:c>
      <x:c r="X613">
        <x:v>68</x:v>
      </x:c>
      <x:c r="Y613">
        <x:v>67</x:v>
      </x:c>
      <x:c r="Z613">
        <x:v>51</x:v>
      </x:c>
      <x:c r="AA613">
        <x:v>48</x:v>
      </x:c>
      <x:c r="AB613" s="57" t="n">
        <x:v>43</x:v>
      </x:c>
      <x:c r="AC613" s="57" t="n">
        <x:v>44</x:v>
      </x:c>
      <x:c r="AD613" s="59"/>
      <x:c r="AE613" s="61" t="str">
        <x:f>IF(N(F613)&gt;=10,"NHL_LATEST_10",IF(AND(N(F613)&gt;0,N(G613)&gt;0),"NHL_BOTH_SEASONS",IF(N(G613)&gt;=10,"NHL_PREVIOUS_10",IF(AND(ISNUMBER(AD613),AD613=0,SUM(F613:G613)=0),"FARM_CAREER_0",IF(COUNT(F613:G613)&lt;2,"UNKNOWN_GP",IF(AND(F613=0,G613=0),IF(AD613&gt;=10,"FARM_LEGACY_10",IF(AND(ISNUMBER(AD613),AD613&gt;0),"FARM_CAREER_1_9","FARM_0_0")),IF(F613&gt;=1,IF(F613&lt;=3,"FARM_RECENT_1_3","FARM_RECENT_4_9"),"FARM_PREV_1_9_ONLY")))))))</x:f>
        <x:v>UNKNOWN_GP</x:v>
      </x:c>
      <x:c r="AF613" s="57" t="n">
        <x:f>AB613-T613</x:f>
        <x:v>0</x:v>
      </x:c>
      <x:c r="AG613" s="57" t="n">
        <x:f>AC613-U613</x:f>
        <x:v>0</x:v>
      </x:c>
    </x:row>
    <x:row r="614">
      <x:c r="A614" t="s">
        <x:v>1637</x:v>
      </x:c>
      <x:c r="C614" t="s">
        <x:v>358</x:v>
      </x:c>
      <x:c r="D614">
        <x:v>8484403</x:v>
      </x:c>
      <x:c r="E614" t="s">
        <x:v>267</x:v>
      </x:c>
      <x:c r="J614" t="s">
        <x:v>2474</x:v>
      </x:c>
      <x:c r="K614">
        <x:v>64</x:v>
      </x:c>
      <x:c r="L614">
        <x:v>31</x:v>
      </x:c>
      <x:c r="M614">
        <x:v>71</x:v>
      </x:c>
      <x:c r="N614">
        <x:v>43</x:v>
      </x:c>
      <x:c r="O614">
        <x:v>83</x:v>
      </x:c>
      <x:c r="P614">
        <x:v>89</x:v>
      </x:c>
      <x:c r="Q614">
        <x:v>93</x:v>
      </x:c>
      <x:c r="R614">
        <x:v>42</x:v>
      </x:c>
      <x:c r="S614">
        <x:v>59</x:v>
      </x:c>
      <x:c r="T614" s="63" t="n">
        <x:f>MAX(30,MIN(AB614-VLOOKUP(AE614,'AHL_PA_SC_BALANCE'!$A$8:$E$18,2,FALSE),VLOOKUP(AE614,'AHL_PA_SC_BALANCE'!$A$8:$E$18,4,FALSE)))</x:f>
        <x:v>42</x:v>
      </x:c>
      <x:c r="U614" s="63" t="n">
        <x:f>MAX(30,MIN(AC614-VLOOKUP(AE614,'AHL_PA_SC_BALANCE'!$A$8:$E$18,3,FALSE),VLOOKUP(AE614,'AHL_PA_SC_BALANCE'!$A$8:$E$18,5,FALSE)))</x:f>
        <x:v>45</x:v>
      </x:c>
      <x:c r="V614">
        <x:v>61</x:v>
      </x:c>
      <x:c r="W614">
        <x:v>63</x:v>
      </x:c>
      <x:c r="X614">
        <x:v>67</x:v>
      </x:c>
      <x:c r="Y614">
        <x:v>67</x:v>
      </x:c>
      <x:c r="Z614">
        <x:v>51</x:v>
      </x:c>
      <x:c r="AA614">
        <x:v>48</x:v>
      </x:c>
      <x:c r="AB614" s="57" t="n">
        <x:v>42</x:v>
      </x:c>
      <x:c r="AC614" s="57" t="n">
        <x:v>45</x:v>
      </x:c>
      <x:c r="AD614" s="59"/>
      <x:c r="AE614" s="61" t="str">
        <x:f>IF(N(F614)&gt;=10,"NHL_LATEST_10",IF(AND(N(F614)&gt;0,N(G614)&gt;0),"NHL_BOTH_SEASONS",IF(N(G614)&gt;=10,"NHL_PREVIOUS_10",IF(AND(ISNUMBER(AD614),AD614=0,SUM(F614:G614)=0),"FARM_CAREER_0",IF(COUNT(F614:G614)&lt;2,"UNKNOWN_GP",IF(AND(F614=0,G614=0),IF(AD614&gt;=10,"FARM_LEGACY_10",IF(AND(ISNUMBER(AD614),AD614&gt;0),"FARM_CAREER_1_9","FARM_0_0")),IF(F614&gt;=1,IF(F614&lt;=3,"FARM_RECENT_1_3","FARM_RECENT_4_9"),"FARM_PREV_1_9_ONLY")))))))</x:f>
        <x:v>UNKNOWN_GP</x:v>
      </x:c>
      <x:c r="AF614" s="57" t="n">
        <x:f>AB614-T614</x:f>
        <x:v>0</x:v>
      </x:c>
      <x:c r="AG614" s="57" t="n">
        <x:f>AC614-U614</x:f>
        <x:v>0</x:v>
      </x:c>
    </x:row>
    <x:row r="615">
      <x:c r="A615" t="s">
        <x:v>1638</x:v>
      </x:c>
      <x:c r="C615" t="s">
        <x:v>333</x:v>
      </x:c>
      <x:c r="D615">
        <x:v>8484396</x:v>
      </x:c>
      <x:c r="E615" t="s">
        <x:v>267</x:v>
      </x:c>
      <x:c r="J615" t="s">
        <x:v>2474</x:v>
      </x:c>
      <x:c r="K615">
        <x:v>72</x:v>
      </x:c>
      <x:c r="L615">
        <x:v>41</x:v>
      </x:c>
      <x:c r="M615">
        <x:v>84</x:v>
      </x:c>
      <x:c r="N615">
        <x:v>39</x:v>
      </x:c>
      <x:c r="O615">
        <x:v>75</x:v>
      </x:c>
      <x:c r="P615">
        <x:v>87</x:v>
      </x:c>
      <x:c r="Q615">
        <x:v>91</x:v>
      </x:c>
      <x:c r="R615">
        <x:v>40</x:v>
      </x:c>
      <x:c r="S615">
        <x:v>78</x:v>
      </x:c>
      <x:c r="T615" s="63" t="n">
        <x:f>MAX(30,MIN(AB615-VLOOKUP(AE615,'AHL_PA_SC_BALANCE'!$A$8:$E$18,2,FALSE),VLOOKUP(AE615,'AHL_PA_SC_BALANCE'!$A$8:$E$18,4,FALSE)))</x:f>
        <x:v>43</x:v>
      </x:c>
      <x:c r="U615" s="63" t="n">
        <x:f>MAX(30,MIN(AC615-VLOOKUP(AE615,'AHL_PA_SC_BALANCE'!$A$8:$E$18,3,FALSE),VLOOKUP(AE615,'AHL_PA_SC_BALANCE'!$A$8:$E$18,5,FALSE)))</x:f>
        <x:v>44</x:v>
      </x:c>
      <x:c r="V615">
        <x:v>62</x:v>
      </x:c>
      <x:c r="W615">
        <x:v>61</x:v>
      </x:c>
      <x:c r="X615">
        <x:v>65</x:v>
      </x:c>
      <x:c r="Y615">
        <x:v>66</x:v>
      </x:c>
      <x:c r="Z615">
        <x:v>51</x:v>
      </x:c>
      <x:c r="AA615">
        <x:v>48</x:v>
      </x:c>
      <x:c r="AB615" s="57" t="n">
        <x:v>43</x:v>
      </x:c>
      <x:c r="AC615" s="57" t="n">
        <x:v>44</x:v>
      </x:c>
      <x:c r="AD615" s="59"/>
      <x:c r="AE615" s="61" t="str">
        <x:f>IF(N(F615)&gt;=10,"NHL_LATEST_10",IF(AND(N(F615)&gt;0,N(G615)&gt;0),"NHL_BOTH_SEASONS",IF(N(G615)&gt;=10,"NHL_PREVIOUS_10",IF(AND(ISNUMBER(AD615),AD615=0,SUM(F615:G615)=0),"FARM_CAREER_0",IF(COUNT(F615:G615)&lt;2,"UNKNOWN_GP",IF(AND(F615=0,G615=0),IF(AD615&gt;=10,"FARM_LEGACY_10",IF(AND(ISNUMBER(AD615),AD615&gt;0),"FARM_CAREER_1_9","FARM_0_0")),IF(F615&gt;=1,IF(F615&lt;=3,"FARM_RECENT_1_3","FARM_RECENT_4_9"),"FARM_PREV_1_9_ONLY")))))))</x:f>
        <x:v>UNKNOWN_GP</x:v>
      </x:c>
      <x:c r="AF615" s="57" t="n">
        <x:f>AB615-T615</x:f>
        <x:v>0</x:v>
      </x:c>
      <x:c r="AG615" s="57" t="n">
        <x:f>AC615-U615</x:f>
        <x:v>0</x:v>
      </x:c>
    </x:row>
    <x:row r="616">
      <x:c r="A616" t="s">
        <x:v>1639</x:v>
      </x:c>
      <x:c r="C616" t="s">
        <x:v>319</x:v>
      </x:c>
      <x:c r="D616">
        <x:v>8482152</x:v>
      </x:c>
      <x:c r="E616" t="s">
        <x:v>267</x:v>
      </x:c>
      <x:c r="J616" t="s">
        <x:v>2474</x:v>
      </x:c>
      <x:c r="K616">
        <x:v>62</x:v>
      </x:c>
      <x:c r="L616">
        <x:v>36</x:v>
      </x:c>
      <x:c r="M616">
        <x:v>91</x:v>
      </x:c>
      <x:c r="N616">
        <x:v>43</x:v>
      </x:c>
      <x:c r="O616">
        <x:v>78</x:v>
      </x:c>
      <x:c r="P616">
        <x:v>90</x:v>
      </x:c>
      <x:c r="Q616">
        <x:v>94</x:v>
      </x:c>
      <x:c r="R616">
        <x:v>42</x:v>
      </x:c>
      <x:c r="S616">
        <x:v>56</x:v>
      </x:c>
      <x:c r="T616" s="63" t="n">
        <x:f>MAX(30,MIN(AB616-VLOOKUP(AE616,'AHL_PA_SC_BALANCE'!$A$8:$E$18,2,FALSE),VLOOKUP(AE616,'AHL_PA_SC_BALANCE'!$A$8:$E$18,4,FALSE)))</x:f>
        <x:v>44</x:v>
      </x:c>
      <x:c r="U616" s="63" t="n">
        <x:f>MAX(30,MIN(AC616-VLOOKUP(AE616,'AHL_PA_SC_BALANCE'!$A$8:$E$18,3,FALSE),VLOOKUP(AE616,'AHL_PA_SC_BALANCE'!$A$8:$E$18,5,FALSE)))</x:f>
        <x:v>44</x:v>
      </x:c>
      <x:c r="V616">
        <x:v>58</x:v>
      </x:c>
      <x:c r="W616">
        <x:v>64</x:v>
      </x:c>
      <x:c r="X616">
        <x:v>66</x:v>
      </x:c>
      <x:c r="Y616">
        <x:v>67</x:v>
      </x:c>
      <x:c r="Z616">
        <x:v>51</x:v>
      </x:c>
      <x:c r="AA616">
        <x:v>48</x:v>
      </x:c>
      <x:c r="AB616" s="57" t="n">
        <x:v>44</x:v>
      </x:c>
      <x:c r="AC616" s="57" t="n">
        <x:v>44</x:v>
      </x:c>
      <x:c r="AD616" s="59"/>
      <x:c r="AE616" s="61" t="str">
        <x:f>IF(N(F616)&gt;=10,"NHL_LATEST_10",IF(AND(N(F616)&gt;0,N(G616)&gt;0),"NHL_BOTH_SEASONS",IF(N(G616)&gt;=10,"NHL_PREVIOUS_10",IF(AND(ISNUMBER(AD616),AD616=0,SUM(F616:G616)=0),"FARM_CAREER_0",IF(COUNT(F616:G616)&lt;2,"UNKNOWN_GP",IF(AND(F616=0,G616=0),IF(AD616&gt;=10,"FARM_LEGACY_10",IF(AND(ISNUMBER(AD616),AD616&gt;0),"FARM_CAREER_1_9","FARM_0_0")),IF(F616&gt;=1,IF(F616&lt;=3,"FARM_RECENT_1_3","FARM_RECENT_4_9"),"FARM_PREV_1_9_ONLY")))))))</x:f>
        <x:v>UNKNOWN_GP</x:v>
      </x:c>
      <x:c r="AF616" s="57" t="n">
        <x:f>AB616-T616</x:f>
        <x:v>0</x:v>
      </x:c>
      <x:c r="AG616" s="57" t="n">
        <x:f>AC616-U616</x:f>
        <x:v>0</x:v>
      </x:c>
    </x:row>
    <x:row r="617">
      <x:c r="A617" t="s">
        <x:v>1640</x:v>
      </x:c>
      <x:c r="C617" t="s">
        <x:v>358</x:v>
      </x:c>
      <x:c r="D617">
        <x:v>8483496</x:v>
      </x:c>
      <x:c r="E617" t="s">
        <x:v>267</x:v>
      </x:c>
      <x:c r="J617" t="s">
        <x:v>2474</x:v>
      </x:c>
      <x:c r="K617">
        <x:v>59</x:v>
      </x:c>
      <x:c r="L617">
        <x:v>33</x:v>
      </x:c>
      <x:c r="M617">
        <x:v>90</x:v>
      </x:c>
      <x:c r="N617">
        <x:v>43</x:v>
      </x:c>
      <x:c r="O617">
        <x:v>77</x:v>
      </x:c>
      <x:c r="P617">
        <x:v>84</x:v>
      </x:c>
      <x:c r="Q617">
        <x:v>88</x:v>
      </x:c>
      <x:c r="R617">
        <x:v>43</x:v>
      </x:c>
      <x:c r="S617">
        <x:v>53</x:v>
      </x:c>
      <x:c r="T617" s="63" t="n">
        <x:f>MAX(30,MIN(AB617-VLOOKUP(AE617,'AHL_PA_SC_BALANCE'!$A$8:$E$18,2,FALSE),VLOOKUP(AE617,'AHL_PA_SC_BALANCE'!$A$8:$E$18,4,FALSE)))</x:f>
        <x:v>44</x:v>
      </x:c>
      <x:c r="U617" s="63" t="n">
        <x:f>MAX(30,MIN(AC617-VLOOKUP(AE617,'AHL_PA_SC_BALANCE'!$A$8:$E$18,3,FALSE),VLOOKUP(AE617,'AHL_PA_SC_BALANCE'!$A$8:$E$18,5,FALSE)))</x:f>
        <x:v>43</x:v>
      </x:c>
      <x:c r="V617">
        <x:v>57</x:v>
      </x:c>
      <x:c r="W617">
        <x:v>64</x:v>
      </x:c>
      <x:c r="X617">
        <x:v>66</x:v>
      </x:c>
      <x:c r="Y617">
        <x:v>66</x:v>
      </x:c>
      <x:c r="Z617">
        <x:v>51</x:v>
      </x:c>
      <x:c r="AA617">
        <x:v>48</x:v>
      </x:c>
      <x:c r="AB617" s="57" t="n">
        <x:v>44</x:v>
      </x:c>
      <x:c r="AC617" s="57" t="n">
        <x:v>43</x:v>
      </x:c>
      <x:c r="AD617" s="59"/>
      <x:c r="AE617" s="61" t="str">
        <x:f>IF(N(F617)&gt;=10,"NHL_LATEST_10",IF(AND(N(F617)&gt;0,N(G617)&gt;0),"NHL_BOTH_SEASONS",IF(N(G617)&gt;=10,"NHL_PREVIOUS_10",IF(AND(ISNUMBER(AD617),AD617=0,SUM(F617:G617)=0),"FARM_CAREER_0",IF(COUNT(F617:G617)&lt;2,"UNKNOWN_GP",IF(AND(F617=0,G617=0),IF(AD617&gt;=10,"FARM_LEGACY_10",IF(AND(ISNUMBER(AD617),AD617&gt;0),"FARM_CAREER_1_9","FARM_0_0")),IF(F617&gt;=1,IF(F617&lt;=3,"FARM_RECENT_1_3","FARM_RECENT_4_9"),"FARM_PREV_1_9_ONLY")))))))</x:f>
        <x:v>UNKNOWN_GP</x:v>
      </x:c>
      <x:c r="AF617" s="57" t="n">
        <x:f>AB617-T617</x:f>
        <x:v>0</x:v>
      </x:c>
      <x:c r="AG617" s="57" t="n">
        <x:f>AC617-U617</x:f>
        <x:v>0</x:v>
      </x:c>
    </x:row>
    <x:row r="618">
      <x:c r="A618" t="s">
        <x:v>1641</x:v>
      </x:c>
      <x:c r="C618" t="s">
        <x:v>326</x:v>
      </x:c>
      <x:c r="D618">
        <x:v>8482080</x:v>
      </x:c>
      <x:c r="E618" t="s">
        <x:v>267</x:v>
      </x:c>
      <x:c r="J618" t="s">
        <x:v>2474</x:v>
      </x:c>
      <x:c r="K618">
        <x:v>61</x:v>
      </x:c>
      <x:c r="L618">
        <x:v>35</x:v>
      </x:c>
      <x:c r="M618">
        <x:v>80</x:v>
      </x:c>
      <x:c r="N618">
        <x:v>44</x:v>
      </x:c>
      <x:c r="O618">
        <x:v>77</x:v>
      </x:c>
      <x:c r="P618">
        <x:v>89</x:v>
      </x:c>
      <x:c r="Q618">
        <x:v>94</x:v>
      </x:c>
      <x:c r="R618">
        <x:v>43</x:v>
      </x:c>
      <x:c r="S618">
        <x:v>66</x:v>
      </x:c>
      <x:c r="T618" s="63" t="n">
        <x:f>MAX(30,MIN(AB618-VLOOKUP(AE618,'AHL_PA_SC_BALANCE'!$A$8:$E$18,2,FALSE),VLOOKUP(AE618,'AHL_PA_SC_BALANCE'!$A$8:$E$18,4,FALSE)))</x:f>
        <x:v>44</x:v>
      </x:c>
      <x:c r="U618" s="63" t="n">
        <x:f>MAX(30,MIN(AC618-VLOOKUP(AE618,'AHL_PA_SC_BALANCE'!$A$8:$E$18,3,FALSE),VLOOKUP(AE618,'AHL_PA_SC_BALANCE'!$A$8:$E$18,5,FALSE)))</x:f>
        <x:v>44</x:v>
      </x:c>
      <x:c r="V618">
        <x:v>61</x:v>
      </x:c>
      <x:c r="W618">
        <x:v>64</x:v>
      </x:c>
      <x:c r="X618">
        <x:v>68</x:v>
      </x:c>
      <x:c r="Y618">
        <x:v>67</x:v>
      </x:c>
      <x:c r="Z618">
        <x:v>49</x:v>
      </x:c>
      <x:c r="AA618">
        <x:v>48</x:v>
      </x:c>
      <x:c r="AB618" s="57" t="n">
        <x:v>44</x:v>
      </x:c>
      <x:c r="AC618" s="57" t="n">
        <x:v>44</x:v>
      </x:c>
      <x:c r="AD618" s="59"/>
      <x:c r="AE618" s="61" t="str">
        <x:f>IF(N(F618)&gt;=10,"NHL_LATEST_10",IF(AND(N(F618)&gt;0,N(G618)&gt;0),"NHL_BOTH_SEASONS",IF(N(G618)&gt;=10,"NHL_PREVIOUS_10",IF(AND(ISNUMBER(AD618),AD618=0,SUM(F618:G618)=0),"FARM_CAREER_0",IF(COUNT(F618:G618)&lt;2,"UNKNOWN_GP",IF(AND(F618=0,G618=0),IF(AD618&gt;=10,"FARM_LEGACY_10",IF(AND(ISNUMBER(AD618),AD618&gt;0),"FARM_CAREER_1_9","FARM_0_0")),IF(F618&gt;=1,IF(F618&lt;=3,"FARM_RECENT_1_3","FARM_RECENT_4_9"),"FARM_PREV_1_9_ONLY")))))))</x:f>
        <x:v>UNKNOWN_GP</x:v>
      </x:c>
      <x:c r="AF618" s="57" t="n">
        <x:f>AB618-T618</x:f>
        <x:v>0</x:v>
      </x:c>
      <x:c r="AG618" s="57" t="n">
        <x:f>AC618-U618</x:f>
        <x:v>0</x:v>
      </x:c>
    </x:row>
    <x:row r="619">
      <x:c r="A619" t="s">
        <x:v>1642</x:v>
      </x:c>
      <x:c r="C619" t="s">
        <x:v>358</x:v>
      </x:c>
      <x:c r="D619">
        <x:v>8484966</x:v>
      </x:c>
      <x:c r="E619" t="s">
        <x:v>267</x:v>
      </x:c>
      <x:c r="J619" t="s">
        <x:v>2474</x:v>
      </x:c>
      <x:c r="K619">
        <x:v>65</x:v>
      </x:c>
      <x:c r="L619">
        <x:v>41</x:v>
      </x:c>
      <x:c r="M619">
        <x:v>87</x:v>
      </x:c>
      <x:c r="N619">
        <x:v>41</x:v>
      </x:c>
      <x:c r="O619">
        <x:v>75</x:v>
      </x:c>
      <x:c r="P619">
        <x:v>84</x:v>
      </x:c>
      <x:c r="Q619">
        <x:v>89</x:v>
      </x:c>
      <x:c r="R619">
        <x:v>42</x:v>
      </x:c>
      <x:c r="S619">
        <x:v>61</x:v>
      </x:c>
      <x:c r="T619" s="63" t="n">
        <x:f>MAX(30,MIN(AB619-VLOOKUP(AE619,'AHL_PA_SC_BALANCE'!$A$8:$E$18,2,FALSE),VLOOKUP(AE619,'AHL_PA_SC_BALANCE'!$A$8:$E$18,4,FALSE)))</x:f>
        <x:v>44</x:v>
      </x:c>
      <x:c r="U619" s="63" t="n">
        <x:f>MAX(30,MIN(AC619-VLOOKUP(AE619,'AHL_PA_SC_BALANCE'!$A$8:$E$18,3,FALSE),VLOOKUP(AE619,'AHL_PA_SC_BALANCE'!$A$8:$E$18,5,FALSE)))</x:f>
        <x:v>42</x:v>
      </x:c>
      <x:c r="V619">
        <x:v>63</x:v>
      </x:c>
      <x:c r="W619">
        <x:v>63</x:v>
      </x:c>
      <x:c r="X619">
        <x:v>68</x:v>
      </x:c>
      <x:c r="Y619">
        <x:v>67</x:v>
      </x:c>
      <x:c r="Z619">
        <x:v>51</x:v>
      </x:c>
      <x:c r="AA619">
        <x:v>48</x:v>
      </x:c>
      <x:c r="AB619" s="57" t="n">
        <x:v>44</x:v>
      </x:c>
      <x:c r="AC619" s="57" t="n">
        <x:v>42</x:v>
      </x:c>
      <x:c r="AD619" s="59"/>
      <x:c r="AE619" s="61" t="str">
        <x:f>IF(N(F619)&gt;=10,"NHL_LATEST_10",IF(AND(N(F619)&gt;0,N(G619)&gt;0),"NHL_BOTH_SEASONS",IF(N(G619)&gt;=10,"NHL_PREVIOUS_10",IF(AND(ISNUMBER(AD619),AD619=0,SUM(F619:G619)=0),"FARM_CAREER_0",IF(COUNT(F619:G619)&lt;2,"UNKNOWN_GP",IF(AND(F619=0,G619=0),IF(AD619&gt;=10,"FARM_LEGACY_10",IF(AND(ISNUMBER(AD619),AD619&gt;0),"FARM_CAREER_1_9","FARM_0_0")),IF(F619&gt;=1,IF(F619&lt;=3,"FARM_RECENT_1_3","FARM_RECENT_4_9"),"FARM_PREV_1_9_ONLY")))))))</x:f>
        <x:v>UNKNOWN_GP</x:v>
      </x:c>
      <x:c r="AF619" s="57" t="n">
        <x:f>AB619-T619</x:f>
        <x:v>0</x:v>
      </x:c>
      <x:c r="AG619" s="57" t="n">
        <x:f>AC619-U619</x:f>
        <x:v>0</x:v>
      </x:c>
    </x:row>
    <x:row r="620">
      <x:c r="A620" t="s">
        <x:v>1643</x:v>
      </x:c>
      <x:c r="C620" t="s">
        <x:v>339</x:v>
      </x:c>
      <x:c r="D620">
        <x:v>8482120</x:v>
      </x:c>
      <x:c r="E620" t="s">
        <x:v>267</x:v>
      </x:c>
      <x:c r="J620" t="s">
        <x:v>2474</x:v>
      </x:c>
      <x:c r="K620">
        <x:v>63</x:v>
      </x:c>
      <x:c r="L620">
        <x:v>36</x:v>
      </x:c>
      <x:c r="M620">
        <x:v>90</x:v>
      </x:c>
      <x:c r="N620">
        <x:v>42</x:v>
      </x:c>
      <x:c r="O620">
        <x:v>74</x:v>
      </x:c>
      <x:c r="P620">
        <x:v>88</x:v>
      </x:c>
      <x:c r="Q620">
        <x:v>93</x:v>
      </x:c>
      <x:c r="R620">
        <x:v>42</x:v>
      </x:c>
      <x:c r="S620">
        <x:v>63</x:v>
      </x:c>
      <x:c r="T620" s="63" t="n">
        <x:f>MAX(30,MIN(AB620-VLOOKUP(AE620,'AHL_PA_SC_BALANCE'!$A$8:$E$18,2,FALSE),VLOOKUP(AE620,'AHL_PA_SC_BALANCE'!$A$8:$E$18,4,FALSE)))</x:f>
        <x:v>45</x:v>
      </x:c>
      <x:c r="U620" s="63" t="n">
        <x:f>MAX(30,MIN(AC620-VLOOKUP(AE620,'AHL_PA_SC_BALANCE'!$A$8:$E$18,3,FALSE),VLOOKUP(AE620,'AHL_PA_SC_BALANCE'!$A$8:$E$18,5,FALSE)))</x:f>
        <x:v>44</x:v>
      </x:c>
      <x:c r="V620">
        <x:v>59</x:v>
      </x:c>
      <x:c r="W620">
        <x:v>65</x:v>
      </x:c>
      <x:c r="X620">
        <x:v>67</x:v>
      </x:c>
      <x:c r="Y620">
        <x:v>68</x:v>
      </x:c>
      <x:c r="Z620">
        <x:v>51</x:v>
      </x:c>
      <x:c r="AA620">
        <x:v>48</x:v>
      </x:c>
      <x:c r="AB620" s="57" t="n">
        <x:v>45</x:v>
      </x:c>
      <x:c r="AC620" s="57" t="n">
        <x:v>44</x:v>
      </x:c>
      <x:c r="AD620" s="59"/>
      <x:c r="AE620" s="61" t="str">
        <x:f>IF(N(F620)&gt;=10,"NHL_LATEST_10",IF(AND(N(F620)&gt;0,N(G620)&gt;0),"NHL_BOTH_SEASONS",IF(N(G620)&gt;=10,"NHL_PREVIOUS_10",IF(AND(ISNUMBER(AD620),AD620=0,SUM(F620:G620)=0),"FARM_CAREER_0",IF(COUNT(F620:G620)&lt;2,"UNKNOWN_GP",IF(AND(F620=0,G620=0),IF(AD620&gt;=10,"FARM_LEGACY_10",IF(AND(ISNUMBER(AD620),AD620&gt;0),"FARM_CAREER_1_9","FARM_0_0")),IF(F620&gt;=1,IF(F620&lt;=3,"FARM_RECENT_1_3","FARM_RECENT_4_9"),"FARM_PREV_1_9_ONLY")))))))</x:f>
        <x:v>UNKNOWN_GP</x:v>
      </x:c>
      <x:c r="AF620" s="57" t="n">
        <x:f>AB620-T620</x:f>
        <x:v>0</x:v>
      </x:c>
      <x:c r="AG620" s="57" t="n">
        <x:f>AC620-U620</x:f>
        <x:v>0</x:v>
      </x:c>
    </x:row>
    <x:row r="621">
      <x:c r="A621" t="s">
        <x:v>1644</x:v>
      </x:c>
      <x:c r="C621" t="s">
        <x:v>358</x:v>
      </x:c>
      <x:c r="D621">
        <x:v>8482134</x:v>
      </x:c>
      <x:c r="E621" t="s">
        <x:v>267</x:v>
      </x:c>
      <x:c r="J621" t="s">
        <x:v>2474</x:v>
      </x:c>
      <x:c r="K621">
        <x:v>81</x:v>
      </x:c>
      <x:c r="L621">
        <x:v>32</x:v>
      </x:c>
      <x:c r="M621">
        <x:v>77</x:v>
      </x:c>
      <x:c r="N621">
        <x:v>40</x:v>
      </x:c>
      <x:c r="O621">
        <x:v>82</x:v>
      </x:c>
      <x:c r="P621">
        <x:v>85</x:v>
      </x:c>
      <x:c r="Q621">
        <x:v>90</x:v>
      </x:c>
      <x:c r="R621">
        <x:v>41</x:v>
      </x:c>
      <x:c r="S621">
        <x:v>52</x:v>
      </x:c>
      <x:c r="T621" s="63" t="n">
        <x:f>MAX(30,MIN(AB621-VLOOKUP(AE621,'AHL_PA_SC_BALANCE'!$A$8:$E$18,2,FALSE),VLOOKUP(AE621,'AHL_PA_SC_BALANCE'!$A$8:$E$18,4,FALSE)))</x:f>
        <x:v>40</x:v>
      </x:c>
      <x:c r="U621" s="63" t="n">
        <x:f>MAX(30,MIN(AC621-VLOOKUP(AE621,'AHL_PA_SC_BALANCE'!$A$8:$E$18,3,FALSE),VLOOKUP(AE621,'AHL_PA_SC_BALANCE'!$A$8:$E$18,5,FALSE)))</x:f>
        <x:v>42</x:v>
      </x:c>
      <x:c r="V621">
        <x:v>60</x:v>
      </x:c>
      <x:c r="W621">
        <x:v>60</x:v>
      </x:c>
      <x:c r="X621">
        <x:v>67</x:v>
      </x:c>
      <x:c r="Y621">
        <x:v>67</x:v>
      </x:c>
      <x:c r="Z621">
        <x:v>51</x:v>
      </x:c>
      <x:c r="AA621">
        <x:v>48</x:v>
      </x:c>
      <x:c r="AB621" s="57" t="n">
        <x:v>40</x:v>
      </x:c>
      <x:c r="AC621" s="57" t="n">
        <x:v>42</x:v>
      </x:c>
      <x:c r="AD621" s="59"/>
      <x:c r="AE621" s="61" t="str">
        <x:f>IF(N(F621)&gt;=10,"NHL_LATEST_10",IF(AND(N(F621)&gt;0,N(G621)&gt;0),"NHL_BOTH_SEASONS",IF(N(G621)&gt;=10,"NHL_PREVIOUS_10",IF(AND(ISNUMBER(AD621),AD621=0,SUM(F621:G621)=0),"FARM_CAREER_0",IF(COUNT(F621:G621)&lt;2,"UNKNOWN_GP",IF(AND(F621=0,G621=0),IF(AD621&gt;=10,"FARM_LEGACY_10",IF(AND(ISNUMBER(AD621),AD621&gt;0),"FARM_CAREER_1_9","FARM_0_0")),IF(F621&gt;=1,IF(F621&lt;=3,"FARM_RECENT_1_3","FARM_RECENT_4_9"),"FARM_PREV_1_9_ONLY")))))))</x:f>
        <x:v>UNKNOWN_GP</x:v>
      </x:c>
      <x:c r="AF621" s="57" t="n">
        <x:f>AB621-T621</x:f>
        <x:v>0</x:v>
      </x:c>
      <x:c r="AG621" s="57" t="n">
        <x:f>AC621-U621</x:f>
        <x:v>0</x:v>
      </x:c>
    </x:row>
    <x:row r="622">
      <x:c r="A622" t="s">
        <x:v>1645</x:v>
      </x:c>
      <x:c r="C622" t="s">
        <x:v>329</x:v>
      </x:c>
      <x:c r="D622">
        <x:v>8484128</x:v>
      </x:c>
      <x:c r="E622" t="s">
        <x:v>267</x:v>
      </x:c>
      <x:c r="J622" t="s">
        <x:v>2474</x:v>
      </x:c>
      <x:c r="K622">
        <x:v>71</x:v>
      </x:c>
      <x:c r="L622">
        <x:v>38</x:v>
      </x:c>
      <x:c r="M622">
        <x:v>83</x:v>
      </x:c>
      <x:c r="N622">
        <x:v>41</x:v>
      </x:c>
      <x:c r="O622">
        <x:v>79</x:v>
      </x:c>
      <x:c r="P622">
        <x:v>85</x:v>
      </x:c>
      <x:c r="Q622">
        <x:v>87</x:v>
      </x:c>
      <x:c r="R622">
        <x:v>40</x:v>
      </x:c>
      <x:c r="S622">
        <x:v>70</x:v>
      </x:c>
      <x:c r="T622" s="63" t="n">
        <x:f>MAX(30,MIN(AB622-VLOOKUP(AE622,'AHL_PA_SC_BALANCE'!$A$8:$E$18,2,FALSE),VLOOKUP(AE622,'AHL_PA_SC_BALANCE'!$A$8:$E$18,4,FALSE)))</x:f>
        <x:v>43</x:v>
      </x:c>
      <x:c r="U622" s="63" t="n">
        <x:f>MAX(30,MIN(AC622-VLOOKUP(AE622,'AHL_PA_SC_BALANCE'!$A$8:$E$18,3,FALSE),VLOOKUP(AE622,'AHL_PA_SC_BALANCE'!$A$8:$E$18,5,FALSE)))</x:f>
        <x:v>43</x:v>
      </x:c>
      <x:c r="V622">
        <x:v>58</x:v>
      </x:c>
      <x:c r="W622">
        <x:v>63</x:v>
      </x:c>
      <x:c r="X622">
        <x:v>70</x:v>
      </x:c>
      <x:c r="Y622">
        <x:v>70</x:v>
      </x:c>
      <x:c r="Z622">
        <x:v>51</x:v>
      </x:c>
      <x:c r="AA622">
        <x:v>48</x:v>
      </x:c>
      <x:c r="AB622" s="57" t="n">
        <x:v>43</x:v>
      </x:c>
      <x:c r="AC622" s="57" t="n">
        <x:v>43</x:v>
      </x:c>
      <x:c r="AD622" s="59"/>
      <x:c r="AE622" s="61" t="str">
        <x:f>IF(N(F622)&gt;=10,"NHL_LATEST_10",IF(AND(N(F622)&gt;0,N(G622)&gt;0),"NHL_BOTH_SEASONS",IF(N(G622)&gt;=10,"NHL_PREVIOUS_10",IF(AND(ISNUMBER(AD622),AD622=0,SUM(F622:G622)=0),"FARM_CAREER_0",IF(COUNT(F622:G622)&lt;2,"UNKNOWN_GP",IF(AND(F622=0,G622=0),IF(AD622&gt;=10,"FARM_LEGACY_10",IF(AND(ISNUMBER(AD622),AD622&gt;0),"FARM_CAREER_1_9","FARM_0_0")),IF(F622&gt;=1,IF(F622&lt;=3,"FARM_RECENT_1_3","FARM_RECENT_4_9"),"FARM_PREV_1_9_ONLY")))))))</x:f>
        <x:v>UNKNOWN_GP</x:v>
      </x:c>
      <x:c r="AF622" s="57" t="n">
        <x:f>AB622-T622</x:f>
        <x:v>0</x:v>
      </x:c>
      <x:c r="AG622" s="57" t="n">
        <x:f>AC622-U622</x:f>
        <x:v>0</x:v>
      </x:c>
    </x:row>
    <x:row r="623">
      <x:c r="A623" t="s">
        <x:v>1646</x:v>
      </x:c>
      <x:c r="B623" t="s">
        <x:v>584</x:v>
      </x:c>
      <x:c r="C623" t="s">
        <x:v>319</x:v>
      </x:c>
      <x:c r="D623">
        <x:v>8480060</x:v>
      </x:c>
      <x:c r="E623" t="s">
        <x:v>267</x:v>
      </x:c>
      <x:c r="J623" t="s">
        <x:v>2476</x:v>
      </x:c>
      <x:c r="K623">
        <x:v>62</x:v>
      </x:c>
      <x:c r="L623">
        <x:v>36</x:v>
      </x:c>
      <x:c r="M623">
        <x:v>91</x:v>
      </x:c>
      <x:c r="N623">
        <x:v>37</x:v>
      </x:c>
      <x:c r="O623">
        <x:v>83</x:v>
      </x:c>
      <x:c r="P623">
        <x:v>73</x:v>
      </x:c>
      <x:c r="Q623">
        <x:v>75</x:v>
      </x:c>
      <x:c r="R623">
        <x:v>37</x:v>
      </x:c>
      <x:c r="S623">
        <x:v>70</x:v>
      </x:c>
      <x:c r="T623" s="63" t="n">
        <x:f>MAX(30,MIN(AB623-VLOOKUP(AE623,'AHL_PA_SC_BALANCE'!$A$8:$E$18,2,FALSE),VLOOKUP(AE623,'AHL_PA_SC_BALANCE'!$A$8:$E$18,4,FALSE)))</x:f>
        <x:v>39</x:v>
      </x:c>
      <x:c r="U623" s="63" t="n">
        <x:f>MAX(30,MIN(AC623-VLOOKUP(AE623,'AHL_PA_SC_BALANCE'!$A$8:$E$18,3,FALSE),VLOOKUP(AE623,'AHL_PA_SC_BALANCE'!$A$8:$E$18,5,FALSE)))</x:f>
        <x:v>40</x:v>
      </x:c>
      <x:c r="V623">
        <x:v>61</x:v>
      </x:c>
      <x:c r="W623">
        <x:v>58</x:v>
      </x:c>
      <x:c r="X623">
        <x:v>69</x:v>
      </x:c>
      <x:c r="Y623">
        <x:v>68</x:v>
      </x:c>
      <x:c r="Z623">
        <x:v>51</x:v>
      </x:c>
      <x:c r="AA623">
        <x:v>48</x:v>
      </x:c>
      <x:c r="AB623" s="57" t="n">
        <x:v>39</x:v>
      </x:c>
      <x:c r="AC623" s="57" t="n">
        <x:v>40</x:v>
      </x:c>
      <x:c r="AD623" s="59"/>
      <x:c r="AE623" s="61" t="str">
        <x:f>IF(N(F623)&gt;=10,"NHL_LATEST_10",IF(AND(N(F623)&gt;0,N(G623)&gt;0),"NHL_BOTH_SEASONS",IF(N(G623)&gt;=10,"NHL_PREVIOUS_10",IF(AND(ISNUMBER(AD623),AD623=0,SUM(F623:G623)=0),"FARM_CAREER_0",IF(COUNT(F623:G623)&lt;2,"UNKNOWN_GP",IF(AND(F623=0,G623=0),IF(AD623&gt;=10,"FARM_LEGACY_10",IF(AND(ISNUMBER(AD623),AD623&gt;0),"FARM_CAREER_1_9","FARM_0_0")),IF(F623&gt;=1,IF(F623&lt;=3,"FARM_RECENT_1_3","FARM_RECENT_4_9"),"FARM_PREV_1_9_ONLY")))))))</x:f>
        <x:v>UNKNOWN_GP</x:v>
      </x:c>
      <x:c r="AF623" s="57" t="n">
        <x:f>AB623-T623</x:f>
        <x:v>0</x:v>
      </x:c>
      <x:c r="AG623" s="57" t="n">
        <x:f>AC623-U623</x:f>
        <x:v>0</x:v>
      </x:c>
    </x:row>
    <x:row r="624">
      <x:c r="A624" t="s">
        <x:v>1647</x:v>
      </x:c>
      <x:c r="C624" t="s">
        <x:v>326</x:v>
      </x:c>
      <x:c r="D624">
        <x:v>8481690</x:v>
      </x:c>
      <x:c r="E624" t="s">
        <x:v>267</x:v>
      </x:c>
      <x:c r="J624" t="s">
        <x:v>2474</x:v>
      </x:c>
      <x:c r="K624">
        <x:v>63</x:v>
      </x:c>
      <x:c r="L624">
        <x:v>37</x:v>
      </x:c>
      <x:c r="M624">
        <x:v>86</x:v>
      </x:c>
      <x:c r="N624">
        <x:v>42</x:v>
      </x:c>
      <x:c r="O624">
        <x:v>78</x:v>
      </x:c>
      <x:c r="P624">
        <x:v>83</x:v>
      </x:c>
      <x:c r="Q624">
        <x:v>87</x:v>
      </x:c>
      <x:c r="R624">
        <x:v>42</x:v>
      </x:c>
      <x:c r="S624">
        <x:v>61</x:v>
      </x:c>
      <x:c r="T624" s="63" t="n">
        <x:f>MAX(30,MIN(AB624-VLOOKUP(AE624,'AHL_PA_SC_BALANCE'!$A$8:$E$18,2,FALSE),VLOOKUP(AE624,'AHL_PA_SC_BALANCE'!$A$8:$E$18,4,FALSE)))</x:f>
        <x:v>46</x:v>
      </x:c>
      <x:c r="U624" s="63" t="n">
        <x:f>MAX(30,MIN(AC624-VLOOKUP(AE624,'AHL_PA_SC_BALANCE'!$A$8:$E$18,3,FALSE),VLOOKUP(AE624,'AHL_PA_SC_BALANCE'!$A$8:$E$18,5,FALSE)))</x:f>
        <x:v>41</x:v>
      </x:c>
      <x:c r="V624">
        <x:v>64</x:v>
      </x:c>
      <x:c r="W624">
        <x:v>63</x:v>
      </x:c>
      <x:c r="X624">
        <x:v>68</x:v>
      </x:c>
      <x:c r="Y624">
        <x:v>69</x:v>
      </x:c>
      <x:c r="Z624">
        <x:v>51</x:v>
      </x:c>
      <x:c r="AA624">
        <x:v>48</x:v>
      </x:c>
      <x:c r="AB624" s="57" t="n">
        <x:v>46</x:v>
      </x:c>
      <x:c r="AC624" s="57" t="n">
        <x:v>41</x:v>
      </x:c>
      <x:c r="AD624" s="59"/>
      <x:c r="AE624" s="61" t="str">
        <x:f>IF(N(F624)&gt;=10,"NHL_LATEST_10",IF(AND(N(F624)&gt;0,N(G624)&gt;0),"NHL_BOTH_SEASONS",IF(N(G624)&gt;=10,"NHL_PREVIOUS_10",IF(AND(ISNUMBER(AD624),AD624=0,SUM(F624:G624)=0),"FARM_CAREER_0",IF(COUNT(F624:G624)&lt;2,"UNKNOWN_GP",IF(AND(F624=0,G624=0),IF(AD624&gt;=10,"FARM_LEGACY_10",IF(AND(ISNUMBER(AD624),AD624&gt;0),"FARM_CAREER_1_9","FARM_0_0")),IF(F624&gt;=1,IF(F624&lt;=3,"FARM_RECENT_1_3","FARM_RECENT_4_9"),"FARM_PREV_1_9_ONLY")))))))</x:f>
        <x:v>UNKNOWN_GP</x:v>
      </x:c>
      <x:c r="AF624" s="57" t="n">
        <x:f>AB624-T624</x:f>
        <x:v>0</x:v>
      </x:c>
      <x:c r="AG624" s="57" t="n">
        <x:f>AC624-U624</x:f>
        <x:v>0</x:v>
      </x:c>
    </x:row>
    <x:row r="625">
      <x:c r="A625" t="s">
        <x:v>1648</x:v>
      </x:c>
      <x:c r="C625" t="s">
        <x:v>319</x:v>
      </x:c>
      <x:c r="D625">
        <x:v>8484165</x:v>
      </x:c>
      <x:c r="E625" t="s">
        <x:v>267</x:v>
      </x:c>
      <x:c r="J625" t="s">
        <x:v>2474</x:v>
      </x:c>
      <x:c r="K625">
        <x:v>69</x:v>
      </x:c>
      <x:c r="L625">
        <x:v>40</x:v>
      </x:c>
      <x:c r="M625">
        <x:v>83</x:v>
      </x:c>
      <x:c r="N625">
        <x:v>42</x:v>
      </x:c>
      <x:c r="O625">
        <x:v>81</x:v>
      </x:c>
      <x:c r="P625">
        <x:v>80</x:v>
      </x:c>
      <x:c r="Q625">
        <x:v>84</x:v>
      </x:c>
      <x:c r="R625">
        <x:v>41</x:v>
      </x:c>
      <x:c r="S625">
        <x:v>81</x:v>
      </x:c>
      <x:c r="T625" s="63" t="n">
        <x:f>MAX(30,MIN(AB625-VLOOKUP(AE625,'AHL_PA_SC_BALANCE'!$A$8:$E$18,2,FALSE),VLOOKUP(AE625,'AHL_PA_SC_BALANCE'!$A$8:$E$18,4,FALSE)))</x:f>
        <x:v>44</x:v>
      </x:c>
      <x:c r="U625" s="63" t="n">
        <x:f>MAX(30,MIN(AC625-VLOOKUP(AE625,'AHL_PA_SC_BALANCE'!$A$8:$E$18,3,FALSE),VLOOKUP(AE625,'AHL_PA_SC_BALANCE'!$A$8:$E$18,5,FALSE)))</x:f>
        <x:v>43</x:v>
      </x:c>
      <x:c r="V625">
        <x:v>65</x:v>
      </x:c>
      <x:c r="W625">
        <x:v>63</x:v>
      </x:c>
      <x:c r="X625">
        <x:v>65</x:v>
      </x:c>
      <x:c r="Y625">
        <x:v>65</x:v>
      </x:c>
      <x:c r="Z625">
        <x:v>51</x:v>
      </x:c>
      <x:c r="AA625">
        <x:v>48</x:v>
      </x:c>
      <x:c r="AB625" s="57" t="n">
        <x:v>44</x:v>
      </x:c>
      <x:c r="AC625" s="57" t="n">
        <x:v>43</x:v>
      </x:c>
      <x:c r="AD625" s="59"/>
      <x:c r="AE625" s="61" t="str">
        <x:f>IF(N(F625)&gt;=10,"NHL_LATEST_10",IF(AND(N(F625)&gt;0,N(G625)&gt;0),"NHL_BOTH_SEASONS",IF(N(G625)&gt;=10,"NHL_PREVIOUS_10",IF(AND(ISNUMBER(AD625),AD625=0,SUM(F625:G625)=0),"FARM_CAREER_0",IF(COUNT(F625:G625)&lt;2,"UNKNOWN_GP",IF(AND(F625=0,G625=0),IF(AD625&gt;=10,"FARM_LEGACY_10",IF(AND(ISNUMBER(AD625),AD625&gt;0),"FARM_CAREER_1_9","FARM_0_0")),IF(F625&gt;=1,IF(F625&lt;=3,"FARM_RECENT_1_3","FARM_RECENT_4_9"),"FARM_PREV_1_9_ONLY")))))))</x:f>
        <x:v>UNKNOWN_GP</x:v>
      </x:c>
      <x:c r="AF625" s="57" t="n">
        <x:f>AB625-T625</x:f>
        <x:v>0</x:v>
      </x:c>
      <x:c r="AG625" s="57" t="n">
        <x:f>AC625-U625</x:f>
        <x:v>0</x:v>
      </x:c>
    </x:row>
    <x:row r="626">
      <x:c r="A626" t="s">
        <x:v>1649</x:v>
      </x:c>
      <x:c r="B626" t="s">
        <x:v>584</x:v>
      </x:c>
      <x:c r="C626" t="s">
        <x:v>331</x:v>
      </x:c>
      <x:c r="E626" t="s">
        <x:v>267</x:v>
      </x:c>
      <x:c r="J626" t="s">
        <x:v>2474</x:v>
      </x:c>
      <x:c r="K626">
        <x:v>58</x:v>
      </x:c>
      <x:c r="L626">
        <x:v>41</x:v>
      </x:c>
      <x:c r="M626">
        <x:v>77</x:v>
      </x:c>
      <x:c r="N626">
        <x:v>36</x:v>
      </x:c>
      <x:c r="O626">
        <x:v>91</x:v>
      </x:c>
      <x:c r="P626">
        <x:v>70</x:v>
      </x:c>
      <x:c r="Q626">
        <x:v>73</x:v>
      </x:c>
      <x:c r="R626">
        <x:v>37</x:v>
      </x:c>
      <x:c r="S626">
        <x:v>65</x:v>
      </x:c>
      <x:c r="T626" s="63" t="n">
        <x:f>MAX(30,MIN(AB626-VLOOKUP(AE626,'AHL_PA_SC_BALANCE'!$A$8:$E$18,2,FALSE),VLOOKUP(AE626,'AHL_PA_SC_BALANCE'!$A$8:$E$18,4,FALSE)))</x:f>
        <x:v>38</x:v>
      </x:c>
      <x:c r="U626" s="63" t="n">
        <x:f>MAX(30,MIN(AC626-VLOOKUP(AE626,'AHL_PA_SC_BALANCE'!$A$8:$E$18,3,FALSE),VLOOKUP(AE626,'AHL_PA_SC_BALANCE'!$A$8:$E$18,5,FALSE)))</x:f>
        <x:v>39</x:v>
      </x:c>
      <x:c r="V626">
        <x:v>60</x:v>
      </x:c>
      <x:c r="W626">
        <x:v>56</x:v>
      </x:c>
      <x:c r="X626">
        <x:v>66</x:v>
      </x:c>
      <x:c r="Y626">
        <x:v>65</x:v>
      </x:c>
      <x:c r="Z626">
        <x:v>51</x:v>
      </x:c>
      <x:c r="AA626">
        <x:v>48</x:v>
      </x:c>
      <x:c r="AB626" s="57" t="n">
        <x:v>38</x:v>
      </x:c>
      <x:c r="AC626" s="57" t="n">
        <x:v>39</x:v>
      </x:c>
      <x:c r="AD626" s="59"/>
      <x:c r="AE626" s="61" t="str">
        <x:f>IF(N(F626)&gt;=10,"NHL_LATEST_10",IF(AND(N(F626)&gt;0,N(G626)&gt;0),"NHL_BOTH_SEASONS",IF(N(G626)&gt;=10,"NHL_PREVIOUS_10",IF(AND(ISNUMBER(AD626),AD626=0,SUM(F626:G626)=0),"FARM_CAREER_0",IF(COUNT(F626:G626)&lt;2,"UNKNOWN_GP",IF(AND(F626=0,G626=0),IF(AD626&gt;=10,"FARM_LEGACY_10",IF(AND(ISNUMBER(AD626),AD626&gt;0),"FARM_CAREER_1_9","FARM_0_0")),IF(F626&gt;=1,IF(F626&lt;=3,"FARM_RECENT_1_3","FARM_RECENT_4_9"),"FARM_PREV_1_9_ONLY")))))))</x:f>
        <x:v>UNKNOWN_GP</x:v>
      </x:c>
      <x:c r="AF626" s="57" t="n">
        <x:f>AB626-T626</x:f>
        <x:v>0</x:v>
      </x:c>
      <x:c r="AG626" s="57" t="n">
        <x:f>AC626-U626</x:f>
        <x:v>0</x:v>
      </x:c>
    </x:row>
    <x:row r="627">
      <x:c r="A627" t="s">
        <x:v>1650</x:v>
      </x:c>
      <x:c r="C627" t="s">
        <x:v>326</x:v>
      </x:c>
      <x:c r="D627">
        <x:v>8481746</x:v>
      </x:c>
      <x:c r="E627" t="s">
        <x:v>267</x:v>
      </x:c>
      <x:c r="J627" t="s">
        <x:v>2474</x:v>
      </x:c>
      <x:c r="K627">
        <x:v>68</x:v>
      </x:c>
      <x:c r="L627">
        <x:v>36</x:v>
      </x:c>
      <x:c r="M627">
        <x:v>85</x:v>
      </x:c>
      <x:c r="N627">
        <x:v>40</x:v>
      </x:c>
      <x:c r="O627">
        <x:v>78</x:v>
      </x:c>
      <x:c r="P627">
        <x:v>82</x:v>
      </x:c>
      <x:c r="Q627">
        <x:v>86</x:v>
      </x:c>
      <x:c r="R627">
        <x:v>40</x:v>
      </x:c>
      <x:c r="S627">
        <x:v>65</x:v>
      </x:c>
      <x:c r="T627" s="63" t="n">
        <x:f>MAX(30,MIN(AB627-VLOOKUP(AE627,'AHL_PA_SC_BALANCE'!$A$8:$E$18,2,FALSE),VLOOKUP(AE627,'AHL_PA_SC_BALANCE'!$A$8:$E$18,4,FALSE)))</x:f>
        <x:v>43</x:v>
      </x:c>
      <x:c r="U627" s="63" t="n">
        <x:f>MAX(30,MIN(AC627-VLOOKUP(AE627,'AHL_PA_SC_BALANCE'!$A$8:$E$18,3,FALSE),VLOOKUP(AE627,'AHL_PA_SC_BALANCE'!$A$8:$E$18,5,FALSE)))</x:f>
        <x:v>42</x:v>
      </x:c>
      <x:c r="V627">
        <x:v>64</x:v>
      </x:c>
      <x:c r="W627">
        <x:v>62</x:v>
      </x:c>
      <x:c r="X627">
        <x:v>67</x:v>
      </x:c>
      <x:c r="Y627">
        <x:v>66</x:v>
      </x:c>
      <x:c r="Z627">
        <x:v>51</x:v>
      </x:c>
      <x:c r="AA627">
        <x:v>48</x:v>
      </x:c>
      <x:c r="AB627" s="57" t="n">
        <x:v>43</x:v>
      </x:c>
      <x:c r="AC627" s="57" t="n">
        <x:v>42</x:v>
      </x:c>
      <x:c r="AD627" s="59"/>
      <x:c r="AE627" s="61" t="str">
        <x:f>IF(N(F627)&gt;=10,"NHL_LATEST_10",IF(AND(N(F627)&gt;0,N(G627)&gt;0),"NHL_BOTH_SEASONS",IF(N(G627)&gt;=10,"NHL_PREVIOUS_10",IF(AND(ISNUMBER(AD627),AD627=0,SUM(F627:G627)=0),"FARM_CAREER_0",IF(COUNT(F627:G627)&lt;2,"UNKNOWN_GP",IF(AND(F627=0,G627=0),IF(AD627&gt;=10,"FARM_LEGACY_10",IF(AND(ISNUMBER(AD627),AD627&gt;0),"FARM_CAREER_1_9","FARM_0_0")),IF(F627&gt;=1,IF(F627&lt;=3,"FARM_RECENT_1_3","FARM_RECENT_4_9"),"FARM_PREV_1_9_ONLY")))))))</x:f>
        <x:v>UNKNOWN_GP</x:v>
      </x:c>
      <x:c r="AF627" s="57" t="n">
        <x:f>AB627-T627</x:f>
        <x:v>0</x:v>
      </x:c>
      <x:c r="AG627" s="57" t="n">
        <x:f>AC627-U627</x:f>
        <x:v>0</x:v>
      </x:c>
    </x:row>
    <x:row r="628">
      <x:c r="A628" t="s">
        <x:v>1651</x:v>
      </x:c>
      <x:c r="C628" t="s">
        <x:v>326</x:v>
      </x:c>
      <x:c r="D628">
        <x:v>8480890</x:v>
      </x:c>
      <x:c r="E628" t="s">
        <x:v>267</x:v>
      </x:c>
      <x:c r="J628" t="s">
        <x:v>2474</x:v>
      </x:c>
      <x:c r="K628">
        <x:v>73</x:v>
      </x:c>
      <x:c r="L628">
        <x:v>46</x:v>
      </x:c>
      <x:c r="M628">
        <x:v>81</x:v>
      </x:c>
      <x:c r="N628">
        <x:v>42</x:v>
      </x:c>
      <x:c r="O628">
        <x:v>79</x:v>
      </x:c>
      <x:c r="P628">
        <x:v>81</x:v>
      </x:c>
      <x:c r="Q628">
        <x:v>83</x:v>
      </x:c>
      <x:c r="R628">
        <x:v>41</x:v>
      </x:c>
      <x:c r="S628">
        <x:v>69</x:v>
      </x:c>
      <x:c r="T628" s="63" t="n">
        <x:f>MAX(30,MIN(AB628-VLOOKUP(AE628,'AHL_PA_SC_BALANCE'!$A$8:$E$18,2,FALSE),VLOOKUP(AE628,'AHL_PA_SC_BALANCE'!$A$8:$E$18,4,FALSE)))</x:f>
        <x:v>43</x:v>
      </x:c>
      <x:c r="U628" s="63" t="n">
        <x:f>MAX(30,MIN(AC628-VLOOKUP(AE628,'AHL_PA_SC_BALANCE'!$A$8:$E$18,3,FALSE),VLOOKUP(AE628,'AHL_PA_SC_BALANCE'!$A$8:$E$18,5,FALSE)))</x:f>
        <x:v>44</x:v>
      </x:c>
      <x:c r="V628">
        <x:v>58</x:v>
      </x:c>
      <x:c r="W628">
        <x:v>64</x:v>
      </x:c>
      <x:c r="X628">
        <x:v>69</x:v>
      </x:c>
      <x:c r="Y628">
        <x:v>69</x:v>
      </x:c>
      <x:c r="Z628">
        <x:v>51</x:v>
      </x:c>
      <x:c r="AA628">
        <x:v>48</x:v>
      </x:c>
      <x:c r="AB628" s="57" t="n">
        <x:v>43</x:v>
      </x:c>
      <x:c r="AC628" s="57" t="n">
        <x:v>44</x:v>
      </x:c>
      <x:c r="AD628" s="59"/>
      <x:c r="AE628" s="61" t="str">
        <x:f>IF(N(F628)&gt;=10,"NHL_LATEST_10",IF(AND(N(F628)&gt;0,N(G628)&gt;0),"NHL_BOTH_SEASONS",IF(N(G628)&gt;=10,"NHL_PREVIOUS_10",IF(AND(ISNUMBER(AD628),AD628=0,SUM(F628:G628)=0),"FARM_CAREER_0",IF(COUNT(F628:G628)&lt;2,"UNKNOWN_GP",IF(AND(F628=0,G628=0),IF(AD628&gt;=10,"FARM_LEGACY_10",IF(AND(ISNUMBER(AD628),AD628&gt;0),"FARM_CAREER_1_9","FARM_0_0")),IF(F628&gt;=1,IF(F628&lt;=3,"FARM_RECENT_1_3","FARM_RECENT_4_9"),"FARM_PREV_1_9_ONLY")))))))</x:f>
        <x:v>UNKNOWN_GP</x:v>
      </x:c>
      <x:c r="AF628" s="57" t="n">
        <x:f>AB628-T628</x:f>
        <x:v>0</x:v>
      </x:c>
      <x:c r="AG628" s="57" t="n">
        <x:f>AC628-U628</x:f>
        <x:v>0</x:v>
      </x:c>
    </x:row>
    <x:row r="629">
      <x:c r="A629" t="s">
        <x:v>1652</x:v>
      </x:c>
      <x:c r="C629" t="s">
        <x:v>326</x:v>
      </x:c>
      <x:c r="D629">
        <x:v>8485490</x:v>
      </x:c>
      <x:c r="E629" t="s">
        <x:v>267</x:v>
      </x:c>
      <x:c r="J629" t="s">
        <x:v>2474</x:v>
      </x:c>
      <x:c r="K629">
        <x:v>62</x:v>
      </x:c>
      <x:c r="L629">
        <x:v>36</x:v>
      </x:c>
      <x:c r="M629">
        <x:v>84</x:v>
      </x:c>
      <x:c r="N629">
        <x:v>41</x:v>
      </x:c>
      <x:c r="O629">
        <x:v>78</x:v>
      </x:c>
      <x:c r="P629">
        <x:v>80</x:v>
      </x:c>
      <x:c r="Q629">
        <x:v>86</x:v>
      </x:c>
      <x:c r="R629">
        <x:v>41</x:v>
      </x:c>
      <x:c r="S629">
        <x:v>69</x:v>
      </x:c>
      <x:c r="T629" s="63" t="n">
        <x:f>MAX(30,MIN(AB629-VLOOKUP(AE629,'AHL_PA_SC_BALANCE'!$A$8:$E$18,2,FALSE),VLOOKUP(AE629,'AHL_PA_SC_BALANCE'!$A$8:$E$18,4,FALSE)))</x:f>
        <x:v>42</x:v>
      </x:c>
      <x:c r="U629" s="63" t="n">
        <x:f>MAX(30,MIN(AC629-VLOOKUP(AE629,'AHL_PA_SC_BALANCE'!$A$8:$E$18,3,FALSE),VLOOKUP(AE629,'AHL_PA_SC_BALANCE'!$A$8:$E$18,5,FALSE)))</x:f>
        <x:v>44</x:v>
      </x:c>
      <x:c r="V629">
        <x:v>62</x:v>
      </x:c>
      <x:c r="W629">
        <x:v>63</x:v>
      </x:c>
      <x:c r="X629">
        <x:v>68</x:v>
      </x:c>
      <x:c r="Y629">
        <x:v>68</x:v>
      </x:c>
      <x:c r="Z629">
        <x:v>51</x:v>
      </x:c>
      <x:c r="AA629">
        <x:v>48</x:v>
      </x:c>
      <x:c r="AB629" s="57" t="n">
        <x:v>42</x:v>
      </x:c>
      <x:c r="AC629" s="57" t="n">
        <x:v>44</x:v>
      </x:c>
      <x:c r="AD629" s="59"/>
      <x:c r="AE629" s="61" t="str">
        <x:f>IF(N(F629)&gt;=10,"NHL_LATEST_10",IF(AND(N(F629)&gt;0,N(G629)&gt;0),"NHL_BOTH_SEASONS",IF(N(G629)&gt;=10,"NHL_PREVIOUS_10",IF(AND(ISNUMBER(AD629),AD629=0,SUM(F629:G629)=0),"FARM_CAREER_0",IF(COUNT(F629:G629)&lt;2,"UNKNOWN_GP",IF(AND(F629=0,G629=0),IF(AD629&gt;=10,"FARM_LEGACY_10",IF(AND(ISNUMBER(AD629),AD629&gt;0),"FARM_CAREER_1_9","FARM_0_0")),IF(F629&gt;=1,IF(F629&lt;=3,"FARM_RECENT_1_3","FARM_RECENT_4_9"),"FARM_PREV_1_9_ONLY")))))))</x:f>
        <x:v>UNKNOWN_GP</x:v>
      </x:c>
      <x:c r="AF629" s="57" t="n">
        <x:f>AB629-T629</x:f>
        <x:v>0</x:v>
      </x:c>
      <x:c r="AG629" s="57" t="n">
        <x:f>AC629-U629</x:f>
        <x:v>0</x:v>
      </x:c>
    </x:row>
    <x:row r="630">
      <x:c r="A630" t="s">
        <x:v>1653</x:v>
      </x:c>
      <x:c r="C630" t="s">
        <x:v>326</x:v>
      </x:c>
      <x:c r="D630">
        <x:v>8482918</x:v>
      </x:c>
      <x:c r="E630" t="s">
        <x:v>267</x:v>
      </x:c>
      <x:c r="J630" t="s">
        <x:v>2474</x:v>
      </x:c>
      <x:c r="K630">
        <x:v>65</x:v>
      </x:c>
      <x:c r="L630">
        <x:v>34</x:v>
      </x:c>
      <x:c r="M630">
        <x:v>79</x:v>
      </x:c>
      <x:c r="N630">
        <x:v>43</x:v>
      </x:c>
      <x:c r="O630">
        <x:v>82</x:v>
      </x:c>
      <x:c r="P630">
        <x:v>86</x:v>
      </x:c>
      <x:c r="Q630">
        <x:v>89</x:v>
      </x:c>
      <x:c r="R630">
        <x:v>43</x:v>
      </x:c>
      <x:c r="S630">
        <x:v>56</x:v>
      </x:c>
      <x:c r="T630" s="63" t="n">
        <x:f>MAX(30,MIN(AB630-VLOOKUP(AE630,'AHL_PA_SC_BALANCE'!$A$8:$E$18,2,FALSE),VLOOKUP(AE630,'AHL_PA_SC_BALANCE'!$A$8:$E$18,4,FALSE)))</x:f>
        <x:v>43</x:v>
      </x:c>
      <x:c r="U630" s="63" t="n">
        <x:f>MAX(30,MIN(AC630-VLOOKUP(AE630,'AHL_PA_SC_BALANCE'!$A$8:$E$18,3,FALSE),VLOOKUP(AE630,'AHL_PA_SC_BALANCE'!$A$8:$E$18,5,FALSE)))</x:f>
        <x:v>45</x:v>
      </x:c>
      <x:c r="V630">
        <x:v>61</x:v>
      </x:c>
      <x:c r="W630">
        <x:v>64</x:v>
      </x:c>
      <x:c r="X630">
        <x:v>66</x:v>
      </x:c>
      <x:c r="Y630">
        <x:v>65</x:v>
      </x:c>
      <x:c r="Z630">
        <x:v>51</x:v>
      </x:c>
      <x:c r="AA630">
        <x:v>48</x:v>
      </x:c>
      <x:c r="AB630" s="57" t="n">
        <x:v>43</x:v>
      </x:c>
      <x:c r="AC630" s="57" t="n">
        <x:v>45</x:v>
      </x:c>
      <x:c r="AD630" s="59"/>
      <x:c r="AE630" s="61" t="str">
        <x:f>IF(N(F630)&gt;=10,"NHL_LATEST_10",IF(AND(N(F630)&gt;0,N(G630)&gt;0),"NHL_BOTH_SEASONS",IF(N(G630)&gt;=10,"NHL_PREVIOUS_10",IF(AND(ISNUMBER(AD630),AD630=0,SUM(F630:G630)=0),"FARM_CAREER_0",IF(COUNT(F630:G630)&lt;2,"UNKNOWN_GP",IF(AND(F630=0,G630=0),IF(AD630&gt;=10,"FARM_LEGACY_10",IF(AND(ISNUMBER(AD630),AD630&gt;0),"FARM_CAREER_1_9","FARM_0_0")),IF(F630&gt;=1,IF(F630&lt;=3,"FARM_RECENT_1_3","FARM_RECENT_4_9"),"FARM_PREV_1_9_ONLY")))))))</x:f>
        <x:v>UNKNOWN_GP</x:v>
      </x:c>
      <x:c r="AF630" s="57" t="n">
        <x:f>AB630-T630</x:f>
        <x:v>0</x:v>
      </x:c>
      <x:c r="AG630" s="57" t="n">
        <x:f>AC630-U630</x:f>
        <x:v>0</x:v>
      </x:c>
    </x:row>
    <x:row r="631">
      <x:c r="A631" t="s">
        <x:v>1654</x:v>
      </x:c>
      <x:c r="C631" t="s">
        <x:v>319</x:v>
      </x:c>
      <x:c r="D631">
        <x:v>8482161</x:v>
      </x:c>
      <x:c r="E631" t="s">
        <x:v>267</x:v>
      </x:c>
      <x:c r="J631" t="s">
        <x:v>2474</x:v>
      </x:c>
      <x:c r="K631">
        <x:v>64</x:v>
      </x:c>
      <x:c r="L631">
        <x:v>35</x:v>
      </x:c>
      <x:c r="M631">
        <x:v>87</x:v>
      </x:c>
      <x:c r="N631">
        <x:v>41</x:v>
      </x:c>
      <x:c r="O631">
        <x:v>79</x:v>
      </x:c>
      <x:c r="P631">
        <x:v>91</x:v>
      </x:c>
      <x:c r="Q631">
        <x:v>94</x:v>
      </x:c>
      <x:c r="R631">
        <x:v>42</x:v>
      </x:c>
      <x:c r="S631">
        <x:v>69</x:v>
      </x:c>
      <x:c r="T631" s="63" t="n">
        <x:f>MAX(30,MIN(AB631-VLOOKUP(AE631,'AHL_PA_SC_BALANCE'!$A$8:$E$18,2,FALSE),VLOOKUP(AE631,'AHL_PA_SC_BALANCE'!$A$8:$E$18,4,FALSE)))</x:f>
        <x:v>42</x:v>
      </x:c>
      <x:c r="U631" s="63" t="n">
        <x:f>MAX(30,MIN(AC631-VLOOKUP(AE631,'AHL_PA_SC_BALANCE'!$A$8:$E$18,3,FALSE),VLOOKUP(AE631,'AHL_PA_SC_BALANCE'!$A$8:$E$18,5,FALSE)))</x:f>
        <x:v>44</x:v>
      </x:c>
      <x:c r="V631">
        <x:v>57</x:v>
      </x:c>
      <x:c r="W631">
        <x:v>63</x:v>
      </x:c>
      <x:c r="X631">
        <x:v>67</x:v>
      </x:c>
      <x:c r="Y631">
        <x:v>68</x:v>
      </x:c>
      <x:c r="Z631">
        <x:v>51</x:v>
      </x:c>
      <x:c r="AA631">
        <x:v>48</x:v>
      </x:c>
      <x:c r="AB631" s="57" t="n">
        <x:v>42</x:v>
      </x:c>
      <x:c r="AC631" s="57" t="n">
        <x:v>44</x:v>
      </x:c>
      <x:c r="AD631" s="59"/>
      <x:c r="AE631" s="61" t="str">
        <x:f>IF(N(F631)&gt;=10,"NHL_LATEST_10",IF(AND(N(F631)&gt;0,N(G631)&gt;0),"NHL_BOTH_SEASONS",IF(N(G631)&gt;=10,"NHL_PREVIOUS_10",IF(AND(ISNUMBER(AD631),AD631=0,SUM(F631:G631)=0),"FARM_CAREER_0",IF(COUNT(F631:G631)&lt;2,"UNKNOWN_GP",IF(AND(F631=0,G631=0),IF(AD631&gt;=10,"FARM_LEGACY_10",IF(AND(ISNUMBER(AD631),AD631&gt;0),"FARM_CAREER_1_9","FARM_0_0")),IF(F631&gt;=1,IF(F631&lt;=3,"FARM_RECENT_1_3","FARM_RECENT_4_9"),"FARM_PREV_1_9_ONLY")))))))</x:f>
        <x:v>UNKNOWN_GP</x:v>
      </x:c>
      <x:c r="AF631" s="57" t="n">
        <x:f>AB631-T631</x:f>
        <x:v>0</x:v>
      </x:c>
      <x:c r="AG631" s="57" t="n">
        <x:f>AC631-U631</x:f>
        <x:v>0</x:v>
      </x:c>
    </x:row>
    <x:row r="632">
      <x:c r="A632" t="s">
        <x:v>1655</x:v>
      </x:c>
      <x:c r="C632" t="s">
        <x:v>319</x:v>
      </x:c>
      <x:c r="D632">
        <x:v>8484229</x:v>
      </x:c>
      <x:c r="E632" t="s">
        <x:v>267</x:v>
      </x:c>
      <x:c r="J632" t="s">
        <x:v>2474</x:v>
      </x:c>
      <x:c r="K632">
        <x:v>70</x:v>
      </x:c>
      <x:c r="L632">
        <x:v>39</x:v>
      </x:c>
      <x:c r="M632">
        <x:v>89</x:v>
      </x:c>
      <x:c r="N632">
        <x:v>40</x:v>
      </x:c>
      <x:c r="O632">
        <x:v>83</x:v>
      </x:c>
      <x:c r="P632">
        <x:v>82</x:v>
      </x:c>
      <x:c r="Q632">
        <x:v>86</x:v>
      </x:c>
      <x:c r="R632">
        <x:v>41</x:v>
      </x:c>
      <x:c r="S632">
        <x:v>55</x:v>
      </x:c>
      <x:c r="T632" s="63" t="n">
        <x:f>MAX(30,MIN(AB632-VLOOKUP(AE632,'AHL_PA_SC_BALANCE'!$A$8:$E$18,2,FALSE),VLOOKUP(AE632,'AHL_PA_SC_BALANCE'!$A$8:$E$18,4,FALSE)))</x:f>
        <x:v>42</x:v>
      </x:c>
      <x:c r="U632" s="63" t="n">
        <x:f>MAX(30,MIN(AC632-VLOOKUP(AE632,'AHL_PA_SC_BALANCE'!$A$8:$E$18,3,FALSE),VLOOKUP(AE632,'AHL_PA_SC_BALANCE'!$A$8:$E$18,5,FALSE)))</x:f>
        <x:v>43</x:v>
      </x:c>
      <x:c r="V632">
        <x:v>61</x:v>
      </x:c>
      <x:c r="W632">
        <x:v>62</x:v>
      </x:c>
      <x:c r="X632">
        <x:v>65</x:v>
      </x:c>
      <x:c r="Y632">
        <x:v>64</x:v>
      </x:c>
      <x:c r="Z632">
        <x:v>51</x:v>
      </x:c>
      <x:c r="AA632">
        <x:v>48</x:v>
      </x:c>
      <x:c r="AB632" s="57" t="n">
        <x:v>42</x:v>
      </x:c>
      <x:c r="AC632" s="57" t="n">
        <x:v>43</x:v>
      </x:c>
      <x:c r="AD632" s="59"/>
      <x:c r="AE632" s="61" t="str">
        <x:f>IF(N(F632)&gt;=10,"NHL_LATEST_10",IF(AND(N(F632)&gt;0,N(G632)&gt;0),"NHL_BOTH_SEASONS",IF(N(G632)&gt;=10,"NHL_PREVIOUS_10",IF(AND(ISNUMBER(AD632),AD632=0,SUM(F632:G632)=0),"FARM_CAREER_0",IF(COUNT(F632:G632)&lt;2,"UNKNOWN_GP",IF(AND(F632=0,G632=0),IF(AD632&gt;=10,"FARM_LEGACY_10",IF(AND(ISNUMBER(AD632),AD632&gt;0),"FARM_CAREER_1_9","FARM_0_0")),IF(F632&gt;=1,IF(F632&lt;=3,"FARM_RECENT_1_3","FARM_RECENT_4_9"),"FARM_PREV_1_9_ONLY")))))))</x:f>
        <x:v>UNKNOWN_GP</x:v>
      </x:c>
      <x:c r="AF632" s="57" t="n">
        <x:f>AB632-T632</x:f>
        <x:v>0</x:v>
      </x:c>
      <x:c r="AG632" s="57" t="n">
        <x:f>AC632-U632</x:f>
        <x:v>0</x:v>
      </x:c>
    </x:row>
    <x:row r="633">
      <x:c r="A633" t="s">
        <x:v>1656</x:v>
      </x:c>
      <x:c r="C633" t="s">
        <x:v>326</x:v>
      </x:c>
      <x:c r="D633">
        <x:v>8483799</x:v>
      </x:c>
      <x:c r="E633" t="s">
        <x:v>267</x:v>
      </x:c>
      <x:c r="J633" t="s">
        <x:v>2474</x:v>
      </x:c>
      <x:c r="K633">
        <x:v>70</x:v>
      </x:c>
      <x:c r="L633">
        <x:v>32</x:v>
      </x:c>
      <x:c r="M633">
        <x:v>87</x:v>
      </x:c>
      <x:c r="N633">
        <x:v>40</x:v>
      </x:c>
      <x:c r="O633">
        <x:v>86</x:v>
      </x:c>
      <x:c r="P633">
        <x:v>78</x:v>
      </x:c>
      <x:c r="Q633">
        <x:v>80</x:v>
      </x:c>
      <x:c r="R633">
        <x:v>39</x:v>
      </x:c>
      <x:c r="S633">
        <x:v>53</x:v>
      </x:c>
      <x:c r="T633" s="63" t="n">
        <x:f>MAX(30,MIN(AB633-VLOOKUP(AE633,'AHL_PA_SC_BALANCE'!$A$8:$E$18,2,FALSE),VLOOKUP(AE633,'AHL_PA_SC_BALANCE'!$A$8:$E$18,4,FALSE)))</x:f>
        <x:v>43</x:v>
      </x:c>
      <x:c r="U633" s="63" t="n">
        <x:f>MAX(30,MIN(AC633-VLOOKUP(AE633,'AHL_PA_SC_BALANCE'!$A$8:$E$18,3,FALSE),VLOOKUP(AE633,'AHL_PA_SC_BALANCE'!$A$8:$E$18,5,FALSE)))</x:f>
        <x:v>41</x:v>
      </x:c>
      <x:c r="V633">
        <x:v>64</x:v>
      </x:c>
      <x:c r="W633">
        <x:v>62</x:v>
      </x:c>
      <x:c r="X633">
        <x:v>67</x:v>
      </x:c>
      <x:c r="Y633">
        <x:v>66</x:v>
      </x:c>
      <x:c r="Z633">
        <x:v>51</x:v>
      </x:c>
      <x:c r="AA633">
        <x:v>48</x:v>
      </x:c>
      <x:c r="AB633" s="57" t="n">
        <x:v>43</x:v>
      </x:c>
      <x:c r="AC633" s="57" t="n">
        <x:v>41</x:v>
      </x:c>
      <x:c r="AD633" s="59"/>
      <x:c r="AE633" s="61" t="str">
        <x:f>IF(N(F633)&gt;=10,"NHL_LATEST_10",IF(AND(N(F633)&gt;0,N(G633)&gt;0),"NHL_BOTH_SEASONS",IF(N(G633)&gt;=10,"NHL_PREVIOUS_10",IF(AND(ISNUMBER(AD633),AD633=0,SUM(F633:G633)=0),"FARM_CAREER_0",IF(COUNT(F633:G633)&lt;2,"UNKNOWN_GP",IF(AND(F633=0,G633=0),IF(AD633&gt;=10,"FARM_LEGACY_10",IF(AND(ISNUMBER(AD633),AD633&gt;0),"FARM_CAREER_1_9","FARM_0_0")),IF(F633&gt;=1,IF(F633&lt;=3,"FARM_RECENT_1_3","FARM_RECENT_4_9"),"FARM_PREV_1_9_ONLY")))))))</x:f>
        <x:v>UNKNOWN_GP</x:v>
      </x:c>
      <x:c r="AF633" s="57" t="n">
        <x:f>AB633-T633</x:f>
        <x:v>0</x:v>
      </x:c>
      <x:c r="AG633" s="57" t="n">
        <x:f>AC633-U633</x:f>
        <x:v>0</x:v>
      </x:c>
    </x:row>
    <x:row r="634">
      <x:c r="A634" t="s">
        <x:v>1657</x:v>
      </x:c>
      <x:c r="C634" t="s">
        <x:v>319</x:v>
      </x:c>
      <x:c r="D634">
        <x:v>8481147</x:v>
      </x:c>
      <x:c r="E634" t="s">
        <x:v>267</x:v>
      </x:c>
      <x:c r="J634" t="s">
        <x:v>2474</x:v>
      </x:c>
      <x:c r="K634">
        <x:v>72</x:v>
      </x:c>
      <x:c r="L634">
        <x:v>88</x:v>
      </x:c>
      <x:c r="M634">
        <x:v>81</x:v>
      </x:c>
      <x:c r="N634">
        <x:v>40</x:v>
      </x:c>
      <x:c r="O634">
        <x:v>82</x:v>
      </x:c>
      <x:c r="P634">
        <x:v>81</x:v>
      </x:c>
      <x:c r="Q634">
        <x:v>83</x:v>
      </x:c>
      <x:c r="R634">
        <x:v>40</x:v>
      </x:c>
      <x:c r="S634">
        <x:v>78</x:v>
      </x:c>
      <x:c r="T634" s="63" t="n">
        <x:f>MAX(30,MIN(AB634-VLOOKUP(AE634,'AHL_PA_SC_BALANCE'!$A$8:$E$18,2,FALSE),VLOOKUP(AE634,'AHL_PA_SC_BALANCE'!$A$8:$E$18,4,FALSE)))</x:f>
        <x:v>48</x:v>
      </x:c>
      <x:c r="U634" s="63" t="n">
        <x:f>MAX(30,MIN(AC634-VLOOKUP(AE634,'AHL_PA_SC_BALANCE'!$A$8:$E$18,3,FALSE),VLOOKUP(AE634,'AHL_PA_SC_BALANCE'!$A$8:$E$18,5,FALSE)))</x:f>
        <x:v>49</x:v>
      </x:c>
      <x:c r="V634">
        <x:v>67</x:v>
      </x:c>
      <x:c r="W634">
        <x:v>62</x:v>
      </x:c>
      <x:c r="X634">
        <x:v>70</x:v>
      </x:c>
      <x:c r="Y634">
        <x:v>69</x:v>
      </x:c>
      <x:c r="Z634">
        <x:v>51</x:v>
      </x:c>
      <x:c r="AA634">
        <x:v>48</x:v>
      </x:c>
      <x:c r="AB634" s="57" t="n">
        <x:v>48</x:v>
      </x:c>
      <x:c r="AC634" s="57" t="n">
        <x:v>49</x:v>
      </x:c>
      <x:c r="AD634" s="59"/>
      <x:c r="AE634" s="61" t="str">
        <x:f>IF(N(F634)&gt;=10,"NHL_LATEST_10",IF(AND(N(F634)&gt;0,N(G634)&gt;0),"NHL_BOTH_SEASONS",IF(N(G634)&gt;=10,"NHL_PREVIOUS_10",IF(AND(ISNUMBER(AD634),AD634=0,SUM(F634:G634)=0),"FARM_CAREER_0",IF(COUNT(F634:G634)&lt;2,"UNKNOWN_GP",IF(AND(F634=0,G634=0),IF(AD634&gt;=10,"FARM_LEGACY_10",IF(AND(ISNUMBER(AD634),AD634&gt;0),"FARM_CAREER_1_9","FARM_0_0")),IF(F634&gt;=1,IF(F634&lt;=3,"FARM_RECENT_1_3","FARM_RECENT_4_9"),"FARM_PREV_1_9_ONLY")))))))</x:f>
        <x:v>UNKNOWN_GP</x:v>
      </x:c>
      <x:c r="AF634" s="57" t="n">
        <x:f>AB634-T634</x:f>
        <x:v>0</x:v>
      </x:c>
      <x:c r="AG634" s="57" t="n">
        <x:f>AC634-U634</x:f>
        <x:v>0</x:v>
      </x:c>
    </x:row>
    <x:row r="635">
      <x:c r="A635" t="s">
        <x:v>1658</x:v>
      </x:c>
      <x:c r="C635" t="s">
        <x:v>358</x:v>
      </x:c>
      <x:c r="D635">
        <x:v>8481866</x:v>
      </x:c>
      <x:c r="E635" t="s">
        <x:v>267</x:v>
      </x:c>
      <x:c r="J635" t="s">
        <x:v>2474</x:v>
      </x:c>
      <x:c r="K635">
        <x:v>69</x:v>
      </x:c>
      <x:c r="L635">
        <x:v>37</x:v>
      </x:c>
      <x:c r="M635">
        <x:v>77</x:v>
      </x:c>
      <x:c r="N635">
        <x:v>41</x:v>
      </x:c>
      <x:c r="O635">
        <x:v>74</x:v>
      </x:c>
      <x:c r="P635">
        <x:v>80</x:v>
      </x:c>
      <x:c r="Q635">
        <x:v>81</x:v>
      </x:c>
      <x:c r="R635">
        <x:v>40</x:v>
      </x:c>
      <x:c r="S635">
        <x:v>67</x:v>
      </x:c>
      <x:c r="T635" s="63" t="n">
        <x:f>MAX(30,MIN(AB635-VLOOKUP(AE635,'AHL_PA_SC_BALANCE'!$A$8:$E$18,2,FALSE),VLOOKUP(AE635,'AHL_PA_SC_BALANCE'!$A$8:$E$18,4,FALSE)))</x:f>
        <x:v>43</x:v>
      </x:c>
      <x:c r="U635" s="63" t="n">
        <x:f>MAX(30,MIN(AC635-VLOOKUP(AE635,'AHL_PA_SC_BALANCE'!$A$8:$E$18,3,FALSE),VLOOKUP(AE635,'AHL_PA_SC_BALANCE'!$A$8:$E$18,5,FALSE)))</x:f>
        <x:v>44</x:v>
      </x:c>
      <x:c r="V635">
        <x:v>58</x:v>
      </x:c>
      <x:c r="W635">
        <x:v>64</x:v>
      </x:c>
      <x:c r="X635">
        <x:v>68</x:v>
      </x:c>
      <x:c r="Y635">
        <x:v>67</x:v>
      </x:c>
      <x:c r="Z635">
        <x:v>51</x:v>
      </x:c>
      <x:c r="AA635">
        <x:v>48</x:v>
      </x:c>
      <x:c r="AB635" s="57" t="n">
        <x:v>43</x:v>
      </x:c>
      <x:c r="AC635" s="57" t="n">
        <x:v>44</x:v>
      </x:c>
      <x:c r="AD635" s="59"/>
      <x:c r="AE635" s="61" t="str">
        <x:f>IF(N(F635)&gt;=10,"NHL_LATEST_10",IF(AND(N(F635)&gt;0,N(G635)&gt;0),"NHL_BOTH_SEASONS",IF(N(G635)&gt;=10,"NHL_PREVIOUS_10",IF(AND(ISNUMBER(AD635),AD635=0,SUM(F635:G635)=0),"FARM_CAREER_0",IF(COUNT(F635:G635)&lt;2,"UNKNOWN_GP",IF(AND(F635=0,G635=0),IF(AD635&gt;=10,"FARM_LEGACY_10",IF(AND(ISNUMBER(AD635),AD635&gt;0),"FARM_CAREER_1_9","FARM_0_0")),IF(F635&gt;=1,IF(F635&lt;=3,"FARM_RECENT_1_3","FARM_RECENT_4_9"),"FARM_PREV_1_9_ONLY")))))))</x:f>
        <x:v>UNKNOWN_GP</x:v>
      </x:c>
      <x:c r="AF635" s="57" t="n">
        <x:f>AB635-T635</x:f>
        <x:v>0</x:v>
      </x:c>
      <x:c r="AG635" s="57" t="n">
        <x:f>AC635-U635</x:f>
        <x:v>0</x:v>
      </x:c>
    </x:row>
    <x:row r="636">
      <x:c r="A636" t="s">
        <x:v>1659</x:v>
      </x:c>
      <x:c r="B636" t="s">
        <x:v>584</x:v>
      </x:c>
      <x:c r="C636" t="s">
        <x:v>358</x:v>
      </x:c>
      <x:c r="D636">
        <x:v>8485527</x:v>
      </x:c>
      <x:c r="E636" t="s">
        <x:v>267</x:v>
      </x:c>
      <x:c r="J636" t="s">
        <x:v>2476</x:v>
      </x:c>
      <x:c r="K636">
        <x:v>62</x:v>
      </x:c>
      <x:c r="L636">
        <x:v>37</x:v>
      </x:c>
      <x:c r="M636">
        <x:v>90</x:v>
      </x:c>
      <x:c r="N636">
        <x:v>40</x:v>
      </x:c>
      <x:c r="O636">
        <x:v>80</x:v>
      </x:c>
      <x:c r="P636">
        <x:v>78</x:v>
      </x:c>
      <x:c r="Q636">
        <x:v>81</x:v>
      </x:c>
      <x:c r="R636">
        <x:v>41</x:v>
      </x:c>
      <x:c r="S636">
        <x:v>68</x:v>
      </x:c>
      <x:c r="T636" s="63" t="n">
        <x:f>MAX(30,MIN(AB636-VLOOKUP(AE636,'AHL_PA_SC_BALANCE'!$A$8:$E$18,2,FALSE),VLOOKUP(AE636,'AHL_PA_SC_BALANCE'!$A$8:$E$18,4,FALSE)))</x:f>
        <x:v>42</x:v>
      </x:c>
      <x:c r="U636" s="63" t="n">
        <x:f>MAX(30,MIN(AC636-VLOOKUP(AE636,'AHL_PA_SC_BALANCE'!$A$8:$E$18,3,FALSE),VLOOKUP(AE636,'AHL_PA_SC_BALANCE'!$A$8:$E$18,5,FALSE)))</x:f>
        <x:v>44</x:v>
      </x:c>
      <x:c r="V636">
        <x:v>60</x:v>
      </x:c>
      <x:c r="W636">
        <x:v>63</x:v>
      </x:c>
      <x:c r="X636">
        <x:v>68</x:v>
      </x:c>
      <x:c r="Y636">
        <x:v>67</x:v>
      </x:c>
      <x:c r="Z636">
        <x:v>51</x:v>
      </x:c>
      <x:c r="AA636">
        <x:v>48</x:v>
      </x:c>
      <x:c r="AB636" s="57" t="n">
        <x:v>42</x:v>
      </x:c>
      <x:c r="AC636" s="57" t="n">
        <x:v>44</x:v>
      </x:c>
      <x:c r="AD636" s="59"/>
      <x:c r="AE636" s="61" t="str">
        <x:f>IF(N(F636)&gt;=10,"NHL_LATEST_10",IF(AND(N(F636)&gt;0,N(G636)&gt;0),"NHL_BOTH_SEASONS",IF(N(G636)&gt;=10,"NHL_PREVIOUS_10",IF(AND(ISNUMBER(AD636),AD636=0,SUM(F636:G636)=0),"FARM_CAREER_0",IF(COUNT(F636:G636)&lt;2,"UNKNOWN_GP",IF(AND(F636=0,G636=0),IF(AD636&gt;=10,"FARM_LEGACY_10",IF(AND(ISNUMBER(AD636),AD636&gt;0),"FARM_CAREER_1_9","FARM_0_0")),IF(F636&gt;=1,IF(F636&lt;=3,"FARM_RECENT_1_3","FARM_RECENT_4_9"),"FARM_PREV_1_9_ONLY")))))))</x:f>
        <x:v>UNKNOWN_GP</x:v>
      </x:c>
      <x:c r="AF636" s="57" t="n">
        <x:f>AB636-T636</x:f>
        <x:v>0</x:v>
      </x:c>
      <x:c r="AG636" s="57" t="n">
        <x:f>AC636-U636</x:f>
        <x:v>0</x:v>
      </x:c>
    </x:row>
    <x:row r="637">
      <x:c r="A637" t="s">
        <x:v>1660</x:v>
      </x:c>
      <x:c r="B637" t="s">
        <x:v>584</x:v>
      </x:c>
      <x:c r="C637" t="s">
        <x:v>333</x:v>
      </x:c>
      <x:c r="D637">
        <x:v>8456455</x:v>
      </x:c>
      <x:c r="E637" t="s">
        <x:v>267</x:v>
      </x:c>
      <x:c r="J637" t="s">
        <x:v>2476</x:v>
      </x:c>
      <x:c r="K637">
        <x:v>61</x:v>
      </x:c>
      <x:c r="L637">
        <x:v>31</x:v>
      </x:c>
      <x:c r="M637">
        <x:v>78</x:v>
      </x:c>
      <x:c r="N637">
        <x:v>42</x:v>
      </x:c>
      <x:c r="O637">
        <x:v>81</x:v>
      </x:c>
      <x:c r="P637">
        <x:v>87</x:v>
      </x:c>
      <x:c r="Q637">
        <x:v>91</x:v>
      </x:c>
      <x:c r="R637">
        <x:v>41</x:v>
      </x:c>
      <x:c r="S637">
        <x:v>60</x:v>
      </x:c>
      <x:c r="T637" s="63" t="n">
        <x:f>MAX(30,MIN(AB637-VLOOKUP(AE637,'AHL_PA_SC_BALANCE'!$A$8:$E$18,2,FALSE),VLOOKUP(AE637,'AHL_PA_SC_BALANCE'!$A$8:$E$18,4,FALSE)))</x:f>
        <x:v>43</x:v>
      </x:c>
      <x:c r="U637" s="63" t="n">
        <x:f>MAX(30,MIN(AC637-VLOOKUP(AE637,'AHL_PA_SC_BALANCE'!$A$8:$E$18,3,FALSE),VLOOKUP(AE637,'AHL_PA_SC_BALANCE'!$A$8:$E$18,5,FALSE)))</x:f>
        <x:v>44</x:v>
      </x:c>
      <x:c r="V637">
        <x:v>62</x:v>
      </x:c>
      <x:c r="W637">
        <x:v>63</x:v>
      </x:c>
      <x:c r="X637">
        <x:v>68</x:v>
      </x:c>
      <x:c r="Y637">
        <x:v>68</x:v>
      </x:c>
      <x:c r="Z637">
        <x:v>51</x:v>
      </x:c>
      <x:c r="AA637">
        <x:v>48</x:v>
      </x:c>
      <x:c r="AB637" s="57" t="n">
        <x:v>43</x:v>
      </x:c>
      <x:c r="AC637" s="57" t="n">
        <x:v>44</x:v>
      </x:c>
      <x:c r="AD637" s="59"/>
      <x:c r="AE637" s="61" t="str">
        <x:f>IF(N(F637)&gt;=10,"NHL_LATEST_10",IF(AND(N(F637)&gt;0,N(G637)&gt;0),"NHL_BOTH_SEASONS",IF(N(G637)&gt;=10,"NHL_PREVIOUS_10",IF(AND(ISNUMBER(AD637),AD637=0,SUM(F637:G637)=0),"FARM_CAREER_0",IF(COUNT(F637:G637)&lt;2,"UNKNOWN_GP",IF(AND(F637=0,G637=0),IF(AD637&gt;=10,"FARM_LEGACY_10",IF(AND(ISNUMBER(AD637),AD637&gt;0),"FARM_CAREER_1_9","FARM_0_0")),IF(F637&gt;=1,IF(F637&lt;=3,"FARM_RECENT_1_3","FARM_RECENT_4_9"),"FARM_PREV_1_9_ONLY")))))))</x:f>
        <x:v>UNKNOWN_GP</x:v>
      </x:c>
      <x:c r="AF637" s="57" t="n">
        <x:f>AB637-T637</x:f>
        <x:v>0</x:v>
      </x:c>
      <x:c r="AG637" s="57" t="n">
        <x:f>AC637-U637</x:f>
        <x:v>0</x:v>
      </x:c>
    </x:row>
    <x:row r="638">
      <x:c r="A638" t="s">
        <x:v>1661</x:v>
      </x:c>
      <x:c r="C638" t="s">
        <x:v>329</x:v>
      </x:c>
      <x:c r="E638" t="s">
        <x:v>267</x:v>
      </x:c>
      <x:c r="J638" t="s">
        <x:v>2474</x:v>
      </x:c>
      <x:c r="K638">
        <x:v>58</x:v>
      </x:c>
      <x:c r="L638">
        <x:v>35</x:v>
      </x:c>
      <x:c r="M638">
        <x:v>84</x:v>
      </x:c>
      <x:c r="N638">
        <x:v>43</x:v>
      </x:c>
      <x:c r="O638">
        <x:v>80</x:v>
      </x:c>
      <x:c r="P638">
        <x:v>81</x:v>
      </x:c>
      <x:c r="Q638">
        <x:v>85</x:v>
      </x:c>
      <x:c r="R638">
        <x:v>43</x:v>
      </x:c>
      <x:c r="S638">
        <x:v>53</x:v>
      </x:c>
      <x:c r="T638" s="63" t="n">
        <x:f>MAX(30,MIN(AB638-VLOOKUP(AE638,'AHL_PA_SC_BALANCE'!$A$8:$E$18,2,FALSE),VLOOKUP(AE638,'AHL_PA_SC_BALANCE'!$A$8:$E$18,4,FALSE)))</x:f>
        <x:v>46</x:v>
      </x:c>
      <x:c r="U638" s="63" t="n">
        <x:f>MAX(30,MIN(AC638-VLOOKUP(AE638,'AHL_PA_SC_BALANCE'!$A$8:$E$18,3,FALSE),VLOOKUP(AE638,'AHL_PA_SC_BALANCE'!$A$8:$E$18,5,FALSE)))</x:f>
        <x:v>43</x:v>
      </x:c>
      <x:c r="V638">
        <x:v>61</x:v>
      </x:c>
      <x:c r="W638">
        <x:v>65</x:v>
      </x:c>
      <x:c r="X638">
        <x:v>67</x:v>
      </x:c>
      <x:c r="Y638">
        <x:v>67</x:v>
      </x:c>
      <x:c r="Z638">
        <x:v>51</x:v>
      </x:c>
      <x:c r="AA638">
        <x:v>48</x:v>
      </x:c>
      <x:c r="AB638" s="57" t="n">
        <x:v>46</x:v>
      </x:c>
      <x:c r="AC638" s="57" t="n">
        <x:v>43</x:v>
      </x:c>
      <x:c r="AD638" s="59"/>
      <x:c r="AE638" s="61" t="str">
        <x:f>IF(N(F638)&gt;=10,"NHL_LATEST_10",IF(AND(N(F638)&gt;0,N(G638)&gt;0),"NHL_BOTH_SEASONS",IF(N(G638)&gt;=10,"NHL_PREVIOUS_10",IF(AND(ISNUMBER(AD638),AD638=0,SUM(F638:G638)=0),"FARM_CAREER_0",IF(COUNT(F638:G638)&lt;2,"UNKNOWN_GP",IF(AND(F638=0,G638=0),IF(AD638&gt;=10,"FARM_LEGACY_10",IF(AND(ISNUMBER(AD638),AD638&gt;0),"FARM_CAREER_1_9","FARM_0_0")),IF(F638&gt;=1,IF(F638&lt;=3,"FARM_RECENT_1_3","FARM_RECENT_4_9"),"FARM_PREV_1_9_ONLY")))))))</x:f>
        <x:v>UNKNOWN_GP</x:v>
      </x:c>
      <x:c r="AF638" s="57" t="n">
        <x:f>AB638-T638</x:f>
        <x:v>0</x:v>
      </x:c>
      <x:c r="AG638" s="57" t="n">
        <x:f>AC638-U638</x:f>
        <x:v>0</x:v>
      </x:c>
    </x:row>
    <x:row r="639">
      <x:c r="A639" t="s">
        <x:v>1662</x:v>
      </x:c>
      <x:c r="C639" t="s">
        <x:v>319</x:v>
      </x:c>
      <x:c r="D639">
        <x:v>8482748</x:v>
      </x:c>
      <x:c r="E639" t="s">
        <x:v>267</x:v>
      </x:c>
      <x:c r="J639" t="s">
        <x:v>2474</x:v>
      </x:c>
      <x:c r="K639">
        <x:v>65</x:v>
      </x:c>
      <x:c r="L639">
        <x:v>34</x:v>
      </x:c>
      <x:c r="M639">
        <x:v>82</x:v>
      </x:c>
      <x:c r="N639">
        <x:v>40</x:v>
      </x:c>
      <x:c r="O639">
        <x:v>79</x:v>
      </x:c>
      <x:c r="P639">
        <x:v>88</x:v>
      </x:c>
      <x:c r="Q639">
        <x:v>91</x:v>
      </x:c>
      <x:c r="R639">
        <x:v>39</x:v>
      </x:c>
      <x:c r="S639">
        <x:v>75</x:v>
      </x:c>
      <x:c r="T639" s="63" t="n">
        <x:f>MAX(30,MIN(AB639-VLOOKUP(AE639,'AHL_PA_SC_BALANCE'!$A$8:$E$18,2,FALSE),VLOOKUP(AE639,'AHL_PA_SC_BALANCE'!$A$8:$E$18,4,FALSE)))</x:f>
        <x:v>45</x:v>
      </x:c>
      <x:c r="U639" s="63" t="n">
        <x:f>MAX(30,MIN(AC639-VLOOKUP(AE639,'AHL_PA_SC_BALANCE'!$A$8:$E$18,3,FALSE),VLOOKUP(AE639,'AHL_PA_SC_BALANCE'!$A$8:$E$18,5,FALSE)))</x:f>
        <x:v>44</x:v>
      </x:c>
      <x:c r="V639">
        <x:v>60</x:v>
      </x:c>
      <x:c r="W639">
        <x:v>62</x:v>
      </x:c>
      <x:c r="X639">
        <x:v>66</x:v>
      </x:c>
      <x:c r="Y639">
        <x:v>67</x:v>
      </x:c>
      <x:c r="Z639">
        <x:v>51</x:v>
      </x:c>
      <x:c r="AA639">
        <x:v>48</x:v>
      </x:c>
      <x:c r="AB639" s="57" t="n">
        <x:v>45</x:v>
      </x:c>
      <x:c r="AC639" s="57" t="n">
        <x:v>44</x:v>
      </x:c>
      <x:c r="AD639" s="59"/>
      <x:c r="AE639" s="61" t="str">
        <x:f>IF(N(F639)&gt;=10,"NHL_LATEST_10",IF(AND(N(F639)&gt;0,N(G639)&gt;0),"NHL_BOTH_SEASONS",IF(N(G639)&gt;=10,"NHL_PREVIOUS_10",IF(AND(ISNUMBER(AD639),AD639=0,SUM(F639:G639)=0),"FARM_CAREER_0",IF(COUNT(F639:G639)&lt;2,"UNKNOWN_GP",IF(AND(F639=0,G639=0),IF(AD639&gt;=10,"FARM_LEGACY_10",IF(AND(ISNUMBER(AD639),AD639&gt;0),"FARM_CAREER_1_9","FARM_0_0")),IF(F639&gt;=1,IF(F639&lt;=3,"FARM_RECENT_1_3","FARM_RECENT_4_9"),"FARM_PREV_1_9_ONLY")))))))</x:f>
        <x:v>UNKNOWN_GP</x:v>
      </x:c>
      <x:c r="AF639" s="57" t="n">
        <x:f>AB639-T639</x:f>
        <x:v>0</x:v>
      </x:c>
      <x:c r="AG639" s="57" t="n">
        <x:f>AC639-U639</x:f>
        <x:v>0</x:v>
      </x:c>
    </x:row>
    <x:row r="640">
      <x:c r="A640" t="s">
        <x:v>1663</x:v>
      </x:c>
      <x:c r="B640" t="s">
        <x:v>584</x:v>
      </x:c>
      <x:c r="C640" t="s">
        <x:v>329</x:v>
      </x:c>
      <x:c r="D640">
        <x:v>8484928</x:v>
      </x:c>
      <x:c r="E640" t="s">
        <x:v>267</x:v>
      </x:c>
      <x:c r="J640" t="s">
        <x:v>2476</x:v>
      </x:c>
      <x:c r="K640">
        <x:v>68</x:v>
      </x:c>
      <x:c r="L640">
        <x:v>34</x:v>
      </x:c>
      <x:c r="M640">
        <x:v>85</x:v>
      </x:c>
      <x:c r="N640">
        <x:v>40</x:v>
      </x:c>
      <x:c r="O640">
        <x:v>86</x:v>
      </x:c>
      <x:c r="P640">
        <x:v>82</x:v>
      </x:c>
      <x:c r="Q640">
        <x:v>84</x:v>
      </x:c>
      <x:c r="R640">
        <x:v>41</x:v>
      </x:c>
      <x:c r="S640">
        <x:v>64</x:v>
      </x:c>
      <x:c r="T640" s="63" t="n">
        <x:f>MAX(30,MIN(AB640-VLOOKUP(AE640,'AHL_PA_SC_BALANCE'!$A$8:$E$18,2,FALSE),VLOOKUP(AE640,'AHL_PA_SC_BALANCE'!$A$8:$E$18,4,FALSE)))</x:f>
        <x:v>42</x:v>
      </x:c>
      <x:c r="U640" s="63" t="n">
        <x:f>MAX(30,MIN(AC640-VLOOKUP(AE640,'AHL_PA_SC_BALANCE'!$A$8:$E$18,3,FALSE),VLOOKUP(AE640,'AHL_PA_SC_BALANCE'!$A$8:$E$18,5,FALSE)))</x:f>
        <x:v>43</x:v>
      </x:c>
      <x:c r="V640">
        <x:v>60</x:v>
      </x:c>
      <x:c r="W640">
        <x:v>62</x:v>
      </x:c>
      <x:c r="X640">
        <x:v>70</x:v>
      </x:c>
      <x:c r="Y640">
        <x:v>71</x:v>
      </x:c>
      <x:c r="Z640">
        <x:v>51</x:v>
      </x:c>
      <x:c r="AA640">
        <x:v>48</x:v>
      </x:c>
      <x:c r="AB640" s="57" t="n">
        <x:v>42</x:v>
      </x:c>
      <x:c r="AC640" s="57" t="n">
        <x:v>43</x:v>
      </x:c>
      <x:c r="AD640" s="59"/>
      <x:c r="AE640" s="61" t="str">
        <x:f>IF(N(F640)&gt;=10,"NHL_LATEST_10",IF(AND(N(F640)&gt;0,N(G640)&gt;0),"NHL_BOTH_SEASONS",IF(N(G640)&gt;=10,"NHL_PREVIOUS_10",IF(AND(ISNUMBER(AD640),AD640=0,SUM(F640:G640)=0),"FARM_CAREER_0",IF(COUNT(F640:G640)&lt;2,"UNKNOWN_GP",IF(AND(F640=0,G640=0),IF(AD640&gt;=10,"FARM_LEGACY_10",IF(AND(ISNUMBER(AD640),AD640&gt;0),"FARM_CAREER_1_9","FARM_0_0")),IF(F640&gt;=1,IF(F640&lt;=3,"FARM_RECENT_1_3","FARM_RECENT_4_9"),"FARM_PREV_1_9_ONLY")))))))</x:f>
        <x:v>UNKNOWN_GP</x:v>
      </x:c>
      <x:c r="AF640" s="57" t="n">
        <x:f>AB640-T640</x:f>
        <x:v>0</x:v>
      </x:c>
      <x:c r="AG640" s="57" t="n">
        <x:f>AC640-U640</x:f>
        <x:v>0</x:v>
      </x:c>
    </x:row>
    <x:row r="641">
      <x:c r="A641" t="s">
        <x:v>1664</x:v>
      </x:c>
      <x:c r="C641" t="s">
        <x:v>326</x:v>
      </x:c>
      <x:c r="D641">
        <x:v>8483401</x:v>
      </x:c>
      <x:c r="E641" t="s">
        <x:v>267</x:v>
      </x:c>
      <x:c r="J641" t="s">
        <x:v>2474</x:v>
      </x:c>
      <x:c r="K641">
        <x:v>63</x:v>
      </x:c>
      <x:c r="L641">
        <x:v>35</x:v>
      </x:c>
      <x:c r="M641">
        <x:v>80</x:v>
      </x:c>
      <x:c r="N641">
        <x:v>42</x:v>
      </x:c>
      <x:c r="O641">
        <x:v>77</x:v>
      </x:c>
      <x:c r="P641">
        <x:v>83</x:v>
      </x:c>
      <x:c r="Q641">
        <x:v>86</x:v>
      </x:c>
      <x:c r="R641">
        <x:v>43</x:v>
      </x:c>
      <x:c r="S641">
        <x:v>74</x:v>
      </x:c>
      <x:c r="T641" s="63" t="n">
        <x:f>MAX(30,MIN(AB641-VLOOKUP(AE641,'AHL_PA_SC_BALANCE'!$A$8:$E$18,2,FALSE),VLOOKUP(AE641,'AHL_PA_SC_BALANCE'!$A$8:$E$18,4,FALSE)))</x:f>
        <x:v>44</x:v>
      </x:c>
      <x:c r="U641" s="63" t="n">
        <x:f>MAX(30,MIN(AC641-VLOOKUP(AE641,'AHL_PA_SC_BALANCE'!$A$8:$E$18,3,FALSE),VLOOKUP(AE641,'AHL_PA_SC_BALANCE'!$A$8:$E$18,5,FALSE)))</x:f>
        <x:v>43</x:v>
      </x:c>
      <x:c r="V641">
        <x:v>59</x:v>
      </x:c>
      <x:c r="W641">
        <x:v>63</x:v>
      </x:c>
      <x:c r="X641">
        <x:v>72</x:v>
      </x:c>
      <x:c r="Y641">
        <x:v>72</x:v>
      </x:c>
      <x:c r="Z641">
        <x:v>51</x:v>
      </x:c>
      <x:c r="AA641">
        <x:v>48</x:v>
      </x:c>
      <x:c r="AB641" s="57" t="n">
        <x:v>44</x:v>
      </x:c>
      <x:c r="AC641" s="57" t="n">
        <x:v>43</x:v>
      </x:c>
      <x:c r="AD641" s="59"/>
      <x:c r="AE641" s="61" t="str">
        <x:f>IF(N(F641)&gt;=10,"NHL_LATEST_10",IF(AND(N(F641)&gt;0,N(G641)&gt;0),"NHL_BOTH_SEASONS",IF(N(G641)&gt;=10,"NHL_PREVIOUS_10",IF(AND(ISNUMBER(AD641),AD641=0,SUM(F641:G641)=0),"FARM_CAREER_0",IF(COUNT(F641:G641)&lt;2,"UNKNOWN_GP",IF(AND(F641=0,G641=0),IF(AD641&gt;=10,"FARM_LEGACY_10",IF(AND(ISNUMBER(AD641),AD641&gt;0),"FARM_CAREER_1_9","FARM_0_0")),IF(F641&gt;=1,IF(F641&lt;=3,"FARM_RECENT_1_3","FARM_RECENT_4_9"),"FARM_PREV_1_9_ONLY")))))))</x:f>
        <x:v>UNKNOWN_GP</x:v>
      </x:c>
      <x:c r="AF641" s="57" t="n">
        <x:f>AB641-T641</x:f>
        <x:v>0</x:v>
      </x:c>
      <x:c r="AG641" s="57" t="n">
        <x:f>AC641-U641</x:f>
        <x:v>0</x:v>
      </x:c>
    </x:row>
    <x:row r="642">
      <x:c r="A642" t="s">
        <x:v>1665</x:v>
      </x:c>
      <x:c r="C642" t="s">
        <x:v>326</x:v>
      </x:c>
      <x:c r="D642">
        <x:v>8481594</x:v>
      </x:c>
      <x:c r="E642" t="s">
        <x:v>267</x:v>
      </x:c>
      <x:c r="J642" t="s">
        <x:v>2474</x:v>
      </x:c>
      <x:c r="K642">
        <x:v>66</x:v>
      </x:c>
      <x:c r="L642">
        <x:v>39</x:v>
      </x:c>
      <x:c r="M642">
        <x:v>76</x:v>
      </x:c>
      <x:c r="N642">
        <x:v>40</x:v>
      </x:c>
      <x:c r="O642">
        <x:v>82</x:v>
      </x:c>
      <x:c r="P642">
        <x:v>88</x:v>
      </x:c>
      <x:c r="Q642">
        <x:v>90</x:v>
      </x:c>
      <x:c r="R642">
        <x:v>40</x:v>
      </x:c>
      <x:c r="S642">
        <x:v>61</x:v>
      </x:c>
      <x:c r="T642" s="63" t="n">
        <x:f>MAX(30,MIN(AB642-VLOOKUP(AE642,'AHL_PA_SC_BALANCE'!$A$8:$E$18,2,FALSE),VLOOKUP(AE642,'AHL_PA_SC_BALANCE'!$A$8:$E$18,4,FALSE)))</x:f>
        <x:v>41</x:v>
      </x:c>
      <x:c r="U642" s="63" t="n">
        <x:f>MAX(30,MIN(AC642-VLOOKUP(AE642,'AHL_PA_SC_BALANCE'!$A$8:$E$18,3,FALSE),VLOOKUP(AE642,'AHL_PA_SC_BALANCE'!$A$8:$E$18,5,FALSE)))</x:f>
        <x:v>44</x:v>
      </x:c>
      <x:c r="V642">
        <x:v>60</x:v>
      </x:c>
      <x:c r="W642">
        <x:v>62</x:v>
      </x:c>
      <x:c r="X642">
        <x:v>68</x:v>
      </x:c>
      <x:c r="Y642">
        <x:v>68</x:v>
      </x:c>
      <x:c r="Z642">
        <x:v>51</x:v>
      </x:c>
      <x:c r="AA642">
        <x:v>48</x:v>
      </x:c>
      <x:c r="AB642" s="57" t="n">
        <x:v>41</x:v>
      </x:c>
      <x:c r="AC642" s="57" t="n">
        <x:v>44</x:v>
      </x:c>
      <x:c r="AD642" s="59"/>
      <x:c r="AE642" s="61" t="str">
        <x:f>IF(N(F642)&gt;=10,"NHL_LATEST_10",IF(AND(N(F642)&gt;0,N(G642)&gt;0),"NHL_BOTH_SEASONS",IF(N(G642)&gt;=10,"NHL_PREVIOUS_10",IF(AND(ISNUMBER(AD642),AD642=0,SUM(F642:G642)=0),"FARM_CAREER_0",IF(COUNT(F642:G642)&lt;2,"UNKNOWN_GP",IF(AND(F642=0,G642=0),IF(AD642&gt;=10,"FARM_LEGACY_10",IF(AND(ISNUMBER(AD642),AD642&gt;0),"FARM_CAREER_1_9","FARM_0_0")),IF(F642&gt;=1,IF(F642&lt;=3,"FARM_RECENT_1_3","FARM_RECENT_4_9"),"FARM_PREV_1_9_ONLY")))))))</x:f>
        <x:v>UNKNOWN_GP</x:v>
      </x:c>
      <x:c r="AF642" s="57" t="n">
        <x:f>AB642-T642</x:f>
        <x:v>0</x:v>
      </x:c>
      <x:c r="AG642" s="57" t="n">
        <x:f>AC642-U642</x:f>
        <x:v>0</x:v>
      </x:c>
    </x:row>
    <x:row r="643">
      <x:c r="A643" t="s">
        <x:v>1666</x:v>
      </x:c>
      <x:c r="C643" t="s">
        <x:v>323</x:v>
      </x:c>
      <x:c r="D643">
        <x:v>8483697</x:v>
      </x:c>
      <x:c r="E643" t="s">
        <x:v>267</x:v>
      </x:c>
      <x:c r="J643" t="s">
        <x:v>2474</x:v>
      </x:c>
      <x:c r="K643">
        <x:v>64</x:v>
      </x:c>
      <x:c r="L643">
        <x:v>33</x:v>
      </x:c>
      <x:c r="M643">
        <x:v>80</x:v>
      </x:c>
      <x:c r="N643">
        <x:v>42</x:v>
      </x:c>
      <x:c r="O643">
        <x:v>74</x:v>
      </x:c>
      <x:c r="P643">
        <x:v>83</x:v>
      </x:c>
      <x:c r="Q643">
        <x:v>86</x:v>
      </x:c>
      <x:c r="R643">
        <x:v>41</x:v>
      </x:c>
      <x:c r="S643">
        <x:v>57</x:v>
      </x:c>
      <x:c r="T643" s="63" t="n">
        <x:f>MAX(30,MIN(AB643-VLOOKUP(AE643,'AHL_PA_SC_BALANCE'!$A$8:$E$18,2,FALSE),VLOOKUP(AE643,'AHL_PA_SC_BALANCE'!$A$8:$E$18,4,FALSE)))</x:f>
        <x:v>43</x:v>
      </x:c>
      <x:c r="U643" s="63" t="n">
        <x:f>MAX(30,MIN(AC643-VLOOKUP(AE643,'AHL_PA_SC_BALANCE'!$A$8:$E$18,3,FALSE),VLOOKUP(AE643,'AHL_PA_SC_BALANCE'!$A$8:$E$18,5,FALSE)))</x:f>
        <x:v>44</x:v>
      </x:c>
      <x:c r="V643">
        <x:v>58</x:v>
      </x:c>
      <x:c r="W643">
        <x:v>63</x:v>
      </x:c>
      <x:c r="X643">
        <x:v>66</x:v>
      </x:c>
      <x:c r="Y643">
        <x:v>66</x:v>
      </x:c>
      <x:c r="Z643">
        <x:v>51</x:v>
      </x:c>
      <x:c r="AA643">
        <x:v>48</x:v>
      </x:c>
      <x:c r="AB643" s="57" t="n">
        <x:v>43</x:v>
      </x:c>
      <x:c r="AC643" s="57" t="n">
        <x:v>44</x:v>
      </x:c>
      <x:c r="AD643" s="59"/>
      <x:c r="AE643" s="61" t="str">
        <x:f>IF(N(F643)&gt;=10,"NHL_LATEST_10",IF(AND(N(F643)&gt;0,N(G643)&gt;0),"NHL_BOTH_SEASONS",IF(N(G643)&gt;=10,"NHL_PREVIOUS_10",IF(AND(ISNUMBER(AD643),AD643=0,SUM(F643:G643)=0),"FARM_CAREER_0",IF(COUNT(F643:G643)&lt;2,"UNKNOWN_GP",IF(AND(F643=0,G643=0),IF(AD643&gt;=10,"FARM_LEGACY_10",IF(AND(ISNUMBER(AD643),AD643&gt;0),"FARM_CAREER_1_9","FARM_0_0")),IF(F643&gt;=1,IF(F643&lt;=3,"FARM_RECENT_1_3","FARM_RECENT_4_9"),"FARM_PREV_1_9_ONLY")))))))</x:f>
        <x:v>UNKNOWN_GP</x:v>
      </x:c>
      <x:c r="AF643" s="57" t="n">
        <x:f>AB643-T643</x:f>
        <x:v>0</x:v>
      </x:c>
      <x:c r="AG643" s="57" t="n">
        <x:f>AC643-U643</x:f>
        <x:v>0</x:v>
      </x:c>
    </x:row>
    <x:row r="644">
      <x:c r="A644" t="s">
        <x:v>1667</x:v>
      </x:c>
      <x:c r="C644" t="s">
        <x:v>331</x:v>
      </x:c>
      <x:c r="D644">
        <x:v>8484577</x:v>
      </x:c>
      <x:c r="E644" t="s">
        <x:v>267</x:v>
      </x:c>
      <x:c r="J644" t="s">
        <x:v>2474</x:v>
      </x:c>
      <x:c r="K644">
        <x:v>64</x:v>
      </x:c>
      <x:c r="L644">
        <x:v>37</x:v>
      </x:c>
      <x:c r="M644">
        <x:v>93</x:v>
      </x:c>
      <x:c r="N644">
        <x:v>30</x:v>
      </x:c>
      <x:c r="O644">
        <x:v>81</x:v>
      </x:c>
      <x:c r="P644">
        <x:v>72</x:v>
      </x:c>
      <x:c r="Q644">
        <x:v>75</x:v>
      </x:c>
      <x:c r="R644">
        <x:v>31</x:v>
      </x:c>
      <x:c r="S644">
        <x:v>30</x:v>
      </x:c>
      <x:c r="T644" s="63" t="n">
        <x:f>MAX(30,MIN(AB644-VLOOKUP(AE644,'AHL_PA_SC_BALANCE'!$A$8:$E$18,2,FALSE),VLOOKUP(AE644,'AHL_PA_SC_BALANCE'!$A$8:$E$18,4,FALSE)))</x:f>
        <x:v>40</x:v>
      </x:c>
      <x:c r="U644" s="63" t="n">
        <x:f>MAX(30,MIN(AC644-VLOOKUP(AE644,'AHL_PA_SC_BALANCE'!$A$8:$E$18,3,FALSE),VLOOKUP(AE644,'AHL_PA_SC_BALANCE'!$A$8:$E$18,5,FALSE)))</x:f>
        <x:v>37</x:v>
      </x:c>
      <x:c r="V644">
        <x:v>64</x:v>
      </x:c>
      <x:c r="W644">
        <x:v>43</x:v>
      </x:c>
      <x:c r="X644">
        <x:v>70</x:v>
      </x:c>
      <x:c r="Y644">
        <x:v>69</x:v>
      </x:c>
      <x:c r="Z644">
        <x:v>51</x:v>
      </x:c>
      <x:c r="AA644">
        <x:v>48</x:v>
      </x:c>
      <x:c r="AB644" s="57" t="n">
        <x:v>40</x:v>
      </x:c>
      <x:c r="AC644" s="57" t="n">
        <x:v>37</x:v>
      </x:c>
      <x:c r="AD644" s="59"/>
      <x:c r="AE644" s="61" t="str">
        <x:f>IF(N(F644)&gt;=10,"NHL_LATEST_10",IF(AND(N(F644)&gt;0,N(G644)&gt;0),"NHL_BOTH_SEASONS",IF(N(G644)&gt;=10,"NHL_PREVIOUS_10",IF(AND(ISNUMBER(AD644),AD644=0,SUM(F644:G644)=0),"FARM_CAREER_0",IF(COUNT(F644:G644)&lt;2,"UNKNOWN_GP",IF(AND(F644=0,G644=0),IF(AD644&gt;=10,"FARM_LEGACY_10",IF(AND(ISNUMBER(AD644),AD644&gt;0),"FARM_CAREER_1_9","FARM_0_0")),IF(F644&gt;=1,IF(F644&lt;=3,"FARM_RECENT_1_3","FARM_RECENT_4_9"),"FARM_PREV_1_9_ONLY")))))))</x:f>
        <x:v>UNKNOWN_GP</x:v>
      </x:c>
      <x:c r="AF644" s="57" t="n">
        <x:f>AB644-T644</x:f>
        <x:v>0</x:v>
      </x:c>
      <x:c r="AG644" s="57" t="n">
        <x:f>AC644-U644</x:f>
        <x:v>0</x:v>
      </x:c>
    </x:row>
    <x:row r="645">
      <x:c r="A645" t="s">
        <x:v>1668</x:v>
      </x:c>
      <x:c r="C645" t="s">
        <x:v>323</x:v>
      </x:c>
      <x:c r="D645">
        <x:v>8485718</x:v>
      </x:c>
      <x:c r="E645" t="s">
        <x:v>267</x:v>
      </x:c>
      <x:c r="J645" t="s">
        <x:v>2474</x:v>
      </x:c>
      <x:c r="K645">
        <x:v>63</x:v>
      </x:c>
      <x:c r="L645">
        <x:v>43</x:v>
      </x:c>
      <x:c r="M645">
        <x:v>91</x:v>
      </x:c>
      <x:c r="N645">
        <x:v>39</x:v>
      </x:c>
      <x:c r="O645">
        <x:v>91</x:v>
      </x:c>
      <x:c r="P645">
        <x:v>73</x:v>
      </x:c>
      <x:c r="Q645">
        <x:v>76</x:v>
      </x:c>
      <x:c r="R645">
        <x:v>39</x:v>
      </x:c>
      <x:c r="S645">
        <x:v>68</x:v>
      </x:c>
      <x:c r="T645" s="63" t="n">
        <x:f>MAX(30,MIN(AB645-VLOOKUP(AE645,'AHL_PA_SC_BALANCE'!$A$8:$E$18,2,FALSE),VLOOKUP(AE645,'AHL_PA_SC_BALANCE'!$A$8:$E$18,4,FALSE)))</x:f>
        <x:v>45</x:v>
      </x:c>
      <x:c r="U645" s="63" t="n">
        <x:f>MAX(30,MIN(AC645-VLOOKUP(AE645,'AHL_PA_SC_BALANCE'!$A$8:$E$18,3,FALSE),VLOOKUP(AE645,'AHL_PA_SC_BALANCE'!$A$8:$E$18,5,FALSE)))</x:f>
        <x:v>44</x:v>
      </x:c>
      <x:c r="V645">
        <x:v>60</x:v>
      </x:c>
      <x:c r="W645">
        <x:v>61</x:v>
      </x:c>
      <x:c r="X645">
        <x:v>67</x:v>
      </x:c>
      <x:c r="Y645">
        <x:v>66</x:v>
      </x:c>
      <x:c r="Z645">
        <x:v>51</x:v>
      </x:c>
      <x:c r="AA645">
        <x:v>48</x:v>
      </x:c>
      <x:c r="AB645" s="57" t="n">
        <x:v>45</x:v>
      </x:c>
      <x:c r="AC645" s="57" t="n">
        <x:v>44</x:v>
      </x:c>
      <x:c r="AD645" s="59"/>
      <x:c r="AE645" s="61" t="str">
        <x:f>IF(N(F645)&gt;=10,"NHL_LATEST_10",IF(AND(N(F645)&gt;0,N(G645)&gt;0),"NHL_BOTH_SEASONS",IF(N(G645)&gt;=10,"NHL_PREVIOUS_10",IF(AND(ISNUMBER(AD645),AD645=0,SUM(F645:G645)=0),"FARM_CAREER_0",IF(COUNT(F645:G645)&lt;2,"UNKNOWN_GP",IF(AND(F645=0,G645=0),IF(AD645&gt;=10,"FARM_LEGACY_10",IF(AND(ISNUMBER(AD645),AD645&gt;0),"FARM_CAREER_1_9","FARM_0_0")),IF(F645&gt;=1,IF(F645&lt;=3,"FARM_RECENT_1_3","FARM_RECENT_4_9"),"FARM_PREV_1_9_ONLY")))))))</x:f>
        <x:v>UNKNOWN_GP</x:v>
      </x:c>
      <x:c r="AF645" s="57" t="n">
        <x:f>AB645-T645</x:f>
        <x:v>0</x:v>
      </x:c>
      <x:c r="AG645" s="57" t="n">
        <x:f>AC645-U645</x:f>
        <x:v>0</x:v>
      </x:c>
    </x:row>
    <x:row r="646">
      <x:c r="A646" t="s">
        <x:v>1669</x:v>
      </x:c>
      <x:c r="C646" t="s">
        <x:v>358</x:v>
      </x:c>
      <x:c r="D646">
        <x:v>8476915</x:v>
      </x:c>
      <x:c r="E646" t="s">
        <x:v>267</x:v>
      </x:c>
      <x:c r="J646" t="s">
        <x:v>2474</x:v>
      </x:c>
      <x:c r="K646">
        <x:v>77</x:v>
      </x:c>
      <x:c r="L646">
        <x:v>73</x:v>
      </x:c>
      <x:c r="M646">
        <x:v>77</x:v>
      </x:c>
      <x:c r="N646">
        <x:v>38</x:v>
      </x:c>
      <x:c r="O646">
        <x:v>87</x:v>
      </x:c>
      <x:c r="P646">
        <x:v>77</x:v>
      </x:c>
      <x:c r="Q646">
        <x:v>80</x:v>
      </x:c>
      <x:c r="R646">
        <x:v>38</x:v>
      </x:c>
      <x:c r="S646">
        <x:v>85</x:v>
      </x:c>
      <x:c r="T646" s="63" t="n">
        <x:f>MAX(30,MIN(AB646-VLOOKUP(AE646,'AHL_PA_SC_BALANCE'!$A$8:$E$18,2,FALSE),VLOOKUP(AE646,'AHL_PA_SC_BALANCE'!$A$8:$E$18,4,FALSE)))</x:f>
        <x:v>42</x:v>
      </x:c>
      <x:c r="U646" s="63" t="n">
        <x:f>MAX(30,MIN(AC646-VLOOKUP(AE646,'AHL_PA_SC_BALANCE'!$A$8:$E$18,3,FALSE),VLOOKUP(AE646,'AHL_PA_SC_BALANCE'!$A$8:$E$18,5,FALSE)))</x:f>
        <x:v>40</x:v>
      </x:c>
      <x:c r="V646">
        <x:v>68</x:v>
      </x:c>
      <x:c r="W646">
        <x:v>60</x:v>
      </x:c>
      <x:c r="X646">
        <x:v>76</x:v>
      </x:c>
      <x:c r="Y646">
        <x:v>77</x:v>
      </x:c>
      <x:c r="Z646">
        <x:v>51</x:v>
      </x:c>
      <x:c r="AA646">
        <x:v>48</x:v>
      </x:c>
      <x:c r="AB646" s="57" t="n">
        <x:v>42</x:v>
      </x:c>
      <x:c r="AC646" s="57" t="n">
        <x:v>40</x:v>
      </x:c>
      <x:c r="AD646" s="59"/>
      <x:c r="AE646" s="61" t="str">
        <x:f>IF(N(F646)&gt;=10,"NHL_LATEST_10",IF(AND(N(F646)&gt;0,N(G646)&gt;0),"NHL_BOTH_SEASONS",IF(N(G646)&gt;=10,"NHL_PREVIOUS_10",IF(AND(ISNUMBER(AD646),AD646=0,SUM(F646:G646)=0),"FARM_CAREER_0",IF(COUNT(F646:G646)&lt;2,"UNKNOWN_GP",IF(AND(F646=0,G646=0),IF(AD646&gt;=10,"FARM_LEGACY_10",IF(AND(ISNUMBER(AD646),AD646&gt;0),"FARM_CAREER_1_9","FARM_0_0")),IF(F646&gt;=1,IF(F646&lt;=3,"FARM_RECENT_1_3","FARM_RECENT_4_9"),"FARM_PREV_1_9_ONLY")))))))</x:f>
        <x:v>UNKNOWN_GP</x:v>
      </x:c>
      <x:c r="AF646" s="57" t="n">
        <x:f>AB646-T646</x:f>
        <x:v>0</x:v>
      </x:c>
      <x:c r="AG646" s="57" t="n">
        <x:f>AC646-U646</x:f>
        <x:v>0</x:v>
      </x:c>
    </x:row>
    <x:row r="647">
      <x:c r="A647" t="s">
        <x:v>1670</x:v>
      </x:c>
      <x:c r="C647" t="s">
        <x:v>339</x:v>
      </x:c>
      <x:c r="D647">
        <x:v>8483677</x:v>
      </x:c>
      <x:c r="E647" t="s">
        <x:v>267</x:v>
      </x:c>
      <x:c r="J647" t="s">
        <x:v>2474</x:v>
      </x:c>
      <x:c r="K647">
        <x:v>73</x:v>
      </x:c>
      <x:c r="L647">
        <x:v>38</x:v>
      </x:c>
      <x:c r="M647">
        <x:v>82</x:v>
      </x:c>
      <x:c r="N647">
        <x:v>42</x:v>
      </x:c>
      <x:c r="O647">
        <x:v>76</x:v>
      </x:c>
      <x:c r="P647">
        <x:v>88</x:v>
      </x:c>
      <x:c r="Q647">
        <x:v>89</x:v>
      </x:c>
      <x:c r="R647">
        <x:v>41</x:v>
      </x:c>
      <x:c r="S647">
        <x:v>66</x:v>
      </x:c>
      <x:c r="T647" s="63" t="n">
        <x:f>MAX(30,MIN(AB647-VLOOKUP(AE647,'AHL_PA_SC_BALANCE'!$A$8:$E$18,2,FALSE),VLOOKUP(AE647,'AHL_PA_SC_BALANCE'!$A$8:$E$18,4,FALSE)))</x:f>
        <x:v>43</x:v>
      </x:c>
      <x:c r="U647" s="63" t="n">
        <x:f>MAX(30,MIN(AC647-VLOOKUP(AE647,'AHL_PA_SC_BALANCE'!$A$8:$E$18,3,FALSE),VLOOKUP(AE647,'AHL_PA_SC_BALANCE'!$A$8:$E$18,5,FALSE)))</x:f>
        <x:v>43</x:v>
      </x:c>
      <x:c r="V647">
        <x:v>61</x:v>
      </x:c>
      <x:c r="W647">
        <x:v>63</x:v>
      </x:c>
      <x:c r="X647">
        <x:v>65</x:v>
      </x:c>
      <x:c r="Y647">
        <x:v>66</x:v>
      </x:c>
      <x:c r="Z647">
        <x:v>51</x:v>
      </x:c>
      <x:c r="AA647">
        <x:v>48</x:v>
      </x:c>
      <x:c r="AB647" s="57" t="n">
        <x:v>43</x:v>
      </x:c>
      <x:c r="AC647" s="57" t="n">
        <x:v>43</x:v>
      </x:c>
      <x:c r="AD647" s="59"/>
      <x:c r="AE647" s="61" t="str">
        <x:f>IF(N(F647)&gt;=10,"NHL_LATEST_10",IF(AND(N(F647)&gt;0,N(G647)&gt;0),"NHL_BOTH_SEASONS",IF(N(G647)&gt;=10,"NHL_PREVIOUS_10",IF(AND(ISNUMBER(AD647),AD647=0,SUM(F647:G647)=0),"FARM_CAREER_0",IF(COUNT(F647:G647)&lt;2,"UNKNOWN_GP",IF(AND(F647=0,G647=0),IF(AD647&gt;=10,"FARM_LEGACY_10",IF(AND(ISNUMBER(AD647),AD647&gt;0),"FARM_CAREER_1_9","FARM_0_0")),IF(F647&gt;=1,IF(F647&lt;=3,"FARM_RECENT_1_3","FARM_RECENT_4_9"),"FARM_PREV_1_9_ONLY")))))))</x:f>
        <x:v>UNKNOWN_GP</x:v>
      </x:c>
      <x:c r="AF647" s="57" t="n">
        <x:f>AB647-T647</x:f>
        <x:v>0</x:v>
      </x:c>
      <x:c r="AG647" s="57" t="n">
        <x:f>AC647-U647</x:f>
        <x:v>0</x:v>
      </x:c>
    </x:row>
    <x:row r="648">
      <x:c r="A648" t="s">
        <x:v>1671</x:v>
      </x:c>
      <x:c r="C648" t="s">
        <x:v>326</x:v>
      </x:c>
      <x:c r="D648">
        <x:v>8483514</x:v>
      </x:c>
      <x:c r="E648" t="s">
        <x:v>267</x:v>
      </x:c>
      <x:c r="J648" t="s">
        <x:v>2474</x:v>
      </x:c>
      <x:c r="K648">
        <x:v>62</x:v>
      </x:c>
      <x:c r="L648">
        <x:v>33</x:v>
      </x:c>
      <x:c r="M648">
        <x:v>87</x:v>
      </x:c>
      <x:c r="N648">
        <x:v>40</x:v>
      </x:c>
      <x:c r="O648">
        <x:v>76</x:v>
      </x:c>
      <x:c r="P648">
        <x:v>90</x:v>
      </x:c>
      <x:c r="Q648">
        <x:v>95</x:v>
      </x:c>
      <x:c r="R648">
        <x:v>41</x:v>
      </x:c>
      <x:c r="S648">
        <x:v>61</x:v>
      </x:c>
      <x:c r="T648" s="63" t="n">
        <x:f>MAX(30,MIN(AB648-VLOOKUP(AE648,'AHL_PA_SC_BALANCE'!$A$8:$E$18,2,FALSE),VLOOKUP(AE648,'AHL_PA_SC_BALANCE'!$A$8:$E$18,4,FALSE)))</x:f>
        <x:v>45</x:v>
      </x:c>
      <x:c r="U648" s="63" t="n">
        <x:f>MAX(30,MIN(AC648-VLOOKUP(AE648,'AHL_PA_SC_BALANCE'!$A$8:$E$18,3,FALSE),VLOOKUP(AE648,'AHL_PA_SC_BALANCE'!$A$8:$E$18,5,FALSE)))</x:f>
        <x:v>45</x:v>
      </x:c>
      <x:c r="V648">
        <x:v>60</x:v>
      </x:c>
      <x:c r="W648">
        <x:v>62</x:v>
      </x:c>
      <x:c r="X648">
        <x:v>66</x:v>
      </x:c>
      <x:c r="Y648">
        <x:v>66</x:v>
      </x:c>
      <x:c r="Z648">
        <x:v>51</x:v>
      </x:c>
      <x:c r="AA648">
        <x:v>48</x:v>
      </x:c>
      <x:c r="AB648" s="57" t="n">
        <x:v>45</x:v>
      </x:c>
      <x:c r="AC648" s="57" t="n">
        <x:v>45</x:v>
      </x:c>
      <x:c r="AD648" s="59"/>
      <x:c r="AE648" s="61" t="str">
        <x:f>IF(N(F648)&gt;=10,"NHL_LATEST_10",IF(AND(N(F648)&gt;0,N(G648)&gt;0),"NHL_BOTH_SEASONS",IF(N(G648)&gt;=10,"NHL_PREVIOUS_10",IF(AND(ISNUMBER(AD648),AD648=0,SUM(F648:G648)=0),"FARM_CAREER_0",IF(COUNT(F648:G648)&lt;2,"UNKNOWN_GP",IF(AND(F648=0,G648=0),IF(AD648&gt;=10,"FARM_LEGACY_10",IF(AND(ISNUMBER(AD648),AD648&gt;0),"FARM_CAREER_1_9","FARM_0_0")),IF(F648&gt;=1,IF(F648&lt;=3,"FARM_RECENT_1_3","FARM_RECENT_4_9"),"FARM_PREV_1_9_ONLY")))))))</x:f>
        <x:v>UNKNOWN_GP</x:v>
      </x:c>
      <x:c r="AF648" s="57" t="n">
        <x:f>AB648-T648</x:f>
        <x:v>0</x:v>
      </x:c>
      <x:c r="AG648" s="57" t="n">
        <x:f>AC648-U648</x:f>
        <x:v>0</x:v>
      </x:c>
    </x:row>
    <x:row r="649">
      <x:c r="A649" t="s">
        <x:v>1672</x:v>
      </x:c>
      <x:c r="C649" t="s">
        <x:v>331</x:v>
      </x:c>
      <x:c r="D649">
        <x:v>8483017</x:v>
      </x:c>
      <x:c r="E649" t="s">
        <x:v>267</x:v>
      </x:c>
      <x:c r="J649" t="s">
        <x:v>2474</x:v>
      </x:c>
      <x:c r="K649">
        <x:v>79</x:v>
      </x:c>
      <x:c r="L649">
        <x:v>33</x:v>
      </x:c>
      <x:c r="M649">
        <x:v>85</x:v>
      </x:c>
      <x:c r="N649">
        <x:v>35</x:v>
      </x:c>
      <x:c r="O649">
        <x:v>79</x:v>
      </x:c>
      <x:c r="P649">
        <x:v>88</x:v>
      </x:c>
      <x:c r="Q649">
        <x:v>90</x:v>
      </x:c>
      <x:c r="R649">
        <x:v>36</x:v>
      </x:c>
      <x:c r="S649">
        <x:v>30</x:v>
      </x:c>
      <x:c r="T649" s="63" t="n">
        <x:f>MAX(30,MIN(AB649-VLOOKUP(AE649,'AHL_PA_SC_BALANCE'!$A$8:$E$18,2,FALSE),VLOOKUP(AE649,'AHL_PA_SC_BALANCE'!$A$8:$E$18,4,FALSE)))</x:f>
        <x:v>46</x:v>
      </x:c>
      <x:c r="U649" s="63" t="n">
        <x:f>MAX(30,MIN(AC649-VLOOKUP(AE649,'AHL_PA_SC_BALANCE'!$A$8:$E$18,3,FALSE),VLOOKUP(AE649,'AHL_PA_SC_BALANCE'!$A$8:$E$18,5,FALSE)))</x:f>
        <x:v>43</x:v>
      </x:c>
      <x:c r="V649">
        <x:v>66</x:v>
      </x:c>
      <x:c r="W649">
        <x:v>51</x:v>
      </x:c>
      <x:c r="X649">
        <x:v>66</x:v>
      </x:c>
      <x:c r="Y649">
        <x:v>67</x:v>
      </x:c>
      <x:c r="Z649">
        <x:v>51</x:v>
      </x:c>
      <x:c r="AA649">
        <x:v>48</x:v>
      </x:c>
      <x:c r="AB649" s="57" t="n">
        <x:v>46</x:v>
      </x:c>
      <x:c r="AC649" s="57" t="n">
        <x:v>43</x:v>
      </x:c>
      <x:c r="AD649" s="59"/>
      <x:c r="AE649" s="61" t="str">
        <x:f>IF(N(F649)&gt;=10,"NHL_LATEST_10",IF(AND(N(F649)&gt;0,N(G649)&gt;0),"NHL_BOTH_SEASONS",IF(N(G649)&gt;=10,"NHL_PREVIOUS_10",IF(AND(ISNUMBER(AD649),AD649=0,SUM(F649:G649)=0),"FARM_CAREER_0",IF(COUNT(F649:G649)&lt;2,"UNKNOWN_GP",IF(AND(F649=0,G649=0),IF(AD649&gt;=10,"FARM_LEGACY_10",IF(AND(ISNUMBER(AD649),AD649&gt;0),"FARM_CAREER_1_9","FARM_0_0")),IF(F649&gt;=1,IF(F649&lt;=3,"FARM_RECENT_1_3","FARM_RECENT_4_9"),"FARM_PREV_1_9_ONLY")))))))</x:f>
        <x:v>UNKNOWN_GP</x:v>
      </x:c>
      <x:c r="AF649" s="57" t="n">
        <x:f>AB649-T649</x:f>
        <x:v>0</x:v>
      </x:c>
      <x:c r="AG649" s="57" t="n">
        <x:f>AC649-U649</x:f>
        <x:v>0</x:v>
      </x:c>
    </x:row>
    <x:row r="650">
      <x:c r="A650" t="s">
        <x:v>1673</x:v>
      </x:c>
      <x:c r="C650" t="s">
        <x:v>326</x:v>
      </x:c>
      <x:c r="D650">
        <x:v>8484176</x:v>
      </x:c>
      <x:c r="E650" t="s">
        <x:v>267</x:v>
      </x:c>
      <x:c r="J650" t="s">
        <x:v>2474</x:v>
      </x:c>
      <x:c r="K650">
        <x:v>63</x:v>
      </x:c>
      <x:c r="L650">
        <x:v>40</x:v>
      </x:c>
      <x:c r="M650">
        <x:v>81</x:v>
      </x:c>
      <x:c r="N650">
        <x:v>43</x:v>
      </x:c>
      <x:c r="O650">
        <x:v>82</x:v>
      </x:c>
      <x:c r="P650">
        <x:v>89</x:v>
      </x:c>
      <x:c r="Q650">
        <x:v>93</x:v>
      </x:c>
      <x:c r="R650">
        <x:v>42</x:v>
      </x:c>
      <x:c r="S650">
        <x:v>74</x:v>
      </x:c>
      <x:c r="T650" s="63" t="n">
        <x:f>MAX(30,MIN(AB650-VLOOKUP(AE650,'AHL_PA_SC_BALANCE'!$A$8:$E$18,2,FALSE),VLOOKUP(AE650,'AHL_PA_SC_BALANCE'!$A$8:$E$18,4,FALSE)))</x:f>
        <x:v>44</x:v>
      </x:c>
      <x:c r="U650" s="63" t="n">
        <x:f>MAX(30,MIN(AC650-VLOOKUP(AE650,'AHL_PA_SC_BALANCE'!$A$8:$E$18,3,FALSE),VLOOKUP(AE650,'AHL_PA_SC_BALANCE'!$A$8:$E$18,5,FALSE)))</x:f>
        <x:v>44</x:v>
      </x:c>
      <x:c r="V650">
        <x:v>58</x:v>
      </x:c>
      <x:c r="W650">
        <x:v>64</x:v>
      </x:c>
      <x:c r="X650">
        <x:v>65</x:v>
      </x:c>
      <x:c r="Y650">
        <x:v>66</x:v>
      </x:c>
      <x:c r="Z650">
        <x:v>51</x:v>
      </x:c>
      <x:c r="AA650">
        <x:v>48</x:v>
      </x:c>
      <x:c r="AB650" s="57" t="n">
        <x:v>44</x:v>
      </x:c>
      <x:c r="AC650" s="57" t="n">
        <x:v>44</x:v>
      </x:c>
      <x:c r="AD650" s="59"/>
      <x:c r="AE650" s="61" t="str">
        <x:f>IF(N(F650)&gt;=10,"NHL_LATEST_10",IF(AND(N(F650)&gt;0,N(G650)&gt;0),"NHL_BOTH_SEASONS",IF(N(G650)&gt;=10,"NHL_PREVIOUS_10",IF(AND(ISNUMBER(AD650),AD650=0,SUM(F650:G650)=0),"FARM_CAREER_0",IF(COUNT(F650:G650)&lt;2,"UNKNOWN_GP",IF(AND(F650=0,G650=0),IF(AD650&gt;=10,"FARM_LEGACY_10",IF(AND(ISNUMBER(AD650),AD650&gt;0),"FARM_CAREER_1_9","FARM_0_0")),IF(F650&gt;=1,IF(F650&lt;=3,"FARM_RECENT_1_3","FARM_RECENT_4_9"),"FARM_PREV_1_9_ONLY")))))))</x:f>
        <x:v>UNKNOWN_GP</x:v>
      </x:c>
      <x:c r="AF650" s="57" t="n">
        <x:f>AB650-T650</x:f>
        <x:v>0</x:v>
      </x:c>
      <x:c r="AG650" s="57" t="n">
        <x:f>AC650-U650</x:f>
        <x:v>0</x:v>
      </x:c>
    </x:row>
    <x:row r="651">
      <x:c r="A651" t="s">
        <x:v>1674</x:v>
      </x:c>
      <x:c r="C651" t="s">
        <x:v>331</x:v>
      </x:c>
      <x:c r="D651">
        <x:v>8486128</x:v>
      </x:c>
      <x:c r="E651" t="s">
        <x:v>267</x:v>
      </x:c>
      <x:c r="J651" t="s">
        <x:v>2474</x:v>
      </x:c>
      <x:c r="K651">
        <x:v>64</x:v>
      </x:c>
      <x:c r="L651">
        <x:v>38</x:v>
      </x:c>
      <x:c r="M651">
        <x:v>92</x:v>
      </x:c>
      <x:c r="N651">
        <x:v>30</x:v>
      </x:c>
      <x:c r="O651">
        <x:v>83</x:v>
      </x:c>
      <x:c r="P651">
        <x:v>67</x:v>
      </x:c>
      <x:c r="Q651">
        <x:v>70</x:v>
      </x:c>
      <x:c r="R651">
        <x:v>30</x:v>
      </x:c>
      <x:c r="S651">
        <x:v>30</x:v>
      </x:c>
      <x:c r="T651" s="63" t="n">
        <x:f>MAX(30,MIN(AB651-VLOOKUP(AE651,'AHL_PA_SC_BALANCE'!$A$8:$E$18,2,FALSE),VLOOKUP(AE651,'AHL_PA_SC_BALANCE'!$A$8:$E$18,4,FALSE)))</x:f>
        <x:v>39</x:v>
      </x:c>
      <x:c r="U651" s="63" t="n">
        <x:f>MAX(30,MIN(AC651-VLOOKUP(AE651,'AHL_PA_SC_BALANCE'!$A$8:$E$18,3,FALSE),VLOOKUP(AE651,'AHL_PA_SC_BALANCE'!$A$8:$E$18,5,FALSE)))</x:f>
        <x:v>38</x:v>
      </x:c>
      <x:c r="V651">
        <x:v>65</x:v>
      </x:c>
      <x:c r="W651">
        <x:v>43</x:v>
      </x:c>
      <x:c r="X651">
        <x:v>66</x:v>
      </x:c>
      <x:c r="Y651">
        <x:v>65</x:v>
      </x:c>
      <x:c r="Z651">
        <x:v>51</x:v>
      </x:c>
      <x:c r="AA651">
        <x:v>48</x:v>
      </x:c>
      <x:c r="AB651" s="57" t="n">
        <x:v>39</x:v>
      </x:c>
      <x:c r="AC651" s="57" t="n">
        <x:v>38</x:v>
      </x:c>
      <x:c r="AD651" s="59"/>
      <x:c r="AE651" s="61" t="str">
        <x:f>IF(N(F651)&gt;=10,"NHL_LATEST_10",IF(AND(N(F651)&gt;0,N(G651)&gt;0),"NHL_BOTH_SEASONS",IF(N(G651)&gt;=10,"NHL_PREVIOUS_10",IF(AND(ISNUMBER(AD651),AD651=0,SUM(F651:G651)=0),"FARM_CAREER_0",IF(COUNT(F651:G651)&lt;2,"UNKNOWN_GP",IF(AND(F651=0,G651=0),IF(AD651&gt;=10,"FARM_LEGACY_10",IF(AND(ISNUMBER(AD651),AD651&gt;0),"FARM_CAREER_1_9","FARM_0_0")),IF(F651&gt;=1,IF(F651&lt;=3,"FARM_RECENT_1_3","FARM_RECENT_4_9"),"FARM_PREV_1_9_ONLY")))))))</x:f>
        <x:v>UNKNOWN_GP</x:v>
      </x:c>
      <x:c r="AF651" s="57" t="n">
        <x:f>AB651-T651</x:f>
        <x:v>0</x:v>
      </x:c>
      <x:c r="AG651" s="57" t="n">
        <x:f>AC651-U651</x:f>
        <x:v>0</x:v>
      </x:c>
    </x:row>
    <x:row r="652">
      <x:c r="A652" t="s">
        <x:v>1675</x:v>
      </x:c>
      <x:c r="C652" t="s">
        <x:v>333</x:v>
      </x:c>
      <x:c r="D652">
        <x:v>8484920</x:v>
      </x:c>
      <x:c r="E652" t="s">
        <x:v>267</x:v>
      </x:c>
      <x:c r="J652" t="s">
        <x:v>2474</x:v>
      </x:c>
      <x:c r="K652">
        <x:v>71</x:v>
      </x:c>
      <x:c r="L652">
        <x:v>38</x:v>
      </x:c>
      <x:c r="M652">
        <x:v>82</x:v>
      </x:c>
      <x:c r="N652">
        <x:v>41</x:v>
      </x:c>
      <x:c r="O652">
        <x:v>74</x:v>
      </x:c>
      <x:c r="P652">
        <x:v>77</x:v>
      </x:c>
      <x:c r="Q652">
        <x:v>81</x:v>
      </x:c>
      <x:c r="R652">
        <x:v>42</x:v>
      </x:c>
      <x:c r="S652">
        <x:v>66</x:v>
      </x:c>
      <x:c r="T652" s="63" t="n">
        <x:f>MAX(30,MIN(AB652-VLOOKUP(AE652,'AHL_PA_SC_BALANCE'!$A$8:$E$18,2,FALSE),VLOOKUP(AE652,'AHL_PA_SC_BALANCE'!$A$8:$E$18,4,FALSE)))</x:f>
        <x:v>43</x:v>
      </x:c>
      <x:c r="U652" s="63" t="n">
        <x:f>MAX(30,MIN(AC652-VLOOKUP(AE652,'AHL_PA_SC_BALANCE'!$A$8:$E$18,3,FALSE),VLOOKUP(AE652,'AHL_PA_SC_BALANCE'!$A$8:$E$18,5,FALSE)))</x:f>
        <x:v>43</x:v>
      </x:c>
      <x:c r="V652">
        <x:v>59</x:v>
      </x:c>
      <x:c r="W652">
        <x:v>63</x:v>
      </x:c>
      <x:c r="X652">
        <x:v>69</x:v>
      </x:c>
      <x:c r="Y652">
        <x:v>69</x:v>
      </x:c>
      <x:c r="Z652">
        <x:v>51</x:v>
      </x:c>
      <x:c r="AA652">
        <x:v>48</x:v>
      </x:c>
      <x:c r="AB652" s="57" t="n">
        <x:v>43</x:v>
      </x:c>
      <x:c r="AC652" s="57" t="n">
        <x:v>43</x:v>
      </x:c>
      <x:c r="AD652" s="59"/>
      <x:c r="AE652" s="61" t="str">
        <x:f>IF(N(F652)&gt;=10,"NHL_LATEST_10",IF(AND(N(F652)&gt;0,N(G652)&gt;0),"NHL_BOTH_SEASONS",IF(N(G652)&gt;=10,"NHL_PREVIOUS_10",IF(AND(ISNUMBER(AD652),AD652=0,SUM(F652:G652)=0),"FARM_CAREER_0",IF(COUNT(F652:G652)&lt;2,"UNKNOWN_GP",IF(AND(F652=0,G652=0),IF(AD652&gt;=10,"FARM_LEGACY_10",IF(AND(ISNUMBER(AD652),AD652&gt;0),"FARM_CAREER_1_9","FARM_0_0")),IF(F652&gt;=1,IF(F652&lt;=3,"FARM_RECENT_1_3","FARM_RECENT_4_9"),"FARM_PREV_1_9_ONLY")))))))</x:f>
        <x:v>UNKNOWN_GP</x:v>
      </x:c>
      <x:c r="AF652" s="57" t="n">
        <x:f>AB652-T652</x:f>
        <x:v>0</x:v>
      </x:c>
      <x:c r="AG652" s="57" t="n">
        <x:f>AC652-U652</x:f>
        <x:v>0</x:v>
      </x:c>
    </x:row>
    <x:row r="653">
      <x:c r="A653" t="s">
        <x:v>1676</x:v>
      </x:c>
      <x:c r="C653" t="s">
        <x:v>326</x:v>
      </x:c>
      <x:c r="D653">
        <x:v>8483688</x:v>
      </x:c>
      <x:c r="E653" t="s">
        <x:v>267</x:v>
      </x:c>
      <x:c r="J653" t="s">
        <x:v>2474</x:v>
      </x:c>
      <x:c r="K653">
        <x:v>75</x:v>
      </x:c>
      <x:c r="L653">
        <x:v>40</x:v>
      </x:c>
      <x:c r="M653">
        <x:v>92</x:v>
      </x:c>
      <x:c r="N653">
        <x:v>42</x:v>
      </x:c>
      <x:c r="O653">
        <x:v>73</x:v>
      </x:c>
      <x:c r="P653">
        <x:v>78</x:v>
      </x:c>
      <x:c r="Q653">
        <x:v>81</x:v>
      </x:c>
      <x:c r="R653">
        <x:v>41</x:v>
      </x:c>
      <x:c r="S653">
        <x:v>65</x:v>
      </x:c>
      <x:c r="T653" s="63" t="n">
        <x:f>MAX(30,MIN(AB653-VLOOKUP(AE653,'AHL_PA_SC_BALANCE'!$A$8:$E$18,2,FALSE),VLOOKUP(AE653,'AHL_PA_SC_BALANCE'!$A$8:$E$18,4,FALSE)))</x:f>
        <x:v>44</x:v>
      </x:c>
      <x:c r="U653" s="63" t="n">
        <x:f>MAX(30,MIN(AC653-VLOOKUP(AE653,'AHL_PA_SC_BALANCE'!$A$8:$E$18,3,FALSE),VLOOKUP(AE653,'AHL_PA_SC_BALANCE'!$A$8:$E$18,5,FALSE)))</x:f>
        <x:v>43</x:v>
      </x:c>
      <x:c r="V653">
        <x:v>63</x:v>
      </x:c>
      <x:c r="W653">
        <x:v>63</x:v>
      </x:c>
      <x:c r="X653">
        <x:v>65</x:v>
      </x:c>
      <x:c r="Y653">
        <x:v>65</x:v>
      </x:c>
      <x:c r="Z653">
        <x:v>51</x:v>
      </x:c>
      <x:c r="AA653">
        <x:v>48</x:v>
      </x:c>
      <x:c r="AB653" s="57" t="n">
        <x:v>44</x:v>
      </x:c>
      <x:c r="AC653" s="57" t="n">
        <x:v>43</x:v>
      </x:c>
      <x:c r="AD653" s="59"/>
      <x:c r="AE653" s="61" t="str">
        <x:f>IF(N(F653)&gt;=10,"NHL_LATEST_10",IF(AND(N(F653)&gt;0,N(G653)&gt;0),"NHL_BOTH_SEASONS",IF(N(G653)&gt;=10,"NHL_PREVIOUS_10",IF(AND(ISNUMBER(AD653),AD653=0,SUM(F653:G653)=0),"FARM_CAREER_0",IF(COUNT(F653:G653)&lt;2,"UNKNOWN_GP",IF(AND(F653=0,G653=0),IF(AD653&gt;=10,"FARM_LEGACY_10",IF(AND(ISNUMBER(AD653),AD653&gt;0),"FARM_CAREER_1_9","FARM_0_0")),IF(F653&gt;=1,IF(F653&lt;=3,"FARM_RECENT_1_3","FARM_RECENT_4_9"),"FARM_PREV_1_9_ONLY")))))))</x:f>
        <x:v>UNKNOWN_GP</x:v>
      </x:c>
      <x:c r="AF653" s="57" t="n">
        <x:f>AB653-T653</x:f>
        <x:v>0</x:v>
      </x:c>
      <x:c r="AG653" s="57" t="n">
        <x:f>AC653-U653</x:f>
        <x:v>0</x:v>
      </x:c>
    </x:row>
    <x:row r="654">
      <x:c r="A654" t="s">
        <x:v>1677</x:v>
      </x:c>
      <x:c r="C654" t="s">
        <x:v>339</x:v>
      </x:c>
      <x:c r="D654">
        <x:v>8481163</x:v>
      </x:c>
      <x:c r="E654" t="s">
        <x:v>267</x:v>
      </x:c>
      <x:c r="J654" t="s">
        <x:v>2474</x:v>
      </x:c>
      <x:c r="K654">
        <x:v>62</x:v>
      </x:c>
      <x:c r="L654">
        <x:v>36</x:v>
      </x:c>
      <x:c r="M654">
        <x:v>77</x:v>
      </x:c>
      <x:c r="N654">
        <x:v>41</x:v>
      </x:c>
      <x:c r="O654">
        <x:v>78</x:v>
      </x:c>
      <x:c r="P654">
        <x:v>92</x:v>
      </x:c>
      <x:c r="Q654">
        <x:v>95</x:v>
      </x:c>
      <x:c r="R654">
        <x:v>42</x:v>
      </x:c>
      <x:c r="S654">
        <x:v>75</x:v>
      </x:c>
      <x:c r="T654" s="63" t="n">
        <x:f>MAX(30,MIN(AB654-VLOOKUP(AE654,'AHL_PA_SC_BALANCE'!$A$8:$E$18,2,FALSE),VLOOKUP(AE654,'AHL_PA_SC_BALANCE'!$A$8:$E$18,4,FALSE)))</x:f>
        <x:v>43</x:v>
      </x:c>
      <x:c r="U654" s="63" t="n">
        <x:f>MAX(30,MIN(AC654-VLOOKUP(AE654,'AHL_PA_SC_BALANCE'!$A$8:$E$18,3,FALSE),VLOOKUP(AE654,'AHL_PA_SC_BALANCE'!$A$8:$E$18,5,FALSE)))</x:f>
        <x:v>43</x:v>
      </x:c>
      <x:c r="V654">
        <x:v>59</x:v>
      </x:c>
      <x:c r="W654">
        <x:v>63</x:v>
      </x:c>
      <x:c r="X654">
        <x:v>69</x:v>
      </x:c>
      <x:c r="Y654">
        <x:v>69</x:v>
      </x:c>
      <x:c r="Z654">
        <x:v>51</x:v>
      </x:c>
      <x:c r="AA654">
        <x:v>48</x:v>
      </x:c>
      <x:c r="AB654" s="57" t="n">
        <x:v>43</x:v>
      </x:c>
      <x:c r="AC654" s="57" t="n">
        <x:v>43</x:v>
      </x:c>
      <x:c r="AD654" s="59"/>
      <x:c r="AE654" s="61" t="str">
        <x:f>IF(N(F654)&gt;=10,"NHL_LATEST_10",IF(AND(N(F654)&gt;0,N(G654)&gt;0),"NHL_BOTH_SEASONS",IF(N(G654)&gt;=10,"NHL_PREVIOUS_10",IF(AND(ISNUMBER(AD654),AD654=0,SUM(F654:G654)=0),"FARM_CAREER_0",IF(COUNT(F654:G654)&lt;2,"UNKNOWN_GP",IF(AND(F654=0,G654=0),IF(AD654&gt;=10,"FARM_LEGACY_10",IF(AND(ISNUMBER(AD654),AD654&gt;0),"FARM_CAREER_1_9","FARM_0_0")),IF(F654&gt;=1,IF(F654&lt;=3,"FARM_RECENT_1_3","FARM_RECENT_4_9"),"FARM_PREV_1_9_ONLY")))))))</x:f>
        <x:v>UNKNOWN_GP</x:v>
      </x:c>
      <x:c r="AF654" s="57" t="n">
        <x:f>AB654-T654</x:f>
        <x:v>0</x:v>
      </x:c>
      <x:c r="AG654" s="57" t="n">
        <x:f>AC654-U654</x:f>
        <x:v>0</x:v>
      </x:c>
    </x:row>
    <x:row r="655">
      <x:c r="A655" t="s">
        <x:v>1678</x:v>
      </x:c>
      <x:c r="B655" t="s">
        <x:v>584</x:v>
      </x:c>
      <x:c r="C655" t="s">
        <x:v>319</x:v>
      </x:c>
      <x:c r="D655">
        <x:v>8479991</x:v>
      </x:c>
      <x:c r="E655" t="s">
        <x:v>267</x:v>
      </x:c>
      <x:c r="J655" t="s">
        <x:v>2476</x:v>
      </x:c>
      <x:c r="K655">
        <x:v>69</x:v>
      </x:c>
      <x:c r="L655">
        <x:v>37</x:v>
      </x:c>
      <x:c r="M655">
        <x:v>87</x:v>
      </x:c>
      <x:c r="N655">
        <x:v>41</x:v>
      </x:c>
      <x:c r="O655">
        <x:v>79</x:v>
      </x:c>
      <x:c r="P655">
        <x:v>88</x:v>
      </x:c>
      <x:c r="Q655">
        <x:v>91</x:v>
      </x:c>
      <x:c r="R655">
        <x:v>41</x:v>
      </x:c>
      <x:c r="S655">
        <x:v>71</x:v>
      </x:c>
      <x:c r="T655" s="63" t="n">
        <x:f>MAX(30,MIN(AB655-VLOOKUP(AE655,'AHL_PA_SC_BALANCE'!$A$8:$E$18,2,FALSE),VLOOKUP(AE655,'AHL_PA_SC_BALANCE'!$A$8:$E$18,4,FALSE)))</x:f>
        <x:v>41</x:v>
      </x:c>
      <x:c r="U655" s="63" t="n">
        <x:f>MAX(30,MIN(AC655-VLOOKUP(AE655,'AHL_PA_SC_BALANCE'!$A$8:$E$18,3,FALSE),VLOOKUP(AE655,'AHL_PA_SC_BALANCE'!$A$8:$E$18,5,FALSE)))</x:f>
        <x:v>44</x:v>
      </x:c>
      <x:c r="V655">
        <x:v>62</x:v>
      </x:c>
      <x:c r="W655">
        <x:v>62</x:v>
      </x:c>
      <x:c r="X655">
        <x:v>69</x:v>
      </x:c>
      <x:c r="Y655">
        <x:v>70</x:v>
      </x:c>
      <x:c r="Z655">
        <x:v>51</x:v>
      </x:c>
      <x:c r="AA655">
        <x:v>48</x:v>
      </x:c>
      <x:c r="AB655" s="57" t="n">
        <x:v>41</x:v>
      </x:c>
      <x:c r="AC655" s="57" t="n">
        <x:v>44</x:v>
      </x:c>
      <x:c r="AD655" s="59"/>
      <x:c r="AE655" s="61" t="str">
        <x:f>IF(N(F655)&gt;=10,"NHL_LATEST_10",IF(AND(N(F655)&gt;0,N(G655)&gt;0),"NHL_BOTH_SEASONS",IF(N(G655)&gt;=10,"NHL_PREVIOUS_10",IF(AND(ISNUMBER(AD655),AD655=0,SUM(F655:G655)=0),"FARM_CAREER_0",IF(COUNT(F655:G655)&lt;2,"UNKNOWN_GP",IF(AND(F655=0,G655=0),IF(AD655&gt;=10,"FARM_LEGACY_10",IF(AND(ISNUMBER(AD655),AD655&gt;0),"FARM_CAREER_1_9","FARM_0_0")),IF(F655&gt;=1,IF(F655&lt;=3,"FARM_RECENT_1_3","FARM_RECENT_4_9"),"FARM_PREV_1_9_ONLY")))))))</x:f>
        <x:v>UNKNOWN_GP</x:v>
      </x:c>
      <x:c r="AF655" s="57" t="n">
        <x:f>AB655-T655</x:f>
        <x:v>0</x:v>
      </x:c>
      <x:c r="AG655" s="57" t="n">
        <x:f>AC655-U655</x:f>
        <x:v>0</x:v>
      </x:c>
    </x:row>
    <x:row r="656">
      <x:c r="A656" t="s">
        <x:v>1679</x:v>
      </x:c>
      <x:c r="C656" t="s">
        <x:v>323</x:v>
      </x:c>
      <x:c r="D656">
        <x:v>8482151</x:v>
      </x:c>
      <x:c r="E656" t="s">
        <x:v>267</x:v>
      </x:c>
      <x:c r="J656" t="s">
        <x:v>2474</x:v>
      </x:c>
      <x:c r="K656">
        <x:v>58</x:v>
      </x:c>
      <x:c r="L656">
        <x:v>33</x:v>
      </x:c>
      <x:c r="M656">
        <x:v>82</x:v>
      </x:c>
      <x:c r="N656">
        <x:v>44</x:v>
      </x:c>
      <x:c r="O656">
        <x:v>74</x:v>
      </x:c>
      <x:c r="P656">
        <x:v>81</x:v>
      </x:c>
      <x:c r="Q656">
        <x:v>84</x:v>
      </x:c>
      <x:c r="R656">
        <x:v>44</x:v>
      </x:c>
      <x:c r="S656">
        <x:v>61</x:v>
      </x:c>
      <x:c r="T656" s="63" t="n">
        <x:f>MAX(30,MIN(AB656-VLOOKUP(AE656,'AHL_PA_SC_BALANCE'!$A$8:$E$18,2,FALSE),VLOOKUP(AE656,'AHL_PA_SC_BALANCE'!$A$8:$E$18,4,FALSE)))</x:f>
        <x:v>44</x:v>
      </x:c>
      <x:c r="U656" s="63" t="n">
        <x:f>MAX(30,MIN(AC656-VLOOKUP(AE656,'AHL_PA_SC_BALANCE'!$A$8:$E$18,3,FALSE),VLOOKUP(AE656,'AHL_PA_SC_BALANCE'!$A$8:$E$18,5,FALSE)))</x:f>
        <x:v>43</x:v>
      </x:c>
      <x:c r="V656">
        <x:v>60</x:v>
      </x:c>
      <x:c r="W656">
        <x:v>64</x:v>
      </x:c>
      <x:c r="X656">
        <x:v>67</x:v>
      </x:c>
      <x:c r="Y656">
        <x:v>66</x:v>
      </x:c>
      <x:c r="Z656">
        <x:v>51</x:v>
      </x:c>
      <x:c r="AA656">
        <x:v>48</x:v>
      </x:c>
      <x:c r="AB656" s="57" t="n">
        <x:v>44</x:v>
      </x:c>
      <x:c r="AC656" s="57" t="n">
        <x:v>43</x:v>
      </x:c>
      <x:c r="AD656" s="59"/>
      <x:c r="AE656" s="61" t="str">
        <x:f>IF(N(F656)&gt;=10,"NHL_LATEST_10",IF(AND(N(F656)&gt;0,N(G656)&gt;0),"NHL_BOTH_SEASONS",IF(N(G656)&gt;=10,"NHL_PREVIOUS_10",IF(AND(ISNUMBER(AD656),AD656=0,SUM(F656:G656)=0),"FARM_CAREER_0",IF(COUNT(F656:G656)&lt;2,"UNKNOWN_GP",IF(AND(F656=0,G656=0),IF(AD656&gt;=10,"FARM_LEGACY_10",IF(AND(ISNUMBER(AD656),AD656&gt;0),"FARM_CAREER_1_9","FARM_0_0")),IF(F656&gt;=1,IF(F656&lt;=3,"FARM_RECENT_1_3","FARM_RECENT_4_9"),"FARM_PREV_1_9_ONLY")))))))</x:f>
        <x:v>UNKNOWN_GP</x:v>
      </x:c>
      <x:c r="AF656" s="57" t="n">
        <x:f>AB656-T656</x:f>
        <x:v>0</x:v>
      </x:c>
      <x:c r="AG656" s="57" t="n">
        <x:f>AC656-U656</x:f>
        <x:v>0</x:v>
      </x:c>
    </x:row>
    <x:row r="657">
      <x:c r="A657" t="s">
        <x:v>1680</x:v>
      </x:c>
      <x:c r="C657" t="s">
        <x:v>319</x:v>
      </x:c>
      <x:c r="D657">
        <x:v>8482121</x:v>
      </x:c>
      <x:c r="E657" t="s">
        <x:v>267</x:v>
      </x:c>
      <x:c r="J657" t="s">
        <x:v>2474</x:v>
      </x:c>
      <x:c r="K657">
        <x:v>61</x:v>
      </x:c>
      <x:c r="L657">
        <x:v>32</x:v>
      </x:c>
      <x:c r="M657">
        <x:v>75</x:v>
      </x:c>
      <x:c r="N657">
        <x:v>42</x:v>
      </x:c>
      <x:c r="O657">
        <x:v>82</x:v>
      </x:c>
      <x:c r="P657">
        <x:v>82</x:v>
      </x:c>
      <x:c r="Q657">
        <x:v>85</x:v>
      </x:c>
      <x:c r="R657">
        <x:v>41</x:v>
      </x:c>
      <x:c r="S657">
        <x:v>65</x:v>
      </x:c>
      <x:c r="T657" s="63" t="n">
        <x:f>MAX(30,MIN(AB657-VLOOKUP(AE657,'AHL_PA_SC_BALANCE'!$A$8:$E$18,2,FALSE),VLOOKUP(AE657,'AHL_PA_SC_BALANCE'!$A$8:$E$18,4,FALSE)))</x:f>
        <x:v>43</x:v>
      </x:c>
      <x:c r="U657" s="63" t="n">
        <x:f>MAX(30,MIN(AC657-VLOOKUP(AE657,'AHL_PA_SC_BALANCE'!$A$8:$E$18,3,FALSE),VLOOKUP(AE657,'AHL_PA_SC_BALANCE'!$A$8:$E$18,5,FALSE)))</x:f>
        <x:v>44</x:v>
      </x:c>
      <x:c r="V657">
        <x:v>60</x:v>
      </x:c>
      <x:c r="W657">
        <x:v>63</x:v>
      </x:c>
      <x:c r="X657">
        <x:v>67</x:v>
      </x:c>
      <x:c r="Y657">
        <x:v>68</x:v>
      </x:c>
      <x:c r="Z657">
        <x:v>51</x:v>
      </x:c>
      <x:c r="AA657">
        <x:v>48</x:v>
      </x:c>
      <x:c r="AB657" s="57" t="n">
        <x:v>43</x:v>
      </x:c>
      <x:c r="AC657" s="57" t="n">
        <x:v>44</x:v>
      </x:c>
      <x:c r="AD657" s="59"/>
      <x:c r="AE657" s="61" t="str">
        <x:f>IF(N(F657)&gt;=10,"NHL_LATEST_10",IF(AND(N(F657)&gt;0,N(G657)&gt;0),"NHL_BOTH_SEASONS",IF(N(G657)&gt;=10,"NHL_PREVIOUS_10",IF(AND(ISNUMBER(AD657),AD657=0,SUM(F657:G657)=0),"FARM_CAREER_0",IF(COUNT(F657:G657)&lt;2,"UNKNOWN_GP",IF(AND(F657=0,G657=0),IF(AD657&gt;=10,"FARM_LEGACY_10",IF(AND(ISNUMBER(AD657),AD657&gt;0),"FARM_CAREER_1_9","FARM_0_0")),IF(F657&gt;=1,IF(F657&lt;=3,"FARM_RECENT_1_3","FARM_RECENT_4_9"),"FARM_PREV_1_9_ONLY")))))))</x:f>
        <x:v>UNKNOWN_GP</x:v>
      </x:c>
      <x:c r="AF657" s="57" t="n">
        <x:f>AB657-T657</x:f>
        <x:v>0</x:v>
      </x:c>
      <x:c r="AG657" s="57" t="n">
        <x:f>AC657-U657</x:f>
        <x:v>0</x:v>
      </x:c>
    </x:row>
    <x:row r="658">
      <x:c r="A658" t="s">
        <x:v>1681</x:v>
      </x:c>
      <x:c r="B658" t="s">
        <x:v>372</x:v>
      </x:c>
      <x:c r="C658" t="s">
        <x:v>323</x:v>
      </x:c>
      <x:c r="D658">
        <x:v>8482712</x:v>
      </x:c>
      <x:c r="E658" t="s">
        <x:v>267</x:v>
      </x:c>
      <x:c r="G658">
        <x:v>2</x:v>
      </x:c>
      <x:c r="J658" t="s">
        <x:v>2488</x:v>
      </x:c>
      <x:c r="K658">
        <x:v>61</x:v>
      </x:c>
      <x:c r="L658">
        <x:v>37</x:v>
      </x:c>
      <x:c r="M658">
        <x:v>87</x:v>
      </x:c>
      <x:c r="N658">
        <x:v>43</x:v>
      </x:c>
      <x:c r="O658">
        <x:v>79</x:v>
      </x:c>
      <x:c r="P658">
        <x:v>86</x:v>
      </x:c>
      <x:c r="Q658">
        <x:v>89</x:v>
      </x:c>
      <x:c r="R658">
        <x:v>43</x:v>
      </x:c>
      <x:c r="S658">
        <x:v>71</x:v>
      </x:c>
      <x:c r="T658" s="63" t="n">
        <x:f>MAX(30,MIN(AB658-VLOOKUP(AE658,'AHL_PA_SC_BALANCE'!$A$8:$E$18,2,FALSE),VLOOKUP(AE658,'AHL_PA_SC_BALANCE'!$A$8:$E$18,4,FALSE)))</x:f>
        <x:v>44</x:v>
      </x:c>
      <x:c r="U658" s="63" t="n">
        <x:f>MAX(30,MIN(AC658-VLOOKUP(AE658,'AHL_PA_SC_BALANCE'!$A$8:$E$18,3,FALSE),VLOOKUP(AE658,'AHL_PA_SC_BALANCE'!$A$8:$E$18,5,FALSE)))</x:f>
        <x:v>44</x:v>
      </x:c>
      <x:c r="V658">
        <x:v>62</x:v>
      </x:c>
      <x:c r="W658">
        <x:v>64</x:v>
      </x:c>
      <x:c r="X658">
        <x:v>67</x:v>
      </x:c>
      <x:c r="Y658">
        <x:v>68</x:v>
      </x:c>
      <x:c r="Z658">
        <x:v>51</x:v>
      </x:c>
      <x:c r="AA658">
        <x:v>48</x:v>
      </x:c>
      <x:c r="AB658" s="57" t="n">
        <x:v>44</x:v>
      </x:c>
      <x:c r="AC658" s="57" t="n">
        <x:v>44</x:v>
      </x:c>
      <x:c r="AD658" s="59"/>
      <x:c r="AE658" s="61" t="str">
        <x:f>IF(N(F658)&gt;=10,"NHL_LATEST_10",IF(AND(N(F658)&gt;0,N(G658)&gt;0),"NHL_BOTH_SEASONS",IF(N(G658)&gt;=10,"NHL_PREVIOUS_10",IF(AND(ISNUMBER(AD658),AD658=0,SUM(F658:G658)=0),"FARM_CAREER_0",IF(COUNT(F658:G658)&lt;2,"UNKNOWN_GP",IF(AND(F658=0,G658=0),IF(AD658&gt;=10,"FARM_LEGACY_10",IF(AND(ISNUMBER(AD658),AD658&gt;0),"FARM_CAREER_1_9","FARM_0_0")),IF(F658&gt;=1,IF(F658&lt;=3,"FARM_RECENT_1_3","FARM_RECENT_4_9"),"FARM_PREV_1_9_ONLY")))))))</x:f>
        <x:v>UNKNOWN_GP</x:v>
      </x:c>
      <x:c r="AF658" s="57" t="n">
        <x:f>AB658-T658</x:f>
        <x:v>0</x:v>
      </x:c>
      <x:c r="AG658" s="57" t="n">
        <x:f>AC658-U658</x:f>
        <x:v>0</x:v>
      </x:c>
    </x:row>
    <x:row r="659">
      <x:c r="A659" t="s">
        <x:v>1682</x:v>
      </x:c>
      <x:c r="C659" t="s">
        <x:v>326</x:v>
      </x:c>
      <x:c r="D659">
        <x:v>8482466</x:v>
      </x:c>
      <x:c r="E659" t="s">
        <x:v>267</x:v>
      </x:c>
      <x:c r="J659" t="s">
        <x:v>2474</x:v>
      </x:c>
      <x:c r="K659">
        <x:v>61</x:v>
      </x:c>
      <x:c r="L659">
        <x:v>37</x:v>
      </x:c>
      <x:c r="M659">
        <x:v>84</x:v>
      </x:c>
      <x:c r="N659">
        <x:v>42</x:v>
      </x:c>
      <x:c r="O659">
        <x:v>75</x:v>
      </x:c>
      <x:c r="P659">
        <x:v>81</x:v>
      </x:c>
      <x:c r="Q659">
        <x:v>85</x:v>
      </x:c>
      <x:c r="R659">
        <x:v>41</x:v>
      </x:c>
      <x:c r="S659">
        <x:v>55</x:v>
      </x:c>
      <x:c r="T659" s="63" t="n">
        <x:f>MAX(30,MIN(AB659-VLOOKUP(AE659,'AHL_PA_SC_BALANCE'!$A$8:$E$18,2,FALSE),VLOOKUP(AE659,'AHL_PA_SC_BALANCE'!$A$8:$E$18,4,FALSE)))</x:f>
        <x:v>42</x:v>
      </x:c>
      <x:c r="U659" s="63" t="n">
        <x:f>MAX(30,MIN(AC659-VLOOKUP(AE659,'AHL_PA_SC_BALANCE'!$A$8:$E$18,3,FALSE),VLOOKUP(AE659,'AHL_PA_SC_BALANCE'!$A$8:$E$18,5,FALSE)))</x:f>
        <x:v>45</x:v>
      </x:c>
      <x:c r="V659">
        <x:v>61</x:v>
      </x:c>
      <x:c r="W659">
        <x:v>63</x:v>
      </x:c>
      <x:c r="X659">
        <x:v>67</x:v>
      </x:c>
      <x:c r="Y659">
        <x:v>68</x:v>
      </x:c>
      <x:c r="Z659">
        <x:v>51</x:v>
      </x:c>
      <x:c r="AA659">
        <x:v>48</x:v>
      </x:c>
      <x:c r="AB659" s="57" t="n">
        <x:v>42</x:v>
      </x:c>
      <x:c r="AC659" s="57" t="n">
        <x:v>45</x:v>
      </x:c>
      <x:c r="AD659" s="59"/>
      <x:c r="AE659" s="61" t="str">
        <x:f>IF(N(F659)&gt;=10,"NHL_LATEST_10",IF(AND(N(F659)&gt;0,N(G659)&gt;0),"NHL_BOTH_SEASONS",IF(N(G659)&gt;=10,"NHL_PREVIOUS_10",IF(AND(ISNUMBER(AD659),AD659=0,SUM(F659:G659)=0),"FARM_CAREER_0",IF(COUNT(F659:G659)&lt;2,"UNKNOWN_GP",IF(AND(F659=0,G659=0),IF(AD659&gt;=10,"FARM_LEGACY_10",IF(AND(ISNUMBER(AD659),AD659&gt;0),"FARM_CAREER_1_9","FARM_0_0")),IF(F659&gt;=1,IF(F659&lt;=3,"FARM_RECENT_1_3","FARM_RECENT_4_9"),"FARM_PREV_1_9_ONLY")))))))</x:f>
        <x:v>UNKNOWN_GP</x:v>
      </x:c>
      <x:c r="AF659" s="57" t="n">
        <x:f>AB659-T659</x:f>
        <x:v>0</x:v>
      </x:c>
      <x:c r="AG659" s="57" t="n">
        <x:f>AC659-U659</x:f>
        <x:v>0</x:v>
      </x:c>
    </x:row>
    <x:row r="660">
      <x:c r="A660" t="s">
        <x:v>1683</x:v>
      </x:c>
      <x:c r="C660" t="s">
        <x:v>319</x:v>
      </x:c>
      <x:c r="D660">
        <x:v>8485454</x:v>
      </x:c>
      <x:c r="E660" t="s">
        <x:v>267</x:v>
      </x:c>
      <x:c r="J660" t="s">
        <x:v>2474</x:v>
      </x:c>
      <x:c r="K660">
        <x:v>68</x:v>
      </x:c>
      <x:c r="L660">
        <x:v>37</x:v>
      </x:c>
      <x:c r="M660">
        <x:v>81</x:v>
      </x:c>
      <x:c r="N660">
        <x:v>40</x:v>
      </x:c>
      <x:c r="O660">
        <x:v>85</x:v>
      </x:c>
      <x:c r="P660">
        <x:v>83</x:v>
      </x:c>
      <x:c r="Q660">
        <x:v>90</x:v>
      </x:c>
      <x:c r="R660">
        <x:v>41</x:v>
      </x:c>
      <x:c r="S660">
        <x:v>80</x:v>
      </x:c>
      <x:c r="T660" s="63" t="n">
        <x:f>MAX(30,MIN(AB660-VLOOKUP(AE660,'AHL_PA_SC_BALANCE'!$A$8:$E$18,2,FALSE),VLOOKUP(AE660,'AHL_PA_SC_BALANCE'!$A$8:$E$18,4,FALSE)))</x:f>
        <x:v>43</x:v>
      </x:c>
      <x:c r="U660" s="63" t="n">
        <x:f>MAX(30,MIN(AC660-VLOOKUP(AE660,'AHL_PA_SC_BALANCE'!$A$8:$E$18,3,FALSE),VLOOKUP(AE660,'AHL_PA_SC_BALANCE'!$A$8:$E$18,5,FALSE)))</x:f>
        <x:v>42</x:v>
      </x:c>
      <x:c r="V660">
        <x:v>60</x:v>
      </x:c>
      <x:c r="W660">
        <x:v>62</x:v>
      </x:c>
      <x:c r="X660">
        <x:v>69</x:v>
      </x:c>
      <x:c r="Y660">
        <x:v>68</x:v>
      </x:c>
      <x:c r="Z660">
        <x:v>51</x:v>
      </x:c>
      <x:c r="AA660">
        <x:v>48</x:v>
      </x:c>
      <x:c r="AB660" s="57" t="n">
        <x:v>43</x:v>
      </x:c>
      <x:c r="AC660" s="57" t="n">
        <x:v>42</x:v>
      </x:c>
      <x:c r="AD660" s="59"/>
      <x:c r="AE660" s="61" t="str">
        <x:f>IF(N(F660)&gt;=10,"NHL_LATEST_10",IF(AND(N(F660)&gt;0,N(G660)&gt;0),"NHL_BOTH_SEASONS",IF(N(G660)&gt;=10,"NHL_PREVIOUS_10",IF(AND(ISNUMBER(AD660),AD660=0,SUM(F660:G660)=0),"FARM_CAREER_0",IF(COUNT(F660:G660)&lt;2,"UNKNOWN_GP",IF(AND(F660=0,G660=0),IF(AD660&gt;=10,"FARM_LEGACY_10",IF(AND(ISNUMBER(AD660),AD660&gt;0),"FARM_CAREER_1_9","FARM_0_0")),IF(F660&gt;=1,IF(F660&lt;=3,"FARM_RECENT_1_3","FARM_RECENT_4_9"),"FARM_PREV_1_9_ONLY")))))))</x:f>
        <x:v>UNKNOWN_GP</x:v>
      </x:c>
      <x:c r="AF660" s="57" t="n">
        <x:f>AB660-T660</x:f>
        <x:v>0</x:v>
      </x:c>
      <x:c r="AG660" s="57" t="n">
        <x:f>AC660-U660</x:f>
        <x:v>0</x:v>
      </x:c>
    </x:row>
    <x:row r="661">
      <x:c r="A661" t="s">
        <x:v>1684</x:v>
      </x:c>
      <x:c r="C661" t="s">
        <x:v>331</x:v>
      </x:c>
      <x:c r="D661">
        <x:v>8485890</x:v>
      </x:c>
      <x:c r="E661" t="s">
        <x:v>267</x:v>
      </x:c>
      <x:c r="J661" t="s">
        <x:v>2474</x:v>
      </x:c>
      <x:c r="K661">
        <x:v>64</x:v>
      </x:c>
      <x:c r="L661">
        <x:v>35</x:v>
      </x:c>
      <x:c r="M661">
        <x:v>89</x:v>
      </x:c>
      <x:c r="N661">
        <x:v>30</x:v>
      </x:c>
      <x:c r="O661">
        <x:v>80</x:v>
      </x:c>
      <x:c r="P661">
        <x:v>70</x:v>
      </x:c>
      <x:c r="Q661">
        <x:v>73</x:v>
      </x:c>
      <x:c r="R661">
        <x:v>30</x:v>
      </x:c>
      <x:c r="S661">
        <x:v>30</x:v>
      </x:c>
      <x:c r="T661" s="63" t="n">
        <x:f>MAX(30,MIN(AB661-VLOOKUP(AE661,'AHL_PA_SC_BALANCE'!$A$8:$E$18,2,FALSE),VLOOKUP(AE661,'AHL_PA_SC_BALANCE'!$A$8:$E$18,4,FALSE)))</x:f>
        <x:v>39</x:v>
      </x:c>
      <x:c r="U661" s="63" t="n">
        <x:f>MAX(30,MIN(AC661-VLOOKUP(AE661,'AHL_PA_SC_BALANCE'!$A$8:$E$18,3,FALSE),VLOOKUP(AE661,'AHL_PA_SC_BALANCE'!$A$8:$E$18,5,FALSE)))</x:f>
        <x:v>38</x:v>
      </x:c>
      <x:c r="V661">
        <x:v>66</x:v>
      </x:c>
      <x:c r="W661">
        <x:v>43</x:v>
      </x:c>
      <x:c r="X661">
        <x:v>66</x:v>
      </x:c>
      <x:c r="Y661">
        <x:v>66</x:v>
      </x:c>
      <x:c r="Z661">
        <x:v>51</x:v>
      </x:c>
      <x:c r="AA661">
        <x:v>48</x:v>
      </x:c>
      <x:c r="AB661" s="57" t="n">
        <x:v>39</x:v>
      </x:c>
      <x:c r="AC661" s="57" t="n">
        <x:v>38</x:v>
      </x:c>
      <x:c r="AD661" s="59"/>
      <x:c r="AE661" s="61" t="str">
        <x:f>IF(N(F661)&gt;=10,"NHL_LATEST_10",IF(AND(N(F661)&gt;0,N(G661)&gt;0),"NHL_BOTH_SEASONS",IF(N(G661)&gt;=10,"NHL_PREVIOUS_10",IF(AND(ISNUMBER(AD661),AD661=0,SUM(F661:G661)=0),"FARM_CAREER_0",IF(COUNT(F661:G661)&lt;2,"UNKNOWN_GP",IF(AND(F661=0,G661=0),IF(AD661&gt;=10,"FARM_LEGACY_10",IF(AND(ISNUMBER(AD661),AD661&gt;0),"FARM_CAREER_1_9","FARM_0_0")),IF(F661&gt;=1,IF(F661&lt;=3,"FARM_RECENT_1_3","FARM_RECENT_4_9"),"FARM_PREV_1_9_ONLY")))))))</x:f>
        <x:v>UNKNOWN_GP</x:v>
      </x:c>
      <x:c r="AF661" s="57" t="n">
        <x:f>AB661-T661</x:f>
        <x:v>0</x:v>
      </x:c>
      <x:c r="AG661" s="57" t="n">
        <x:f>AC661-U661</x:f>
        <x:v>0</x:v>
      </x:c>
    </x:row>
    <x:row r="662">
      <x:c r="A662" t="s">
        <x:v>1685</x:v>
      </x:c>
      <x:c r="C662" t="s">
        <x:v>331</x:v>
      </x:c>
      <x:c r="E662" t="s">
        <x:v>267</x:v>
      </x:c>
      <x:c r="J662" t="s">
        <x:v>2474</x:v>
      </x:c>
      <x:c r="K662">
        <x:v>67</x:v>
      </x:c>
      <x:c r="L662">
        <x:v>31</x:v>
      </x:c>
      <x:c r="M662">
        <x:v>91</x:v>
      </x:c>
      <x:c r="N662">
        <x:v>30</x:v>
      </x:c>
      <x:c r="O662">
        <x:v>76</x:v>
      </x:c>
      <x:c r="P662">
        <x:v>68</x:v>
      </x:c>
      <x:c r="Q662">
        <x:v>71</x:v>
      </x:c>
      <x:c r="R662">
        <x:v>31</x:v>
      </x:c>
      <x:c r="S662">
        <x:v>30</x:v>
      </x:c>
      <x:c r="T662" s="63" t="n">
        <x:f>MAX(30,MIN(AB662-VLOOKUP(AE662,'AHL_PA_SC_BALANCE'!$A$8:$E$18,2,FALSE),VLOOKUP(AE662,'AHL_PA_SC_BALANCE'!$A$8:$E$18,4,FALSE)))</x:f>
        <x:v>39</x:v>
      </x:c>
      <x:c r="U662" s="63" t="n">
        <x:f>MAX(30,MIN(AC662-VLOOKUP(AE662,'AHL_PA_SC_BALANCE'!$A$8:$E$18,3,FALSE),VLOOKUP(AE662,'AHL_PA_SC_BALANCE'!$A$8:$E$18,5,FALSE)))</x:f>
        <x:v>38</x:v>
      </x:c>
      <x:c r="V662">
        <x:v>65</x:v>
      </x:c>
      <x:c r="W662">
        <x:v>43</x:v>
      </x:c>
      <x:c r="X662">
        <x:v>67</x:v>
      </x:c>
      <x:c r="Y662">
        <x:v>66</x:v>
      </x:c>
      <x:c r="Z662">
        <x:v>51</x:v>
      </x:c>
      <x:c r="AA662">
        <x:v>48</x:v>
      </x:c>
      <x:c r="AB662" s="57" t="n">
        <x:v>39</x:v>
      </x:c>
      <x:c r="AC662" s="57" t="n">
        <x:v>38</x:v>
      </x:c>
      <x:c r="AD662" s="59"/>
      <x:c r="AE662" s="61" t="str">
        <x:f>IF(N(F662)&gt;=10,"NHL_LATEST_10",IF(AND(N(F662)&gt;0,N(G662)&gt;0),"NHL_BOTH_SEASONS",IF(N(G662)&gt;=10,"NHL_PREVIOUS_10",IF(AND(ISNUMBER(AD662),AD662=0,SUM(F662:G662)=0),"FARM_CAREER_0",IF(COUNT(F662:G662)&lt;2,"UNKNOWN_GP",IF(AND(F662=0,G662=0),IF(AD662&gt;=10,"FARM_LEGACY_10",IF(AND(ISNUMBER(AD662),AD662&gt;0),"FARM_CAREER_1_9","FARM_0_0")),IF(F662&gt;=1,IF(F662&lt;=3,"FARM_RECENT_1_3","FARM_RECENT_4_9"),"FARM_PREV_1_9_ONLY")))))))</x:f>
        <x:v>UNKNOWN_GP</x:v>
      </x:c>
      <x:c r="AF662" s="57" t="n">
        <x:f>AB662-T662</x:f>
        <x:v>0</x:v>
      </x:c>
      <x:c r="AG662" s="57" t="n">
        <x:f>AC662-U662</x:f>
        <x:v>0</x:v>
      </x:c>
    </x:row>
    <x:row r="663">
      <x:c r="A663" t="s">
        <x:v>1686</x:v>
      </x:c>
      <x:c r="C663" t="s">
        <x:v>339</x:v>
      </x:c>
      <x:c r="D663">
        <x:v>8482744</x:v>
      </x:c>
      <x:c r="E663" t="s">
        <x:v>267</x:v>
      </x:c>
      <x:c r="J663" t="s">
        <x:v>2474</x:v>
      </x:c>
      <x:c r="K663">
        <x:v>79</x:v>
      </x:c>
      <x:c r="L663">
        <x:v>88</x:v>
      </x:c>
      <x:c r="M663">
        <x:v>75</x:v>
      </x:c>
      <x:c r="N663">
        <x:v>40</x:v>
      </x:c>
      <x:c r="O663">
        <x:v>79</x:v>
      </x:c>
      <x:c r="P663">
        <x:v>82</x:v>
      </x:c>
      <x:c r="Q663">
        <x:v>85</x:v>
      </x:c>
      <x:c r="R663">
        <x:v>40</x:v>
      </x:c>
      <x:c r="S663">
        <x:v>61</x:v>
      </x:c>
      <x:c r="T663" s="63" t="n">
        <x:f>MAX(30,MIN(AB663-VLOOKUP(AE663,'AHL_PA_SC_BALANCE'!$A$8:$E$18,2,FALSE),VLOOKUP(AE663,'AHL_PA_SC_BALANCE'!$A$8:$E$18,4,FALSE)))</x:f>
        <x:v>45</x:v>
      </x:c>
      <x:c r="U663" s="63" t="n">
        <x:f>MAX(30,MIN(AC663-VLOOKUP(AE663,'AHL_PA_SC_BALANCE'!$A$8:$E$18,3,FALSE),VLOOKUP(AE663,'AHL_PA_SC_BALANCE'!$A$8:$E$18,5,FALSE)))</x:f>
        <x:v>48</x:v>
      </x:c>
      <x:c r="V663">
        <x:v>60</x:v>
      </x:c>
      <x:c r="W663">
        <x:v>63</x:v>
      </x:c>
      <x:c r="X663">
        <x:v>66</x:v>
      </x:c>
      <x:c r="Y663">
        <x:v>65</x:v>
      </x:c>
      <x:c r="Z663">
        <x:v>51</x:v>
      </x:c>
      <x:c r="AA663">
        <x:v>48</x:v>
      </x:c>
      <x:c r="AB663" s="57" t="n">
        <x:v>45</x:v>
      </x:c>
      <x:c r="AC663" s="57" t="n">
        <x:v>48</x:v>
      </x:c>
      <x:c r="AD663" s="59"/>
      <x:c r="AE663" s="61" t="str">
        <x:f>IF(N(F663)&gt;=10,"NHL_LATEST_10",IF(AND(N(F663)&gt;0,N(G663)&gt;0),"NHL_BOTH_SEASONS",IF(N(G663)&gt;=10,"NHL_PREVIOUS_10",IF(AND(ISNUMBER(AD663),AD663=0,SUM(F663:G663)=0),"FARM_CAREER_0",IF(COUNT(F663:G663)&lt;2,"UNKNOWN_GP",IF(AND(F663=0,G663=0),IF(AD663&gt;=10,"FARM_LEGACY_10",IF(AND(ISNUMBER(AD663),AD663&gt;0),"FARM_CAREER_1_9","FARM_0_0")),IF(F663&gt;=1,IF(F663&lt;=3,"FARM_RECENT_1_3","FARM_RECENT_4_9"),"FARM_PREV_1_9_ONLY")))))))</x:f>
        <x:v>UNKNOWN_GP</x:v>
      </x:c>
      <x:c r="AF663" s="57" t="n">
        <x:f>AB663-T663</x:f>
        <x:v>0</x:v>
      </x:c>
      <x:c r="AG663" s="57" t="n">
        <x:f>AC663-U663</x:f>
        <x:v>0</x:v>
      </x:c>
    </x:row>
    <x:row r="664">
      <x:c r="A664" t="s">
        <x:v>1687</x:v>
      </x:c>
      <x:c r="C664" t="s">
        <x:v>331</x:v>
      </x:c>
      <x:c r="D664">
        <x:v>8486179</x:v>
      </x:c>
      <x:c r="E664" t="s">
        <x:v>267</x:v>
      </x:c>
      <x:c r="J664" t="s">
        <x:v>2474</x:v>
      </x:c>
      <x:c r="K664">
        <x:v>66</x:v>
      </x:c>
      <x:c r="L664">
        <x:v>32</x:v>
      </x:c>
      <x:c r="M664">
        <x:v>89</x:v>
      </x:c>
      <x:c r="N664">
        <x:v>30</x:v>
      </x:c>
      <x:c r="O664">
        <x:v>80</x:v>
      </x:c>
      <x:c r="P664">
        <x:v>68</x:v>
      </x:c>
      <x:c r="Q664">
        <x:v>71</x:v>
      </x:c>
      <x:c r="R664">
        <x:v>30</x:v>
      </x:c>
      <x:c r="S664">
        <x:v>30</x:v>
      </x:c>
      <x:c r="T664" s="63" t="n">
        <x:f>MAX(30,MIN(AB664-VLOOKUP(AE664,'AHL_PA_SC_BALANCE'!$A$8:$E$18,2,FALSE),VLOOKUP(AE664,'AHL_PA_SC_BALANCE'!$A$8:$E$18,4,FALSE)))</x:f>
        <x:v>39</x:v>
      </x:c>
      <x:c r="U664" s="63" t="n">
        <x:f>MAX(30,MIN(AC664-VLOOKUP(AE664,'AHL_PA_SC_BALANCE'!$A$8:$E$18,3,FALSE),VLOOKUP(AE664,'AHL_PA_SC_BALANCE'!$A$8:$E$18,5,FALSE)))</x:f>
        <x:v>38</x:v>
      </x:c>
      <x:c r="V664">
        <x:v>64</x:v>
      </x:c>
      <x:c r="W664">
        <x:v>43</x:v>
      </x:c>
      <x:c r="X664">
        <x:v>66</x:v>
      </x:c>
      <x:c r="Y664">
        <x:v>67</x:v>
      </x:c>
      <x:c r="Z664">
        <x:v>51</x:v>
      </x:c>
      <x:c r="AA664">
        <x:v>48</x:v>
      </x:c>
      <x:c r="AB664" s="57" t="n">
        <x:v>39</x:v>
      </x:c>
      <x:c r="AC664" s="57" t="n">
        <x:v>38</x:v>
      </x:c>
      <x:c r="AD664" s="59"/>
      <x:c r="AE664" s="61" t="str">
        <x:f>IF(N(F664)&gt;=10,"NHL_LATEST_10",IF(AND(N(F664)&gt;0,N(G664)&gt;0),"NHL_BOTH_SEASONS",IF(N(G664)&gt;=10,"NHL_PREVIOUS_10",IF(AND(ISNUMBER(AD664),AD664=0,SUM(F664:G664)=0),"FARM_CAREER_0",IF(COUNT(F664:G664)&lt;2,"UNKNOWN_GP",IF(AND(F664=0,G664=0),IF(AD664&gt;=10,"FARM_LEGACY_10",IF(AND(ISNUMBER(AD664),AD664&gt;0),"FARM_CAREER_1_9","FARM_0_0")),IF(F664&gt;=1,IF(F664&lt;=3,"FARM_RECENT_1_3","FARM_RECENT_4_9"),"FARM_PREV_1_9_ONLY")))))))</x:f>
        <x:v>UNKNOWN_GP</x:v>
      </x:c>
      <x:c r="AF664" s="57" t="n">
        <x:f>AB664-T664</x:f>
        <x:v>0</x:v>
      </x:c>
      <x:c r="AG664" s="57" t="n">
        <x:f>AC664-U664</x:f>
        <x:v>0</x:v>
      </x:c>
    </x:row>
    <x:row r="665">
      <x:c r="A665" t="s">
        <x:v>1688</x:v>
      </x:c>
      <x:c r="C665" t="s">
        <x:v>319</x:v>
      </x:c>
      <x:c r="D665">
        <x:v>8482616</x:v>
      </x:c>
      <x:c r="E665" t="s">
        <x:v>267</x:v>
      </x:c>
      <x:c r="J665" t="s">
        <x:v>2474</x:v>
      </x:c>
      <x:c r="K665">
        <x:v>70</x:v>
      </x:c>
      <x:c r="L665">
        <x:v>68</x:v>
      </x:c>
      <x:c r="M665">
        <x:v>62</x:v>
      </x:c>
      <x:c r="N665">
        <x:v>36</x:v>
      </x:c>
      <x:c r="O665">
        <x:v>82</x:v>
      </x:c>
      <x:c r="P665">
        <x:v>81</x:v>
      </x:c>
      <x:c r="Q665">
        <x:v>85</x:v>
      </x:c>
      <x:c r="R665">
        <x:v>37</x:v>
      </x:c>
      <x:c r="S665">
        <x:v>80</x:v>
      </x:c>
      <x:c r="T665" s="63" t="n">
        <x:f>MAX(30,MIN(AB665-VLOOKUP(AE665,'AHL_PA_SC_BALANCE'!$A$8:$E$18,2,FALSE),VLOOKUP(AE665,'AHL_PA_SC_BALANCE'!$A$8:$E$18,4,FALSE)))</x:f>
        <x:v>40</x:v>
      </x:c>
      <x:c r="U665" s="63" t="n">
        <x:f>MAX(30,MIN(AC665-VLOOKUP(AE665,'AHL_PA_SC_BALANCE'!$A$8:$E$18,3,FALSE),VLOOKUP(AE665,'AHL_PA_SC_BALANCE'!$A$8:$E$18,5,FALSE)))</x:f>
        <x:v>39</x:v>
      </x:c>
      <x:c r="V665">
        <x:v>64</x:v>
      </x:c>
      <x:c r="W665">
        <x:v>58</x:v>
      </x:c>
      <x:c r="X665">
        <x:v>70</x:v>
      </x:c>
      <x:c r="Y665">
        <x:v>69</x:v>
      </x:c>
      <x:c r="Z665">
        <x:v>51</x:v>
      </x:c>
      <x:c r="AA665">
        <x:v>48</x:v>
      </x:c>
      <x:c r="AB665" s="57" t="n">
        <x:v>40</x:v>
      </x:c>
      <x:c r="AC665" s="57" t="n">
        <x:v>39</x:v>
      </x:c>
      <x:c r="AD665" s="59"/>
      <x:c r="AE665" s="61" t="str">
        <x:f>IF(N(F665)&gt;=10,"NHL_LATEST_10",IF(AND(N(F665)&gt;0,N(G665)&gt;0),"NHL_BOTH_SEASONS",IF(N(G665)&gt;=10,"NHL_PREVIOUS_10",IF(AND(ISNUMBER(AD665),AD665=0,SUM(F665:G665)=0),"FARM_CAREER_0",IF(COUNT(F665:G665)&lt;2,"UNKNOWN_GP",IF(AND(F665=0,G665=0),IF(AD665&gt;=10,"FARM_LEGACY_10",IF(AND(ISNUMBER(AD665),AD665&gt;0),"FARM_CAREER_1_9","FARM_0_0")),IF(F665&gt;=1,IF(F665&lt;=3,"FARM_RECENT_1_3","FARM_RECENT_4_9"),"FARM_PREV_1_9_ONLY")))))))</x:f>
        <x:v>UNKNOWN_GP</x:v>
      </x:c>
      <x:c r="AF665" s="57" t="n">
        <x:f>AB665-T665</x:f>
        <x:v>0</x:v>
      </x:c>
      <x:c r="AG665" s="57" t="n">
        <x:f>AC665-U665</x:f>
        <x:v>0</x:v>
      </x:c>
    </x:row>
    <x:row r="666">
      <x:c r="A666" t="s">
        <x:v>1689</x:v>
      </x:c>
      <x:c r="C666" t="s">
        <x:v>333</x:v>
      </x:c>
      <x:c r="D666">
        <x:v>8483453</x:v>
      </x:c>
      <x:c r="E666" t="s">
        <x:v>267</x:v>
      </x:c>
      <x:c r="J666" t="s">
        <x:v>2474</x:v>
      </x:c>
      <x:c r="K666">
        <x:v>62</x:v>
      </x:c>
      <x:c r="L666">
        <x:v>43</x:v>
      </x:c>
      <x:c r="M666">
        <x:v>91</x:v>
      </x:c>
      <x:c r="N666">
        <x:v>41</x:v>
      </x:c>
      <x:c r="O666">
        <x:v>76</x:v>
      </x:c>
      <x:c r="P666">
        <x:v>82</x:v>
      </x:c>
      <x:c r="Q666">
        <x:v>85</x:v>
      </x:c>
      <x:c r="R666">
        <x:v>40</x:v>
      </x:c>
      <x:c r="S666">
        <x:v>73</x:v>
      </x:c>
      <x:c r="T666" s="63" t="n">
        <x:f>MAX(30,MIN(AB666-VLOOKUP(AE666,'AHL_PA_SC_BALANCE'!$A$8:$E$18,2,FALSE),VLOOKUP(AE666,'AHL_PA_SC_BALANCE'!$A$8:$E$18,4,FALSE)))</x:f>
        <x:v>43</x:v>
      </x:c>
      <x:c r="U666" s="63" t="n">
        <x:f>MAX(30,MIN(AC666-VLOOKUP(AE666,'AHL_PA_SC_BALANCE'!$A$8:$E$18,3,FALSE),VLOOKUP(AE666,'AHL_PA_SC_BALANCE'!$A$8:$E$18,5,FALSE)))</x:f>
        <x:v>43</x:v>
      </x:c>
      <x:c r="V666">
        <x:v>66</x:v>
      </x:c>
      <x:c r="W666">
        <x:v>63</x:v>
      </x:c>
      <x:c r="X666">
        <x:v>65</x:v>
      </x:c>
      <x:c r="Y666">
        <x:v>66</x:v>
      </x:c>
      <x:c r="Z666">
        <x:v>51</x:v>
      </x:c>
      <x:c r="AA666">
        <x:v>48</x:v>
      </x:c>
      <x:c r="AB666" s="57" t="n">
        <x:v>43</x:v>
      </x:c>
      <x:c r="AC666" s="57" t="n">
        <x:v>43</x:v>
      </x:c>
      <x:c r="AD666" s="59"/>
      <x:c r="AE666" s="61" t="str">
        <x:f>IF(N(F666)&gt;=10,"NHL_LATEST_10",IF(AND(N(F666)&gt;0,N(G666)&gt;0),"NHL_BOTH_SEASONS",IF(N(G666)&gt;=10,"NHL_PREVIOUS_10",IF(AND(ISNUMBER(AD666),AD666=0,SUM(F666:G666)=0),"FARM_CAREER_0",IF(COUNT(F666:G666)&lt;2,"UNKNOWN_GP",IF(AND(F666=0,G666=0),IF(AD666&gt;=10,"FARM_LEGACY_10",IF(AND(ISNUMBER(AD666),AD666&gt;0),"FARM_CAREER_1_9","FARM_0_0")),IF(F666&gt;=1,IF(F666&lt;=3,"FARM_RECENT_1_3","FARM_RECENT_4_9"),"FARM_PREV_1_9_ONLY")))))))</x:f>
        <x:v>UNKNOWN_GP</x:v>
      </x:c>
      <x:c r="AF666" s="57" t="n">
        <x:f>AB666-T666</x:f>
        <x:v>0</x:v>
      </x:c>
      <x:c r="AG666" s="57" t="n">
        <x:f>AC666-U666</x:f>
        <x:v>0</x:v>
      </x:c>
    </x:row>
    <x:row r="667">
      <x:c r="A667" t="s">
        <x:v>1690</x:v>
      </x:c>
      <x:c r="C667" t="s">
        <x:v>323</x:v>
      </x:c>
      <x:c r="D667">
        <x:v>8484242</x:v>
      </x:c>
      <x:c r="E667" t="s">
        <x:v>267</x:v>
      </x:c>
      <x:c r="J667" t="s">
        <x:v>2474</x:v>
      </x:c>
      <x:c r="K667">
        <x:v>66</x:v>
      </x:c>
      <x:c r="L667">
        <x:v>36</x:v>
      </x:c>
      <x:c r="M667">
        <x:v>91</x:v>
      </x:c>
      <x:c r="N667">
        <x:v>43</x:v>
      </x:c>
      <x:c r="O667">
        <x:v>79</x:v>
      </x:c>
      <x:c r="P667">
        <x:v>91</x:v>
      </x:c>
      <x:c r="Q667">
        <x:v>95</x:v>
      </x:c>
      <x:c r="R667">
        <x:v>42</x:v>
      </x:c>
      <x:c r="S667">
        <x:v>81</x:v>
      </x:c>
      <x:c r="T667" s="63" t="n">
        <x:f>MAX(30,MIN(AB667-VLOOKUP(AE667,'AHL_PA_SC_BALANCE'!$A$8:$E$18,2,FALSE),VLOOKUP(AE667,'AHL_PA_SC_BALANCE'!$A$8:$E$18,4,FALSE)))</x:f>
        <x:v>44</x:v>
      </x:c>
      <x:c r="U667" s="63" t="n">
        <x:f>MAX(30,MIN(AC667-VLOOKUP(AE667,'AHL_PA_SC_BALANCE'!$A$8:$E$18,3,FALSE),VLOOKUP(AE667,'AHL_PA_SC_BALANCE'!$A$8:$E$18,5,FALSE)))</x:f>
        <x:v>43</x:v>
      </x:c>
      <x:c r="V667">
        <x:v>65</x:v>
      </x:c>
      <x:c r="W667">
        <x:v>63</x:v>
      </x:c>
      <x:c r="X667">
        <x:v>65</x:v>
      </x:c>
      <x:c r="Y667">
        <x:v>65</x:v>
      </x:c>
      <x:c r="Z667">
        <x:v>51</x:v>
      </x:c>
      <x:c r="AA667">
        <x:v>48</x:v>
      </x:c>
      <x:c r="AB667" s="57" t="n">
        <x:v>44</x:v>
      </x:c>
      <x:c r="AC667" s="57" t="n">
        <x:v>43</x:v>
      </x:c>
      <x:c r="AD667" s="59"/>
      <x:c r="AE667" s="61" t="str">
        <x:f>IF(N(F667)&gt;=10,"NHL_LATEST_10",IF(AND(N(F667)&gt;0,N(G667)&gt;0),"NHL_BOTH_SEASONS",IF(N(G667)&gt;=10,"NHL_PREVIOUS_10",IF(AND(ISNUMBER(AD667),AD667=0,SUM(F667:G667)=0),"FARM_CAREER_0",IF(COUNT(F667:G667)&lt;2,"UNKNOWN_GP",IF(AND(F667=0,G667=0),IF(AD667&gt;=10,"FARM_LEGACY_10",IF(AND(ISNUMBER(AD667),AD667&gt;0),"FARM_CAREER_1_9","FARM_0_0")),IF(F667&gt;=1,IF(F667&lt;=3,"FARM_RECENT_1_3","FARM_RECENT_4_9"),"FARM_PREV_1_9_ONLY")))))))</x:f>
        <x:v>UNKNOWN_GP</x:v>
      </x:c>
      <x:c r="AF667" s="57" t="n">
        <x:f>AB667-T667</x:f>
        <x:v>0</x:v>
      </x:c>
      <x:c r="AG667" s="57" t="n">
        <x:f>AC667-U667</x:f>
        <x:v>0</x:v>
      </x:c>
    </x:row>
    <x:row r="668">
      <x:c r="A668" t="s">
        <x:v>1691</x:v>
      </x:c>
      <x:c r="C668" t="s">
        <x:v>358</x:v>
      </x:c>
      <x:c r="D668">
        <x:v>8477320</x:v>
      </x:c>
      <x:c r="E668" t="s">
        <x:v>267</x:v>
      </x:c>
      <x:c r="J668" t="s">
        <x:v>2474</x:v>
      </x:c>
      <x:c r="K668">
        <x:v>73</x:v>
      </x:c>
      <x:c r="L668">
        <x:v>40</x:v>
      </x:c>
      <x:c r="M668">
        <x:v>79</x:v>
      </x:c>
      <x:c r="N668">
        <x:v>40</x:v>
      </x:c>
      <x:c r="O668">
        <x:v>79</x:v>
      </x:c>
      <x:c r="P668">
        <x:v>91</x:v>
      </x:c>
      <x:c r="Q668">
        <x:v>94</x:v>
      </x:c>
      <x:c r="R668">
        <x:v>41</x:v>
      </x:c>
      <x:c r="S668">
        <x:v>58</x:v>
      </x:c>
      <x:c r="T668" s="63" t="n">
        <x:f>MAX(30,MIN(AB668-VLOOKUP(AE668,'AHL_PA_SC_BALANCE'!$A$8:$E$18,2,FALSE),VLOOKUP(AE668,'AHL_PA_SC_BALANCE'!$A$8:$E$18,4,FALSE)))</x:f>
        <x:v>41</x:v>
      </x:c>
      <x:c r="U668" s="63" t="n">
        <x:f>MAX(30,MIN(AC668-VLOOKUP(AE668,'AHL_PA_SC_BALANCE'!$A$8:$E$18,3,FALSE),VLOOKUP(AE668,'AHL_PA_SC_BALANCE'!$A$8:$E$18,5,FALSE)))</x:f>
        <x:v>42</x:v>
      </x:c>
      <x:c r="V668">
        <x:v>58</x:v>
      </x:c>
      <x:c r="W668">
        <x:v>61</x:v>
      </x:c>
      <x:c r="X668">
        <x:v>74</x:v>
      </x:c>
      <x:c r="Y668">
        <x:v>73</x:v>
      </x:c>
      <x:c r="Z668">
        <x:v>51</x:v>
      </x:c>
      <x:c r="AA668">
        <x:v>48</x:v>
      </x:c>
      <x:c r="AB668" s="57" t="n">
        <x:v>41</x:v>
      </x:c>
      <x:c r="AC668" s="57" t="n">
        <x:v>42</x:v>
      </x:c>
      <x:c r="AD668" s="59"/>
      <x:c r="AE668" s="61" t="str">
        <x:f>IF(N(F668)&gt;=10,"NHL_LATEST_10",IF(AND(N(F668)&gt;0,N(G668)&gt;0),"NHL_BOTH_SEASONS",IF(N(G668)&gt;=10,"NHL_PREVIOUS_10",IF(AND(ISNUMBER(AD668),AD668=0,SUM(F668:G668)=0),"FARM_CAREER_0",IF(COUNT(F668:G668)&lt;2,"UNKNOWN_GP",IF(AND(F668=0,G668=0),IF(AD668&gt;=10,"FARM_LEGACY_10",IF(AND(ISNUMBER(AD668),AD668&gt;0),"FARM_CAREER_1_9","FARM_0_0")),IF(F668&gt;=1,IF(F668&lt;=3,"FARM_RECENT_1_3","FARM_RECENT_4_9"),"FARM_PREV_1_9_ONLY")))))))</x:f>
        <x:v>UNKNOWN_GP</x:v>
      </x:c>
      <x:c r="AF668" s="57" t="n">
        <x:f>AB668-T668</x:f>
        <x:v>0</x:v>
      </x:c>
      <x:c r="AG668" s="57" t="n">
        <x:f>AC668-U668</x:f>
        <x:v>0</x:v>
      </x:c>
    </x:row>
    <x:row r="669">
      <x:c r="A669" t="s">
        <x:v>1692</x:v>
      </x:c>
      <x:c r="C669" t="s">
        <x:v>323</x:v>
      </x:c>
      <x:c r="D669">
        <x:v>8482746</x:v>
      </x:c>
      <x:c r="E669" t="s">
        <x:v>267</x:v>
      </x:c>
      <x:c r="J669" t="s">
        <x:v>2474</x:v>
      </x:c>
      <x:c r="K669">
        <x:v>64</x:v>
      </x:c>
      <x:c r="L669">
        <x:v>35</x:v>
      </x:c>
      <x:c r="M669">
        <x:v>85</x:v>
      </x:c>
      <x:c r="N669">
        <x:v>41</x:v>
      </x:c>
      <x:c r="O669">
        <x:v>83</x:v>
      </x:c>
      <x:c r="P669">
        <x:v>78</x:v>
      </x:c>
      <x:c r="Q669">
        <x:v>83</x:v>
      </x:c>
      <x:c r="R669">
        <x:v>42</x:v>
      </x:c>
      <x:c r="S669">
        <x:v>56</x:v>
      </x:c>
      <x:c r="T669" s="63" t="n">
        <x:f>MAX(30,MIN(AB669-VLOOKUP(AE669,'AHL_PA_SC_BALANCE'!$A$8:$E$18,2,FALSE),VLOOKUP(AE669,'AHL_PA_SC_BALANCE'!$A$8:$E$18,4,FALSE)))</x:f>
        <x:v>43</x:v>
      </x:c>
      <x:c r="U669" s="63" t="n">
        <x:f>MAX(30,MIN(AC669-VLOOKUP(AE669,'AHL_PA_SC_BALANCE'!$A$8:$E$18,3,FALSE),VLOOKUP(AE669,'AHL_PA_SC_BALANCE'!$A$8:$E$18,5,FALSE)))</x:f>
        <x:v>43</x:v>
      </x:c>
      <x:c r="V669">
        <x:v>59</x:v>
      </x:c>
      <x:c r="W669">
        <x:v>62</x:v>
      </x:c>
      <x:c r="X669">
        <x:v>66</x:v>
      </x:c>
      <x:c r="Y669">
        <x:v>65</x:v>
      </x:c>
      <x:c r="Z669">
        <x:v>49</x:v>
      </x:c>
      <x:c r="AA669">
        <x:v>48</x:v>
      </x:c>
      <x:c r="AB669" s="57" t="n">
        <x:v>43</x:v>
      </x:c>
      <x:c r="AC669" s="57" t="n">
        <x:v>43</x:v>
      </x:c>
      <x:c r="AD669" s="59"/>
      <x:c r="AE669" s="61" t="str">
        <x:f>IF(N(F669)&gt;=10,"NHL_LATEST_10",IF(AND(N(F669)&gt;0,N(G669)&gt;0),"NHL_BOTH_SEASONS",IF(N(G669)&gt;=10,"NHL_PREVIOUS_10",IF(AND(ISNUMBER(AD669),AD669=0,SUM(F669:G669)=0),"FARM_CAREER_0",IF(COUNT(F669:G669)&lt;2,"UNKNOWN_GP",IF(AND(F669=0,G669=0),IF(AD669&gt;=10,"FARM_LEGACY_10",IF(AND(ISNUMBER(AD669),AD669&gt;0),"FARM_CAREER_1_9","FARM_0_0")),IF(F669&gt;=1,IF(F669&lt;=3,"FARM_RECENT_1_3","FARM_RECENT_4_9"),"FARM_PREV_1_9_ONLY")))))))</x:f>
        <x:v>UNKNOWN_GP</x:v>
      </x:c>
      <x:c r="AF669" s="57" t="n">
        <x:f>AB669-T669</x:f>
        <x:v>0</x:v>
      </x:c>
      <x:c r="AG669" s="57" t="n">
        <x:f>AC669-U669</x:f>
        <x:v>0</x:v>
      </x:c>
    </x:row>
    <x:row r="670">
      <x:c r="A670" t="s">
        <x:v>1693</x:v>
      </x:c>
      <x:c r="C670" t="s">
        <x:v>333</x:v>
      </x:c>
      <x:c r="D670">
        <x:v>8482674</x:v>
      </x:c>
      <x:c r="E670" t="s">
        <x:v>267</x:v>
      </x:c>
      <x:c r="J670" t="s">
        <x:v>2474</x:v>
      </x:c>
      <x:c r="K670">
        <x:v>59</x:v>
      </x:c>
      <x:c r="L670">
        <x:v>31</x:v>
      </x:c>
      <x:c r="M670">
        <x:v>76</x:v>
      </x:c>
      <x:c r="N670">
        <x:v>44</x:v>
      </x:c>
      <x:c r="O670">
        <x:v>82</x:v>
      </x:c>
      <x:c r="P670">
        <x:v>80</x:v>
      </x:c>
      <x:c r="Q670">
        <x:v>83</x:v>
      </x:c>
      <x:c r="R670">
        <x:v>43</x:v>
      </x:c>
      <x:c r="S670">
        <x:v>62</x:v>
      </x:c>
      <x:c r="T670" s="63" t="n">
        <x:f>MAX(30,MIN(AB670-VLOOKUP(AE670,'AHL_PA_SC_BALANCE'!$A$8:$E$18,2,FALSE),VLOOKUP(AE670,'AHL_PA_SC_BALANCE'!$A$8:$E$18,4,FALSE)))</x:f>
        <x:v>44</x:v>
      </x:c>
      <x:c r="U670" s="63" t="n">
        <x:f>MAX(30,MIN(AC670-VLOOKUP(AE670,'AHL_PA_SC_BALANCE'!$A$8:$E$18,3,FALSE),VLOOKUP(AE670,'AHL_PA_SC_BALANCE'!$A$8:$E$18,5,FALSE)))</x:f>
        <x:v>44</x:v>
      </x:c>
      <x:c r="V670">
        <x:v>58</x:v>
      </x:c>
      <x:c r="W670">
        <x:v>65</x:v>
      </x:c>
      <x:c r="X670">
        <x:v>66</x:v>
      </x:c>
      <x:c r="Y670">
        <x:v>66</x:v>
      </x:c>
      <x:c r="Z670">
        <x:v>51</x:v>
      </x:c>
      <x:c r="AA670">
        <x:v>48</x:v>
      </x:c>
      <x:c r="AB670" s="57" t="n">
        <x:v>44</x:v>
      </x:c>
      <x:c r="AC670" s="57" t="n">
        <x:v>44</x:v>
      </x:c>
      <x:c r="AD670" s="59"/>
      <x:c r="AE670" s="61" t="str">
        <x:f>IF(N(F670)&gt;=10,"NHL_LATEST_10",IF(AND(N(F670)&gt;0,N(G670)&gt;0),"NHL_BOTH_SEASONS",IF(N(G670)&gt;=10,"NHL_PREVIOUS_10",IF(AND(ISNUMBER(AD670),AD670=0,SUM(F670:G670)=0),"FARM_CAREER_0",IF(COUNT(F670:G670)&lt;2,"UNKNOWN_GP",IF(AND(F670=0,G670=0),IF(AD670&gt;=10,"FARM_LEGACY_10",IF(AND(ISNUMBER(AD670),AD670&gt;0),"FARM_CAREER_1_9","FARM_0_0")),IF(F670&gt;=1,IF(F670&lt;=3,"FARM_RECENT_1_3","FARM_RECENT_4_9"),"FARM_PREV_1_9_ONLY")))))))</x:f>
        <x:v>UNKNOWN_GP</x:v>
      </x:c>
      <x:c r="AF670" s="57" t="n">
        <x:f>AB670-T670</x:f>
        <x:v>0</x:v>
      </x:c>
      <x:c r="AG670" s="57" t="n">
        <x:f>AC670-U670</x:f>
        <x:v>0</x:v>
      </x:c>
    </x:row>
    <x:row r="671">
      <x:c r="A671" t="s">
        <x:v>1694</x:v>
      </x:c>
      <x:c r="C671" t="s">
        <x:v>331</x:v>
      </x:c>
      <x:c r="D671">
        <x:v>8485463</x:v>
      </x:c>
      <x:c r="E671" t="s">
        <x:v>267</x:v>
      </x:c>
      <x:c r="J671" t="s">
        <x:v>2474</x:v>
      </x:c>
      <x:c r="K671">
        <x:v>66</x:v>
      </x:c>
      <x:c r="L671">
        <x:v>40</x:v>
      </x:c>
      <x:c r="M671">
        <x:v>89</x:v>
      </x:c>
      <x:c r="N671">
        <x:v>30</x:v>
      </x:c>
      <x:c r="O671">
        <x:v>83</x:v>
      </x:c>
      <x:c r="P671">
        <x:v>70</x:v>
      </x:c>
      <x:c r="Q671">
        <x:v>73</x:v>
      </x:c>
      <x:c r="R671">
        <x:v>30</x:v>
      </x:c>
      <x:c r="S671">
        <x:v>30</x:v>
      </x:c>
      <x:c r="T671" s="63" t="n">
        <x:f>MAX(30,MIN(AB671-VLOOKUP(AE671,'AHL_PA_SC_BALANCE'!$A$8:$E$18,2,FALSE),VLOOKUP(AE671,'AHL_PA_SC_BALANCE'!$A$8:$E$18,4,FALSE)))</x:f>
        <x:v>39</x:v>
      </x:c>
      <x:c r="U671" s="63" t="n">
        <x:f>MAX(30,MIN(AC671-VLOOKUP(AE671,'AHL_PA_SC_BALANCE'!$A$8:$E$18,3,FALSE),VLOOKUP(AE671,'AHL_PA_SC_BALANCE'!$A$8:$E$18,5,FALSE)))</x:f>
        <x:v>38</x:v>
      </x:c>
      <x:c r="V671">
        <x:v>64</x:v>
      </x:c>
      <x:c r="W671">
        <x:v>43</x:v>
      </x:c>
      <x:c r="X671">
        <x:v>66</x:v>
      </x:c>
      <x:c r="Y671">
        <x:v>66</x:v>
      </x:c>
      <x:c r="Z671">
        <x:v>51</x:v>
      </x:c>
      <x:c r="AA671">
        <x:v>48</x:v>
      </x:c>
      <x:c r="AB671" s="57" t="n">
        <x:v>39</x:v>
      </x:c>
      <x:c r="AC671" s="57" t="n">
        <x:v>38</x:v>
      </x:c>
      <x:c r="AD671" s="59"/>
      <x:c r="AE671" s="61" t="str">
        <x:f>IF(N(F671)&gt;=10,"NHL_LATEST_10",IF(AND(N(F671)&gt;0,N(G671)&gt;0),"NHL_BOTH_SEASONS",IF(N(G671)&gt;=10,"NHL_PREVIOUS_10",IF(AND(ISNUMBER(AD671),AD671=0,SUM(F671:G671)=0),"FARM_CAREER_0",IF(COUNT(F671:G671)&lt;2,"UNKNOWN_GP",IF(AND(F671=0,G671=0),IF(AD671&gt;=10,"FARM_LEGACY_10",IF(AND(ISNUMBER(AD671),AD671&gt;0),"FARM_CAREER_1_9","FARM_0_0")),IF(F671&gt;=1,IF(F671&lt;=3,"FARM_RECENT_1_3","FARM_RECENT_4_9"),"FARM_PREV_1_9_ONLY")))))))</x:f>
        <x:v>UNKNOWN_GP</x:v>
      </x:c>
      <x:c r="AF671" s="57" t="n">
        <x:f>AB671-T671</x:f>
        <x:v>0</x:v>
      </x:c>
      <x:c r="AG671" s="57" t="n">
        <x:f>AC671-U671</x:f>
        <x:v>0</x:v>
      </x:c>
    </x:row>
    <x:row r="672">
      <x:c r="A672" t="s">
        <x:v>1695</x:v>
      </x:c>
      <x:c r="B672" t="s">
        <x:v>584</x:v>
      </x:c>
      <x:c r="C672" t="s">
        <x:v>339</x:v>
      </x:c>
      <x:c r="D672">
        <x:v>8484888</x:v>
      </x:c>
      <x:c r="E672" t="s">
        <x:v>267</x:v>
      </x:c>
      <x:c r="J672" t="s">
        <x:v>2476</x:v>
      </x:c>
      <x:c r="K672">
        <x:v>61</x:v>
      </x:c>
      <x:c r="L672">
        <x:v>39</x:v>
      </x:c>
      <x:c r="M672">
        <x:v>90</x:v>
      </x:c>
      <x:c r="N672">
        <x:v>41</x:v>
      </x:c>
      <x:c r="O672">
        <x:v>83</x:v>
      </x:c>
      <x:c r="P672">
        <x:v>83</x:v>
      </x:c>
      <x:c r="Q672">
        <x:v>87</x:v>
      </x:c>
      <x:c r="R672">
        <x:v>41</x:v>
      </x:c>
      <x:c r="S672">
        <x:v>68</x:v>
      </x:c>
      <x:c r="T672" s="63" t="n">
        <x:f>MAX(30,MIN(AB672-VLOOKUP(AE672,'AHL_PA_SC_BALANCE'!$A$8:$E$18,2,FALSE),VLOOKUP(AE672,'AHL_PA_SC_BALANCE'!$A$8:$E$18,4,FALSE)))</x:f>
        <x:v>44</x:v>
      </x:c>
      <x:c r="U672" s="63" t="n">
        <x:f>MAX(30,MIN(AC672-VLOOKUP(AE672,'AHL_PA_SC_BALANCE'!$A$8:$E$18,3,FALSE),VLOOKUP(AE672,'AHL_PA_SC_BALANCE'!$A$8:$E$18,5,FALSE)))</x:f>
        <x:v>43</x:v>
      </x:c>
      <x:c r="V672">
        <x:v>59</x:v>
      </x:c>
      <x:c r="W672">
        <x:v>63</x:v>
      </x:c>
      <x:c r="X672">
        <x:v>68</x:v>
      </x:c>
      <x:c r="Y672">
        <x:v>67</x:v>
      </x:c>
      <x:c r="Z672">
        <x:v>51</x:v>
      </x:c>
      <x:c r="AA672">
        <x:v>48</x:v>
      </x:c>
      <x:c r="AB672" s="57" t="n">
        <x:v>44</x:v>
      </x:c>
      <x:c r="AC672" s="57" t="n">
        <x:v>43</x:v>
      </x:c>
      <x:c r="AD672" s="59"/>
      <x:c r="AE672" s="61" t="str">
        <x:f>IF(N(F672)&gt;=10,"NHL_LATEST_10",IF(AND(N(F672)&gt;0,N(G672)&gt;0),"NHL_BOTH_SEASONS",IF(N(G672)&gt;=10,"NHL_PREVIOUS_10",IF(AND(ISNUMBER(AD672),AD672=0,SUM(F672:G672)=0),"FARM_CAREER_0",IF(COUNT(F672:G672)&lt;2,"UNKNOWN_GP",IF(AND(F672=0,G672=0),IF(AD672&gt;=10,"FARM_LEGACY_10",IF(AND(ISNUMBER(AD672),AD672&gt;0),"FARM_CAREER_1_9","FARM_0_0")),IF(F672&gt;=1,IF(F672&lt;=3,"FARM_RECENT_1_3","FARM_RECENT_4_9"),"FARM_PREV_1_9_ONLY")))))))</x:f>
        <x:v>UNKNOWN_GP</x:v>
      </x:c>
      <x:c r="AF672" s="57" t="n">
        <x:f>AB672-T672</x:f>
        <x:v>0</x:v>
      </x:c>
      <x:c r="AG672" s="57" t="n">
        <x:f>AC672-U672</x:f>
        <x:v>0</x:v>
      </x:c>
    </x:row>
    <x:row r="673">
      <x:c r="A673" t="s">
        <x:v>1696</x:v>
      </x:c>
      <x:c r="C673" t="s">
        <x:v>319</x:v>
      </x:c>
      <x:c r="D673">
        <x:v>8482136</x:v>
      </x:c>
      <x:c r="E673" t="s">
        <x:v>267</x:v>
      </x:c>
      <x:c r="J673" t="s">
        <x:v>2474</x:v>
      </x:c>
      <x:c r="K673">
        <x:v>64</x:v>
      </x:c>
      <x:c r="L673">
        <x:v>35</x:v>
      </x:c>
      <x:c r="M673">
        <x:v>84</x:v>
      </x:c>
      <x:c r="N673">
        <x:v>42</x:v>
      </x:c>
      <x:c r="O673">
        <x:v>74</x:v>
      </x:c>
      <x:c r="P673">
        <x:v>85</x:v>
      </x:c>
      <x:c r="Q673">
        <x:v>86</x:v>
      </x:c>
      <x:c r="R673">
        <x:v>41</x:v>
      </x:c>
      <x:c r="S673">
        <x:v>74</x:v>
      </x:c>
      <x:c r="T673" s="63" t="n">
        <x:f>MAX(30,MIN(AB673-VLOOKUP(AE673,'AHL_PA_SC_BALANCE'!$A$8:$E$18,2,FALSE),VLOOKUP(AE673,'AHL_PA_SC_BALANCE'!$A$8:$E$18,4,FALSE)))</x:f>
        <x:v>43</x:v>
      </x:c>
      <x:c r="U673" s="63" t="n">
        <x:f>MAX(30,MIN(AC673-VLOOKUP(AE673,'AHL_PA_SC_BALANCE'!$A$8:$E$18,3,FALSE),VLOOKUP(AE673,'AHL_PA_SC_BALANCE'!$A$8:$E$18,5,FALSE)))</x:f>
        <x:v>44</x:v>
      </x:c>
      <x:c r="V673">
        <x:v>60</x:v>
      </x:c>
      <x:c r="W673">
        <x:v>64</x:v>
      </x:c>
      <x:c r="X673">
        <x:v>67</x:v>
      </x:c>
      <x:c r="Y673">
        <x:v>68</x:v>
      </x:c>
      <x:c r="Z673">
        <x:v>51</x:v>
      </x:c>
      <x:c r="AA673">
        <x:v>48</x:v>
      </x:c>
      <x:c r="AB673" s="57" t="n">
        <x:v>43</x:v>
      </x:c>
      <x:c r="AC673" s="57" t="n">
        <x:v>44</x:v>
      </x:c>
      <x:c r="AD673" s="59"/>
      <x:c r="AE673" s="61" t="str">
        <x:f>IF(N(F673)&gt;=10,"NHL_LATEST_10",IF(AND(N(F673)&gt;0,N(G673)&gt;0),"NHL_BOTH_SEASONS",IF(N(G673)&gt;=10,"NHL_PREVIOUS_10",IF(AND(ISNUMBER(AD673),AD673=0,SUM(F673:G673)=0),"FARM_CAREER_0",IF(COUNT(F673:G673)&lt;2,"UNKNOWN_GP",IF(AND(F673=0,G673=0),IF(AD673&gt;=10,"FARM_LEGACY_10",IF(AND(ISNUMBER(AD673),AD673&gt;0),"FARM_CAREER_1_9","FARM_0_0")),IF(F673&gt;=1,IF(F673&lt;=3,"FARM_RECENT_1_3","FARM_RECENT_4_9"),"FARM_PREV_1_9_ONLY")))))))</x:f>
        <x:v>UNKNOWN_GP</x:v>
      </x:c>
      <x:c r="AF673" s="57" t="n">
        <x:f>AB673-T673</x:f>
        <x:v>0</x:v>
      </x:c>
      <x:c r="AG673" s="57" t="n">
        <x:f>AC673-U673</x:f>
        <x:v>0</x:v>
      </x:c>
    </x:row>
    <x:row r="674">
      <x:c r="A674" t="s">
        <x:v>1697</x:v>
      </x:c>
      <x:c r="C674" t="s">
        <x:v>358</x:v>
      </x:c>
      <x:c r="D674">
        <x:v>8482263</x:v>
      </x:c>
      <x:c r="E674" t="s">
        <x:v>267</x:v>
      </x:c>
      <x:c r="J674" t="s">
        <x:v>2474</x:v>
      </x:c>
      <x:c r="K674">
        <x:v>75</x:v>
      </x:c>
      <x:c r="L674">
        <x:v>33</x:v>
      </x:c>
      <x:c r="M674">
        <x:v>67</x:v>
      </x:c>
      <x:c r="N674">
        <x:v>37</x:v>
      </x:c>
      <x:c r="O674">
        <x:v>81</x:v>
      </x:c>
      <x:c r="P674">
        <x:v>77</x:v>
      </x:c>
      <x:c r="Q674">
        <x:v>79</x:v>
      </x:c>
      <x:c r="R674">
        <x:v>36</x:v>
      </x:c>
      <x:c r="S674">
        <x:v>69</x:v>
      </x:c>
      <x:c r="T674" s="63" t="n">
        <x:f>MAX(30,MIN(AB674-VLOOKUP(AE674,'AHL_PA_SC_BALANCE'!$A$8:$E$18,2,FALSE),VLOOKUP(AE674,'AHL_PA_SC_BALANCE'!$A$8:$E$18,4,FALSE)))</x:f>
        <x:v>40</x:v>
      </x:c>
      <x:c r="U674" s="63" t="n">
        <x:f>MAX(30,MIN(AC674-VLOOKUP(AE674,'AHL_PA_SC_BALANCE'!$A$8:$E$18,3,FALSE),VLOOKUP(AE674,'AHL_PA_SC_BALANCE'!$A$8:$E$18,5,FALSE)))</x:f>
        <x:v>40</x:v>
      </x:c>
      <x:c r="V674">
        <x:v>62</x:v>
      </x:c>
      <x:c r="W674">
        <x:v>59</x:v>
      </x:c>
      <x:c r="X674">
        <x:v>69</x:v>
      </x:c>
      <x:c r="Y674">
        <x:v>69</x:v>
      </x:c>
      <x:c r="Z674">
        <x:v>51</x:v>
      </x:c>
      <x:c r="AA674">
        <x:v>48</x:v>
      </x:c>
      <x:c r="AB674" s="57" t="n">
        <x:v>40</x:v>
      </x:c>
      <x:c r="AC674" s="57" t="n">
        <x:v>40</x:v>
      </x:c>
      <x:c r="AD674" s="59"/>
      <x:c r="AE674" s="61" t="str">
        <x:f>IF(N(F674)&gt;=10,"NHL_LATEST_10",IF(AND(N(F674)&gt;0,N(G674)&gt;0),"NHL_BOTH_SEASONS",IF(N(G674)&gt;=10,"NHL_PREVIOUS_10",IF(AND(ISNUMBER(AD674),AD674=0,SUM(F674:G674)=0),"FARM_CAREER_0",IF(COUNT(F674:G674)&lt;2,"UNKNOWN_GP",IF(AND(F674=0,G674=0),IF(AD674&gt;=10,"FARM_LEGACY_10",IF(AND(ISNUMBER(AD674),AD674&gt;0),"FARM_CAREER_1_9","FARM_0_0")),IF(F674&gt;=1,IF(F674&lt;=3,"FARM_RECENT_1_3","FARM_RECENT_4_9"),"FARM_PREV_1_9_ONLY")))))))</x:f>
        <x:v>UNKNOWN_GP</x:v>
      </x:c>
      <x:c r="AF674" s="57" t="n">
        <x:f>AB674-T674</x:f>
        <x:v>0</x:v>
      </x:c>
      <x:c r="AG674" s="57" t="n">
        <x:f>AC674-U674</x:f>
        <x:v>0</x:v>
      </x:c>
    </x:row>
    <x:row r="675">
      <x:c r="A675" t="s">
        <x:v>1698</x:v>
      </x:c>
      <x:c r="C675" t="s">
        <x:v>319</x:v>
      </x:c>
      <x:c r="D675">
        <x:v>8482739</x:v>
      </x:c>
      <x:c r="E675" t="s">
        <x:v>267</x:v>
      </x:c>
      <x:c r="J675" t="s">
        <x:v>2474</x:v>
      </x:c>
      <x:c r="K675">
        <x:v>69</x:v>
      </x:c>
      <x:c r="L675">
        <x:v>33</x:v>
      </x:c>
      <x:c r="M675">
        <x:v>91</x:v>
      </x:c>
      <x:c r="N675">
        <x:v>40</x:v>
      </x:c>
      <x:c r="O675">
        <x:v>79</x:v>
      </x:c>
      <x:c r="P675">
        <x:v>82</x:v>
      </x:c>
      <x:c r="Q675">
        <x:v>85</x:v>
      </x:c>
      <x:c r="R675">
        <x:v>41</x:v>
      </x:c>
      <x:c r="S675">
        <x:v>71</x:v>
      </x:c>
      <x:c r="T675" s="63" t="n">
        <x:f>MAX(30,MIN(AB675-VLOOKUP(AE675,'AHL_PA_SC_BALANCE'!$A$8:$E$18,2,FALSE),VLOOKUP(AE675,'AHL_PA_SC_BALANCE'!$A$8:$E$18,4,FALSE)))</x:f>
        <x:v>42</x:v>
      </x:c>
      <x:c r="U675" s="63" t="n">
        <x:f>MAX(30,MIN(AC675-VLOOKUP(AE675,'AHL_PA_SC_BALANCE'!$A$8:$E$18,3,FALSE),VLOOKUP(AE675,'AHL_PA_SC_BALANCE'!$A$8:$E$18,5,FALSE)))</x:f>
        <x:v>43</x:v>
      </x:c>
      <x:c r="V675">
        <x:v>61</x:v>
      </x:c>
      <x:c r="W675">
        <x:v>62</x:v>
      </x:c>
      <x:c r="X675">
        <x:v>66</x:v>
      </x:c>
      <x:c r="Y675">
        <x:v>66</x:v>
      </x:c>
      <x:c r="Z675">
        <x:v>51</x:v>
      </x:c>
      <x:c r="AA675">
        <x:v>48</x:v>
      </x:c>
      <x:c r="AB675" s="57" t="n">
        <x:v>42</x:v>
      </x:c>
      <x:c r="AC675" s="57" t="n">
        <x:v>43</x:v>
      </x:c>
      <x:c r="AD675" s="59"/>
      <x:c r="AE675" s="61" t="str">
        <x:f>IF(N(F675)&gt;=10,"NHL_LATEST_10",IF(AND(N(F675)&gt;0,N(G675)&gt;0),"NHL_BOTH_SEASONS",IF(N(G675)&gt;=10,"NHL_PREVIOUS_10",IF(AND(ISNUMBER(AD675),AD675=0,SUM(F675:G675)=0),"FARM_CAREER_0",IF(COUNT(F675:G675)&lt;2,"UNKNOWN_GP",IF(AND(F675=0,G675=0),IF(AD675&gt;=10,"FARM_LEGACY_10",IF(AND(ISNUMBER(AD675),AD675&gt;0),"FARM_CAREER_1_9","FARM_0_0")),IF(F675&gt;=1,IF(F675&lt;=3,"FARM_RECENT_1_3","FARM_RECENT_4_9"),"FARM_PREV_1_9_ONLY")))))))</x:f>
        <x:v>UNKNOWN_GP</x:v>
      </x:c>
      <x:c r="AF675" s="57" t="n">
        <x:f>AB675-T675</x:f>
        <x:v>0</x:v>
      </x:c>
      <x:c r="AG675" s="57" t="n">
        <x:f>AC675-U675</x:f>
        <x:v>0</x:v>
      </x:c>
    </x:row>
    <x:row r="676">
      <x:c r="A676" t="s">
        <x:v>1699</x:v>
      </x:c>
      <x:c r="C676" t="s">
        <x:v>323</x:v>
      </x:c>
      <x:c r="D676">
        <x:v>8483452</x:v>
      </x:c>
      <x:c r="E676" t="s">
        <x:v>267</x:v>
      </x:c>
      <x:c r="J676" t="s">
        <x:v>2474</x:v>
      </x:c>
      <x:c r="K676">
        <x:v>68</x:v>
      </x:c>
      <x:c r="L676">
        <x:v>45</x:v>
      </x:c>
      <x:c r="M676">
        <x:v>86</x:v>
      </x:c>
      <x:c r="N676">
        <x:v>40</x:v>
      </x:c>
      <x:c r="O676">
        <x:v>76</x:v>
      </x:c>
      <x:c r="P676">
        <x:v>87</x:v>
      </x:c>
      <x:c r="Q676">
        <x:v>89</x:v>
      </x:c>
      <x:c r="R676">
        <x:v>39</x:v>
      </x:c>
      <x:c r="S676">
        <x:v>79</x:v>
      </x:c>
      <x:c r="T676" s="63" t="n">
        <x:f>MAX(30,MIN(AB676-VLOOKUP(AE676,'AHL_PA_SC_BALANCE'!$A$8:$E$18,2,FALSE),VLOOKUP(AE676,'AHL_PA_SC_BALANCE'!$A$8:$E$18,4,FALSE)))</x:f>
        <x:v>44</x:v>
      </x:c>
      <x:c r="U676" s="63" t="n">
        <x:f>MAX(30,MIN(AC676-VLOOKUP(AE676,'AHL_PA_SC_BALANCE'!$A$8:$E$18,3,FALSE),VLOOKUP(AE676,'AHL_PA_SC_BALANCE'!$A$8:$E$18,5,FALSE)))</x:f>
        <x:v>45</x:v>
      </x:c>
      <x:c r="V676">
        <x:v>60</x:v>
      </x:c>
      <x:c r="W676">
        <x:v>61</x:v>
      </x:c>
      <x:c r="X676">
        <x:v>65</x:v>
      </x:c>
      <x:c r="Y676">
        <x:v>64</x:v>
      </x:c>
      <x:c r="Z676">
        <x:v>51</x:v>
      </x:c>
      <x:c r="AA676">
        <x:v>48</x:v>
      </x:c>
      <x:c r="AB676" s="57" t="n">
        <x:v>44</x:v>
      </x:c>
      <x:c r="AC676" s="57" t="n">
        <x:v>45</x:v>
      </x:c>
      <x:c r="AD676" s="59"/>
      <x:c r="AE676" s="61" t="str">
        <x:f>IF(N(F676)&gt;=10,"NHL_LATEST_10",IF(AND(N(F676)&gt;0,N(G676)&gt;0),"NHL_BOTH_SEASONS",IF(N(G676)&gt;=10,"NHL_PREVIOUS_10",IF(AND(ISNUMBER(AD676),AD676=0,SUM(F676:G676)=0),"FARM_CAREER_0",IF(COUNT(F676:G676)&lt;2,"UNKNOWN_GP",IF(AND(F676=0,G676=0),IF(AD676&gt;=10,"FARM_LEGACY_10",IF(AND(ISNUMBER(AD676),AD676&gt;0),"FARM_CAREER_1_9","FARM_0_0")),IF(F676&gt;=1,IF(F676&lt;=3,"FARM_RECENT_1_3","FARM_RECENT_4_9"),"FARM_PREV_1_9_ONLY")))))))</x:f>
        <x:v>UNKNOWN_GP</x:v>
      </x:c>
      <x:c r="AF676" s="57" t="n">
        <x:f>AB676-T676</x:f>
        <x:v>0</x:v>
      </x:c>
      <x:c r="AG676" s="57" t="n">
        <x:f>AC676-U676</x:f>
        <x:v>0</x:v>
      </x:c>
    </x:row>
    <x:row r="677">
      <x:c r="A677" t="s">
        <x:v>1700</x:v>
      </x:c>
      <x:c r="C677" t="s">
        <x:v>326</x:v>
      </x:c>
      <x:c r="D677">
        <x:v>8484243</x:v>
      </x:c>
      <x:c r="E677" t="s">
        <x:v>267</x:v>
      </x:c>
      <x:c r="J677" t="s">
        <x:v>2474</x:v>
      </x:c>
      <x:c r="K677">
        <x:v>66</x:v>
      </x:c>
      <x:c r="L677">
        <x:v>38</x:v>
      </x:c>
      <x:c r="M677">
        <x:v>84</x:v>
      </x:c>
      <x:c r="N677">
        <x:v>41</x:v>
      </x:c>
      <x:c r="O677">
        <x:v>83</x:v>
      </x:c>
      <x:c r="P677">
        <x:v>81</x:v>
      </x:c>
      <x:c r="Q677">
        <x:v>85</x:v>
      </x:c>
      <x:c r="R677">
        <x:v>42</x:v>
      </x:c>
      <x:c r="S677">
        <x:v>66</x:v>
      </x:c>
      <x:c r="T677" s="63" t="n">
        <x:f>MAX(30,MIN(AB677-VLOOKUP(AE677,'AHL_PA_SC_BALANCE'!$A$8:$E$18,2,FALSE),VLOOKUP(AE677,'AHL_PA_SC_BALANCE'!$A$8:$E$18,4,FALSE)))</x:f>
        <x:v>43</x:v>
      </x:c>
      <x:c r="U677" s="63" t="n">
        <x:f>MAX(30,MIN(AC677-VLOOKUP(AE677,'AHL_PA_SC_BALANCE'!$A$8:$E$18,3,FALSE),VLOOKUP(AE677,'AHL_PA_SC_BALANCE'!$A$8:$E$18,5,FALSE)))</x:f>
        <x:v>44</x:v>
      </x:c>
      <x:c r="V677">
        <x:v>59</x:v>
      </x:c>
      <x:c r="W677">
        <x:v>63</x:v>
      </x:c>
      <x:c r="X677">
        <x:v>65</x:v>
      </x:c>
      <x:c r="Y677">
        <x:v>64</x:v>
      </x:c>
      <x:c r="Z677">
        <x:v>51</x:v>
      </x:c>
      <x:c r="AA677">
        <x:v>48</x:v>
      </x:c>
      <x:c r="AB677" s="57" t="n">
        <x:v>43</x:v>
      </x:c>
      <x:c r="AC677" s="57" t="n">
        <x:v>44</x:v>
      </x:c>
      <x:c r="AD677" s="59"/>
      <x:c r="AE677" s="61" t="str">
        <x:f>IF(N(F677)&gt;=10,"NHL_LATEST_10",IF(AND(N(F677)&gt;0,N(G677)&gt;0),"NHL_BOTH_SEASONS",IF(N(G677)&gt;=10,"NHL_PREVIOUS_10",IF(AND(ISNUMBER(AD677),AD677=0,SUM(F677:G677)=0),"FARM_CAREER_0",IF(COUNT(F677:G677)&lt;2,"UNKNOWN_GP",IF(AND(F677=0,G677=0),IF(AD677&gt;=10,"FARM_LEGACY_10",IF(AND(ISNUMBER(AD677),AD677&gt;0),"FARM_CAREER_1_9","FARM_0_0")),IF(F677&gt;=1,IF(F677&lt;=3,"FARM_RECENT_1_3","FARM_RECENT_4_9"),"FARM_PREV_1_9_ONLY")))))))</x:f>
        <x:v>UNKNOWN_GP</x:v>
      </x:c>
      <x:c r="AF677" s="57" t="n">
        <x:f>AB677-T677</x:f>
        <x:v>0</x:v>
      </x:c>
      <x:c r="AG677" s="57" t="n">
        <x:f>AC677-U677</x:f>
        <x:v>0</x:v>
      </x:c>
    </x:row>
    <x:row r="678">
      <x:c r="A678" t="s">
        <x:v>1701</x:v>
      </x:c>
      <x:c r="C678" t="s">
        <x:v>331</x:v>
      </x:c>
      <x:c r="D678">
        <x:v>8486149</x:v>
      </x:c>
      <x:c r="E678" t="s">
        <x:v>267</x:v>
      </x:c>
      <x:c r="J678" t="s">
        <x:v>2474</x:v>
      </x:c>
      <x:c r="K678">
        <x:v>63</x:v>
      </x:c>
      <x:c r="L678">
        <x:v>39</x:v>
      </x:c>
      <x:c r="M678">
        <x:v>88</x:v>
      </x:c>
      <x:c r="N678">
        <x:v>30</x:v>
      </x:c>
      <x:c r="O678">
        <x:v>83</x:v>
      </x:c>
      <x:c r="P678">
        <x:v>67</x:v>
      </x:c>
      <x:c r="Q678">
        <x:v>70</x:v>
      </x:c>
      <x:c r="R678">
        <x:v>31</x:v>
      </x:c>
      <x:c r="S678">
        <x:v>30</x:v>
      </x:c>
      <x:c r="T678" s="63" t="n">
        <x:f>MAX(30,MIN(AB678-VLOOKUP(AE678,'AHL_PA_SC_BALANCE'!$A$8:$E$18,2,FALSE),VLOOKUP(AE678,'AHL_PA_SC_BALANCE'!$A$8:$E$18,4,FALSE)))</x:f>
        <x:v>39</x:v>
      </x:c>
      <x:c r="U678" s="63" t="n">
        <x:f>MAX(30,MIN(AC678-VLOOKUP(AE678,'AHL_PA_SC_BALANCE'!$A$8:$E$18,3,FALSE),VLOOKUP(AE678,'AHL_PA_SC_BALANCE'!$A$8:$E$18,5,FALSE)))</x:f>
        <x:v>38</x:v>
      </x:c>
      <x:c r="V678">
        <x:v>64</x:v>
      </x:c>
      <x:c r="W678">
        <x:v>43</x:v>
      </x:c>
      <x:c r="X678">
        <x:v>66</x:v>
      </x:c>
      <x:c r="Y678">
        <x:v>65</x:v>
      </x:c>
      <x:c r="Z678">
        <x:v>51</x:v>
      </x:c>
      <x:c r="AA678">
        <x:v>48</x:v>
      </x:c>
      <x:c r="AB678" s="57" t="n">
        <x:v>39</x:v>
      </x:c>
      <x:c r="AC678" s="57" t="n">
        <x:v>38</x:v>
      </x:c>
      <x:c r="AD678" s="59"/>
      <x:c r="AE678" s="61" t="str">
        <x:f>IF(N(F678)&gt;=10,"NHL_LATEST_10",IF(AND(N(F678)&gt;0,N(G678)&gt;0),"NHL_BOTH_SEASONS",IF(N(G678)&gt;=10,"NHL_PREVIOUS_10",IF(AND(ISNUMBER(AD678),AD678=0,SUM(F678:G678)=0),"FARM_CAREER_0",IF(COUNT(F678:G678)&lt;2,"UNKNOWN_GP",IF(AND(F678=0,G678=0),IF(AD678&gt;=10,"FARM_LEGACY_10",IF(AND(ISNUMBER(AD678),AD678&gt;0),"FARM_CAREER_1_9","FARM_0_0")),IF(F678&gt;=1,IF(F678&lt;=3,"FARM_RECENT_1_3","FARM_RECENT_4_9"),"FARM_PREV_1_9_ONLY")))))))</x:f>
        <x:v>UNKNOWN_GP</x:v>
      </x:c>
      <x:c r="AF678" s="57" t="n">
        <x:f>AB678-T678</x:f>
        <x:v>0</x:v>
      </x:c>
      <x:c r="AG678" s="57" t="n">
        <x:f>AC678-U678</x:f>
        <x:v>0</x:v>
      </x:c>
    </x:row>
    <x:row r="679">
      <x:c r="A679" t="s">
        <x:v>1702</x:v>
      </x:c>
      <x:c r="C679" t="s">
        <x:v>331</x:v>
      </x:c>
      <x:c r="D679">
        <x:v>8486127</x:v>
      </x:c>
      <x:c r="E679" t="s">
        <x:v>267</x:v>
      </x:c>
      <x:c r="J679" t="s">
        <x:v>2474</x:v>
      </x:c>
      <x:c r="K679">
        <x:v>68</x:v>
      </x:c>
      <x:c r="L679">
        <x:v>35</x:v>
      </x:c>
      <x:c r="M679">
        <x:v>91</x:v>
      </x:c>
      <x:c r="N679">
        <x:v>30</x:v>
      </x:c>
      <x:c r="O679">
        <x:v>80</x:v>
      </x:c>
      <x:c r="P679">
        <x:v>67</x:v>
      </x:c>
      <x:c r="Q679">
        <x:v>70</x:v>
      </x:c>
      <x:c r="R679">
        <x:v>30</x:v>
      </x:c>
      <x:c r="S679">
        <x:v>30</x:v>
      </x:c>
      <x:c r="T679" s="63" t="n">
        <x:f>MAX(30,MIN(AB679-VLOOKUP(AE679,'AHL_PA_SC_BALANCE'!$A$8:$E$18,2,FALSE),VLOOKUP(AE679,'AHL_PA_SC_BALANCE'!$A$8:$E$18,4,FALSE)))</x:f>
        <x:v>39</x:v>
      </x:c>
      <x:c r="U679" s="63" t="n">
        <x:f>MAX(30,MIN(AC679-VLOOKUP(AE679,'AHL_PA_SC_BALANCE'!$A$8:$E$18,3,FALSE),VLOOKUP(AE679,'AHL_PA_SC_BALANCE'!$A$8:$E$18,5,FALSE)))</x:f>
        <x:v>38</x:v>
      </x:c>
      <x:c r="V679">
        <x:v>64</x:v>
      </x:c>
      <x:c r="W679">
        <x:v>43</x:v>
      </x:c>
      <x:c r="X679">
        <x:v>66</x:v>
      </x:c>
      <x:c r="Y679">
        <x:v>65</x:v>
      </x:c>
      <x:c r="Z679">
        <x:v>51</x:v>
      </x:c>
      <x:c r="AA679">
        <x:v>48</x:v>
      </x:c>
      <x:c r="AB679" s="57" t="n">
        <x:v>39</x:v>
      </x:c>
      <x:c r="AC679" s="57" t="n">
        <x:v>38</x:v>
      </x:c>
      <x:c r="AD679" s="59"/>
      <x:c r="AE679" s="61" t="str">
        <x:f>IF(N(F679)&gt;=10,"NHL_LATEST_10",IF(AND(N(F679)&gt;0,N(G679)&gt;0),"NHL_BOTH_SEASONS",IF(N(G679)&gt;=10,"NHL_PREVIOUS_10",IF(AND(ISNUMBER(AD679),AD679=0,SUM(F679:G679)=0),"FARM_CAREER_0",IF(COUNT(F679:G679)&lt;2,"UNKNOWN_GP",IF(AND(F679=0,G679=0),IF(AD679&gt;=10,"FARM_LEGACY_10",IF(AND(ISNUMBER(AD679),AD679&gt;0),"FARM_CAREER_1_9","FARM_0_0")),IF(F679&gt;=1,IF(F679&lt;=3,"FARM_RECENT_1_3","FARM_RECENT_4_9"),"FARM_PREV_1_9_ONLY")))))))</x:f>
        <x:v>UNKNOWN_GP</x:v>
      </x:c>
      <x:c r="AF679" s="57" t="n">
        <x:f>AB679-T679</x:f>
        <x:v>0</x:v>
      </x:c>
      <x:c r="AG679" s="57" t="n">
        <x:f>AC679-U679</x:f>
        <x:v>0</x:v>
      </x:c>
    </x:row>
    <x:row r="680">
      <x:c r="A680" t="s">
        <x:v>1703</x:v>
      </x:c>
      <x:c r="C680" t="s">
        <x:v>319</x:v>
      </x:c>
      <x:c r="D680">
        <x:v>8484616</x:v>
      </x:c>
      <x:c r="E680" t="s">
        <x:v>267</x:v>
      </x:c>
      <x:c r="J680" t="s">
        <x:v>2474</x:v>
      </x:c>
      <x:c r="K680">
        <x:v>63</x:v>
      </x:c>
      <x:c r="L680">
        <x:v>39</x:v>
      </x:c>
      <x:c r="M680">
        <x:v>83</x:v>
      </x:c>
      <x:c r="N680">
        <x:v>43</x:v>
      </x:c>
      <x:c r="O680">
        <x:v>80</x:v>
      </x:c>
      <x:c r="P680">
        <x:v>80</x:v>
      </x:c>
      <x:c r="Q680">
        <x:v>84</x:v>
      </x:c>
      <x:c r="R680">
        <x:v>44</x:v>
      </x:c>
      <x:c r="S680">
        <x:v>64</x:v>
      </x:c>
      <x:c r="T680" s="63" t="n">
        <x:f>MAX(30,MIN(AB680-VLOOKUP(AE680,'AHL_PA_SC_BALANCE'!$A$8:$E$18,2,FALSE),VLOOKUP(AE680,'AHL_PA_SC_BALANCE'!$A$8:$E$18,4,FALSE)))</x:f>
        <x:v>44</x:v>
      </x:c>
      <x:c r="U680" s="63" t="n">
        <x:f>MAX(30,MIN(AC680-VLOOKUP(AE680,'AHL_PA_SC_BALANCE'!$A$8:$E$18,3,FALSE),VLOOKUP(AE680,'AHL_PA_SC_BALANCE'!$A$8:$E$18,5,FALSE)))</x:f>
        <x:v>44</x:v>
      </x:c>
      <x:c r="V680">
        <x:v>61</x:v>
      </x:c>
      <x:c r="W680">
        <x:v>64</x:v>
      </x:c>
      <x:c r="X680">
        <x:v>65</x:v>
      </x:c>
      <x:c r="Y680">
        <x:v>66</x:v>
      </x:c>
      <x:c r="Z680">
        <x:v>51</x:v>
      </x:c>
      <x:c r="AA680">
        <x:v>48</x:v>
      </x:c>
      <x:c r="AB680" s="57" t="n">
        <x:v>44</x:v>
      </x:c>
      <x:c r="AC680" s="57" t="n">
        <x:v>44</x:v>
      </x:c>
      <x:c r="AD680" s="59"/>
      <x:c r="AE680" s="61" t="str">
        <x:f>IF(N(F680)&gt;=10,"NHL_LATEST_10",IF(AND(N(F680)&gt;0,N(G680)&gt;0),"NHL_BOTH_SEASONS",IF(N(G680)&gt;=10,"NHL_PREVIOUS_10",IF(AND(ISNUMBER(AD680),AD680=0,SUM(F680:G680)=0),"FARM_CAREER_0",IF(COUNT(F680:G680)&lt;2,"UNKNOWN_GP",IF(AND(F680=0,G680=0),IF(AD680&gt;=10,"FARM_LEGACY_10",IF(AND(ISNUMBER(AD680),AD680&gt;0),"FARM_CAREER_1_9","FARM_0_0")),IF(F680&gt;=1,IF(F680&lt;=3,"FARM_RECENT_1_3","FARM_RECENT_4_9"),"FARM_PREV_1_9_ONLY")))))))</x:f>
        <x:v>UNKNOWN_GP</x:v>
      </x:c>
      <x:c r="AF680" s="57" t="n">
        <x:f>AB680-T680</x:f>
        <x:v>0</x:v>
      </x:c>
      <x:c r="AG680" s="57" t="n">
        <x:f>AC680-U680</x:f>
        <x:v>0</x:v>
      </x:c>
    </x:row>
    <x:row r="681">
      <x:c r="A681" t="s">
        <x:v>1704</x:v>
      </x:c>
      <x:c r="B681" t="s">
        <x:v>584</x:v>
      </x:c>
      <x:c r="C681" t="s">
        <x:v>331</x:v>
      </x:c>
      <x:c r="D681">
        <x:v>8485551</x:v>
      </x:c>
      <x:c r="E681" t="s">
        <x:v>267</x:v>
      </x:c>
      <x:c r="J681" t="s">
        <x:v>2476</x:v>
      </x:c>
      <x:c r="K681">
        <x:v>64</x:v>
      </x:c>
      <x:c r="L681">
        <x:v>33</x:v>
      </x:c>
      <x:c r="M681">
        <x:v>90</x:v>
      </x:c>
      <x:c r="N681">
        <x:v>30</x:v>
      </x:c>
      <x:c r="O681">
        <x:v>81</x:v>
      </x:c>
      <x:c r="P681">
        <x:v>67</x:v>
      </x:c>
      <x:c r="Q681">
        <x:v>70</x:v>
      </x:c>
      <x:c r="R681">
        <x:v>31</x:v>
      </x:c>
      <x:c r="S681">
        <x:v>30</x:v>
      </x:c>
      <x:c r="T681" s="63" t="n">
        <x:f>MAX(30,MIN(AB681-VLOOKUP(AE681,'AHL_PA_SC_BALANCE'!$A$8:$E$18,2,FALSE),VLOOKUP(AE681,'AHL_PA_SC_BALANCE'!$A$8:$E$18,4,FALSE)))</x:f>
        <x:v>39</x:v>
      </x:c>
      <x:c r="U681" s="63" t="n">
        <x:f>MAX(30,MIN(AC681-VLOOKUP(AE681,'AHL_PA_SC_BALANCE'!$A$8:$E$18,3,FALSE),VLOOKUP(AE681,'AHL_PA_SC_BALANCE'!$A$8:$E$18,5,FALSE)))</x:f>
        <x:v>38</x:v>
      </x:c>
      <x:c r="V681">
        <x:v>65</x:v>
      </x:c>
      <x:c r="W681">
        <x:v>43</x:v>
      </x:c>
      <x:c r="X681">
        <x:v>67</x:v>
      </x:c>
      <x:c r="Y681">
        <x:v>67</x:v>
      </x:c>
      <x:c r="Z681">
        <x:v>51</x:v>
      </x:c>
      <x:c r="AA681">
        <x:v>48</x:v>
      </x:c>
      <x:c r="AB681" s="57" t="n">
        <x:v>39</x:v>
      </x:c>
      <x:c r="AC681" s="57" t="n">
        <x:v>38</x:v>
      </x:c>
      <x:c r="AD681" s="59"/>
      <x:c r="AE681" s="61" t="str">
        <x:f>IF(N(F681)&gt;=10,"NHL_LATEST_10",IF(AND(N(F681)&gt;0,N(G681)&gt;0),"NHL_BOTH_SEASONS",IF(N(G681)&gt;=10,"NHL_PREVIOUS_10",IF(AND(ISNUMBER(AD681),AD681=0,SUM(F681:G681)=0),"FARM_CAREER_0",IF(COUNT(F681:G681)&lt;2,"UNKNOWN_GP",IF(AND(F681=0,G681=0),IF(AD681&gt;=10,"FARM_LEGACY_10",IF(AND(ISNUMBER(AD681),AD681&gt;0),"FARM_CAREER_1_9","FARM_0_0")),IF(F681&gt;=1,IF(F681&lt;=3,"FARM_RECENT_1_3","FARM_RECENT_4_9"),"FARM_PREV_1_9_ONLY")))))))</x:f>
        <x:v>UNKNOWN_GP</x:v>
      </x:c>
      <x:c r="AF681" s="57" t="n">
        <x:f>AB681-T681</x:f>
        <x:v>0</x:v>
      </x:c>
      <x:c r="AG681" s="57" t="n">
        <x:f>AC681-U681</x:f>
        <x:v>0</x:v>
      </x:c>
    </x:row>
    <x:row r="682">
      <x:c r="A682" t="s">
        <x:v>1705</x:v>
      </x:c>
      <x:c r="C682" t="s">
        <x:v>319</x:v>
      </x:c>
      <x:c r="D682">
        <x:v>8481558</x:v>
      </x:c>
      <x:c r="E682" t="s">
        <x:v>267</x:v>
      </x:c>
      <x:c r="J682" t="s">
        <x:v>2474</x:v>
      </x:c>
      <x:c r="K682">
        <x:v>65</x:v>
      </x:c>
      <x:c r="L682">
        <x:v>33</x:v>
      </x:c>
      <x:c r="M682">
        <x:v>92</x:v>
      </x:c>
      <x:c r="N682">
        <x:v>41</x:v>
      </x:c>
      <x:c r="O682">
        <x:v>77</x:v>
      </x:c>
      <x:c r="P682">
        <x:v>89</x:v>
      </x:c>
      <x:c r="Q682">
        <x:v>92</x:v>
      </x:c>
      <x:c r="R682">
        <x:v>41</x:v>
      </x:c>
      <x:c r="S682">
        <x:v>72</x:v>
      </x:c>
      <x:c r="T682" s="63" t="n">
        <x:f>MAX(30,MIN(AB682-VLOOKUP(AE682,'AHL_PA_SC_BALANCE'!$A$8:$E$18,2,FALSE),VLOOKUP(AE682,'AHL_PA_SC_BALANCE'!$A$8:$E$18,4,FALSE)))</x:f>
        <x:v>43</x:v>
      </x:c>
      <x:c r="U682" s="63" t="n">
        <x:f>MAX(30,MIN(AC682-VLOOKUP(AE682,'AHL_PA_SC_BALANCE'!$A$8:$E$18,3,FALSE),VLOOKUP(AE682,'AHL_PA_SC_BALANCE'!$A$8:$E$18,5,FALSE)))</x:f>
        <x:v>42</x:v>
      </x:c>
      <x:c r="V682">
        <x:v>60</x:v>
      </x:c>
      <x:c r="W682">
        <x:v>62</x:v>
      </x:c>
      <x:c r="X682">
        <x:v>68</x:v>
      </x:c>
      <x:c r="Y682">
        <x:v>67</x:v>
      </x:c>
      <x:c r="Z682">
        <x:v>51</x:v>
      </x:c>
      <x:c r="AA682">
        <x:v>48</x:v>
      </x:c>
      <x:c r="AB682" s="57" t="n">
        <x:v>43</x:v>
      </x:c>
      <x:c r="AC682" s="57" t="n">
        <x:v>42</x:v>
      </x:c>
      <x:c r="AD682" s="59"/>
      <x:c r="AE682" s="61" t="str">
        <x:f>IF(N(F682)&gt;=10,"NHL_LATEST_10",IF(AND(N(F682)&gt;0,N(G682)&gt;0),"NHL_BOTH_SEASONS",IF(N(G682)&gt;=10,"NHL_PREVIOUS_10",IF(AND(ISNUMBER(AD682),AD682=0,SUM(F682:G682)=0),"FARM_CAREER_0",IF(COUNT(F682:G682)&lt;2,"UNKNOWN_GP",IF(AND(F682=0,G682=0),IF(AD682&gt;=10,"FARM_LEGACY_10",IF(AND(ISNUMBER(AD682),AD682&gt;0),"FARM_CAREER_1_9","FARM_0_0")),IF(F682&gt;=1,IF(F682&lt;=3,"FARM_RECENT_1_3","FARM_RECENT_4_9"),"FARM_PREV_1_9_ONLY")))))))</x:f>
        <x:v>UNKNOWN_GP</x:v>
      </x:c>
      <x:c r="AF682" s="57" t="n">
        <x:f>AB682-T682</x:f>
        <x:v>0</x:v>
      </x:c>
      <x:c r="AG682" s="57" t="n">
        <x:f>AC682-U682</x:f>
        <x:v>0</x:v>
      </x:c>
    </x:row>
    <x:row r="683">
      <x:c r="A683" t="s">
        <x:v>1706</x:v>
      </x:c>
      <x:c r="C683" t="s">
        <x:v>319</x:v>
      </x:c>
      <x:c r="D683">
        <x:v>8483511</x:v>
      </x:c>
      <x:c r="E683" t="s">
        <x:v>267</x:v>
      </x:c>
      <x:c r="J683" t="s">
        <x:v>2474</x:v>
      </x:c>
      <x:c r="K683">
        <x:v>72</x:v>
      </x:c>
      <x:c r="L683">
        <x:v>42</x:v>
      </x:c>
      <x:c r="M683">
        <x:v>92</x:v>
      </x:c>
      <x:c r="N683">
        <x:v>39</x:v>
      </x:c>
      <x:c r="O683">
        <x:v>82</x:v>
      </x:c>
      <x:c r="P683">
        <x:v>93</x:v>
      </x:c>
      <x:c r="Q683">
        <x:v>96</x:v>
      </x:c>
      <x:c r="R683">
        <x:v>40</x:v>
      </x:c>
      <x:c r="S683">
        <x:v>75</x:v>
      </x:c>
      <x:c r="T683" s="63" t="n">
        <x:f>MAX(30,MIN(AB683-VLOOKUP(AE683,'AHL_PA_SC_BALANCE'!$A$8:$E$18,2,FALSE),VLOOKUP(AE683,'AHL_PA_SC_BALANCE'!$A$8:$E$18,4,FALSE)))</x:f>
        <x:v>43</x:v>
      </x:c>
      <x:c r="U683" s="63" t="n">
        <x:f>MAX(30,MIN(AC683-VLOOKUP(AE683,'AHL_PA_SC_BALANCE'!$A$8:$E$18,3,FALSE),VLOOKUP(AE683,'AHL_PA_SC_BALANCE'!$A$8:$E$18,5,FALSE)))</x:f>
        <x:v>45</x:v>
      </x:c>
      <x:c r="V683">
        <x:v>57</x:v>
      </x:c>
      <x:c r="W683">
        <x:v>60</x:v>
      </x:c>
      <x:c r="X683">
        <x:v>67</x:v>
      </x:c>
      <x:c r="Y683">
        <x:v>66</x:v>
      </x:c>
      <x:c r="Z683">
        <x:v>51</x:v>
      </x:c>
      <x:c r="AA683">
        <x:v>48</x:v>
      </x:c>
      <x:c r="AB683" s="57" t="n">
        <x:v>43</x:v>
      </x:c>
      <x:c r="AC683" s="57" t="n">
        <x:v>45</x:v>
      </x:c>
      <x:c r="AD683" s="59"/>
      <x:c r="AE683" s="61" t="str">
        <x:f>IF(N(F683)&gt;=10,"NHL_LATEST_10",IF(AND(N(F683)&gt;0,N(G683)&gt;0),"NHL_BOTH_SEASONS",IF(N(G683)&gt;=10,"NHL_PREVIOUS_10",IF(AND(ISNUMBER(AD683),AD683=0,SUM(F683:G683)=0),"FARM_CAREER_0",IF(COUNT(F683:G683)&lt;2,"UNKNOWN_GP",IF(AND(F683=0,G683=0),IF(AD683&gt;=10,"FARM_LEGACY_10",IF(AND(ISNUMBER(AD683),AD683&gt;0),"FARM_CAREER_1_9","FARM_0_0")),IF(F683&gt;=1,IF(F683&lt;=3,"FARM_RECENT_1_3","FARM_RECENT_4_9"),"FARM_PREV_1_9_ONLY")))))))</x:f>
        <x:v>UNKNOWN_GP</x:v>
      </x:c>
      <x:c r="AF683" s="57" t="n">
        <x:f>AB683-T683</x:f>
        <x:v>0</x:v>
      </x:c>
      <x:c r="AG683" s="57" t="n">
        <x:f>AC683-U683</x:f>
        <x:v>0</x:v>
      </x:c>
    </x:row>
    <x:row r="684">
      <x:c r="A684" t="s">
        <x:v>1707</x:v>
      </x:c>
      <x:c r="C684" t="s">
        <x:v>326</x:v>
      </x:c>
      <x:c r="D684">
        <x:v>8484255</x:v>
      </x:c>
      <x:c r="E684" t="s">
        <x:v>267</x:v>
      </x:c>
      <x:c r="J684" t="s">
        <x:v>2474</x:v>
      </x:c>
      <x:c r="K684">
        <x:v>68</x:v>
      </x:c>
      <x:c r="L684">
        <x:v>37</x:v>
      </x:c>
      <x:c r="M684">
        <x:v>90</x:v>
      </x:c>
      <x:c r="N684">
        <x:v>39</x:v>
      </x:c>
      <x:c r="O684">
        <x:v>79</x:v>
      </x:c>
      <x:c r="P684">
        <x:v>80</x:v>
      </x:c>
      <x:c r="Q684">
        <x:v>83</x:v>
      </x:c>
      <x:c r="R684">
        <x:v>38</x:v>
      </x:c>
      <x:c r="S684">
        <x:v>66</x:v>
      </x:c>
      <x:c r="T684" s="63" t="n">
        <x:f>MAX(30,MIN(AB684-VLOOKUP(AE684,'AHL_PA_SC_BALANCE'!$A$8:$E$18,2,FALSE),VLOOKUP(AE684,'AHL_PA_SC_BALANCE'!$A$8:$E$18,4,FALSE)))</x:f>
        <x:v>46</x:v>
      </x:c>
      <x:c r="U684" s="63" t="n">
        <x:f>MAX(30,MIN(AC684-VLOOKUP(AE684,'AHL_PA_SC_BALANCE'!$A$8:$E$18,3,FALSE),VLOOKUP(AE684,'AHL_PA_SC_BALANCE'!$A$8:$E$18,5,FALSE)))</x:f>
        <x:v>47</x:v>
      </x:c>
      <x:c r="V684">
        <x:v>61</x:v>
      </x:c>
      <x:c r="W684">
        <x:v>61</x:v>
      </x:c>
      <x:c r="X684">
        <x:v>69</x:v>
      </x:c>
      <x:c r="Y684">
        <x:v>70</x:v>
      </x:c>
      <x:c r="Z684">
        <x:v>51</x:v>
      </x:c>
      <x:c r="AA684">
        <x:v>48</x:v>
      </x:c>
      <x:c r="AB684" s="57" t="n">
        <x:v>46</x:v>
      </x:c>
      <x:c r="AC684" s="57" t="n">
        <x:v>47</x:v>
      </x:c>
      <x:c r="AD684" s="59"/>
      <x:c r="AE684" s="61" t="str">
        <x:f>IF(N(F684)&gt;=10,"NHL_LATEST_10",IF(AND(N(F684)&gt;0,N(G684)&gt;0),"NHL_BOTH_SEASONS",IF(N(G684)&gt;=10,"NHL_PREVIOUS_10",IF(AND(ISNUMBER(AD684),AD684=0,SUM(F684:G684)=0),"FARM_CAREER_0",IF(COUNT(F684:G684)&lt;2,"UNKNOWN_GP",IF(AND(F684=0,G684=0),IF(AD684&gt;=10,"FARM_LEGACY_10",IF(AND(ISNUMBER(AD684),AD684&gt;0),"FARM_CAREER_1_9","FARM_0_0")),IF(F684&gt;=1,IF(F684&lt;=3,"FARM_RECENT_1_3","FARM_RECENT_4_9"),"FARM_PREV_1_9_ONLY")))))))</x:f>
        <x:v>UNKNOWN_GP</x:v>
      </x:c>
      <x:c r="AF684" s="57" t="n">
        <x:f>AB684-T684</x:f>
        <x:v>0</x:v>
      </x:c>
      <x:c r="AG684" s="57" t="n">
        <x:f>AC684-U684</x:f>
        <x:v>0</x:v>
      </x:c>
    </x:row>
    <x:row r="685">
      <x:c r="A685" t="s">
        <x:v>1708</x:v>
      </x:c>
      <x:c r="C685" t="s">
        <x:v>319</x:v>
      </x:c>
      <x:c r="D685">
        <x:v>8483579</x:v>
      </x:c>
      <x:c r="E685" t="s">
        <x:v>267</x:v>
      </x:c>
      <x:c r="J685" t="s">
        <x:v>2474</x:v>
      </x:c>
      <x:c r="K685">
        <x:v>60</x:v>
      </x:c>
      <x:c r="L685">
        <x:v>36</x:v>
      </x:c>
      <x:c r="M685">
        <x:v>84</x:v>
      </x:c>
      <x:c r="N685">
        <x:v>43</x:v>
      </x:c>
      <x:c r="O685">
        <x:v>78</x:v>
      </x:c>
      <x:c r="P685">
        <x:v>86</x:v>
      </x:c>
      <x:c r="Q685">
        <x:v>89</x:v>
      </x:c>
      <x:c r="R685">
        <x:v>44</x:v>
      </x:c>
      <x:c r="S685">
        <x:v>68</x:v>
      </x:c>
      <x:c r="T685" s="63" t="n">
        <x:f>MAX(30,MIN(AB685-VLOOKUP(AE685,'AHL_PA_SC_BALANCE'!$A$8:$E$18,2,FALSE),VLOOKUP(AE685,'AHL_PA_SC_BALANCE'!$A$8:$E$18,4,FALSE)))</x:f>
        <x:v>43</x:v>
      </x:c>
      <x:c r="U685" s="63" t="n">
        <x:f>MAX(30,MIN(AC685-VLOOKUP(AE685,'AHL_PA_SC_BALANCE'!$A$8:$E$18,3,FALSE),VLOOKUP(AE685,'AHL_PA_SC_BALANCE'!$A$8:$E$18,5,FALSE)))</x:f>
        <x:v>45</x:v>
      </x:c>
      <x:c r="V685">
        <x:v>58</x:v>
      </x:c>
      <x:c r="W685">
        <x:v>64</x:v>
      </x:c>
      <x:c r="X685">
        <x:v>69</x:v>
      </x:c>
      <x:c r="Y685">
        <x:v>70</x:v>
      </x:c>
      <x:c r="Z685">
        <x:v>51</x:v>
      </x:c>
      <x:c r="AA685">
        <x:v>48</x:v>
      </x:c>
      <x:c r="AB685" s="57" t="n">
        <x:v>43</x:v>
      </x:c>
      <x:c r="AC685" s="57" t="n">
        <x:v>45</x:v>
      </x:c>
      <x:c r="AD685" s="59"/>
      <x:c r="AE685" s="61" t="str">
        <x:f>IF(N(F685)&gt;=10,"NHL_LATEST_10",IF(AND(N(F685)&gt;0,N(G685)&gt;0),"NHL_BOTH_SEASONS",IF(N(G685)&gt;=10,"NHL_PREVIOUS_10",IF(AND(ISNUMBER(AD685),AD685=0,SUM(F685:G685)=0),"FARM_CAREER_0",IF(COUNT(F685:G685)&lt;2,"UNKNOWN_GP",IF(AND(F685=0,G685=0),IF(AD685&gt;=10,"FARM_LEGACY_10",IF(AND(ISNUMBER(AD685),AD685&gt;0),"FARM_CAREER_1_9","FARM_0_0")),IF(F685&gt;=1,IF(F685&lt;=3,"FARM_RECENT_1_3","FARM_RECENT_4_9"),"FARM_PREV_1_9_ONLY")))))))</x:f>
        <x:v>UNKNOWN_GP</x:v>
      </x:c>
      <x:c r="AF685" s="57" t="n">
        <x:f>AB685-T685</x:f>
        <x:v>0</x:v>
      </x:c>
      <x:c r="AG685" s="57" t="n">
        <x:f>AC685-U685</x:f>
        <x:v>0</x:v>
      </x:c>
    </x:row>
    <x:row r="686">
      <x:c r="A686" t="s">
        <x:v>1709</x:v>
      </x:c>
      <x:c r="C686" t="s">
        <x:v>358</x:v>
      </x:c>
      <x:c r="D686">
        <x:v>8483652</x:v>
      </x:c>
      <x:c r="E686" t="s">
        <x:v>267</x:v>
      </x:c>
      <x:c r="J686" t="s">
        <x:v>2474</x:v>
      </x:c>
      <x:c r="K686">
        <x:v>72</x:v>
      </x:c>
      <x:c r="L686">
        <x:v>39</x:v>
      </x:c>
      <x:c r="M686">
        <x:v>74</x:v>
      </x:c>
      <x:c r="N686">
        <x:v>40</x:v>
      </x:c>
      <x:c r="O686">
        <x:v>79</x:v>
      </x:c>
      <x:c r="P686">
        <x:v>85</x:v>
      </x:c>
      <x:c r="Q686">
        <x:v>88</x:v>
      </x:c>
      <x:c r="R686">
        <x:v>40</x:v>
      </x:c>
      <x:c r="S686">
        <x:v>68</x:v>
      </x:c>
      <x:c r="T686" s="63" t="n">
        <x:f>MAX(30,MIN(AB686-VLOOKUP(AE686,'AHL_PA_SC_BALANCE'!$A$8:$E$18,2,FALSE),VLOOKUP(AE686,'AHL_PA_SC_BALANCE'!$A$8:$E$18,4,FALSE)))</x:f>
        <x:v>42</x:v>
      </x:c>
      <x:c r="U686" s="63" t="n">
        <x:f>MAX(30,MIN(AC686-VLOOKUP(AE686,'AHL_PA_SC_BALANCE'!$A$8:$E$18,3,FALSE),VLOOKUP(AE686,'AHL_PA_SC_BALANCE'!$A$8:$E$18,5,FALSE)))</x:f>
        <x:v>42</x:v>
      </x:c>
      <x:c r="V686">
        <x:v>61</x:v>
      </x:c>
      <x:c r="W686">
        <x:v>62</x:v>
      </x:c>
      <x:c r="X686">
        <x:v>70</x:v>
      </x:c>
      <x:c r="Y686">
        <x:v>69</x:v>
      </x:c>
      <x:c r="Z686">
        <x:v>51</x:v>
      </x:c>
      <x:c r="AA686">
        <x:v>48</x:v>
      </x:c>
      <x:c r="AB686" s="57" t="n">
        <x:v>42</x:v>
      </x:c>
      <x:c r="AC686" s="57" t="n">
        <x:v>42</x:v>
      </x:c>
      <x:c r="AD686" s="59"/>
      <x:c r="AE686" s="61" t="str">
        <x:f>IF(N(F686)&gt;=10,"NHL_LATEST_10",IF(AND(N(F686)&gt;0,N(G686)&gt;0),"NHL_BOTH_SEASONS",IF(N(G686)&gt;=10,"NHL_PREVIOUS_10",IF(AND(ISNUMBER(AD686),AD686=0,SUM(F686:G686)=0),"FARM_CAREER_0",IF(COUNT(F686:G686)&lt;2,"UNKNOWN_GP",IF(AND(F686=0,G686=0),IF(AD686&gt;=10,"FARM_LEGACY_10",IF(AND(ISNUMBER(AD686),AD686&gt;0),"FARM_CAREER_1_9","FARM_0_0")),IF(F686&gt;=1,IF(F686&lt;=3,"FARM_RECENT_1_3","FARM_RECENT_4_9"),"FARM_PREV_1_9_ONLY")))))))</x:f>
        <x:v>UNKNOWN_GP</x:v>
      </x:c>
      <x:c r="AF686" s="57" t="n">
        <x:f>AB686-T686</x:f>
        <x:v>0</x:v>
      </x:c>
      <x:c r="AG686" s="57" t="n">
        <x:f>AC686-U686</x:f>
        <x:v>0</x:v>
      </x:c>
    </x:row>
    <x:row r="687">
      <x:c r="A687" t="s">
        <x:v>1710</x:v>
      </x:c>
      <x:c r="C687" t="s">
        <x:v>326</x:v>
      </x:c>
      <x:c r="D687">
        <x:v>8485469</x:v>
      </x:c>
      <x:c r="E687" t="s">
        <x:v>267</x:v>
      </x:c>
      <x:c r="J687" t="s">
        <x:v>2474</x:v>
      </x:c>
      <x:c r="K687">
        <x:v>62</x:v>
      </x:c>
      <x:c r="L687">
        <x:v>38</x:v>
      </x:c>
      <x:c r="M687">
        <x:v>91</x:v>
      </x:c>
      <x:c r="N687">
        <x:v>44</x:v>
      </x:c>
      <x:c r="O687">
        <x:v>75</x:v>
      </x:c>
      <x:c r="P687">
        <x:v>83</x:v>
      </x:c>
      <x:c r="Q687">
        <x:v>86</x:v>
      </x:c>
      <x:c r="R687">
        <x:v>43</x:v>
      </x:c>
      <x:c r="S687">
        <x:v>48</x:v>
      </x:c>
      <x:c r="T687" s="63" t="n">
        <x:f>MAX(30,MIN(AB687-VLOOKUP(AE687,'AHL_PA_SC_BALANCE'!$A$8:$E$18,2,FALSE),VLOOKUP(AE687,'AHL_PA_SC_BALANCE'!$A$8:$E$18,4,FALSE)))</x:f>
        <x:v>46</x:v>
      </x:c>
      <x:c r="U687" s="63" t="n">
        <x:f>MAX(30,MIN(AC687-VLOOKUP(AE687,'AHL_PA_SC_BALANCE'!$A$8:$E$18,3,FALSE),VLOOKUP(AE687,'AHL_PA_SC_BALANCE'!$A$8:$E$18,5,FALSE)))</x:f>
        <x:v>44</x:v>
      </x:c>
      <x:c r="V687">
        <x:v>58</x:v>
      </x:c>
      <x:c r="W687">
        <x:v>66</x:v>
      </x:c>
      <x:c r="X687">
        <x:v>67</x:v>
      </x:c>
      <x:c r="Y687">
        <x:v>65</x:v>
      </x:c>
      <x:c r="Z687">
        <x:v>51</x:v>
      </x:c>
      <x:c r="AA687">
        <x:v>48</x:v>
      </x:c>
      <x:c r="AB687" s="57" t="n">
        <x:v>46</x:v>
      </x:c>
      <x:c r="AC687" s="57" t="n">
        <x:v>44</x:v>
      </x:c>
      <x:c r="AD687" s="59"/>
      <x:c r="AE687" s="61" t="str">
        <x:f>IF(N(F687)&gt;=10,"NHL_LATEST_10",IF(AND(N(F687)&gt;0,N(G687)&gt;0),"NHL_BOTH_SEASONS",IF(N(G687)&gt;=10,"NHL_PREVIOUS_10",IF(AND(ISNUMBER(AD687),AD687=0,SUM(F687:G687)=0),"FARM_CAREER_0",IF(COUNT(F687:G687)&lt;2,"UNKNOWN_GP",IF(AND(F687=0,G687=0),IF(AD687&gt;=10,"FARM_LEGACY_10",IF(AND(ISNUMBER(AD687),AD687&gt;0),"FARM_CAREER_1_9","FARM_0_0")),IF(F687&gt;=1,IF(F687&lt;=3,"FARM_RECENT_1_3","FARM_RECENT_4_9"),"FARM_PREV_1_9_ONLY")))))))</x:f>
        <x:v>UNKNOWN_GP</x:v>
      </x:c>
      <x:c r="AF687" s="57" t="n">
        <x:f>AB687-T687</x:f>
        <x:v>0</x:v>
      </x:c>
      <x:c r="AG687" s="57" t="n">
        <x:f>AC687-U687</x:f>
        <x:v>0</x:v>
      </x:c>
    </x:row>
    <x:row r="688">
      <x:c r="A688" t="s">
        <x:v>1711</x:v>
      </x:c>
      <x:c r="C688" t="s">
        <x:v>358</x:v>
      </x:c>
      <x:c r="D688">
        <x:v>8475748</x:v>
      </x:c>
      <x:c r="E688" t="s">
        <x:v>267</x:v>
      </x:c>
      <x:c r="J688" t="s">
        <x:v>2474</x:v>
      </x:c>
      <x:c r="K688">
        <x:v>77</x:v>
      </x:c>
      <x:c r="L688">
        <x:v>45</x:v>
      </x:c>
      <x:c r="M688">
        <x:v>74</x:v>
      </x:c>
      <x:c r="N688">
        <x:v>38</x:v>
      </x:c>
      <x:c r="O688">
        <x:v>83</x:v>
      </x:c>
      <x:c r="P688">
        <x:v>82</x:v>
      </x:c>
      <x:c r="Q688">
        <x:v>86</x:v>
      </x:c>
      <x:c r="R688">
        <x:v>37</x:v>
      </x:c>
      <x:c r="S688">
        <x:v>51</x:v>
      </x:c>
      <x:c r="T688" s="63" t="n">
        <x:f>MAX(30,MIN(AB688-VLOOKUP(AE688,'AHL_PA_SC_BALANCE'!$A$8:$E$18,2,FALSE),VLOOKUP(AE688,'AHL_PA_SC_BALANCE'!$A$8:$E$18,4,FALSE)))</x:f>
        <x:v>40</x:v>
      </x:c>
      <x:c r="U688" s="63" t="n">
        <x:f>MAX(30,MIN(AC688-VLOOKUP(AE688,'AHL_PA_SC_BALANCE'!$A$8:$E$18,3,FALSE),VLOOKUP(AE688,'AHL_PA_SC_BALANCE'!$A$8:$E$18,5,FALSE)))</x:f>
        <x:v>40</x:v>
      </x:c>
      <x:c r="V688">
        <x:v>61</x:v>
      </x:c>
      <x:c r="W688">
        <x:v>59</x:v>
      </x:c>
      <x:c r="X688">
        <x:v>80</x:v>
      </x:c>
      <x:c r="Y688">
        <x:v>76</x:v>
      </x:c>
      <x:c r="Z688">
        <x:v>51</x:v>
      </x:c>
      <x:c r="AA688">
        <x:v>48</x:v>
      </x:c>
      <x:c r="AB688" s="57" t="n">
        <x:v>40</x:v>
      </x:c>
      <x:c r="AC688" s="57" t="n">
        <x:v>40</x:v>
      </x:c>
      <x:c r="AD688" s="59"/>
      <x:c r="AE688" s="61" t="str">
        <x:f>IF(N(F688)&gt;=10,"NHL_LATEST_10",IF(AND(N(F688)&gt;0,N(G688)&gt;0),"NHL_BOTH_SEASONS",IF(N(G688)&gt;=10,"NHL_PREVIOUS_10",IF(AND(ISNUMBER(AD688),AD688=0,SUM(F688:G688)=0),"FARM_CAREER_0",IF(COUNT(F688:G688)&lt;2,"UNKNOWN_GP",IF(AND(F688=0,G688=0),IF(AD688&gt;=10,"FARM_LEGACY_10",IF(AND(ISNUMBER(AD688),AD688&gt;0),"FARM_CAREER_1_9","FARM_0_0")),IF(F688&gt;=1,IF(F688&lt;=3,"FARM_RECENT_1_3","FARM_RECENT_4_9"),"FARM_PREV_1_9_ONLY")))))))</x:f>
        <x:v>UNKNOWN_GP</x:v>
      </x:c>
      <x:c r="AF688" s="57" t="n">
        <x:f>AB688-T688</x:f>
        <x:v>0</x:v>
      </x:c>
      <x:c r="AG688" s="57" t="n">
        <x:f>AC688-U688</x:f>
        <x:v>0</x:v>
      </x:c>
    </x:row>
    <x:row r="689">
      <x:c r="A689" t="s">
        <x:v>1712</x:v>
      </x:c>
      <x:c r="C689" t="s">
        <x:v>358</x:v>
      </x:c>
      <x:c r="D689">
        <x:v>8482162</x:v>
      </x:c>
      <x:c r="E689" t="s">
        <x:v>267</x:v>
      </x:c>
      <x:c r="J689" t="s">
        <x:v>2474</x:v>
      </x:c>
      <x:c r="K689">
        <x:v>66</x:v>
      </x:c>
      <x:c r="L689">
        <x:v>36</x:v>
      </x:c>
      <x:c r="M689">
        <x:v>84</x:v>
      </x:c>
      <x:c r="N689">
        <x:v>40</x:v>
      </x:c>
      <x:c r="O689">
        <x:v>79</x:v>
      </x:c>
      <x:c r="P689">
        <x:v>81</x:v>
      </x:c>
      <x:c r="Q689">
        <x:v>86</x:v>
      </x:c>
      <x:c r="R689">
        <x:v>40</x:v>
      </x:c>
      <x:c r="S689">
        <x:v>58</x:v>
      </x:c>
      <x:c r="T689" s="63" t="n">
        <x:f>MAX(30,MIN(AB689-VLOOKUP(AE689,'AHL_PA_SC_BALANCE'!$A$8:$E$18,2,FALSE),VLOOKUP(AE689,'AHL_PA_SC_BALANCE'!$A$8:$E$18,4,FALSE)))</x:f>
        <x:v>48</x:v>
      </x:c>
      <x:c r="U689" s="63" t="n">
        <x:f>MAX(30,MIN(AC689-VLOOKUP(AE689,'AHL_PA_SC_BALANCE'!$A$8:$E$18,3,FALSE),VLOOKUP(AE689,'AHL_PA_SC_BALANCE'!$A$8:$E$18,5,FALSE)))</x:f>
        <x:v>47</x:v>
      </x:c>
      <x:c r="V689">
        <x:v>61</x:v>
      </x:c>
      <x:c r="W689">
        <x:v>62</x:v>
      </x:c>
      <x:c r="X689">
        <x:v>67</x:v>
      </x:c>
      <x:c r="Y689">
        <x:v>68</x:v>
      </x:c>
      <x:c r="Z689">
        <x:v>51</x:v>
      </x:c>
      <x:c r="AA689">
        <x:v>48</x:v>
      </x:c>
      <x:c r="AB689" s="57" t="n">
        <x:v>48</x:v>
      </x:c>
      <x:c r="AC689" s="57" t="n">
        <x:v>47</x:v>
      </x:c>
      <x:c r="AD689" s="59"/>
      <x:c r="AE689" s="61" t="str">
        <x:f>IF(N(F689)&gt;=10,"NHL_LATEST_10",IF(AND(N(F689)&gt;0,N(G689)&gt;0),"NHL_BOTH_SEASONS",IF(N(G689)&gt;=10,"NHL_PREVIOUS_10",IF(AND(ISNUMBER(AD689),AD689=0,SUM(F689:G689)=0),"FARM_CAREER_0",IF(COUNT(F689:G689)&lt;2,"UNKNOWN_GP",IF(AND(F689=0,G689=0),IF(AD689&gt;=10,"FARM_LEGACY_10",IF(AND(ISNUMBER(AD689),AD689&gt;0),"FARM_CAREER_1_9","FARM_0_0")),IF(F689&gt;=1,IF(F689&lt;=3,"FARM_RECENT_1_3","FARM_RECENT_4_9"),"FARM_PREV_1_9_ONLY")))))))</x:f>
        <x:v>UNKNOWN_GP</x:v>
      </x:c>
      <x:c r="AF689" s="57" t="n">
        <x:f>AB689-T689</x:f>
        <x:v>0</x:v>
      </x:c>
      <x:c r="AG689" s="57" t="n">
        <x:f>AC689-U689</x:f>
        <x:v>0</x:v>
      </x:c>
    </x:row>
    <x:row r="690">
      <x:c r="A690" t="s">
        <x:v>1713</x:v>
      </x:c>
      <x:c r="C690" t="s">
        <x:v>319</x:v>
      </x:c>
      <x:c r="D690">
        <x:v>8485467</x:v>
      </x:c>
      <x:c r="E690" t="s">
        <x:v>267</x:v>
      </x:c>
      <x:c r="J690" t="s">
        <x:v>2474</x:v>
      </x:c>
      <x:c r="K690">
        <x:v>61</x:v>
      </x:c>
      <x:c r="L690">
        <x:v>37</x:v>
      </x:c>
      <x:c r="M690">
        <x:v>87</x:v>
      </x:c>
      <x:c r="N690">
        <x:v>42</x:v>
      </x:c>
      <x:c r="O690">
        <x:v>81</x:v>
      </x:c>
      <x:c r="P690">
        <x:v>90</x:v>
      </x:c>
      <x:c r="Q690">
        <x:v>94</x:v>
      </x:c>
      <x:c r="R690">
        <x:v>43</x:v>
      </x:c>
      <x:c r="S690">
        <x:v>59</x:v>
      </x:c>
      <x:c r="T690" s="63" t="n">
        <x:f>MAX(30,MIN(AB690-VLOOKUP(AE690,'AHL_PA_SC_BALANCE'!$A$8:$E$18,2,FALSE),VLOOKUP(AE690,'AHL_PA_SC_BALANCE'!$A$8:$E$18,4,FALSE)))</x:f>
        <x:v>43</x:v>
      </x:c>
      <x:c r="U690" s="63" t="n">
        <x:f>MAX(30,MIN(AC690-VLOOKUP(AE690,'AHL_PA_SC_BALANCE'!$A$8:$E$18,3,FALSE),VLOOKUP(AE690,'AHL_PA_SC_BALANCE'!$A$8:$E$18,5,FALSE)))</x:f>
        <x:v>45</x:v>
      </x:c>
      <x:c r="V690">
        <x:v>60</x:v>
      </x:c>
      <x:c r="W690">
        <x:v>64</x:v>
      </x:c>
      <x:c r="X690">
        <x:v>65</x:v>
      </x:c>
      <x:c r="Y690">
        <x:v>66</x:v>
      </x:c>
      <x:c r="Z690">
        <x:v>51</x:v>
      </x:c>
      <x:c r="AA690">
        <x:v>48</x:v>
      </x:c>
      <x:c r="AB690" s="57" t="n">
        <x:v>43</x:v>
      </x:c>
      <x:c r="AC690" s="57" t="n">
        <x:v>45</x:v>
      </x:c>
      <x:c r="AD690" s="59"/>
      <x:c r="AE690" s="61" t="str">
        <x:f>IF(N(F690)&gt;=10,"NHL_LATEST_10",IF(AND(N(F690)&gt;0,N(G690)&gt;0),"NHL_BOTH_SEASONS",IF(N(G690)&gt;=10,"NHL_PREVIOUS_10",IF(AND(ISNUMBER(AD690),AD690=0,SUM(F690:G690)=0),"FARM_CAREER_0",IF(COUNT(F690:G690)&lt;2,"UNKNOWN_GP",IF(AND(F690=0,G690=0),IF(AD690&gt;=10,"FARM_LEGACY_10",IF(AND(ISNUMBER(AD690),AD690&gt;0),"FARM_CAREER_1_9","FARM_0_0")),IF(F690&gt;=1,IF(F690&lt;=3,"FARM_RECENT_1_3","FARM_RECENT_4_9"),"FARM_PREV_1_9_ONLY")))))))</x:f>
        <x:v>UNKNOWN_GP</x:v>
      </x:c>
      <x:c r="AF690" s="57" t="n">
        <x:f>AB690-T690</x:f>
        <x:v>0</x:v>
      </x:c>
      <x:c r="AG690" s="57" t="n">
        <x:f>AC690-U690</x:f>
        <x:v>0</x:v>
      </x:c>
    </x:row>
    <x:row r="691">
      <x:c r="A691" t="s">
        <x:v>1714</x:v>
      </x:c>
      <x:c r="C691" t="s">
        <x:v>319</x:v>
      </x:c>
      <x:c r="D691">
        <x:v>8482133</x:v>
      </x:c>
      <x:c r="E691" t="s">
        <x:v>267</x:v>
      </x:c>
      <x:c r="J691" t="s">
        <x:v>2474</x:v>
      </x:c>
      <x:c r="K691">
        <x:v>62</x:v>
      </x:c>
      <x:c r="L691">
        <x:v>35</x:v>
      </x:c>
      <x:c r="M691">
        <x:v>79</x:v>
      </x:c>
      <x:c r="N691">
        <x:v>43</x:v>
      </x:c>
      <x:c r="O691">
        <x:v>76</x:v>
      </x:c>
      <x:c r="P691">
        <x:v>84</x:v>
      </x:c>
      <x:c r="Q691">
        <x:v>87</x:v>
      </x:c>
      <x:c r="R691">
        <x:v>43</x:v>
      </x:c>
      <x:c r="S691">
        <x:v>83</x:v>
      </x:c>
      <x:c r="T691" s="63" t="n">
        <x:f>MAX(30,MIN(AB691-VLOOKUP(AE691,'AHL_PA_SC_BALANCE'!$A$8:$E$18,2,FALSE),VLOOKUP(AE691,'AHL_PA_SC_BALANCE'!$A$8:$E$18,4,FALSE)))</x:f>
        <x:v>49</x:v>
      </x:c>
      <x:c r="U691" s="63" t="n">
        <x:f>MAX(30,MIN(AC691-VLOOKUP(AE691,'AHL_PA_SC_BALANCE'!$A$8:$E$18,3,FALSE),VLOOKUP(AE691,'AHL_PA_SC_BALANCE'!$A$8:$E$18,5,FALSE)))</x:f>
        <x:v>51</x:v>
      </x:c>
      <x:c r="V691">
        <x:v>63</x:v>
      </x:c>
      <x:c r="W691">
        <x:v>64</x:v>
      </x:c>
      <x:c r="X691">
        <x:v>67</x:v>
      </x:c>
      <x:c r="Y691">
        <x:v>68</x:v>
      </x:c>
      <x:c r="Z691">
        <x:v>51</x:v>
      </x:c>
      <x:c r="AA691">
        <x:v>48</x:v>
      </x:c>
      <x:c r="AB691" s="57" t="n">
        <x:v>49</x:v>
      </x:c>
      <x:c r="AC691" s="57" t="n">
        <x:v>51</x:v>
      </x:c>
      <x:c r="AD691" s="59"/>
      <x:c r="AE691" s="61" t="str">
        <x:f>IF(N(F691)&gt;=10,"NHL_LATEST_10",IF(AND(N(F691)&gt;0,N(G691)&gt;0),"NHL_BOTH_SEASONS",IF(N(G691)&gt;=10,"NHL_PREVIOUS_10",IF(AND(ISNUMBER(AD691),AD691=0,SUM(F691:G691)=0),"FARM_CAREER_0",IF(COUNT(F691:G691)&lt;2,"UNKNOWN_GP",IF(AND(F691=0,G691=0),IF(AD691&gt;=10,"FARM_LEGACY_10",IF(AND(ISNUMBER(AD691),AD691&gt;0),"FARM_CAREER_1_9","FARM_0_0")),IF(F691&gt;=1,IF(F691&lt;=3,"FARM_RECENT_1_3","FARM_RECENT_4_9"),"FARM_PREV_1_9_ONLY")))))))</x:f>
        <x:v>UNKNOWN_GP</x:v>
      </x:c>
      <x:c r="AF691" s="57" t="n">
        <x:f>AB691-T691</x:f>
        <x:v>0</x:v>
      </x:c>
      <x:c r="AG691" s="57" t="n">
        <x:f>AC691-U691</x:f>
        <x:v>0</x:v>
      </x:c>
    </x:row>
    <x:row r="692">
      <x:c r="A692" t="s">
        <x:v>1715</x:v>
      </x:c>
      <x:c r="C692" t="s">
        <x:v>339</x:v>
      </x:c>
      <x:c r="D692">
        <x:v>8483930</x:v>
      </x:c>
      <x:c r="E692" t="s">
        <x:v>267</x:v>
      </x:c>
      <x:c r="J692" t="s">
        <x:v>2474</x:v>
      </x:c>
      <x:c r="K692">
        <x:v>65</x:v>
      </x:c>
      <x:c r="L692">
        <x:v>35</x:v>
      </x:c>
      <x:c r="M692">
        <x:v>85</x:v>
      </x:c>
      <x:c r="N692">
        <x:v>42</x:v>
      </x:c>
      <x:c r="O692">
        <x:v>78</x:v>
      </x:c>
      <x:c r="P692">
        <x:v>91</x:v>
      </x:c>
      <x:c r="Q692">
        <x:v>96</x:v>
      </x:c>
      <x:c r="R692">
        <x:v>41</x:v>
      </x:c>
      <x:c r="S692">
        <x:v>83</x:v>
      </x:c>
      <x:c r="T692" s="63" t="n">
        <x:f>MAX(30,MIN(AB692-VLOOKUP(AE692,'AHL_PA_SC_BALANCE'!$A$8:$E$18,2,FALSE),VLOOKUP(AE692,'AHL_PA_SC_BALANCE'!$A$8:$E$18,4,FALSE)))</x:f>
        <x:v>44</x:v>
      </x:c>
      <x:c r="U692" s="63" t="n">
        <x:f>MAX(30,MIN(AC692-VLOOKUP(AE692,'AHL_PA_SC_BALANCE'!$A$8:$E$18,3,FALSE),VLOOKUP(AE692,'AHL_PA_SC_BALANCE'!$A$8:$E$18,5,FALSE)))</x:f>
        <x:v>44</x:v>
      </x:c>
      <x:c r="V692">
        <x:v>58</x:v>
      </x:c>
      <x:c r="W692">
        <x:v>65</x:v>
      </x:c>
      <x:c r="X692">
        <x:v>67</x:v>
      </x:c>
      <x:c r="Y692">
        <x:v>66</x:v>
      </x:c>
      <x:c r="Z692">
        <x:v>51</x:v>
      </x:c>
      <x:c r="AA692">
        <x:v>48</x:v>
      </x:c>
      <x:c r="AB692" s="57" t="n">
        <x:v>44</x:v>
      </x:c>
      <x:c r="AC692" s="57" t="n">
        <x:v>44</x:v>
      </x:c>
      <x:c r="AD692" s="59"/>
      <x:c r="AE692" s="61" t="str">
        <x:f>IF(N(F692)&gt;=10,"NHL_LATEST_10",IF(AND(N(F692)&gt;0,N(G692)&gt;0),"NHL_BOTH_SEASONS",IF(N(G692)&gt;=10,"NHL_PREVIOUS_10",IF(AND(ISNUMBER(AD692),AD692=0,SUM(F692:G692)=0),"FARM_CAREER_0",IF(COUNT(F692:G692)&lt;2,"UNKNOWN_GP",IF(AND(F692=0,G692=0),IF(AD692&gt;=10,"FARM_LEGACY_10",IF(AND(ISNUMBER(AD692),AD692&gt;0),"FARM_CAREER_1_9","FARM_0_0")),IF(F692&gt;=1,IF(F692&lt;=3,"FARM_RECENT_1_3","FARM_RECENT_4_9"),"FARM_PREV_1_9_ONLY")))))))</x:f>
        <x:v>UNKNOWN_GP</x:v>
      </x:c>
      <x:c r="AF692" s="57" t="n">
        <x:f>AB692-T692</x:f>
        <x:v>0</x:v>
      </x:c>
      <x:c r="AG692" s="57" t="n">
        <x:f>AC692-U692</x:f>
        <x:v>0</x:v>
      </x:c>
    </x:row>
    <x:row r="693">
      <x:c r="A693" t="s">
        <x:v>1716</x:v>
      </x:c>
      <x:c r="C693" t="s">
        <x:v>326</x:v>
      </x:c>
      <x:c r="D693">
        <x:v>8476576</x:v>
      </x:c>
      <x:c r="E693" t="s">
        <x:v>267</x:v>
      </x:c>
      <x:c r="J693" t="s">
        <x:v>2474</x:v>
      </x:c>
      <x:c r="K693">
        <x:v>72</x:v>
      </x:c>
      <x:c r="L693">
        <x:v>72</x:v>
      </x:c>
      <x:c r="M693">
        <x:v>73</x:v>
      </x:c>
      <x:c r="N693">
        <x:v>31</x:v>
      </x:c>
      <x:c r="O693">
        <x:v>85</x:v>
      </x:c>
      <x:c r="P693">
        <x:v>81</x:v>
      </x:c>
      <x:c r="Q693">
        <x:v>83</x:v>
      </x:c>
      <x:c r="R693">
        <x:v>32</x:v>
      </x:c>
      <x:c r="S693">
        <x:v>30</x:v>
      </x:c>
      <x:c r="T693" s="63" t="n">
        <x:f>MAX(30,MIN(AB693-VLOOKUP(AE693,'AHL_PA_SC_BALANCE'!$A$8:$E$18,2,FALSE),VLOOKUP(AE693,'AHL_PA_SC_BALANCE'!$A$8:$E$18,4,FALSE)))</x:f>
        <x:v>39</x:v>
      </x:c>
      <x:c r="U693" s="63" t="n">
        <x:f>MAX(30,MIN(AC693-VLOOKUP(AE693,'AHL_PA_SC_BALANCE'!$A$8:$E$18,3,FALSE),VLOOKUP(AE693,'AHL_PA_SC_BALANCE'!$A$8:$E$18,5,FALSE)))</x:f>
        <x:v>39</x:v>
      </x:c>
      <x:c r="V693">
        <x:v>66</x:v>
      </x:c>
      <x:c r="W693">
        <x:v>44</x:v>
      </x:c>
      <x:c r="X693">
        <x:v>78</x:v>
      </x:c>
      <x:c r="Y693">
        <x:v>78</x:v>
      </x:c>
      <x:c r="Z693">
        <x:v>51</x:v>
      </x:c>
      <x:c r="AA693">
        <x:v>48</x:v>
      </x:c>
      <x:c r="AB693" s="57" t="n">
        <x:v>39</x:v>
      </x:c>
      <x:c r="AC693" s="57" t="n">
        <x:v>39</x:v>
      </x:c>
      <x:c r="AD693" s="59"/>
      <x:c r="AE693" s="61" t="str">
        <x:f>IF(N(F693)&gt;=10,"NHL_LATEST_10",IF(AND(N(F693)&gt;0,N(G693)&gt;0),"NHL_BOTH_SEASONS",IF(N(G693)&gt;=10,"NHL_PREVIOUS_10",IF(AND(ISNUMBER(AD693),AD693=0,SUM(F693:G693)=0),"FARM_CAREER_0",IF(COUNT(F693:G693)&lt;2,"UNKNOWN_GP",IF(AND(F693=0,G693=0),IF(AD693&gt;=10,"FARM_LEGACY_10",IF(AND(ISNUMBER(AD693),AD693&gt;0),"FARM_CAREER_1_9","FARM_0_0")),IF(F693&gt;=1,IF(F693&lt;=3,"FARM_RECENT_1_3","FARM_RECENT_4_9"),"FARM_PREV_1_9_ONLY")))))))</x:f>
        <x:v>UNKNOWN_GP</x:v>
      </x:c>
      <x:c r="AF693" s="57" t="n">
        <x:f>AB693-T693</x:f>
        <x:v>0</x:v>
      </x:c>
      <x:c r="AG693" s="57" t="n">
        <x:f>AC693-U693</x:f>
        <x:v>0</x:v>
      </x:c>
    </x:row>
    <x:row r="694">
      <x:c r="A694" t="s">
        <x:v>1717</x:v>
      </x:c>
      <x:c r="C694" t="s">
        <x:v>319</x:v>
      </x:c>
      <x:c r="D694">
        <x:v>8483486</x:v>
      </x:c>
      <x:c r="E694" t="s">
        <x:v>267</x:v>
      </x:c>
      <x:c r="J694" t="s">
        <x:v>2474</x:v>
      </x:c>
      <x:c r="K694">
        <x:v>70</x:v>
      </x:c>
      <x:c r="L694">
        <x:v>44</x:v>
      </x:c>
      <x:c r="M694">
        <x:v>86</x:v>
      </x:c>
      <x:c r="N694">
        <x:v>41</x:v>
      </x:c>
      <x:c r="O694">
        <x:v>78</x:v>
      </x:c>
      <x:c r="P694">
        <x:v>90</x:v>
      </x:c>
      <x:c r="Q694">
        <x:v>93</x:v>
      </x:c>
      <x:c r="R694">
        <x:v>42</x:v>
      </x:c>
      <x:c r="S694">
        <x:v>82</x:v>
      </x:c>
      <x:c r="T694" s="63" t="n">
        <x:f>MAX(30,MIN(AB694-VLOOKUP(AE694,'AHL_PA_SC_BALANCE'!$A$8:$E$18,2,FALSE),VLOOKUP(AE694,'AHL_PA_SC_BALANCE'!$A$8:$E$18,4,FALSE)))</x:f>
        <x:v>42</x:v>
      </x:c>
      <x:c r="U694" s="63" t="n">
        <x:f>MAX(30,MIN(AC694-VLOOKUP(AE694,'AHL_PA_SC_BALANCE'!$A$8:$E$18,3,FALSE),VLOOKUP(AE694,'AHL_PA_SC_BALANCE'!$A$8:$E$18,5,FALSE)))</x:f>
        <x:v>43</x:v>
      </x:c>
      <x:c r="V694">
        <x:v>58</x:v>
      </x:c>
      <x:c r="W694">
        <x:v>62</x:v>
      </x:c>
      <x:c r="X694">
        <x:v>65</x:v>
      </x:c>
      <x:c r="Y694">
        <x:v>66</x:v>
      </x:c>
      <x:c r="Z694">
        <x:v>51</x:v>
      </x:c>
      <x:c r="AA694">
        <x:v>48</x:v>
      </x:c>
      <x:c r="AB694" s="57" t="n">
        <x:v>42</x:v>
      </x:c>
      <x:c r="AC694" s="57" t="n">
        <x:v>43</x:v>
      </x:c>
      <x:c r="AD694" s="59"/>
      <x:c r="AE694" s="61" t="str">
        <x:f>IF(N(F694)&gt;=10,"NHL_LATEST_10",IF(AND(N(F694)&gt;0,N(G694)&gt;0),"NHL_BOTH_SEASONS",IF(N(G694)&gt;=10,"NHL_PREVIOUS_10",IF(AND(ISNUMBER(AD694),AD694=0,SUM(F694:G694)=0),"FARM_CAREER_0",IF(COUNT(F694:G694)&lt;2,"UNKNOWN_GP",IF(AND(F694=0,G694=0),IF(AD694&gt;=10,"FARM_LEGACY_10",IF(AND(ISNUMBER(AD694),AD694&gt;0),"FARM_CAREER_1_9","FARM_0_0")),IF(F694&gt;=1,IF(F694&lt;=3,"FARM_RECENT_1_3","FARM_RECENT_4_9"),"FARM_PREV_1_9_ONLY")))))))</x:f>
        <x:v>UNKNOWN_GP</x:v>
      </x:c>
      <x:c r="AF694" s="57" t="n">
        <x:f>AB694-T694</x:f>
        <x:v>0</x:v>
      </x:c>
      <x:c r="AG694" s="57" t="n">
        <x:f>AC694-U694</x:f>
        <x:v>0</x:v>
      </x:c>
    </x:row>
    <x:row r="695">
      <x:c r="A695" t="s">
        <x:v>1718</x:v>
      </x:c>
      <x:c r="C695" t="s">
        <x:v>358</x:v>
      </x:c>
      <x:c r="D695">
        <x:v>8482882</x:v>
      </x:c>
      <x:c r="E695" t="s">
        <x:v>267</x:v>
      </x:c>
      <x:c r="J695" t="s">
        <x:v>2474</x:v>
      </x:c>
      <x:c r="K695">
        <x:v>82</x:v>
      </x:c>
      <x:c r="L695">
        <x:v>33</x:v>
      </x:c>
      <x:c r="M695">
        <x:v>84</x:v>
      </x:c>
      <x:c r="N695">
        <x:v>40</x:v>
      </x:c>
      <x:c r="O695">
        <x:v>82</x:v>
      </x:c>
      <x:c r="P695">
        <x:v>77</x:v>
      </x:c>
      <x:c r="Q695">
        <x:v>78</x:v>
      </x:c>
      <x:c r="R695">
        <x:v>39</x:v>
      </x:c>
      <x:c r="S695">
        <x:v>71</x:v>
      </x:c>
      <x:c r="T695" s="63" t="n">
        <x:f>MAX(30,MIN(AB695-VLOOKUP(AE695,'AHL_PA_SC_BALANCE'!$A$8:$E$18,2,FALSE),VLOOKUP(AE695,'AHL_PA_SC_BALANCE'!$A$8:$E$18,4,FALSE)))</x:f>
        <x:v>43</x:v>
      </x:c>
      <x:c r="U695" s="63" t="n">
        <x:f>MAX(30,MIN(AC695-VLOOKUP(AE695,'AHL_PA_SC_BALANCE'!$A$8:$E$18,3,FALSE),VLOOKUP(AE695,'AHL_PA_SC_BALANCE'!$A$8:$E$18,5,FALSE)))</x:f>
        <x:v>43</x:v>
      </x:c>
      <x:c r="V695">
        <x:v>59</x:v>
      </x:c>
      <x:c r="W695">
        <x:v>62</x:v>
      </x:c>
      <x:c r="X695">
        <x:v>67</x:v>
      </x:c>
      <x:c r="Y695">
        <x:v>66</x:v>
      </x:c>
      <x:c r="Z695">
        <x:v>51</x:v>
      </x:c>
      <x:c r="AA695">
        <x:v>48</x:v>
      </x:c>
      <x:c r="AB695" s="57" t="n">
        <x:v>43</x:v>
      </x:c>
      <x:c r="AC695" s="57" t="n">
        <x:v>43</x:v>
      </x:c>
      <x:c r="AD695" s="59"/>
      <x:c r="AE695" s="61" t="str">
        <x:f>IF(N(F695)&gt;=10,"NHL_LATEST_10",IF(AND(N(F695)&gt;0,N(G695)&gt;0),"NHL_BOTH_SEASONS",IF(N(G695)&gt;=10,"NHL_PREVIOUS_10",IF(AND(ISNUMBER(AD695),AD695=0,SUM(F695:G695)=0),"FARM_CAREER_0",IF(COUNT(F695:G695)&lt;2,"UNKNOWN_GP",IF(AND(F695=0,G695=0),IF(AD695&gt;=10,"FARM_LEGACY_10",IF(AND(ISNUMBER(AD695),AD695&gt;0),"FARM_CAREER_1_9","FARM_0_0")),IF(F695&gt;=1,IF(F695&lt;=3,"FARM_RECENT_1_3","FARM_RECENT_4_9"),"FARM_PREV_1_9_ONLY")))))))</x:f>
        <x:v>UNKNOWN_GP</x:v>
      </x:c>
      <x:c r="AF695" s="57" t="n">
        <x:f>AB695-T695</x:f>
        <x:v>0</x:v>
      </x:c>
      <x:c r="AG695" s="57" t="n">
        <x:f>AC695-U695</x:f>
        <x:v>0</x:v>
      </x:c>
    </x:row>
    <x:row r="696">
      <x:c r="A696" t="s">
        <x:v>1719</x:v>
      </x:c>
      <x:c r="C696" t="s">
        <x:v>319</x:v>
      </x:c>
      <x:c r="D696">
        <x:v>8480249</x:v>
      </x:c>
      <x:c r="E696" t="s">
        <x:v>267</x:v>
      </x:c>
      <x:c r="J696" t="s">
        <x:v>2474</x:v>
      </x:c>
      <x:c r="K696">
        <x:v>72</x:v>
      </x:c>
      <x:c r="L696">
        <x:v>36</x:v>
      </x:c>
      <x:c r="M696">
        <x:v>81</x:v>
      </x:c>
      <x:c r="N696">
        <x:v>39</x:v>
      </x:c>
      <x:c r="O696">
        <x:v>85</x:v>
      </x:c>
      <x:c r="P696">
        <x:v>85</x:v>
      </x:c>
      <x:c r="Q696">
        <x:v>88</x:v>
      </x:c>
      <x:c r="R696">
        <x:v>39</x:v>
      </x:c>
      <x:c r="S696">
        <x:v>67</x:v>
      </x:c>
      <x:c r="T696" s="63" t="n">
        <x:f>MAX(30,MIN(AB696-VLOOKUP(AE696,'AHL_PA_SC_BALANCE'!$A$8:$E$18,2,FALSE),VLOOKUP(AE696,'AHL_PA_SC_BALANCE'!$A$8:$E$18,4,FALSE)))</x:f>
        <x:v>43</x:v>
      </x:c>
      <x:c r="U696" s="63" t="n">
        <x:f>MAX(30,MIN(AC696-VLOOKUP(AE696,'AHL_PA_SC_BALANCE'!$A$8:$E$18,3,FALSE),VLOOKUP(AE696,'AHL_PA_SC_BALANCE'!$A$8:$E$18,5,FALSE)))</x:f>
        <x:v>42</x:v>
      </x:c>
      <x:c r="V696">
        <x:v>57</x:v>
      </x:c>
      <x:c r="W696">
        <x:v>61</x:v>
      </x:c>
      <x:c r="X696">
        <x:v>69</x:v>
      </x:c>
      <x:c r="Y696">
        <x:v>69</x:v>
      </x:c>
      <x:c r="Z696">
        <x:v>51</x:v>
      </x:c>
      <x:c r="AA696">
        <x:v>48</x:v>
      </x:c>
      <x:c r="AB696" s="57" t="n">
        <x:v>43</x:v>
      </x:c>
      <x:c r="AC696" s="57" t="n">
        <x:v>42</x:v>
      </x:c>
      <x:c r="AD696" s="59"/>
      <x:c r="AE696" s="61" t="str">
        <x:f>IF(N(F696)&gt;=10,"NHL_LATEST_10",IF(AND(N(F696)&gt;0,N(G696)&gt;0),"NHL_BOTH_SEASONS",IF(N(G696)&gt;=10,"NHL_PREVIOUS_10",IF(AND(ISNUMBER(AD696),AD696=0,SUM(F696:G696)=0),"FARM_CAREER_0",IF(COUNT(F696:G696)&lt;2,"UNKNOWN_GP",IF(AND(F696=0,G696=0),IF(AD696&gt;=10,"FARM_LEGACY_10",IF(AND(ISNUMBER(AD696),AD696&gt;0),"FARM_CAREER_1_9","FARM_0_0")),IF(F696&gt;=1,IF(F696&lt;=3,"FARM_RECENT_1_3","FARM_RECENT_4_9"),"FARM_PREV_1_9_ONLY")))))))</x:f>
        <x:v>UNKNOWN_GP</x:v>
      </x:c>
      <x:c r="AF696" s="57" t="n">
        <x:f>AB696-T696</x:f>
        <x:v>0</x:v>
      </x:c>
      <x:c r="AG696" s="57" t="n">
        <x:f>AC696-U696</x:f>
        <x:v>0</x:v>
      </x:c>
    </x:row>
    <x:row r="697">
      <x:c r="A697" t="s">
        <x:v>1720</x:v>
      </x:c>
      <x:c r="C697" t="s">
        <x:v>319</x:v>
      </x:c>
      <x:c r="D697">
        <x:v>8484271</x:v>
      </x:c>
      <x:c r="E697" t="s">
        <x:v>267</x:v>
      </x:c>
      <x:c r="J697" t="s">
        <x:v>2474</x:v>
      </x:c>
      <x:c r="K697">
        <x:v>64</x:v>
      </x:c>
      <x:c r="L697">
        <x:v>35</x:v>
      </x:c>
      <x:c r="M697">
        <x:v>85</x:v>
      </x:c>
      <x:c r="N697">
        <x:v>41</x:v>
      </x:c>
      <x:c r="O697">
        <x:v>77</x:v>
      </x:c>
      <x:c r="P697">
        <x:v>74</x:v>
      </x:c>
      <x:c r="Q697">
        <x:v>76</x:v>
      </x:c>
      <x:c r="R697">
        <x:v>40</x:v>
      </x:c>
      <x:c r="S697">
        <x:v>63</x:v>
      </x:c>
      <x:c r="T697" s="63" t="n">
        <x:f>MAX(30,MIN(AB697-VLOOKUP(AE697,'AHL_PA_SC_BALANCE'!$A$8:$E$18,2,FALSE),VLOOKUP(AE697,'AHL_PA_SC_BALANCE'!$A$8:$E$18,4,FALSE)))</x:f>
        <x:v>44</x:v>
      </x:c>
      <x:c r="U697" s="63" t="n">
        <x:f>MAX(30,MIN(AC697-VLOOKUP(AE697,'AHL_PA_SC_BALANCE'!$A$8:$E$18,3,FALSE),VLOOKUP(AE697,'AHL_PA_SC_BALANCE'!$A$8:$E$18,5,FALSE)))</x:f>
        <x:v>43</x:v>
      </x:c>
      <x:c r="V697">
        <x:v>60</x:v>
      </x:c>
      <x:c r="W697">
        <x:v>64</x:v>
      </x:c>
      <x:c r="X697">
        <x:v>68</x:v>
      </x:c>
      <x:c r="Y697">
        <x:v>67</x:v>
      </x:c>
      <x:c r="Z697">
        <x:v>51</x:v>
      </x:c>
      <x:c r="AA697">
        <x:v>48</x:v>
      </x:c>
      <x:c r="AB697" s="57" t="n">
        <x:v>44</x:v>
      </x:c>
      <x:c r="AC697" s="57" t="n">
        <x:v>43</x:v>
      </x:c>
      <x:c r="AD697" s="59"/>
      <x:c r="AE697" s="61" t="str">
        <x:f>IF(N(F697)&gt;=10,"NHL_LATEST_10",IF(AND(N(F697)&gt;0,N(G697)&gt;0),"NHL_BOTH_SEASONS",IF(N(G697)&gt;=10,"NHL_PREVIOUS_10",IF(AND(ISNUMBER(AD697),AD697=0,SUM(F697:G697)=0),"FARM_CAREER_0",IF(COUNT(F697:G697)&lt;2,"UNKNOWN_GP",IF(AND(F697=0,G697=0),IF(AD697&gt;=10,"FARM_LEGACY_10",IF(AND(ISNUMBER(AD697),AD697&gt;0),"FARM_CAREER_1_9","FARM_0_0")),IF(F697&gt;=1,IF(F697&lt;=3,"FARM_RECENT_1_3","FARM_RECENT_4_9"),"FARM_PREV_1_9_ONLY")))))))</x:f>
        <x:v>UNKNOWN_GP</x:v>
      </x:c>
      <x:c r="AF697" s="57" t="n">
        <x:f>AB697-T697</x:f>
        <x:v>0</x:v>
      </x:c>
      <x:c r="AG697" s="57" t="n">
        <x:f>AC697-U697</x:f>
        <x:v>0</x:v>
      </x:c>
    </x:row>
    <x:row r="698">
      <x:c r="A698" t="s">
        <x:v>1721</x:v>
      </x:c>
      <x:c r="C698" t="s">
        <x:v>358</x:v>
      </x:c>
      <x:c r="D698">
        <x:v>8481004</x:v>
      </x:c>
      <x:c r="E698" t="s">
        <x:v>267</x:v>
      </x:c>
      <x:c r="J698" t="s">
        <x:v>2474</x:v>
      </x:c>
      <x:c r="K698">
        <x:v>63</x:v>
      </x:c>
      <x:c r="L698">
        <x:v>38</x:v>
      </x:c>
      <x:c r="M698">
        <x:v>86</x:v>
      </x:c>
      <x:c r="N698">
        <x:v>39</x:v>
      </x:c>
      <x:c r="O698">
        <x:v>82</x:v>
      </x:c>
      <x:c r="P698">
        <x:v>91</x:v>
      </x:c>
      <x:c r="Q698">
        <x:v>95</x:v>
      </x:c>
      <x:c r="R698">
        <x:v>40</x:v>
      </x:c>
      <x:c r="S698">
        <x:v>76</x:v>
      </x:c>
      <x:c r="T698" s="63" t="n">
        <x:f>MAX(30,MIN(AB698-VLOOKUP(AE698,'AHL_PA_SC_BALANCE'!$A$8:$E$18,2,FALSE),VLOOKUP(AE698,'AHL_PA_SC_BALANCE'!$A$8:$E$18,4,FALSE)))</x:f>
        <x:v>43</x:v>
      </x:c>
      <x:c r="U698" s="63" t="n">
        <x:f>MAX(30,MIN(AC698-VLOOKUP(AE698,'AHL_PA_SC_BALANCE'!$A$8:$E$18,3,FALSE),VLOOKUP(AE698,'AHL_PA_SC_BALANCE'!$A$8:$E$18,5,FALSE)))</x:f>
        <x:v>42</x:v>
      </x:c>
      <x:c r="V698">
        <x:v>61</x:v>
      </x:c>
      <x:c r="W698">
        <x:v>61</x:v>
      </x:c>
      <x:c r="X698">
        <x:v>70</x:v>
      </x:c>
      <x:c r="Y698">
        <x:v>70</x:v>
      </x:c>
      <x:c r="Z698">
        <x:v>51</x:v>
      </x:c>
      <x:c r="AA698">
        <x:v>48</x:v>
      </x:c>
      <x:c r="AB698" s="57" t="n">
        <x:v>43</x:v>
      </x:c>
      <x:c r="AC698" s="57" t="n">
        <x:v>42</x:v>
      </x:c>
      <x:c r="AD698" s="59"/>
      <x:c r="AE698" s="61" t="str">
        <x:f>IF(N(F698)&gt;=10,"NHL_LATEST_10",IF(AND(N(F698)&gt;0,N(G698)&gt;0),"NHL_BOTH_SEASONS",IF(N(G698)&gt;=10,"NHL_PREVIOUS_10",IF(AND(ISNUMBER(AD698),AD698=0,SUM(F698:G698)=0),"FARM_CAREER_0",IF(COUNT(F698:G698)&lt;2,"UNKNOWN_GP",IF(AND(F698=0,G698=0),IF(AD698&gt;=10,"FARM_LEGACY_10",IF(AND(ISNUMBER(AD698),AD698&gt;0),"FARM_CAREER_1_9","FARM_0_0")),IF(F698&gt;=1,IF(F698&lt;=3,"FARM_RECENT_1_3","FARM_RECENT_4_9"),"FARM_PREV_1_9_ONLY")))))))</x:f>
        <x:v>UNKNOWN_GP</x:v>
      </x:c>
      <x:c r="AF698" s="57" t="n">
        <x:f>AB698-T698</x:f>
        <x:v>0</x:v>
      </x:c>
      <x:c r="AG698" s="57" t="n">
        <x:f>AC698-U698</x:f>
        <x:v>0</x:v>
      </x:c>
    </x:row>
    <x:row r="699">
      <x:c r="A699" t="s">
        <x:v>1722</x:v>
      </x:c>
      <x:c r="C699" t="s">
        <x:v>331</x:v>
      </x:c>
      <x:c r="E699" t="s">
        <x:v>267</x:v>
      </x:c>
      <x:c r="J699" t="s">
        <x:v>2474</x:v>
      </x:c>
      <x:c r="K699">
        <x:v>66</x:v>
      </x:c>
      <x:c r="L699">
        <x:v>37</x:v>
      </x:c>
      <x:c r="M699">
        <x:v>91</x:v>
      </x:c>
      <x:c r="N699">
        <x:v>31</x:v>
      </x:c>
      <x:c r="O699">
        <x:v>83</x:v>
      </x:c>
      <x:c r="P699">
        <x:v>68</x:v>
      </x:c>
      <x:c r="Q699">
        <x:v>71</x:v>
      </x:c>
      <x:c r="R699">
        <x:v>31</x:v>
      </x:c>
      <x:c r="S699">
        <x:v>30</x:v>
      </x:c>
      <x:c r="T699" s="63" t="n">
        <x:f>MAX(30,MIN(AB699-VLOOKUP(AE699,'AHL_PA_SC_BALANCE'!$A$8:$E$18,2,FALSE),VLOOKUP(AE699,'AHL_PA_SC_BALANCE'!$A$8:$E$18,4,FALSE)))</x:f>
        <x:v>39</x:v>
      </x:c>
      <x:c r="U699" s="63" t="n">
        <x:f>MAX(30,MIN(AC699-VLOOKUP(AE699,'AHL_PA_SC_BALANCE'!$A$8:$E$18,3,FALSE),VLOOKUP(AE699,'AHL_PA_SC_BALANCE'!$A$8:$E$18,5,FALSE)))</x:f>
        <x:v>38</x:v>
      </x:c>
      <x:c r="V699">
        <x:v>64</x:v>
      </x:c>
      <x:c r="W699">
        <x:v>43</x:v>
      </x:c>
      <x:c r="X699">
        <x:v>68</x:v>
      </x:c>
      <x:c r="Y699">
        <x:v>67</x:v>
      </x:c>
      <x:c r="Z699">
        <x:v>51</x:v>
      </x:c>
      <x:c r="AA699">
        <x:v>48</x:v>
      </x:c>
      <x:c r="AB699" s="57" t="n">
        <x:v>39</x:v>
      </x:c>
      <x:c r="AC699" s="57" t="n">
        <x:v>38</x:v>
      </x:c>
      <x:c r="AD699" s="59"/>
      <x:c r="AE699" s="61" t="str">
        <x:f>IF(N(F699)&gt;=10,"NHL_LATEST_10",IF(AND(N(F699)&gt;0,N(G699)&gt;0),"NHL_BOTH_SEASONS",IF(N(G699)&gt;=10,"NHL_PREVIOUS_10",IF(AND(ISNUMBER(AD699),AD699=0,SUM(F699:G699)=0),"FARM_CAREER_0",IF(COUNT(F699:G699)&lt;2,"UNKNOWN_GP",IF(AND(F699=0,G699=0),IF(AD699&gt;=10,"FARM_LEGACY_10",IF(AND(ISNUMBER(AD699),AD699&gt;0),"FARM_CAREER_1_9","FARM_0_0")),IF(F699&gt;=1,IF(F699&lt;=3,"FARM_RECENT_1_3","FARM_RECENT_4_9"),"FARM_PREV_1_9_ONLY")))))))</x:f>
        <x:v>UNKNOWN_GP</x:v>
      </x:c>
      <x:c r="AF699" s="57" t="n">
        <x:f>AB699-T699</x:f>
        <x:v>0</x:v>
      </x:c>
      <x:c r="AG699" s="57" t="n">
        <x:f>AC699-U699</x:f>
        <x:v>0</x:v>
      </x:c>
    </x:row>
    <x:row r="700">
      <x:c r="A700" t="s">
        <x:v>1723</x:v>
      </x:c>
      <x:c r="C700" t="s">
        <x:v>358</x:v>
      </x:c>
      <x:c r="D700">
        <x:v>8482941</x:v>
      </x:c>
      <x:c r="E700" t="s">
        <x:v>267</x:v>
      </x:c>
      <x:c r="J700" t="s">
        <x:v>2474</x:v>
      </x:c>
      <x:c r="K700">
        <x:v>59</x:v>
      </x:c>
      <x:c r="L700">
        <x:v>39</x:v>
      </x:c>
      <x:c r="M700">
        <x:v>87</x:v>
      </x:c>
      <x:c r="N700">
        <x:v>41</x:v>
      </x:c>
      <x:c r="O700">
        <x:v>82</x:v>
      </x:c>
      <x:c r="P700">
        <x:v>84</x:v>
      </x:c>
      <x:c r="Q700">
        <x:v>88</x:v>
      </x:c>
      <x:c r="R700">
        <x:v>40</x:v>
      </x:c>
      <x:c r="S700">
        <x:v>58</x:v>
      </x:c>
      <x:c r="T700" s="63" t="n">
        <x:f>MAX(30,MIN(AB700-VLOOKUP(AE700,'AHL_PA_SC_BALANCE'!$A$8:$E$18,2,FALSE),VLOOKUP(AE700,'AHL_PA_SC_BALANCE'!$A$8:$E$18,4,FALSE)))</x:f>
        <x:v>43</x:v>
      </x:c>
      <x:c r="U700" s="63" t="n">
        <x:f>MAX(30,MIN(AC700-VLOOKUP(AE700,'AHL_PA_SC_BALANCE'!$A$8:$E$18,3,FALSE),VLOOKUP(AE700,'AHL_PA_SC_BALANCE'!$A$8:$E$18,5,FALSE)))</x:f>
        <x:v>43</x:v>
      </x:c>
      <x:c r="V700">
        <x:v>60</x:v>
      </x:c>
      <x:c r="W700">
        <x:v>63</x:v>
      </x:c>
      <x:c r="X700">
        <x:v>65</x:v>
      </x:c>
      <x:c r="Y700">
        <x:v>64</x:v>
      </x:c>
      <x:c r="Z700">
        <x:v>51</x:v>
      </x:c>
      <x:c r="AA700">
        <x:v>47</x:v>
      </x:c>
      <x:c r="AB700" s="57" t="n">
        <x:v>43</x:v>
      </x:c>
      <x:c r="AC700" s="57" t="n">
        <x:v>43</x:v>
      </x:c>
      <x:c r="AD700" s="59"/>
      <x:c r="AE700" s="61" t="str">
        <x:f>IF(N(F700)&gt;=10,"NHL_LATEST_10",IF(AND(N(F700)&gt;0,N(G700)&gt;0),"NHL_BOTH_SEASONS",IF(N(G700)&gt;=10,"NHL_PREVIOUS_10",IF(AND(ISNUMBER(AD700),AD700=0,SUM(F700:G700)=0),"FARM_CAREER_0",IF(COUNT(F700:G700)&lt;2,"UNKNOWN_GP",IF(AND(F700=0,G700=0),IF(AD700&gt;=10,"FARM_LEGACY_10",IF(AND(ISNUMBER(AD700),AD700&gt;0),"FARM_CAREER_1_9","FARM_0_0")),IF(F700&gt;=1,IF(F700&lt;=3,"FARM_RECENT_1_3","FARM_RECENT_4_9"),"FARM_PREV_1_9_ONLY")))))))</x:f>
        <x:v>UNKNOWN_GP</x:v>
      </x:c>
      <x:c r="AF700" s="57" t="n">
        <x:f>AB700-T700</x:f>
        <x:v>0</x:v>
      </x:c>
      <x:c r="AG700" s="57" t="n">
        <x:f>AC700-U700</x:f>
        <x:v>0</x:v>
      </x:c>
    </x:row>
    <x:row r="701">
      <x:c r="A701" t="s">
        <x:v>1724</x:v>
      </x:c>
      <x:c r="C701" t="s">
        <x:v>339</x:v>
      </x:c>
      <x:c r="D701">
        <x:v>8484921</x:v>
      </x:c>
      <x:c r="E701" t="s">
        <x:v>267</x:v>
      </x:c>
      <x:c r="J701" t="s">
        <x:v>2474</x:v>
      </x:c>
      <x:c r="K701">
        <x:v>64</x:v>
      </x:c>
      <x:c r="L701">
        <x:v>31</x:v>
      </x:c>
      <x:c r="M701">
        <x:v>79</x:v>
      </x:c>
      <x:c r="N701">
        <x:v>39</x:v>
      </x:c>
      <x:c r="O701">
        <x:v>85</x:v>
      </x:c>
      <x:c r="P701">
        <x:v>74</x:v>
      </x:c>
      <x:c r="Q701">
        <x:v>76</x:v>
      </x:c>
      <x:c r="R701">
        <x:v>39</x:v>
      </x:c>
      <x:c r="S701">
        <x:v>64</x:v>
      </x:c>
      <x:c r="T701" s="63" t="n">
        <x:f>MAX(30,MIN(AB701-VLOOKUP(AE701,'AHL_PA_SC_BALANCE'!$A$8:$E$18,2,FALSE),VLOOKUP(AE701,'AHL_PA_SC_BALANCE'!$A$8:$E$18,4,FALSE)))</x:f>
        <x:v>41</x:v>
      </x:c>
      <x:c r="U701" s="63" t="n">
        <x:f>MAX(30,MIN(AC701-VLOOKUP(AE701,'AHL_PA_SC_BALANCE'!$A$8:$E$18,3,FALSE),VLOOKUP(AE701,'AHL_PA_SC_BALANCE'!$A$8:$E$18,5,FALSE)))</x:f>
        <x:v>42</x:v>
      </x:c>
      <x:c r="V701">
        <x:v>61</x:v>
      </x:c>
      <x:c r="W701">
        <x:v>61</x:v>
      </x:c>
      <x:c r="X701">
        <x:v>69</x:v>
      </x:c>
      <x:c r="Y701">
        <x:v>69</x:v>
      </x:c>
      <x:c r="Z701">
        <x:v>51</x:v>
      </x:c>
      <x:c r="AA701">
        <x:v>47</x:v>
      </x:c>
      <x:c r="AB701" s="57" t="n">
        <x:v>41</x:v>
      </x:c>
      <x:c r="AC701" s="57" t="n">
        <x:v>42</x:v>
      </x:c>
      <x:c r="AD701" s="59"/>
      <x:c r="AE701" s="61" t="str">
        <x:f>IF(N(F701)&gt;=10,"NHL_LATEST_10",IF(AND(N(F701)&gt;0,N(G701)&gt;0),"NHL_BOTH_SEASONS",IF(N(G701)&gt;=10,"NHL_PREVIOUS_10",IF(AND(ISNUMBER(AD701),AD701=0,SUM(F701:G701)=0),"FARM_CAREER_0",IF(COUNT(F701:G701)&lt;2,"UNKNOWN_GP",IF(AND(F701=0,G701=0),IF(AD701&gt;=10,"FARM_LEGACY_10",IF(AND(ISNUMBER(AD701),AD701&gt;0),"FARM_CAREER_1_9","FARM_0_0")),IF(F701&gt;=1,IF(F701&lt;=3,"FARM_RECENT_1_3","FARM_RECENT_4_9"),"FARM_PREV_1_9_ONLY")))))))</x:f>
        <x:v>UNKNOWN_GP</x:v>
      </x:c>
      <x:c r="AF701" s="57" t="n">
        <x:f>AB701-T701</x:f>
        <x:v>0</x:v>
      </x:c>
      <x:c r="AG701" s="57" t="n">
        <x:f>AC701-U701</x:f>
        <x:v>0</x:v>
      </x:c>
    </x:row>
    <x:row r="702">
      <x:c r="A702" t="s">
        <x:v>1725</x:v>
      </x:c>
      <x:c r="C702" t="s">
        <x:v>319</x:v>
      </x:c>
      <x:c r="D702">
        <x:v>8482932</x:v>
      </x:c>
      <x:c r="E702" t="s">
        <x:v>267</x:v>
      </x:c>
      <x:c r="J702" t="s">
        <x:v>2474</x:v>
      </x:c>
      <x:c r="K702">
        <x:v>59</x:v>
      </x:c>
      <x:c r="L702">
        <x:v>38</x:v>
      </x:c>
      <x:c r="M702">
        <x:v>83</x:v>
      </x:c>
      <x:c r="N702">
        <x:v>40</x:v>
      </x:c>
      <x:c r="O702">
        <x:v>81</x:v>
      </x:c>
      <x:c r="P702">
        <x:v>80</x:v>
      </x:c>
      <x:c r="Q702">
        <x:v>84</x:v>
      </x:c>
      <x:c r="R702">
        <x:v>41</x:v>
      </x:c>
      <x:c r="S702">
        <x:v>63</x:v>
      </x:c>
      <x:c r="T702" s="63" t="n">
        <x:f>MAX(30,MIN(AB702-VLOOKUP(AE702,'AHL_PA_SC_BALANCE'!$A$8:$E$18,2,FALSE),VLOOKUP(AE702,'AHL_PA_SC_BALANCE'!$A$8:$E$18,4,FALSE)))</x:f>
        <x:v>43</x:v>
      </x:c>
      <x:c r="U702" s="63" t="n">
        <x:f>MAX(30,MIN(AC702-VLOOKUP(AE702,'AHL_PA_SC_BALANCE'!$A$8:$E$18,3,FALSE),VLOOKUP(AE702,'AHL_PA_SC_BALANCE'!$A$8:$E$18,5,FALSE)))</x:f>
        <x:v>42</x:v>
      </x:c>
      <x:c r="V702">
        <x:v>58</x:v>
      </x:c>
      <x:c r="W702">
        <x:v>62</x:v>
      </x:c>
      <x:c r="X702">
        <x:v>66</x:v>
      </x:c>
      <x:c r="Y702">
        <x:v>65</x:v>
      </x:c>
      <x:c r="Z702">
        <x:v>51</x:v>
      </x:c>
      <x:c r="AA702">
        <x:v>47</x:v>
      </x:c>
      <x:c r="AB702" s="57" t="n">
        <x:v>43</x:v>
      </x:c>
      <x:c r="AC702" s="57" t="n">
        <x:v>42</x:v>
      </x:c>
      <x:c r="AD702" s="59"/>
      <x:c r="AE702" s="61" t="str">
        <x:f>IF(N(F702)&gt;=10,"NHL_LATEST_10",IF(AND(N(F702)&gt;0,N(G702)&gt;0),"NHL_BOTH_SEASONS",IF(N(G702)&gt;=10,"NHL_PREVIOUS_10",IF(AND(ISNUMBER(AD702),AD702=0,SUM(F702:G702)=0),"FARM_CAREER_0",IF(COUNT(F702:G702)&lt;2,"UNKNOWN_GP",IF(AND(F702=0,G702=0),IF(AD702&gt;=10,"FARM_LEGACY_10",IF(AND(ISNUMBER(AD702),AD702&gt;0),"FARM_CAREER_1_9","FARM_0_0")),IF(F702&gt;=1,IF(F702&lt;=3,"FARM_RECENT_1_3","FARM_RECENT_4_9"),"FARM_PREV_1_9_ONLY")))))))</x:f>
        <x:v>UNKNOWN_GP</x:v>
      </x:c>
      <x:c r="AF702" s="57" t="n">
        <x:f>AB702-T702</x:f>
        <x:v>0</x:v>
      </x:c>
      <x:c r="AG702" s="57" t="n">
        <x:f>AC702-U702</x:f>
        <x:v>0</x:v>
      </x:c>
    </x:row>
    <x:row r="703">
      <x:c r="A703" t="s">
        <x:v>1726</x:v>
      </x:c>
      <x:c r="C703" t="s">
        <x:v>326</x:v>
      </x:c>
      <x:c r="D703">
        <x:v>8482716</x:v>
      </x:c>
      <x:c r="E703" t="s">
        <x:v>267</x:v>
      </x:c>
      <x:c r="J703" t="s">
        <x:v>2474</x:v>
      </x:c>
      <x:c r="K703">
        <x:v>64</x:v>
      </x:c>
      <x:c r="L703">
        <x:v>40</x:v>
      </x:c>
      <x:c r="M703">
        <x:v>84</x:v>
      </x:c>
      <x:c r="N703">
        <x:v>39</x:v>
      </x:c>
      <x:c r="O703">
        <x:v>77</x:v>
      </x:c>
      <x:c r="P703">
        <x:v>77</x:v>
      </x:c>
      <x:c r="Q703">
        <x:v>80</x:v>
      </x:c>
      <x:c r="R703">
        <x:v>39</x:v>
      </x:c>
      <x:c r="S703">
        <x:v>63</x:v>
      </x:c>
      <x:c r="T703" s="63" t="n">
        <x:f>MAX(30,MIN(AB703-VLOOKUP(AE703,'AHL_PA_SC_BALANCE'!$A$8:$E$18,2,FALSE),VLOOKUP(AE703,'AHL_PA_SC_BALANCE'!$A$8:$E$18,4,FALSE)))</x:f>
        <x:v>42</x:v>
      </x:c>
      <x:c r="U703" s="63" t="n">
        <x:f>MAX(30,MIN(AC703-VLOOKUP(AE703,'AHL_PA_SC_BALANCE'!$A$8:$E$18,3,FALSE),VLOOKUP(AE703,'AHL_PA_SC_BALANCE'!$A$8:$E$18,5,FALSE)))</x:f>
        <x:v>41</x:v>
      </x:c>
      <x:c r="V703">
        <x:v>63</x:v>
      </x:c>
      <x:c r="W703">
        <x:v>60</x:v>
      </x:c>
      <x:c r="X703">
        <x:v>66</x:v>
      </x:c>
      <x:c r="Y703">
        <x:v>66</x:v>
      </x:c>
      <x:c r="Z703">
        <x:v>51</x:v>
      </x:c>
      <x:c r="AA703">
        <x:v>47</x:v>
      </x:c>
      <x:c r="AB703" s="57" t="n">
        <x:v>42</x:v>
      </x:c>
      <x:c r="AC703" s="57" t="n">
        <x:v>41</x:v>
      </x:c>
      <x:c r="AD703" s="59"/>
      <x:c r="AE703" s="61" t="str">
        <x:f>IF(N(F703)&gt;=10,"NHL_LATEST_10",IF(AND(N(F703)&gt;0,N(G703)&gt;0),"NHL_BOTH_SEASONS",IF(N(G703)&gt;=10,"NHL_PREVIOUS_10",IF(AND(ISNUMBER(AD703),AD703=0,SUM(F703:G703)=0),"FARM_CAREER_0",IF(COUNT(F703:G703)&lt;2,"UNKNOWN_GP",IF(AND(F703=0,G703=0),IF(AD703&gt;=10,"FARM_LEGACY_10",IF(AND(ISNUMBER(AD703),AD703&gt;0),"FARM_CAREER_1_9","FARM_0_0")),IF(F703&gt;=1,IF(F703&lt;=3,"FARM_RECENT_1_3","FARM_RECENT_4_9"),"FARM_PREV_1_9_ONLY")))))))</x:f>
        <x:v>UNKNOWN_GP</x:v>
      </x:c>
      <x:c r="AF703" s="57" t="n">
        <x:f>AB703-T703</x:f>
        <x:v>0</x:v>
      </x:c>
      <x:c r="AG703" s="57" t="n">
        <x:f>AC703-U703</x:f>
        <x:v>0</x:v>
      </x:c>
    </x:row>
    <x:row r="704">
      <x:c r="A704" t="s">
        <x:v>1727</x:v>
      </x:c>
      <x:c r="C704" t="s">
        <x:v>358</x:v>
      </x:c>
      <x:c r="D704">
        <x:v>8484207</x:v>
      </x:c>
      <x:c r="E704" t="s">
        <x:v>267</x:v>
      </x:c>
      <x:c r="J704" t="s">
        <x:v>2474</x:v>
      </x:c>
      <x:c r="K704">
        <x:v>61</x:v>
      </x:c>
      <x:c r="L704">
        <x:v>38</x:v>
      </x:c>
      <x:c r="M704">
        <x:v>91</x:v>
      </x:c>
      <x:c r="N704">
        <x:v>39</x:v>
      </x:c>
      <x:c r="O704">
        <x:v>82</x:v>
      </x:c>
      <x:c r="P704">
        <x:v>82</x:v>
      </x:c>
      <x:c r="Q704">
        <x:v>86</x:v>
      </x:c>
      <x:c r="R704">
        <x:v>38</x:v>
      </x:c>
      <x:c r="S704">
        <x:v>62</x:v>
      </x:c>
      <x:c r="T704" s="63" t="n">
        <x:f>MAX(30,MIN(AB704-VLOOKUP(AE704,'AHL_PA_SC_BALANCE'!$A$8:$E$18,2,FALSE),VLOOKUP(AE704,'AHL_PA_SC_BALANCE'!$A$8:$E$18,4,FALSE)))</x:f>
        <x:v>43</x:v>
      </x:c>
      <x:c r="U704" s="63" t="n">
        <x:f>MAX(30,MIN(AC704-VLOOKUP(AE704,'AHL_PA_SC_BALANCE'!$A$8:$E$18,3,FALSE),VLOOKUP(AE704,'AHL_PA_SC_BALANCE'!$A$8:$E$18,5,FALSE)))</x:f>
        <x:v>41</x:v>
      </x:c>
      <x:c r="V704">
        <x:v>62</x:v>
      </x:c>
      <x:c r="W704">
        <x:v>61</x:v>
      </x:c>
      <x:c r="X704">
        <x:v>65</x:v>
      </x:c>
      <x:c r="Y704">
        <x:v>65</x:v>
      </x:c>
      <x:c r="Z704">
        <x:v>51</x:v>
      </x:c>
      <x:c r="AA704">
        <x:v>47</x:v>
      </x:c>
      <x:c r="AB704" s="57" t="n">
        <x:v>43</x:v>
      </x:c>
      <x:c r="AC704" s="57" t="n">
        <x:v>41</x:v>
      </x:c>
      <x:c r="AD704" s="59"/>
      <x:c r="AE704" s="61" t="str">
        <x:f>IF(N(F704)&gt;=10,"NHL_LATEST_10",IF(AND(N(F704)&gt;0,N(G704)&gt;0),"NHL_BOTH_SEASONS",IF(N(G704)&gt;=10,"NHL_PREVIOUS_10",IF(AND(ISNUMBER(AD704),AD704=0,SUM(F704:G704)=0),"FARM_CAREER_0",IF(COUNT(F704:G704)&lt;2,"UNKNOWN_GP",IF(AND(F704=0,G704=0),IF(AD704&gt;=10,"FARM_LEGACY_10",IF(AND(ISNUMBER(AD704),AD704&gt;0),"FARM_CAREER_1_9","FARM_0_0")),IF(F704&gt;=1,IF(F704&lt;=3,"FARM_RECENT_1_3","FARM_RECENT_4_9"),"FARM_PREV_1_9_ONLY")))))))</x:f>
        <x:v>UNKNOWN_GP</x:v>
      </x:c>
      <x:c r="AF704" s="57" t="n">
        <x:f>AB704-T704</x:f>
        <x:v>0</x:v>
      </x:c>
      <x:c r="AG704" s="57" t="n">
        <x:f>AC704-U704</x:f>
        <x:v>0</x:v>
      </x:c>
    </x:row>
    <x:row r="705">
      <x:c r="A705" t="s">
        <x:v>1728</x:v>
      </x:c>
      <x:c r="C705" t="s">
        <x:v>358</x:v>
      </x:c>
      <x:c r="D705">
        <x:v>8484234</x:v>
      </x:c>
      <x:c r="E705" t="s">
        <x:v>267</x:v>
      </x:c>
      <x:c r="J705" t="s">
        <x:v>2474</x:v>
      </x:c>
      <x:c r="K705">
        <x:v>62</x:v>
      </x:c>
      <x:c r="L705">
        <x:v>38</x:v>
      </x:c>
      <x:c r="M705">
        <x:v>90</x:v>
      </x:c>
      <x:c r="N705">
        <x:v>40</x:v>
      </x:c>
      <x:c r="O705">
        <x:v>82</x:v>
      </x:c>
      <x:c r="P705">
        <x:v>84</x:v>
      </x:c>
      <x:c r="Q705">
        <x:v>88</x:v>
      </x:c>
      <x:c r="R705">
        <x:v>40</x:v>
      </x:c>
      <x:c r="S705">
        <x:v>64</x:v>
      </x:c>
      <x:c r="T705" s="63" t="n">
        <x:f>MAX(30,MIN(AB705-VLOOKUP(AE705,'AHL_PA_SC_BALANCE'!$A$8:$E$18,2,FALSE),VLOOKUP(AE705,'AHL_PA_SC_BALANCE'!$A$8:$E$18,4,FALSE)))</x:f>
        <x:v>41</x:v>
      </x:c>
      <x:c r="U705" s="63" t="n">
        <x:f>MAX(30,MIN(AC705-VLOOKUP(AE705,'AHL_PA_SC_BALANCE'!$A$8:$E$18,3,FALSE),VLOOKUP(AE705,'AHL_PA_SC_BALANCE'!$A$8:$E$18,5,FALSE)))</x:f>
        <x:v>45</x:v>
      </x:c>
      <x:c r="V705">
        <x:v>59</x:v>
      </x:c>
      <x:c r="W705">
        <x:v>63</x:v>
      </x:c>
      <x:c r="X705">
        <x:v>65</x:v>
      </x:c>
      <x:c r="Y705">
        <x:v>65</x:v>
      </x:c>
      <x:c r="Z705">
        <x:v>51</x:v>
      </x:c>
      <x:c r="AA705">
        <x:v>47</x:v>
      </x:c>
      <x:c r="AB705" s="57" t="n">
        <x:v>41</x:v>
      </x:c>
      <x:c r="AC705" s="57" t="n">
        <x:v>45</x:v>
      </x:c>
      <x:c r="AD705" s="59"/>
      <x:c r="AE705" s="61" t="str">
        <x:f>IF(N(F705)&gt;=10,"NHL_LATEST_10",IF(AND(N(F705)&gt;0,N(G705)&gt;0),"NHL_BOTH_SEASONS",IF(N(G705)&gt;=10,"NHL_PREVIOUS_10",IF(AND(ISNUMBER(AD705),AD705=0,SUM(F705:G705)=0),"FARM_CAREER_0",IF(COUNT(F705:G705)&lt;2,"UNKNOWN_GP",IF(AND(F705=0,G705=0),IF(AD705&gt;=10,"FARM_LEGACY_10",IF(AND(ISNUMBER(AD705),AD705&gt;0),"FARM_CAREER_1_9","FARM_0_0")),IF(F705&gt;=1,IF(F705&lt;=3,"FARM_RECENT_1_3","FARM_RECENT_4_9"),"FARM_PREV_1_9_ONLY")))))))</x:f>
        <x:v>UNKNOWN_GP</x:v>
      </x:c>
      <x:c r="AF705" s="57" t="n">
        <x:f>AB705-T705</x:f>
        <x:v>0</x:v>
      </x:c>
      <x:c r="AG705" s="57" t="n">
        <x:f>AC705-U705</x:f>
        <x:v>0</x:v>
      </x:c>
    </x:row>
    <x:row r="706">
      <x:c r="A706" t="s">
        <x:v>1729</x:v>
      </x:c>
      <x:c r="C706" t="s">
        <x:v>329</x:v>
      </x:c>
      <x:c r="D706">
        <x:v>8485485</x:v>
      </x:c>
      <x:c r="E706" t="s">
        <x:v>267</x:v>
      </x:c>
      <x:c r="J706" t="s">
        <x:v>2474</x:v>
      </x:c>
      <x:c r="K706">
        <x:v>70</x:v>
      </x:c>
      <x:c r="L706">
        <x:v>43</x:v>
      </x:c>
      <x:c r="M706">
        <x:v>82</x:v>
      </x:c>
      <x:c r="N706">
        <x:v>37</x:v>
      </x:c>
      <x:c r="O706">
        <x:v>76</x:v>
      </x:c>
      <x:c r="P706">
        <x:v>85</x:v>
      </x:c>
      <x:c r="Q706">
        <x:v>92</x:v>
      </x:c>
      <x:c r="R706">
        <x:v>36</x:v>
      </x:c>
      <x:c r="S706">
        <x:v>64</x:v>
      </x:c>
      <x:c r="T706" s="63" t="n">
        <x:f>MAX(30,MIN(AB706-VLOOKUP(AE706,'AHL_PA_SC_BALANCE'!$A$8:$E$18,2,FALSE),VLOOKUP(AE706,'AHL_PA_SC_BALANCE'!$A$8:$E$18,4,FALSE)))</x:f>
        <x:v>41</x:v>
      </x:c>
      <x:c r="U706" s="63" t="n">
        <x:f>MAX(30,MIN(AC706-VLOOKUP(AE706,'AHL_PA_SC_BALANCE'!$A$8:$E$18,3,FALSE),VLOOKUP(AE706,'AHL_PA_SC_BALANCE'!$A$8:$E$18,5,FALSE)))</x:f>
        <x:v>43</x:v>
      </x:c>
      <x:c r="V706">
        <x:v>60</x:v>
      </x:c>
      <x:c r="W706">
        <x:v>58</x:v>
      </x:c>
      <x:c r="X706">
        <x:v>69</x:v>
      </x:c>
      <x:c r="Y706">
        <x:v>69</x:v>
      </x:c>
      <x:c r="Z706">
        <x:v>51</x:v>
      </x:c>
      <x:c r="AA706">
        <x:v>47</x:v>
      </x:c>
      <x:c r="AB706" s="57" t="n">
        <x:v>41</x:v>
      </x:c>
      <x:c r="AC706" s="57" t="n">
        <x:v>43</x:v>
      </x:c>
      <x:c r="AD706" s="59"/>
      <x:c r="AE706" s="61" t="str">
        <x:f>IF(N(F706)&gt;=10,"NHL_LATEST_10",IF(AND(N(F706)&gt;0,N(G706)&gt;0),"NHL_BOTH_SEASONS",IF(N(G706)&gt;=10,"NHL_PREVIOUS_10",IF(AND(ISNUMBER(AD706),AD706=0,SUM(F706:G706)=0),"FARM_CAREER_0",IF(COUNT(F706:G706)&lt;2,"UNKNOWN_GP",IF(AND(F706=0,G706=0),IF(AD706&gt;=10,"FARM_LEGACY_10",IF(AND(ISNUMBER(AD706),AD706&gt;0),"FARM_CAREER_1_9","FARM_0_0")),IF(F706&gt;=1,IF(F706&lt;=3,"FARM_RECENT_1_3","FARM_RECENT_4_9"),"FARM_PREV_1_9_ONLY")))))))</x:f>
        <x:v>UNKNOWN_GP</x:v>
      </x:c>
      <x:c r="AF706" s="57" t="n">
        <x:f>AB706-T706</x:f>
        <x:v>0</x:v>
      </x:c>
      <x:c r="AG706" s="57" t="n">
        <x:f>AC706-U706</x:f>
        <x:v>0</x:v>
      </x:c>
    </x:row>
    <x:row r="707">
      <x:c r="A707" t="s">
        <x:v>1730</x:v>
      </x:c>
      <x:c r="B707" t="s">
        <x:v>584</x:v>
      </x:c>
      <x:c r="C707" t="s">
        <x:v>326</x:v>
      </x:c>
      <x:c r="D707">
        <x:v>8483300</x:v>
      </x:c>
      <x:c r="E707" t="s">
        <x:v>267</x:v>
      </x:c>
      <x:c r="J707" t="s">
        <x:v>2476</x:v>
      </x:c>
      <x:c r="K707">
        <x:v>66</x:v>
      </x:c>
      <x:c r="L707">
        <x:v>39</x:v>
      </x:c>
      <x:c r="M707">
        <x:v>82</x:v>
      </x:c>
      <x:c r="N707">
        <x:v>38</x:v>
      </x:c>
      <x:c r="O707">
        <x:v>84</x:v>
      </x:c>
      <x:c r="P707">
        <x:v>75</x:v>
      </x:c>
      <x:c r="Q707">
        <x:v>75</x:v>
      </x:c>
      <x:c r="R707">
        <x:v>37</x:v>
      </x:c>
      <x:c r="S707">
        <x:v>47</x:v>
      </x:c>
      <x:c r="T707" s="63" t="n">
        <x:f>MAX(30,MIN(AB707-VLOOKUP(AE707,'AHL_PA_SC_BALANCE'!$A$8:$E$18,2,FALSE),VLOOKUP(AE707,'AHL_PA_SC_BALANCE'!$A$8:$E$18,4,FALSE)))</x:f>
        <x:v>40</x:v>
      </x:c>
      <x:c r="U707" s="63" t="n">
        <x:f>MAX(30,MIN(AC707-VLOOKUP(AE707,'AHL_PA_SC_BALANCE'!$A$8:$E$18,3,FALSE),VLOOKUP(AE707,'AHL_PA_SC_BALANCE'!$A$8:$E$18,5,FALSE)))</x:f>
        <x:v>40</x:v>
      </x:c>
      <x:c r="V707">
        <x:v>57</x:v>
      </x:c>
      <x:c r="W707">
        <x:v>58</x:v>
      </x:c>
      <x:c r="X707">
        <x:v>74</x:v>
      </x:c>
      <x:c r="Y707">
        <x:v>75</x:v>
      </x:c>
      <x:c r="Z707">
        <x:v>51</x:v>
      </x:c>
      <x:c r="AA707">
        <x:v>47</x:v>
      </x:c>
      <x:c r="AB707" s="57" t="n">
        <x:v>40</x:v>
      </x:c>
      <x:c r="AC707" s="57" t="n">
        <x:v>40</x:v>
      </x:c>
      <x:c r="AD707" s="59"/>
      <x:c r="AE707" s="61" t="str">
        <x:f>IF(N(F707)&gt;=10,"NHL_LATEST_10",IF(AND(N(F707)&gt;0,N(G707)&gt;0),"NHL_BOTH_SEASONS",IF(N(G707)&gt;=10,"NHL_PREVIOUS_10",IF(AND(ISNUMBER(AD707),AD707=0,SUM(F707:G707)=0),"FARM_CAREER_0",IF(COUNT(F707:G707)&lt;2,"UNKNOWN_GP",IF(AND(F707=0,G707=0),IF(AD707&gt;=10,"FARM_LEGACY_10",IF(AND(ISNUMBER(AD707),AD707&gt;0),"FARM_CAREER_1_9","FARM_0_0")),IF(F707&gt;=1,IF(F707&lt;=3,"FARM_RECENT_1_3","FARM_RECENT_4_9"),"FARM_PREV_1_9_ONLY")))))))</x:f>
        <x:v>UNKNOWN_GP</x:v>
      </x:c>
      <x:c r="AF707" s="57" t="n">
        <x:f>AB707-T707</x:f>
        <x:v>0</x:v>
      </x:c>
      <x:c r="AG707" s="57" t="n">
        <x:f>AC707-U707</x:f>
        <x:v>0</x:v>
      </x:c>
    </x:row>
    <x:row r="708">
      <x:c r="A708" t="s">
        <x:v>1731</x:v>
      </x:c>
      <x:c r="C708" t="s">
        <x:v>319</x:v>
      </x:c>
      <x:c r="D708">
        <x:v>8480793</x:v>
      </x:c>
      <x:c r="E708" t="s">
        <x:v>267</x:v>
      </x:c>
      <x:c r="J708" t="s">
        <x:v>2474</x:v>
      </x:c>
      <x:c r="K708">
        <x:v>62</x:v>
      </x:c>
      <x:c r="L708">
        <x:v>36</x:v>
      </x:c>
      <x:c r="M708">
        <x:v>88</x:v>
      </x:c>
      <x:c r="N708">
        <x:v>40</x:v>
      </x:c>
      <x:c r="O708">
        <x:v>76</x:v>
      </x:c>
      <x:c r="P708">
        <x:v>81</x:v>
      </x:c>
      <x:c r="Q708">
        <x:v>83</x:v>
      </x:c>
      <x:c r="R708">
        <x:v>39</x:v>
      </x:c>
      <x:c r="S708">
        <x:v>76</x:v>
      </x:c>
      <x:c r="T708" s="63" t="n">
        <x:f>MAX(30,MIN(AB708-VLOOKUP(AE708,'AHL_PA_SC_BALANCE'!$A$8:$E$18,2,FALSE),VLOOKUP(AE708,'AHL_PA_SC_BALANCE'!$A$8:$E$18,4,FALSE)))</x:f>
        <x:v>43</x:v>
      </x:c>
      <x:c r="U708" s="63" t="n">
        <x:f>MAX(30,MIN(AC708-VLOOKUP(AE708,'AHL_PA_SC_BALANCE'!$A$8:$E$18,3,FALSE),VLOOKUP(AE708,'AHL_PA_SC_BALANCE'!$A$8:$E$18,5,FALSE)))</x:f>
        <x:v>41</x:v>
      </x:c>
      <x:c r="V708">
        <x:v>58</x:v>
      </x:c>
      <x:c r="W708">
        <x:v>61</x:v>
      </x:c>
      <x:c r="X708">
        <x:v>69</x:v>
      </x:c>
      <x:c r="Y708">
        <x:v>70</x:v>
      </x:c>
      <x:c r="Z708">
        <x:v>51</x:v>
      </x:c>
      <x:c r="AA708">
        <x:v>47</x:v>
      </x:c>
      <x:c r="AB708" s="57" t="n">
        <x:v>43</x:v>
      </x:c>
      <x:c r="AC708" s="57" t="n">
        <x:v>41</x:v>
      </x:c>
      <x:c r="AD708" s="59"/>
      <x:c r="AE708" s="61" t="str">
        <x:f>IF(N(F708)&gt;=10,"NHL_LATEST_10",IF(AND(N(F708)&gt;0,N(G708)&gt;0),"NHL_BOTH_SEASONS",IF(N(G708)&gt;=10,"NHL_PREVIOUS_10",IF(AND(ISNUMBER(AD708),AD708=0,SUM(F708:G708)=0),"FARM_CAREER_0",IF(COUNT(F708:G708)&lt;2,"UNKNOWN_GP",IF(AND(F708=0,G708=0),IF(AD708&gt;=10,"FARM_LEGACY_10",IF(AND(ISNUMBER(AD708),AD708&gt;0),"FARM_CAREER_1_9","FARM_0_0")),IF(F708&gt;=1,IF(F708&lt;=3,"FARM_RECENT_1_3","FARM_RECENT_4_9"),"FARM_PREV_1_9_ONLY")))))))</x:f>
        <x:v>UNKNOWN_GP</x:v>
      </x:c>
      <x:c r="AF708" s="57" t="n">
        <x:f>AB708-T708</x:f>
        <x:v>0</x:v>
      </x:c>
      <x:c r="AG708" s="57" t="n">
        <x:f>AC708-U708</x:f>
        <x:v>0</x:v>
      </x:c>
    </x:row>
    <x:row r="709">
      <x:c r="A709" t="s">
        <x:v>1732</x:v>
      </x:c>
      <x:c r="C709" t="s">
        <x:v>339</x:v>
      </x:c>
      <x:c r="D709">
        <x:v>8482507</x:v>
      </x:c>
      <x:c r="E709" t="s">
        <x:v>267</x:v>
      </x:c>
      <x:c r="J709" t="s">
        <x:v>2474</x:v>
      </x:c>
      <x:c r="K709">
        <x:v>59</x:v>
      </x:c>
      <x:c r="L709">
        <x:v>46</x:v>
      </x:c>
      <x:c r="M709">
        <x:v>77</x:v>
      </x:c>
      <x:c r="N709">
        <x:v>40</x:v>
      </x:c>
      <x:c r="O709">
        <x:v>75</x:v>
      </x:c>
      <x:c r="P709">
        <x:v>81</x:v>
      </x:c>
      <x:c r="Q709">
        <x:v>82</x:v>
      </x:c>
      <x:c r="R709">
        <x:v>39</x:v>
      </x:c>
      <x:c r="S709">
        <x:v>75</x:v>
      </x:c>
      <x:c r="T709" s="63" t="n">
        <x:f>MAX(30,MIN(AB709-VLOOKUP(AE709,'AHL_PA_SC_BALANCE'!$A$8:$E$18,2,FALSE),VLOOKUP(AE709,'AHL_PA_SC_BALANCE'!$A$8:$E$18,4,FALSE)))</x:f>
        <x:v>40</x:v>
      </x:c>
      <x:c r="U709" s="63" t="n">
        <x:f>MAX(30,MIN(AC709-VLOOKUP(AE709,'AHL_PA_SC_BALANCE'!$A$8:$E$18,3,FALSE),VLOOKUP(AE709,'AHL_PA_SC_BALANCE'!$A$8:$E$18,5,FALSE)))</x:f>
        <x:v>44</x:v>
      </x:c>
      <x:c r="V709">
        <x:v>59</x:v>
      </x:c>
      <x:c r="W709">
        <x:v>62</x:v>
      </x:c>
      <x:c r="X709">
        <x:v>67</x:v>
      </x:c>
      <x:c r="Y709">
        <x:v>68</x:v>
      </x:c>
      <x:c r="Z709">
        <x:v>51</x:v>
      </x:c>
      <x:c r="AA709">
        <x:v>47</x:v>
      </x:c>
      <x:c r="AB709" s="57" t="n">
        <x:v>40</x:v>
      </x:c>
      <x:c r="AC709" s="57" t="n">
        <x:v>44</x:v>
      </x:c>
      <x:c r="AD709" s="59"/>
      <x:c r="AE709" s="61" t="str">
        <x:f>IF(N(F709)&gt;=10,"NHL_LATEST_10",IF(AND(N(F709)&gt;0,N(G709)&gt;0),"NHL_BOTH_SEASONS",IF(N(G709)&gt;=10,"NHL_PREVIOUS_10",IF(AND(ISNUMBER(AD709),AD709=0,SUM(F709:G709)=0),"FARM_CAREER_0",IF(COUNT(F709:G709)&lt;2,"UNKNOWN_GP",IF(AND(F709=0,G709=0),IF(AD709&gt;=10,"FARM_LEGACY_10",IF(AND(ISNUMBER(AD709),AD709&gt;0),"FARM_CAREER_1_9","FARM_0_0")),IF(F709&gt;=1,IF(F709&lt;=3,"FARM_RECENT_1_3","FARM_RECENT_4_9"),"FARM_PREV_1_9_ONLY")))))))</x:f>
        <x:v>UNKNOWN_GP</x:v>
      </x:c>
      <x:c r="AF709" s="57" t="n">
        <x:f>AB709-T709</x:f>
        <x:v>0</x:v>
      </x:c>
      <x:c r="AG709" s="57" t="n">
        <x:f>AC709-U709</x:f>
        <x:v>0</x:v>
      </x:c>
    </x:row>
    <x:row r="710">
      <x:c r="A710" t="s">
        <x:v>1733</x:v>
      </x:c>
      <x:c r="C710" t="s">
        <x:v>339</x:v>
      </x:c>
      <x:c r="D710">
        <x:v>8484989</x:v>
      </x:c>
      <x:c r="E710" t="s">
        <x:v>267</x:v>
      </x:c>
      <x:c r="J710" t="s">
        <x:v>2474</x:v>
      </x:c>
      <x:c r="K710">
        <x:v>66</x:v>
      </x:c>
      <x:c r="L710">
        <x:v>42</x:v>
      </x:c>
      <x:c r="M710">
        <x:v>90</x:v>
      </x:c>
      <x:c r="N710">
        <x:v>39</x:v>
      </x:c>
      <x:c r="O710">
        <x:v>86</x:v>
      </x:c>
      <x:c r="P710">
        <x:v>88</x:v>
      </x:c>
      <x:c r="Q710">
        <x:v>93</x:v>
      </x:c>
      <x:c r="R710">
        <x:v>38</x:v>
      </x:c>
      <x:c r="S710">
        <x:v>74</x:v>
      </x:c>
      <x:c r="T710" s="63" t="n">
        <x:f>MAX(30,MIN(AB710-VLOOKUP(AE710,'AHL_PA_SC_BALANCE'!$A$8:$E$18,2,FALSE),VLOOKUP(AE710,'AHL_PA_SC_BALANCE'!$A$8:$E$18,4,FALSE)))</x:f>
        <x:v>42</x:v>
      </x:c>
      <x:c r="U710" s="63" t="n">
        <x:f>MAX(30,MIN(AC710-VLOOKUP(AE710,'AHL_PA_SC_BALANCE'!$A$8:$E$18,3,FALSE),VLOOKUP(AE710,'AHL_PA_SC_BALANCE'!$A$8:$E$18,5,FALSE)))</x:f>
        <x:v>42</x:v>
      </x:c>
      <x:c r="V710">
        <x:v>59</x:v>
      </x:c>
      <x:c r="W710">
        <x:v>60</x:v>
      </x:c>
      <x:c r="X710">
        <x:v>69</x:v>
      </x:c>
      <x:c r="Y710">
        <x:v>70</x:v>
      </x:c>
      <x:c r="Z710">
        <x:v>47</x:v>
      </x:c>
      <x:c r="AA710">
        <x:v>47</x:v>
      </x:c>
      <x:c r="AB710" s="57" t="n">
        <x:v>42</x:v>
      </x:c>
      <x:c r="AC710" s="57" t="n">
        <x:v>42</x:v>
      </x:c>
      <x:c r="AD710" s="59"/>
      <x:c r="AE710" s="61" t="str">
        <x:f>IF(N(F710)&gt;=10,"NHL_LATEST_10",IF(AND(N(F710)&gt;0,N(G710)&gt;0),"NHL_BOTH_SEASONS",IF(N(G710)&gt;=10,"NHL_PREVIOUS_10",IF(AND(ISNUMBER(AD710),AD710=0,SUM(F710:G710)=0),"FARM_CAREER_0",IF(COUNT(F710:G710)&lt;2,"UNKNOWN_GP",IF(AND(F710=0,G710=0),IF(AD710&gt;=10,"FARM_LEGACY_10",IF(AND(ISNUMBER(AD710),AD710&gt;0),"FARM_CAREER_1_9","FARM_0_0")),IF(F710&gt;=1,IF(F710&lt;=3,"FARM_RECENT_1_3","FARM_RECENT_4_9"),"FARM_PREV_1_9_ONLY")))))))</x:f>
        <x:v>UNKNOWN_GP</x:v>
      </x:c>
      <x:c r="AF710" s="57" t="n">
        <x:f>AB710-T710</x:f>
        <x:v>0</x:v>
      </x:c>
      <x:c r="AG710" s="57" t="n">
        <x:f>AC710-U710</x:f>
        <x:v>0</x:v>
      </x:c>
    </x:row>
    <x:row r="711">
      <x:c r="A711" t="s">
        <x:v>1734</x:v>
      </x:c>
      <x:c r="B711" t="s">
        <x:v>584</x:v>
      </x:c>
      <x:c r="C711" t="s">
        <x:v>339</x:v>
      </x:c>
      <x:c r="D711">
        <x:v>8481681</x:v>
      </x:c>
      <x:c r="E711" t="s">
        <x:v>267</x:v>
      </x:c>
      <x:c r="J711" t="s">
        <x:v>2476</x:v>
      </x:c>
      <x:c r="K711">
        <x:v>69</x:v>
      </x:c>
      <x:c r="L711">
        <x:v>38</x:v>
      </x:c>
      <x:c r="M711">
        <x:v>89</x:v>
      </x:c>
      <x:c r="N711">
        <x:v>40</x:v>
      </x:c>
      <x:c r="O711">
        <x:v>77</x:v>
      </x:c>
      <x:c r="P711">
        <x:v>81</x:v>
      </x:c>
      <x:c r="Q711">
        <x:v>86</x:v>
      </x:c>
      <x:c r="R711">
        <x:v>41</x:v>
      </x:c>
      <x:c r="S711">
        <x:v>71</x:v>
      </x:c>
      <x:c r="T711" s="63" t="n">
        <x:f>MAX(30,MIN(AB711-VLOOKUP(AE711,'AHL_PA_SC_BALANCE'!$A$8:$E$18,2,FALSE),VLOOKUP(AE711,'AHL_PA_SC_BALANCE'!$A$8:$E$18,4,FALSE)))</x:f>
        <x:v>42</x:v>
      </x:c>
      <x:c r="U711" s="63" t="n">
        <x:f>MAX(30,MIN(AC711-VLOOKUP(AE711,'AHL_PA_SC_BALANCE'!$A$8:$E$18,3,FALSE),VLOOKUP(AE711,'AHL_PA_SC_BALANCE'!$A$8:$E$18,5,FALSE)))</x:f>
        <x:v>42</x:v>
      </x:c>
      <x:c r="V711">
        <x:v>60</x:v>
      </x:c>
      <x:c r="W711">
        <x:v>61</x:v>
      </x:c>
      <x:c r="X711">
        <x:v>68</x:v>
      </x:c>
      <x:c r="Y711">
        <x:v>69</x:v>
      </x:c>
      <x:c r="Z711">
        <x:v>51</x:v>
      </x:c>
      <x:c r="AA711">
        <x:v>47</x:v>
      </x:c>
      <x:c r="AB711" s="57" t="n">
        <x:v>42</x:v>
      </x:c>
      <x:c r="AC711" s="57" t="n">
        <x:v>42</x:v>
      </x:c>
      <x:c r="AD711" s="59"/>
      <x:c r="AE711" s="61" t="str">
        <x:f>IF(N(F711)&gt;=10,"NHL_LATEST_10",IF(AND(N(F711)&gt;0,N(G711)&gt;0),"NHL_BOTH_SEASONS",IF(N(G711)&gt;=10,"NHL_PREVIOUS_10",IF(AND(ISNUMBER(AD711),AD711=0,SUM(F711:G711)=0),"FARM_CAREER_0",IF(COUNT(F711:G711)&lt;2,"UNKNOWN_GP",IF(AND(F711=0,G711=0),IF(AD711&gt;=10,"FARM_LEGACY_10",IF(AND(ISNUMBER(AD711),AD711&gt;0),"FARM_CAREER_1_9","FARM_0_0")),IF(F711&gt;=1,IF(F711&lt;=3,"FARM_RECENT_1_3","FARM_RECENT_4_9"),"FARM_PREV_1_9_ONLY")))))))</x:f>
        <x:v>UNKNOWN_GP</x:v>
      </x:c>
      <x:c r="AF711" s="57" t="n">
        <x:f>AB711-T711</x:f>
        <x:v>0</x:v>
      </x:c>
      <x:c r="AG711" s="57" t="n">
        <x:f>AC711-U711</x:f>
        <x:v>0</x:v>
      </x:c>
    </x:row>
    <x:row r="712">
      <x:c r="A712" t="s">
        <x:v>1735</x:v>
      </x:c>
      <x:c r="C712" t="s">
        <x:v>323</x:v>
      </x:c>
      <x:c r="D712">
        <x:v>8486183</x:v>
      </x:c>
      <x:c r="E712" t="s">
        <x:v>267</x:v>
      </x:c>
      <x:c r="J712" t="s">
        <x:v>2474</x:v>
      </x:c>
      <x:c r="K712">
        <x:v>58</x:v>
      </x:c>
      <x:c r="L712">
        <x:v>39</x:v>
      </x:c>
      <x:c r="M712">
        <x:v>90</x:v>
      </x:c>
      <x:c r="N712">
        <x:v>39</x:v>
      </x:c>
      <x:c r="O712">
        <x:v>83</x:v>
      </x:c>
      <x:c r="P712">
        <x:v>68</x:v>
      </x:c>
      <x:c r="Q712">
        <x:v>71</x:v>
      </x:c>
      <x:c r="R712">
        <x:v>39</x:v>
      </x:c>
      <x:c r="S712">
        <x:v>68</x:v>
      </x:c>
      <x:c r="T712" s="63" t="n">
        <x:f>MAX(30,MIN(AB712-VLOOKUP(AE712,'AHL_PA_SC_BALANCE'!$A$8:$E$18,2,FALSE),VLOOKUP(AE712,'AHL_PA_SC_BALANCE'!$A$8:$E$18,4,FALSE)))</x:f>
        <x:v>42</x:v>
      </x:c>
      <x:c r="U712" s="63" t="n">
        <x:f>MAX(30,MIN(AC712-VLOOKUP(AE712,'AHL_PA_SC_BALANCE'!$A$8:$E$18,3,FALSE),VLOOKUP(AE712,'AHL_PA_SC_BALANCE'!$A$8:$E$18,5,FALSE)))</x:f>
        <x:v>42</x:v>
      </x:c>
      <x:c r="V712">
        <x:v>58</x:v>
      </x:c>
      <x:c r="W712">
        <x:v>61</x:v>
      </x:c>
      <x:c r="X712">
        <x:v>66</x:v>
      </x:c>
      <x:c r="Y712">
        <x:v>65</x:v>
      </x:c>
      <x:c r="Z712">
        <x:v>51</x:v>
      </x:c>
      <x:c r="AA712">
        <x:v>47</x:v>
      </x:c>
      <x:c r="AB712" s="57" t="n">
        <x:v>42</x:v>
      </x:c>
      <x:c r="AC712" s="57" t="n">
        <x:v>42</x:v>
      </x:c>
      <x:c r="AD712" s="59"/>
      <x:c r="AE712" s="61" t="str">
        <x:f>IF(N(F712)&gt;=10,"NHL_LATEST_10",IF(AND(N(F712)&gt;0,N(G712)&gt;0),"NHL_BOTH_SEASONS",IF(N(G712)&gt;=10,"NHL_PREVIOUS_10",IF(AND(ISNUMBER(AD712),AD712=0,SUM(F712:G712)=0),"FARM_CAREER_0",IF(COUNT(F712:G712)&lt;2,"UNKNOWN_GP",IF(AND(F712=0,G712=0),IF(AD712&gt;=10,"FARM_LEGACY_10",IF(AND(ISNUMBER(AD712),AD712&gt;0),"FARM_CAREER_1_9","FARM_0_0")),IF(F712&gt;=1,IF(F712&lt;=3,"FARM_RECENT_1_3","FARM_RECENT_4_9"),"FARM_PREV_1_9_ONLY")))))))</x:f>
        <x:v>UNKNOWN_GP</x:v>
      </x:c>
      <x:c r="AF712" s="57" t="n">
        <x:f>AB712-T712</x:f>
        <x:v>0</x:v>
      </x:c>
      <x:c r="AG712" s="57" t="n">
        <x:f>AC712-U712</x:f>
        <x:v>0</x:v>
      </x:c>
    </x:row>
    <x:row r="713">
      <x:c r="A713" t="s">
        <x:v>1736</x:v>
      </x:c>
      <x:c r="C713" t="s">
        <x:v>319</x:v>
      </x:c>
      <x:c r="D713">
        <x:v>8482784</x:v>
      </x:c>
      <x:c r="E713" t="s">
        <x:v>267</x:v>
      </x:c>
      <x:c r="J713" t="s">
        <x:v>2474</x:v>
      </x:c>
      <x:c r="K713">
        <x:v>63</x:v>
      </x:c>
      <x:c r="L713">
        <x:v>31</x:v>
      </x:c>
      <x:c r="M713">
        <x:v>82</x:v>
      </x:c>
      <x:c r="N713">
        <x:v>39</x:v>
      </x:c>
      <x:c r="O713">
        <x:v>77</x:v>
      </x:c>
      <x:c r="P713">
        <x:v>76</x:v>
      </x:c>
      <x:c r="Q713">
        <x:v>79</x:v>
      </x:c>
      <x:c r="R713">
        <x:v>38</x:v>
      </x:c>
      <x:c r="S713">
        <x:v>75</x:v>
      </x:c>
      <x:c r="T713" s="63" t="n">
        <x:f>MAX(30,MIN(AB713-VLOOKUP(AE713,'AHL_PA_SC_BALANCE'!$A$8:$E$18,2,FALSE),VLOOKUP(AE713,'AHL_PA_SC_BALANCE'!$A$8:$E$18,4,FALSE)))</x:f>
        <x:v>43</x:v>
      </x:c>
      <x:c r="U713" s="63" t="n">
        <x:f>MAX(30,MIN(AC713-VLOOKUP(AE713,'AHL_PA_SC_BALANCE'!$A$8:$E$18,3,FALSE),VLOOKUP(AE713,'AHL_PA_SC_BALANCE'!$A$8:$E$18,5,FALSE)))</x:f>
        <x:v>42</x:v>
      </x:c>
      <x:c r="V713">
        <x:v>58</x:v>
      </x:c>
      <x:c r="W713">
        <x:v>60</x:v>
      </x:c>
      <x:c r="X713">
        <x:v>66</x:v>
      </x:c>
      <x:c r="Y713">
        <x:v>65</x:v>
      </x:c>
      <x:c r="Z713">
        <x:v>51</x:v>
      </x:c>
      <x:c r="AA713">
        <x:v>47</x:v>
      </x:c>
      <x:c r="AB713" s="57" t="n">
        <x:v>43</x:v>
      </x:c>
      <x:c r="AC713" s="57" t="n">
        <x:v>42</x:v>
      </x:c>
      <x:c r="AD713" s="59"/>
      <x:c r="AE713" s="61" t="str">
        <x:f>IF(N(F713)&gt;=10,"NHL_LATEST_10",IF(AND(N(F713)&gt;0,N(G713)&gt;0),"NHL_BOTH_SEASONS",IF(N(G713)&gt;=10,"NHL_PREVIOUS_10",IF(AND(ISNUMBER(AD713),AD713=0,SUM(F713:G713)=0),"FARM_CAREER_0",IF(COUNT(F713:G713)&lt;2,"UNKNOWN_GP",IF(AND(F713=0,G713=0),IF(AD713&gt;=10,"FARM_LEGACY_10",IF(AND(ISNUMBER(AD713),AD713&gt;0),"FARM_CAREER_1_9","FARM_0_0")),IF(F713&gt;=1,IF(F713&lt;=3,"FARM_RECENT_1_3","FARM_RECENT_4_9"),"FARM_PREV_1_9_ONLY")))))))</x:f>
        <x:v>UNKNOWN_GP</x:v>
      </x:c>
      <x:c r="AF713" s="57" t="n">
        <x:f>AB713-T713</x:f>
        <x:v>0</x:v>
      </x:c>
      <x:c r="AG713" s="57" t="n">
        <x:f>AC713-U713</x:f>
        <x:v>0</x:v>
      </x:c>
    </x:row>
    <x:row r="714">
      <x:c r="A714" t="s">
        <x:v>1737</x:v>
      </x:c>
      <x:c r="C714" t="s">
        <x:v>333</x:v>
      </x:c>
      <x:c r="D714">
        <x:v>8483671</x:v>
      </x:c>
      <x:c r="E714" t="s">
        <x:v>267</x:v>
      </x:c>
      <x:c r="J714" t="s">
        <x:v>2474</x:v>
      </x:c>
      <x:c r="K714">
        <x:v>72</x:v>
      </x:c>
      <x:c r="L714">
        <x:v>46</x:v>
      </x:c>
      <x:c r="M714">
        <x:v>87</x:v>
      </x:c>
      <x:c r="N714">
        <x:v>38</x:v>
      </x:c>
      <x:c r="O714">
        <x:v>83</x:v>
      </x:c>
      <x:c r="P714">
        <x:v>79</x:v>
      </x:c>
      <x:c r="Q714">
        <x:v>82</x:v>
      </x:c>
      <x:c r="R714">
        <x:v>38</x:v>
      </x:c>
      <x:c r="S714">
        <x:v>72</x:v>
      </x:c>
      <x:c r="T714" s="63" t="n">
        <x:f>MAX(30,MIN(AB714-VLOOKUP(AE714,'AHL_PA_SC_BALANCE'!$A$8:$E$18,2,FALSE),VLOOKUP(AE714,'AHL_PA_SC_BALANCE'!$A$8:$E$18,4,FALSE)))</x:f>
        <x:v>41</x:v>
      </x:c>
      <x:c r="U714" s="63" t="n">
        <x:f>MAX(30,MIN(AC714-VLOOKUP(AE714,'AHL_PA_SC_BALANCE'!$A$8:$E$18,3,FALSE),VLOOKUP(AE714,'AHL_PA_SC_BALANCE'!$A$8:$E$18,5,FALSE)))</x:f>
        <x:v>41</x:v>
      </x:c>
      <x:c r="V714">
        <x:v>66</x:v>
      </x:c>
      <x:c r="W714">
        <x:v>60</x:v>
      </x:c>
      <x:c r="X714">
        <x:v>66</x:v>
      </x:c>
      <x:c r="Y714">
        <x:v>67</x:v>
      </x:c>
      <x:c r="Z714">
        <x:v>51</x:v>
      </x:c>
      <x:c r="AA714">
        <x:v>47</x:v>
      </x:c>
      <x:c r="AB714" s="57" t="n">
        <x:v>41</x:v>
      </x:c>
      <x:c r="AC714" s="57" t="n">
        <x:v>41</x:v>
      </x:c>
      <x:c r="AD714" s="59"/>
      <x:c r="AE714" s="61" t="str">
        <x:f>IF(N(F714)&gt;=10,"NHL_LATEST_10",IF(AND(N(F714)&gt;0,N(G714)&gt;0),"NHL_BOTH_SEASONS",IF(N(G714)&gt;=10,"NHL_PREVIOUS_10",IF(AND(ISNUMBER(AD714),AD714=0,SUM(F714:G714)=0),"FARM_CAREER_0",IF(COUNT(F714:G714)&lt;2,"UNKNOWN_GP",IF(AND(F714=0,G714=0),IF(AD714&gt;=10,"FARM_LEGACY_10",IF(AND(ISNUMBER(AD714),AD714&gt;0),"FARM_CAREER_1_9","FARM_0_0")),IF(F714&gt;=1,IF(F714&lt;=3,"FARM_RECENT_1_3","FARM_RECENT_4_9"),"FARM_PREV_1_9_ONLY")))))))</x:f>
        <x:v>UNKNOWN_GP</x:v>
      </x:c>
      <x:c r="AF714" s="57" t="n">
        <x:f>AB714-T714</x:f>
        <x:v>0</x:v>
      </x:c>
      <x:c r="AG714" s="57" t="n">
        <x:f>AC714-U714</x:f>
        <x:v>0</x:v>
      </x:c>
    </x:row>
    <x:row r="715">
      <x:c r="A715" t="s">
        <x:v>1738</x:v>
      </x:c>
      <x:c r="C715" t="s">
        <x:v>319</x:v>
      </x:c>
      <x:c r="D715">
        <x:v>8482863</x:v>
      </x:c>
      <x:c r="E715" t="s">
        <x:v>267</x:v>
      </x:c>
      <x:c r="J715" t="s">
        <x:v>2474</x:v>
      </x:c>
      <x:c r="K715">
        <x:v>65</x:v>
      </x:c>
      <x:c r="L715">
        <x:v>31</x:v>
      </x:c>
      <x:c r="M715">
        <x:v>88</x:v>
      </x:c>
      <x:c r="N715">
        <x:v>40</x:v>
      </x:c>
      <x:c r="O715">
        <x:v>80</x:v>
      </x:c>
      <x:c r="P715">
        <x:v>88</x:v>
      </x:c>
      <x:c r="Q715">
        <x:v>91</x:v>
      </x:c>
      <x:c r="R715">
        <x:v>39</x:v>
      </x:c>
      <x:c r="S715">
        <x:v>83</x:v>
      </x:c>
      <x:c r="T715" s="63" t="n">
        <x:f>MAX(30,MIN(AB715-VLOOKUP(AE715,'AHL_PA_SC_BALANCE'!$A$8:$E$18,2,FALSE),VLOOKUP(AE715,'AHL_PA_SC_BALANCE'!$A$8:$E$18,4,FALSE)))</x:f>
        <x:v>42</x:v>
      </x:c>
      <x:c r="U715" s="63" t="n">
        <x:f>MAX(30,MIN(AC715-VLOOKUP(AE715,'AHL_PA_SC_BALANCE'!$A$8:$E$18,3,FALSE),VLOOKUP(AE715,'AHL_PA_SC_BALANCE'!$A$8:$E$18,5,FALSE)))</x:f>
        <x:v>43</x:v>
      </x:c>
      <x:c r="V715">
        <x:v>59</x:v>
      </x:c>
      <x:c r="W715">
        <x:v>62</x:v>
      </x:c>
      <x:c r="X715">
        <x:v>66</x:v>
      </x:c>
      <x:c r="Y715">
        <x:v>65</x:v>
      </x:c>
      <x:c r="Z715">
        <x:v>51</x:v>
      </x:c>
      <x:c r="AA715">
        <x:v>47</x:v>
      </x:c>
      <x:c r="AB715" s="57" t="n">
        <x:v>42</x:v>
      </x:c>
      <x:c r="AC715" s="57" t="n">
        <x:v>43</x:v>
      </x:c>
      <x:c r="AD715" s="59"/>
      <x:c r="AE715" s="61" t="str">
        <x:f>IF(N(F715)&gt;=10,"NHL_LATEST_10",IF(AND(N(F715)&gt;0,N(G715)&gt;0),"NHL_BOTH_SEASONS",IF(N(G715)&gt;=10,"NHL_PREVIOUS_10",IF(AND(ISNUMBER(AD715),AD715=0,SUM(F715:G715)=0),"FARM_CAREER_0",IF(COUNT(F715:G715)&lt;2,"UNKNOWN_GP",IF(AND(F715=0,G715=0),IF(AD715&gt;=10,"FARM_LEGACY_10",IF(AND(ISNUMBER(AD715),AD715&gt;0),"FARM_CAREER_1_9","FARM_0_0")),IF(F715&gt;=1,IF(F715&lt;=3,"FARM_RECENT_1_3","FARM_RECENT_4_9"),"FARM_PREV_1_9_ONLY")))))))</x:f>
        <x:v>UNKNOWN_GP</x:v>
      </x:c>
      <x:c r="AF715" s="57" t="n">
        <x:f>AB715-T715</x:f>
        <x:v>0</x:v>
      </x:c>
      <x:c r="AG715" s="57" t="n">
        <x:f>AC715-U715</x:f>
        <x:v>0</x:v>
      </x:c>
    </x:row>
    <x:row r="716">
      <x:c r="A716" t="s">
        <x:v>1739</x:v>
      </x:c>
      <x:c r="C716" t="s">
        <x:v>319</x:v>
      </x:c>
      <x:c r="D716">
        <x:v>8483549</x:v>
      </x:c>
      <x:c r="E716" t="s">
        <x:v>267</x:v>
      </x:c>
      <x:c r="J716" t="s">
        <x:v>2474</x:v>
      </x:c>
      <x:c r="K716">
        <x:v>67</x:v>
      </x:c>
      <x:c r="L716">
        <x:v>35</x:v>
      </x:c>
      <x:c r="M716">
        <x:v>76</x:v>
      </x:c>
      <x:c r="N716">
        <x:v>39</x:v>
      </x:c>
      <x:c r="O716">
        <x:v>85</x:v>
      </x:c>
      <x:c r="P716">
        <x:v>92</x:v>
      </x:c>
      <x:c r="Q716">
        <x:v>95</x:v>
      </x:c>
      <x:c r="R716">
        <x:v>38</x:v>
      </x:c>
      <x:c r="S716">
        <x:v>71</x:v>
      </x:c>
      <x:c r="T716" s="63" t="n">
        <x:f>MAX(30,MIN(AB716-VLOOKUP(AE716,'AHL_PA_SC_BALANCE'!$A$8:$E$18,2,FALSE),VLOOKUP(AE716,'AHL_PA_SC_BALANCE'!$A$8:$E$18,4,FALSE)))</x:f>
        <x:v>45</x:v>
      </x:c>
      <x:c r="U716" s="63" t="n">
        <x:f>MAX(30,MIN(AC716-VLOOKUP(AE716,'AHL_PA_SC_BALANCE'!$A$8:$E$18,3,FALSE),VLOOKUP(AE716,'AHL_PA_SC_BALANCE'!$A$8:$E$18,5,FALSE)))</x:f>
        <x:v>46</x:v>
      </x:c>
      <x:c r="V716">
        <x:v>60</x:v>
      </x:c>
      <x:c r="W716">
        <x:v>60</x:v>
      </x:c>
      <x:c r="X716">
        <x:v>71</x:v>
      </x:c>
      <x:c r="Y716">
        <x:v>72</x:v>
      </x:c>
      <x:c r="Z716">
        <x:v>51</x:v>
      </x:c>
      <x:c r="AA716">
        <x:v>47</x:v>
      </x:c>
      <x:c r="AB716" s="57" t="n">
        <x:v>45</x:v>
      </x:c>
      <x:c r="AC716" s="57" t="n">
        <x:v>46</x:v>
      </x:c>
      <x:c r="AD716" s="59"/>
      <x:c r="AE716" s="61" t="str">
        <x:f>IF(N(F716)&gt;=10,"NHL_LATEST_10",IF(AND(N(F716)&gt;0,N(G716)&gt;0),"NHL_BOTH_SEASONS",IF(N(G716)&gt;=10,"NHL_PREVIOUS_10",IF(AND(ISNUMBER(AD716),AD716=0,SUM(F716:G716)=0),"FARM_CAREER_0",IF(COUNT(F716:G716)&lt;2,"UNKNOWN_GP",IF(AND(F716=0,G716=0),IF(AD716&gt;=10,"FARM_LEGACY_10",IF(AND(ISNUMBER(AD716),AD716&gt;0),"FARM_CAREER_1_9","FARM_0_0")),IF(F716&gt;=1,IF(F716&lt;=3,"FARM_RECENT_1_3","FARM_RECENT_4_9"),"FARM_PREV_1_9_ONLY")))))))</x:f>
        <x:v>UNKNOWN_GP</x:v>
      </x:c>
      <x:c r="AF716" s="57" t="n">
        <x:f>AB716-T716</x:f>
        <x:v>0</x:v>
      </x:c>
      <x:c r="AG716" s="57" t="n">
        <x:f>AC716-U716</x:f>
        <x:v>0</x:v>
      </x:c>
    </x:row>
    <x:row r="717">
      <x:c r="A717" t="s">
        <x:v>1740</x:v>
      </x:c>
      <x:c r="C717" t="s">
        <x:v>339</x:v>
      </x:c>
      <x:c r="D717">
        <x:v>8482903</x:v>
      </x:c>
      <x:c r="E717" t="s">
        <x:v>267</x:v>
      </x:c>
      <x:c r="J717" t="s">
        <x:v>2474</x:v>
      </x:c>
      <x:c r="K717">
        <x:v>62</x:v>
      </x:c>
      <x:c r="L717">
        <x:v>32</x:v>
      </x:c>
      <x:c r="M717">
        <x:v>89</x:v>
      </x:c>
      <x:c r="N717">
        <x:v>40</x:v>
      </x:c>
      <x:c r="O717">
        <x:v>73</x:v>
      </x:c>
      <x:c r="P717">
        <x:v>77</x:v>
      </x:c>
      <x:c r="Q717">
        <x:v>79</x:v>
      </x:c>
      <x:c r="R717">
        <x:v>41</x:v>
      </x:c>
      <x:c r="S717">
        <x:v>80</x:v>
      </x:c>
      <x:c r="T717" s="63" t="n">
        <x:f>MAX(30,MIN(AB717-VLOOKUP(AE717,'AHL_PA_SC_BALANCE'!$A$8:$E$18,2,FALSE),VLOOKUP(AE717,'AHL_PA_SC_BALANCE'!$A$8:$E$18,4,FALSE)))</x:f>
        <x:v>40</x:v>
      </x:c>
      <x:c r="U717" s="63" t="n">
        <x:f>MAX(30,MIN(AC717-VLOOKUP(AE717,'AHL_PA_SC_BALANCE'!$A$8:$E$18,3,FALSE),VLOOKUP(AE717,'AHL_PA_SC_BALANCE'!$A$8:$E$18,5,FALSE)))</x:f>
        <x:v>44</x:v>
      </x:c>
      <x:c r="V717">
        <x:v>60</x:v>
      </x:c>
      <x:c r="W717">
        <x:v>61</x:v>
      </x:c>
      <x:c r="X717">
        <x:v>67</x:v>
      </x:c>
      <x:c r="Y717">
        <x:v>68</x:v>
      </x:c>
      <x:c r="Z717">
        <x:v>51</x:v>
      </x:c>
      <x:c r="AA717">
        <x:v>47</x:v>
      </x:c>
      <x:c r="AB717" s="57" t="n">
        <x:v>40</x:v>
      </x:c>
      <x:c r="AC717" s="57" t="n">
        <x:v>44</x:v>
      </x:c>
      <x:c r="AD717" s="59"/>
      <x:c r="AE717" s="61" t="str">
        <x:f>IF(N(F717)&gt;=10,"NHL_LATEST_10",IF(AND(N(F717)&gt;0,N(G717)&gt;0),"NHL_BOTH_SEASONS",IF(N(G717)&gt;=10,"NHL_PREVIOUS_10",IF(AND(ISNUMBER(AD717),AD717=0,SUM(F717:G717)=0),"FARM_CAREER_0",IF(COUNT(F717:G717)&lt;2,"UNKNOWN_GP",IF(AND(F717=0,G717=0),IF(AD717&gt;=10,"FARM_LEGACY_10",IF(AND(ISNUMBER(AD717),AD717&gt;0),"FARM_CAREER_1_9","FARM_0_0")),IF(F717&gt;=1,IF(F717&lt;=3,"FARM_RECENT_1_3","FARM_RECENT_4_9"),"FARM_PREV_1_9_ONLY")))))))</x:f>
        <x:v>UNKNOWN_GP</x:v>
      </x:c>
      <x:c r="AF717" s="57" t="n">
        <x:f>AB717-T717</x:f>
        <x:v>0</x:v>
      </x:c>
      <x:c r="AG717" s="57" t="n">
        <x:f>AC717-U717</x:f>
        <x:v>0</x:v>
      </x:c>
    </x:row>
    <x:row r="718">
      <x:c r="A718" t="s">
        <x:v>1741</x:v>
      </x:c>
      <x:c r="C718" t="s">
        <x:v>319</x:v>
      </x:c>
      <x:c r="D718">
        <x:v>8485462</x:v>
      </x:c>
      <x:c r="E718" t="s">
        <x:v>267</x:v>
      </x:c>
      <x:c r="J718" t="s">
        <x:v>2474</x:v>
      </x:c>
      <x:c r="K718">
        <x:v>74</x:v>
      </x:c>
      <x:c r="L718">
        <x:v>42</x:v>
      </x:c>
      <x:c r="M718">
        <x:v>83</x:v>
      </x:c>
      <x:c r="N718">
        <x:v>38</x:v>
      </x:c>
      <x:c r="O718">
        <x:v>83</x:v>
      </x:c>
      <x:c r="P718">
        <x:v>73</x:v>
      </x:c>
      <x:c r="Q718">
        <x:v>76</x:v>
      </x:c>
      <x:c r="R718">
        <x:v>37</x:v>
      </x:c>
      <x:c r="S718">
        <x:v>66</x:v>
      </x:c>
      <x:c r="T718" s="63" t="n">
        <x:f>MAX(30,MIN(AB718-VLOOKUP(AE718,'AHL_PA_SC_BALANCE'!$A$8:$E$18,2,FALSE),VLOOKUP(AE718,'AHL_PA_SC_BALANCE'!$A$8:$E$18,4,FALSE)))</x:f>
        <x:v>40</x:v>
      </x:c>
      <x:c r="U718" s="63" t="n">
        <x:f>MAX(30,MIN(AC718-VLOOKUP(AE718,'AHL_PA_SC_BALANCE'!$A$8:$E$18,3,FALSE),VLOOKUP(AE718,'AHL_PA_SC_BALANCE'!$A$8:$E$18,5,FALSE)))</x:f>
        <x:v>42</x:v>
      </x:c>
      <x:c r="V718">
        <x:v>58</x:v>
      </x:c>
      <x:c r="W718">
        <x:v>60</x:v>
      </x:c>
      <x:c r="X718">
        <x:v>65</x:v>
      </x:c>
      <x:c r="Y718">
        <x:v>66</x:v>
      </x:c>
      <x:c r="Z718">
        <x:v>51</x:v>
      </x:c>
      <x:c r="AA718">
        <x:v>47</x:v>
      </x:c>
      <x:c r="AB718" s="57" t="n">
        <x:v>40</x:v>
      </x:c>
      <x:c r="AC718" s="57" t="n">
        <x:v>42</x:v>
      </x:c>
      <x:c r="AD718" s="59"/>
      <x:c r="AE718" s="61" t="str">
        <x:f>IF(N(F718)&gt;=10,"NHL_LATEST_10",IF(AND(N(F718)&gt;0,N(G718)&gt;0),"NHL_BOTH_SEASONS",IF(N(G718)&gt;=10,"NHL_PREVIOUS_10",IF(AND(ISNUMBER(AD718),AD718=0,SUM(F718:G718)=0),"FARM_CAREER_0",IF(COUNT(F718:G718)&lt;2,"UNKNOWN_GP",IF(AND(F718=0,G718=0),IF(AD718&gt;=10,"FARM_LEGACY_10",IF(AND(ISNUMBER(AD718),AD718&gt;0),"FARM_CAREER_1_9","FARM_0_0")),IF(F718&gt;=1,IF(F718&lt;=3,"FARM_RECENT_1_3","FARM_RECENT_4_9"),"FARM_PREV_1_9_ONLY")))))))</x:f>
        <x:v>UNKNOWN_GP</x:v>
      </x:c>
      <x:c r="AF718" s="57" t="n">
        <x:f>AB718-T718</x:f>
        <x:v>0</x:v>
      </x:c>
      <x:c r="AG718" s="57" t="n">
        <x:f>AC718-U718</x:f>
        <x:v>0</x:v>
      </x:c>
    </x:row>
    <x:row r="719">
      <x:c r="A719" t="s">
        <x:v>1742</x:v>
      </x:c>
      <x:c r="C719" t="s">
        <x:v>333</x:v>
      </x:c>
      <x:c r="D719">
        <x:v>8482757</x:v>
      </x:c>
      <x:c r="E719" t="s">
        <x:v>267</x:v>
      </x:c>
      <x:c r="J719" t="s">
        <x:v>2474</x:v>
      </x:c>
      <x:c r="K719">
        <x:v>66</x:v>
      </x:c>
      <x:c r="L719">
        <x:v>38</x:v>
      </x:c>
      <x:c r="M719">
        <x:v>70</x:v>
      </x:c>
      <x:c r="N719">
        <x:v>39</x:v>
      </x:c>
      <x:c r="O719">
        <x:v>82</x:v>
      </x:c>
      <x:c r="P719">
        <x:v>74</x:v>
      </x:c>
      <x:c r="Q719">
        <x:v>76</x:v>
      </x:c>
      <x:c r="R719">
        <x:v>39</x:v>
      </x:c>
      <x:c r="S719">
        <x:v>76</x:v>
      </x:c>
      <x:c r="T719" s="63" t="n">
        <x:f>MAX(30,MIN(AB719-VLOOKUP(AE719,'AHL_PA_SC_BALANCE'!$A$8:$E$18,2,FALSE),VLOOKUP(AE719,'AHL_PA_SC_BALANCE'!$A$8:$E$18,4,FALSE)))</x:f>
        <x:v>43</x:v>
      </x:c>
      <x:c r="U719" s="63" t="n">
        <x:f>MAX(30,MIN(AC719-VLOOKUP(AE719,'AHL_PA_SC_BALANCE'!$A$8:$E$18,3,FALSE),VLOOKUP(AE719,'AHL_PA_SC_BALANCE'!$A$8:$E$18,5,FALSE)))</x:f>
        <x:v>40</x:v>
      </x:c>
      <x:c r="V719">
        <x:v>59</x:v>
      </x:c>
      <x:c r="W719">
        <x:v>61</x:v>
      </x:c>
      <x:c r="X719">
        <x:v>66</x:v>
      </x:c>
      <x:c r="Y719">
        <x:v>66</x:v>
      </x:c>
      <x:c r="Z719">
        <x:v>51</x:v>
      </x:c>
      <x:c r="AA719">
        <x:v>47</x:v>
      </x:c>
      <x:c r="AB719" s="57" t="n">
        <x:v>43</x:v>
      </x:c>
      <x:c r="AC719" s="57" t="n">
        <x:v>40</x:v>
      </x:c>
      <x:c r="AD719" s="59"/>
      <x:c r="AE719" s="61" t="str">
        <x:f>IF(N(F719)&gt;=10,"NHL_LATEST_10",IF(AND(N(F719)&gt;0,N(G719)&gt;0),"NHL_BOTH_SEASONS",IF(N(G719)&gt;=10,"NHL_PREVIOUS_10",IF(AND(ISNUMBER(AD719),AD719=0,SUM(F719:G719)=0),"FARM_CAREER_0",IF(COUNT(F719:G719)&lt;2,"UNKNOWN_GP",IF(AND(F719=0,G719=0),IF(AD719&gt;=10,"FARM_LEGACY_10",IF(AND(ISNUMBER(AD719),AD719&gt;0),"FARM_CAREER_1_9","FARM_0_0")),IF(F719&gt;=1,IF(F719&lt;=3,"FARM_RECENT_1_3","FARM_RECENT_4_9"),"FARM_PREV_1_9_ONLY")))))))</x:f>
        <x:v>UNKNOWN_GP</x:v>
      </x:c>
      <x:c r="AF719" s="57" t="n">
        <x:f>AB719-T719</x:f>
        <x:v>0</x:v>
      </x:c>
      <x:c r="AG719" s="57" t="n">
        <x:f>AC719-U719</x:f>
        <x:v>0</x:v>
      </x:c>
    </x:row>
    <x:row r="720">
      <x:c r="A720" t="s">
        <x:v>1743</x:v>
      </x:c>
      <x:c r="C720" t="s">
        <x:v>319</x:v>
      </x:c>
      <x:c r="D720">
        <x:v>8484277</x:v>
      </x:c>
      <x:c r="E720" t="s">
        <x:v>267</x:v>
      </x:c>
      <x:c r="J720" t="s">
        <x:v>2474</x:v>
      </x:c>
      <x:c r="K720">
        <x:v>64</x:v>
      </x:c>
      <x:c r="L720">
        <x:v>34</x:v>
      </x:c>
      <x:c r="M720">
        <x:v>83</x:v>
      </x:c>
      <x:c r="N720">
        <x:v>40</x:v>
      </x:c>
      <x:c r="O720">
        <x:v>76</x:v>
      </x:c>
      <x:c r="P720">
        <x:v>84</x:v>
      </x:c>
      <x:c r="Q720">
        <x:v>89</x:v>
      </x:c>
      <x:c r="R720">
        <x:v>39</x:v>
      </x:c>
      <x:c r="S720">
        <x:v>69</x:v>
      </x:c>
      <x:c r="T720" s="63" t="n">
        <x:f>MAX(30,MIN(AB720-VLOOKUP(AE720,'AHL_PA_SC_BALANCE'!$A$8:$E$18,2,FALSE),VLOOKUP(AE720,'AHL_PA_SC_BALANCE'!$A$8:$E$18,4,FALSE)))</x:f>
        <x:v>41</x:v>
      </x:c>
      <x:c r="U720" s="63" t="n">
        <x:f>MAX(30,MIN(AC720-VLOOKUP(AE720,'AHL_PA_SC_BALANCE'!$A$8:$E$18,3,FALSE),VLOOKUP(AE720,'AHL_PA_SC_BALANCE'!$A$8:$E$18,5,FALSE)))</x:f>
        <x:v>43</x:v>
      </x:c>
      <x:c r="V720">
        <x:v>59</x:v>
      </x:c>
      <x:c r="W720">
        <x:v>61</x:v>
      </x:c>
      <x:c r="X720">
        <x:v>70</x:v>
      </x:c>
      <x:c r="Y720">
        <x:v>69</x:v>
      </x:c>
      <x:c r="Z720">
        <x:v>51</x:v>
      </x:c>
      <x:c r="AA720">
        <x:v>47</x:v>
      </x:c>
      <x:c r="AB720" s="57" t="n">
        <x:v>41</x:v>
      </x:c>
      <x:c r="AC720" s="57" t="n">
        <x:v>43</x:v>
      </x:c>
      <x:c r="AD720" s="59"/>
      <x:c r="AE720" s="61" t="str">
        <x:f>IF(N(F720)&gt;=10,"NHL_LATEST_10",IF(AND(N(F720)&gt;0,N(G720)&gt;0),"NHL_BOTH_SEASONS",IF(N(G720)&gt;=10,"NHL_PREVIOUS_10",IF(AND(ISNUMBER(AD720),AD720=0,SUM(F720:G720)=0),"FARM_CAREER_0",IF(COUNT(F720:G720)&lt;2,"UNKNOWN_GP",IF(AND(F720=0,G720=0),IF(AD720&gt;=10,"FARM_LEGACY_10",IF(AND(ISNUMBER(AD720),AD720&gt;0),"FARM_CAREER_1_9","FARM_0_0")),IF(F720&gt;=1,IF(F720&lt;=3,"FARM_RECENT_1_3","FARM_RECENT_4_9"),"FARM_PREV_1_9_ONLY")))))))</x:f>
        <x:v>UNKNOWN_GP</x:v>
      </x:c>
      <x:c r="AF720" s="57" t="n">
        <x:f>AB720-T720</x:f>
        <x:v>0</x:v>
      </x:c>
      <x:c r="AG720" s="57" t="n">
        <x:f>AC720-U720</x:f>
        <x:v>0</x:v>
      </x:c>
    </x:row>
    <x:row r="721">
      <x:c r="A721" t="s">
        <x:v>1744</x:v>
      </x:c>
      <x:c r="C721" t="s">
        <x:v>326</x:v>
      </x:c>
      <x:c r="D721">
        <x:v>8482250</x:v>
      </x:c>
      <x:c r="E721" t="s">
        <x:v>267</x:v>
      </x:c>
      <x:c r="J721" t="s">
        <x:v>2474</x:v>
      </x:c>
      <x:c r="K721">
        <x:v>59</x:v>
      </x:c>
      <x:c r="L721">
        <x:v>37</x:v>
      </x:c>
      <x:c r="M721">
        <x:v>92</x:v>
      </x:c>
      <x:c r="N721">
        <x:v>39</x:v>
      </x:c>
      <x:c r="O721">
        <x:v>76</x:v>
      </x:c>
      <x:c r="P721">
        <x:v>85</x:v>
      </x:c>
      <x:c r="Q721">
        <x:v>87</x:v>
      </x:c>
      <x:c r="R721">
        <x:v>38</x:v>
      </x:c>
      <x:c r="S721">
        <x:v>60</x:v>
      </x:c>
      <x:c r="T721" s="63" t="n">
        <x:f>MAX(30,MIN(AB721-VLOOKUP(AE721,'AHL_PA_SC_BALANCE'!$A$8:$E$18,2,FALSE),VLOOKUP(AE721,'AHL_PA_SC_BALANCE'!$A$8:$E$18,4,FALSE)))</x:f>
        <x:v>43</x:v>
      </x:c>
      <x:c r="U721" s="63" t="n">
        <x:f>MAX(30,MIN(AC721-VLOOKUP(AE721,'AHL_PA_SC_BALANCE'!$A$8:$E$18,3,FALSE),VLOOKUP(AE721,'AHL_PA_SC_BALANCE'!$A$8:$E$18,5,FALSE)))</x:f>
        <x:v>41</x:v>
      </x:c>
      <x:c r="V721">
        <x:v>63</x:v>
      </x:c>
      <x:c r="W721">
        <x:v>61</x:v>
      </x:c>
      <x:c r="X721">
        <x:v>71</x:v>
      </x:c>
      <x:c r="Y721">
        <x:v>71</x:v>
      </x:c>
      <x:c r="Z721">
        <x:v>51</x:v>
      </x:c>
      <x:c r="AA721">
        <x:v>47</x:v>
      </x:c>
      <x:c r="AB721" s="57" t="n">
        <x:v>43</x:v>
      </x:c>
      <x:c r="AC721" s="57" t="n">
        <x:v>41</x:v>
      </x:c>
      <x:c r="AD721" s="59"/>
      <x:c r="AE721" s="61" t="str">
        <x:f>IF(N(F721)&gt;=10,"NHL_LATEST_10",IF(AND(N(F721)&gt;0,N(G721)&gt;0),"NHL_BOTH_SEASONS",IF(N(G721)&gt;=10,"NHL_PREVIOUS_10",IF(AND(ISNUMBER(AD721),AD721=0,SUM(F721:G721)=0),"FARM_CAREER_0",IF(COUNT(F721:G721)&lt;2,"UNKNOWN_GP",IF(AND(F721=0,G721=0),IF(AD721&gt;=10,"FARM_LEGACY_10",IF(AND(ISNUMBER(AD721),AD721&gt;0),"FARM_CAREER_1_9","FARM_0_0")),IF(F721&gt;=1,IF(F721&lt;=3,"FARM_RECENT_1_3","FARM_RECENT_4_9"),"FARM_PREV_1_9_ONLY")))))))</x:f>
        <x:v>UNKNOWN_GP</x:v>
      </x:c>
      <x:c r="AF721" s="57" t="n">
        <x:f>AB721-T721</x:f>
        <x:v>0</x:v>
      </x:c>
      <x:c r="AG721" s="57" t="n">
        <x:f>AC721-U721</x:f>
        <x:v>0</x:v>
      </x:c>
    </x:row>
    <x:row r="722">
      <x:c r="A722" t="s">
        <x:v>1745</x:v>
      </x:c>
      <x:c r="C722" t="s">
        <x:v>319</x:v>
      </x:c>
      <x:c r="D722">
        <x:v>8484529</x:v>
      </x:c>
      <x:c r="E722" t="s">
        <x:v>267</x:v>
      </x:c>
      <x:c r="J722" t="s">
        <x:v>2474</x:v>
      </x:c>
      <x:c r="K722">
        <x:v>81</x:v>
      </x:c>
      <x:c r="L722">
        <x:v>46</x:v>
      </x:c>
      <x:c r="M722">
        <x:v>65</x:v>
      </x:c>
      <x:c r="N722">
        <x:v>37</x:v>
      </x:c>
      <x:c r="O722">
        <x:v>85</x:v>
      </x:c>
      <x:c r="P722">
        <x:v>76</x:v>
      </x:c>
      <x:c r="Q722">
        <x:v>79</x:v>
      </x:c>
      <x:c r="R722">
        <x:v>37</x:v>
      </x:c>
      <x:c r="S722">
        <x:v>53</x:v>
      </x:c>
      <x:c r="T722" s="63" t="n">
        <x:f>MAX(30,MIN(AB722-VLOOKUP(AE722,'AHL_PA_SC_BALANCE'!$A$8:$E$18,2,FALSE),VLOOKUP(AE722,'AHL_PA_SC_BALANCE'!$A$8:$E$18,4,FALSE)))</x:f>
        <x:v>40</x:v>
      </x:c>
      <x:c r="U722" s="63" t="n">
        <x:f>MAX(30,MIN(AC722-VLOOKUP(AE722,'AHL_PA_SC_BALANCE'!$A$8:$E$18,3,FALSE),VLOOKUP(AE722,'AHL_PA_SC_BALANCE'!$A$8:$E$18,5,FALSE)))</x:f>
        <x:v>40</x:v>
      </x:c>
      <x:c r="V722">
        <x:v>62</x:v>
      </x:c>
      <x:c r="W722">
        <x:v>58</x:v>
      </x:c>
      <x:c r="X722">
        <x:v>65</x:v>
      </x:c>
      <x:c r="Y722">
        <x:v>69</x:v>
      </x:c>
      <x:c r="Z722">
        <x:v>51</x:v>
      </x:c>
      <x:c r="AA722">
        <x:v>47</x:v>
      </x:c>
      <x:c r="AB722" s="57" t="n">
        <x:v>40</x:v>
      </x:c>
      <x:c r="AC722" s="57" t="n">
        <x:v>40</x:v>
      </x:c>
      <x:c r="AD722" s="59"/>
      <x:c r="AE722" s="61" t="str">
        <x:f>IF(N(F722)&gt;=10,"NHL_LATEST_10",IF(AND(N(F722)&gt;0,N(G722)&gt;0),"NHL_BOTH_SEASONS",IF(N(G722)&gt;=10,"NHL_PREVIOUS_10",IF(AND(ISNUMBER(AD722),AD722=0,SUM(F722:G722)=0),"FARM_CAREER_0",IF(COUNT(F722:G722)&lt;2,"UNKNOWN_GP",IF(AND(F722=0,G722=0),IF(AD722&gt;=10,"FARM_LEGACY_10",IF(AND(ISNUMBER(AD722),AD722&gt;0),"FARM_CAREER_1_9","FARM_0_0")),IF(F722&gt;=1,IF(F722&lt;=3,"FARM_RECENT_1_3","FARM_RECENT_4_9"),"FARM_PREV_1_9_ONLY")))))))</x:f>
        <x:v>UNKNOWN_GP</x:v>
      </x:c>
      <x:c r="AF722" s="57" t="n">
        <x:f>AB722-T722</x:f>
        <x:v>0</x:v>
      </x:c>
      <x:c r="AG722" s="57" t="n">
        <x:f>AC722-U722</x:f>
        <x:v>0</x:v>
      </x:c>
    </x:row>
    <x:row r="723">
      <x:c r="A723" t="s">
        <x:v>1746</x:v>
      </x:c>
      <x:c r="C723" t="s">
        <x:v>358</x:v>
      </x:c>
      <x:c r="D723">
        <x:v>8484143</x:v>
      </x:c>
      <x:c r="E723" t="s">
        <x:v>267</x:v>
      </x:c>
      <x:c r="J723" t="s">
        <x:v>2474</x:v>
      </x:c>
      <x:c r="K723">
        <x:v>69</x:v>
      </x:c>
      <x:c r="L723">
        <x:v>37</x:v>
      </x:c>
      <x:c r="M723">
        <x:v>89</x:v>
      </x:c>
      <x:c r="N723">
        <x:v>40</x:v>
      </x:c>
      <x:c r="O723">
        <x:v>80</x:v>
      </x:c>
      <x:c r="P723">
        <x:v>85</x:v>
      </x:c>
      <x:c r="Q723">
        <x:v>89</x:v>
      </x:c>
      <x:c r="R723">
        <x:v>39</x:v>
      </x:c>
      <x:c r="S723">
        <x:v>67</x:v>
      </x:c>
      <x:c r="T723" s="63" t="n">
        <x:f>MAX(30,MIN(AB723-VLOOKUP(AE723,'AHL_PA_SC_BALANCE'!$A$8:$E$18,2,FALSE),VLOOKUP(AE723,'AHL_PA_SC_BALANCE'!$A$8:$E$18,4,FALSE)))</x:f>
        <x:v>41</x:v>
      </x:c>
      <x:c r="U723" s="63" t="n">
        <x:f>MAX(30,MIN(AC723-VLOOKUP(AE723,'AHL_PA_SC_BALANCE'!$A$8:$E$18,3,FALSE),VLOOKUP(AE723,'AHL_PA_SC_BALANCE'!$A$8:$E$18,5,FALSE)))</x:f>
        <x:v>42</x:v>
      </x:c>
      <x:c r="V723">
        <x:v>64</x:v>
      </x:c>
      <x:c r="W723">
        <x:v>60</x:v>
      </x:c>
      <x:c r="X723">
        <x:v>65</x:v>
      </x:c>
      <x:c r="Y723">
        <x:v>65</x:v>
      </x:c>
      <x:c r="Z723">
        <x:v>51</x:v>
      </x:c>
      <x:c r="AA723">
        <x:v>47</x:v>
      </x:c>
      <x:c r="AB723" s="57" t="n">
        <x:v>41</x:v>
      </x:c>
      <x:c r="AC723" s="57" t="n">
        <x:v>42</x:v>
      </x:c>
      <x:c r="AD723" s="59"/>
      <x:c r="AE723" s="61" t="str">
        <x:f>IF(N(F723)&gt;=10,"NHL_LATEST_10",IF(AND(N(F723)&gt;0,N(G723)&gt;0),"NHL_BOTH_SEASONS",IF(N(G723)&gt;=10,"NHL_PREVIOUS_10",IF(AND(ISNUMBER(AD723),AD723=0,SUM(F723:G723)=0),"FARM_CAREER_0",IF(COUNT(F723:G723)&lt;2,"UNKNOWN_GP",IF(AND(F723=0,G723=0),IF(AD723&gt;=10,"FARM_LEGACY_10",IF(AND(ISNUMBER(AD723),AD723&gt;0),"FARM_CAREER_1_9","FARM_0_0")),IF(F723&gt;=1,IF(F723&lt;=3,"FARM_RECENT_1_3","FARM_RECENT_4_9"),"FARM_PREV_1_9_ONLY")))))))</x:f>
        <x:v>UNKNOWN_GP</x:v>
      </x:c>
      <x:c r="AF723" s="57" t="n">
        <x:f>AB723-T723</x:f>
        <x:v>0</x:v>
      </x:c>
      <x:c r="AG723" s="57" t="n">
        <x:f>AC723-U723</x:f>
        <x:v>0</x:v>
      </x:c>
    </x:row>
    <x:row r="724">
      <x:c r="A724" t="s">
        <x:v>1747</x:v>
      </x:c>
      <x:c r="B724" t="s">
        <x:v>584</x:v>
      </x:c>
      <x:c r="C724" t="s">
        <x:v>339</x:v>
      </x:c>
      <x:c r="D724">
        <x:v>8485784</x:v>
      </x:c>
      <x:c r="E724" t="s">
        <x:v>267</x:v>
      </x:c>
      <x:c r="J724" t="s">
        <x:v>2476</x:v>
      </x:c>
      <x:c r="K724">
        <x:v>61</x:v>
      </x:c>
      <x:c r="L724">
        <x:v>35</x:v>
      </x:c>
      <x:c r="M724">
        <x:v>91</x:v>
      </x:c>
      <x:c r="N724">
        <x:v>39</x:v>
      </x:c>
      <x:c r="O724">
        <x:v>80</x:v>
      </x:c>
      <x:c r="P724">
        <x:v>78</x:v>
      </x:c>
      <x:c r="Q724">
        <x:v>81</x:v>
      </x:c>
      <x:c r="R724">
        <x:v>40</x:v>
      </x:c>
      <x:c r="S724">
        <x:v>58</x:v>
      </x:c>
      <x:c r="T724" s="63" t="n">
        <x:f>MAX(30,MIN(AB724-VLOOKUP(AE724,'AHL_PA_SC_BALANCE'!$A$8:$E$18,2,FALSE),VLOOKUP(AE724,'AHL_PA_SC_BALANCE'!$A$8:$E$18,4,FALSE)))</x:f>
        <x:v>41</x:v>
      </x:c>
      <x:c r="U724" s="63" t="n">
        <x:f>MAX(30,MIN(AC724-VLOOKUP(AE724,'AHL_PA_SC_BALANCE'!$A$8:$E$18,3,FALSE),VLOOKUP(AE724,'AHL_PA_SC_BALANCE'!$A$8:$E$18,5,FALSE)))</x:f>
        <x:v>42</x:v>
      </x:c>
      <x:c r="V724">
        <x:v>61</x:v>
      </x:c>
      <x:c r="W724">
        <x:v>60</x:v>
      </x:c>
      <x:c r="X724">
        <x:v>67</x:v>
      </x:c>
      <x:c r="Y724">
        <x:v>67</x:v>
      </x:c>
      <x:c r="Z724">
        <x:v>51</x:v>
      </x:c>
      <x:c r="AA724">
        <x:v>47</x:v>
      </x:c>
      <x:c r="AB724" s="57" t="n">
        <x:v>41</x:v>
      </x:c>
      <x:c r="AC724" s="57" t="n">
        <x:v>42</x:v>
      </x:c>
      <x:c r="AD724" s="59"/>
      <x:c r="AE724" s="61" t="str">
        <x:f>IF(N(F724)&gt;=10,"NHL_LATEST_10",IF(AND(N(F724)&gt;0,N(G724)&gt;0),"NHL_BOTH_SEASONS",IF(N(G724)&gt;=10,"NHL_PREVIOUS_10",IF(AND(ISNUMBER(AD724),AD724=0,SUM(F724:G724)=0),"FARM_CAREER_0",IF(COUNT(F724:G724)&lt;2,"UNKNOWN_GP",IF(AND(F724=0,G724=0),IF(AD724&gt;=10,"FARM_LEGACY_10",IF(AND(ISNUMBER(AD724),AD724&gt;0),"FARM_CAREER_1_9","FARM_0_0")),IF(F724&gt;=1,IF(F724&lt;=3,"FARM_RECENT_1_3","FARM_RECENT_4_9"),"FARM_PREV_1_9_ONLY")))))))</x:f>
        <x:v>UNKNOWN_GP</x:v>
      </x:c>
      <x:c r="AF724" s="57" t="n">
        <x:f>AB724-T724</x:f>
        <x:v>0</x:v>
      </x:c>
      <x:c r="AG724" s="57" t="n">
        <x:f>AC724-U724</x:f>
        <x:v>0</x:v>
      </x:c>
    </x:row>
    <x:row r="725">
      <x:c r="A725" t="s">
        <x:v>1748</x:v>
      </x:c>
      <x:c r="C725" t="s">
        <x:v>319</x:v>
      </x:c>
      <x:c r="D725">
        <x:v>8484899</x:v>
      </x:c>
      <x:c r="E725" t="s">
        <x:v>267</x:v>
      </x:c>
      <x:c r="J725" t="s">
        <x:v>2474</x:v>
      </x:c>
      <x:c r="K725">
        <x:v>65</x:v>
      </x:c>
      <x:c r="L725">
        <x:v>35</x:v>
      </x:c>
      <x:c r="M725">
        <x:v>91</x:v>
      </x:c>
      <x:c r="N725">
        <x:v>38</x:v>
      </x:c>
      <x:c r="O725">
        <x:v>89</x:v>
      </x:c>
      <x:c r="P725">
        <x:v>75</x:v>
      </x:c>
      <x:c r="Q725">
        <x:v>77</x:v>
      </x:c>
      <x:c r="R725">
        <x:v>38</x:v>
      </x:c>
      <x:c r="S725">
        <x:v>79</x:v>
      </x:c>
      <x:c r="T725" s="63" t="n">
        <x:f>MAX(30,MIN(AB725-VLOOKUP(AE725,'AHL_PA_SC_BALANCE'!$A$8:$E$18,2,FALSE),VLOOKUP(AE725,'AHL_PA_SC_BALANCE'!$A$8:$E$18,4,FALSE)))</x:f>
        <x:v>41</x:v>
      </x:c>
      <x:c r="U725" s="63" t="n">
        <x:f>MAX(30,MIN(AC725-VLOOKUP(AE725,'AHL_PA_SC_BALANCE'!$A$8:$E$18,3,FALSE),VLOOKUP(AE725,'AHL_PA_SC_BALANCE'!$A$8:$E$18,5,FALSE)))</x:f>
        <x:v>42</x:v>
      </x:c>
      <x:c r="V725">
        <x:v>60</x:v>
      </x:c>
      <x:c r="W725">
        <x:v>59</x:v>
      </x:c>
      <x:c r="X725">
        <x:v>69</x:v>
      </x:c>
      <x:c r="Y725">
        <x:v>68</x:v>
      </x:c>
      <x:c r="Z725">
        <x:v>51</x:v>
      </x:c>
      <x:c r="AA725">
        <x:v>47</x:v>
      </x:c>
      <x:c r="AB725" s="57" t="n">
        <x:v>41</x:v>
      </x:c>
      <x:c r="AC725" s="57" t="n">
        <x:v>42</x:v>
      </x:c>
      <x:c r="AD725" s="59"/>
      <x:c r="AE725" s="61" t="str">
        <x:f>IF(N(F725)&gt;=10,"NHL_LATEST_10",IF(AND(N(F725)&gt;0,N(G725)&gt;0),"NHL_BOTH_SEASONS",IF(N(G725)&gt;=10,"NHL_PREVIOUS_10",IF(AND(ISNUMBER(AD725),AD725=0,SUM(F725:G725)=0),"FARM_CAREER_0",IF(COUNT(F725:G725)&lt;2,"UNKNOWN_GP",IF(AND(F725=0,G725=0),IF(AD725&gt;=10,"FARM_LEGACY_10",IF(AND(ISNUMBER(AD725),AD725&gt;0),"FARM_CAREER_1_9","FARM_0_0")),IF(F725&gt;=1,IF(F725&lt;=3,"FARM_RECENT_1_3","FARM_RECENT_4_9"),"FARM_PREV_1_9_ONLY")))))))</x:f>
        <x:v>UNKNOWN_GP</x:v>
      </x:c>
      <x:c r="AF725" s="57" t="n">
        <x:f>AB725-T725</x:f>
        <x:v>0</x:v>
      </x:c>
      <x:c r="AG725" s="57" t="n">
        <x:f>AC725-U725</x:f>
        <x:v>0</x:v>
      </x:c>
    </x:row>
    <x:row r="726">
      <x:c r="A726" t="s">
        <x:v>1749</x:v>
      </x:c>
      <x:c r="B726" t="s">
        <x:v>584</x:v>
      </x:c>
      <x:c r="C726" t="s">
        <x:v>319</x:v>
      </x:c>
      <x:c r="D726">
        <x:v>8481737</x:v>
      </x:c>
      <x:c r="E726" t="s">
        <x:v>267</x:v>
      </x:c>
      <x:c r="G726">
        <x:v>8</x:v>
      </x:c>
      <x:c r="J726" t="s">
        <x:v>2490</x:v>
      </x:c>
      <x:c r="K726">
        <x:v>64</x:v>
      </x:c>
      <x:c r="L726">
        <x:v>35</x:v>
      </x:c>
      <x:c r="M726">
        <x:v>75</x:v>
      </x:c>
      <x:c r="N726">
        <x:v>39</x:v>
      </x:c>
      <x:c r="O726">
        <x:v>78</x:v>
      </x:c>
      <x:c r="P726">
        <x:v>71</x:v>
      </x:c>
      <x:c r="Q726">
        <x:v>71</x:v>
      </x:c>
      <x:c r="R726">
        <x:v>39</x:v>
      </x:c>
      <x:c r="S726">
        <x:v>68</x:v>
      </x:c>
      <x:c r="T726" s="63" t="n">
        <x:f>MAX(30,MIN(AB726-VLOOKUP(AE726,'AHL_PA_SC_BALANCE'!$A$8:$E$18,2,FALSE),VLOOKUP(AE726,'AHL_PA_SC_BALANCE'!$A$8:$E$18,4,FALSE)))</x:f>
        <x:v>40</x:v>
      </x:c>
      <x:c r="U726" s="63" t="n">
        <x:f>MAX(30,MIN(AC726-VLOOKUP(AE726,'AHL_PA_SC_BALANCE'!$A$8:$E$18,3,FALSE),VLOOKUP(AE726,'AHL_PA_SC_BALANCE'!$A$8:$E$18,5,FALSE)))</x:f>
        <x:v>42</x:v>
      </x:c>
      <x:c r="V726">
        <x:v>60</x:v>
      </x:c>
      <x:c r="W726">
        <x:v>60</x:v>
      </x:c>
      <x:c r="X726">
        <x:v>70</x:v>
      </x:c>
      <x:c r="Y726">
        <x:v>68</x:v>
      </x:c>
      <x:c r="Z726">
        <x:v>51</x:v>
      </x:c>
      <x:c r="AA726">
        <x:v>47</x:v>
      </x:c>
      <x:c r="AB726" s="57" t="n">
        <x:v>40</x:v>
      </x:c>
      <x:c r="AC726" s="57" t="n">
        <x:v>42</x:v>
      </x:c>
      <x:c r="AD726" s="59"/>
      <x:c r="AE726" s="61" t="str">
        <x:f>IF(N(F726)&gt;=10,"NHL_LATEST_10",IF(AND(N(F726)&gt;0,N(G726)&gt;0),"NHL_BOTH_SEASONS",IF(N(G726)&gt;=10,"NHL_PREVIOUS_10",IF(AND(ISNUMBER(AD726),AD726=0,SUM(F726:G726)=0),"FARM_CAREER_0",IF(COUNT(F726:G726)&lt;2,"UNKNOWN_GP",IF(AND(F726=0,G726=0),IF(AD726&gt;=10,"FARM_LEGACY_10",IF(AND(ISNUMBER(AD726),AD726&gt;0),"FARM_CAREER_1_9","FARM_0_0")),IF(F726&gt;=1,IF(F726&lt;=3,"FARM_RECENT_1_3","FARM_RECENT_4_9"),"FARM_PREV_1_9_ONLY")))))))</x:f>
        <x:v>UNKNOWN_GP</x:v>
      </x:c>
      <x:c r="AF726" s="57" t="n">
        <x:f>AB726-T726</x:f>
        <x:v>0</x:v>
      </x:c>
      <x:c r="AG726" s="57" t="n">
        <x:f>AC726-U726</x:f>
        <x:v>0</x:v>
      </x:c>
    </x:row>
    <x:row r="727">
      <x:c r="A727" t="s">
        <x:v>1750</x:v>
      </x:c>
      <x:c r="C727" t="s">
        <x:v>323</x:v>
      </x:c>
      <x:c r="D727">
        <x:v>8481731</x:v>
      </x:c>
      <x:c r="E727" t="s">
        <x:v>267</x:v>
      </x:c>
      <x:c r="J727" t="s">
        <x:v>2474</x:v>
      </x:c>
      <x:c r="K727">
        <x:v>64</x:v>
      </x:c>
      <x:c r="L727">
        <x:v>34</x:v>
      </x:c>
      <x:c r="M727">
        <x:v>91</x:v>
      </x:c>
      <x:c r="N727">
        <x:v>39</x:v>
      </x:c>
      <x:c r="O727">
        <x:v>81</x:v>
      </x:c>
      <x:c r="P727">
        <x:v>80</x:v>
      </x:c>
      <x:c r="Q727">
        <x:v>82</x:v>
      </x:c>
      <x:c r="R727">
        <x:v>39</x:v>
      </x:c>
      <x:c r="S727">
        <x:v>63</x:v>
      </x:c>
      <x:c r="T727" s="63" t="n">
        <x:f>MAX(30,MIN(AB727-VLOOKUP(AE727,'AHL_PA_SC_BALANCE'!$A$8:$E$18,2,FALSE),VLOOKUP(AE727,'AHL_PA_SC_BALANCE'!$A$8:$E$18,4,FALSE)))</x:f>
        <x:v>42</x:v>
      </x:c>
      <x:c r="U727" s="63" t="n">
        <x:f>MAX(30,MIN(AC727-VLOOKUP(AE727,'AHL_PA_SC_BALANCE'!$A$8:$E$18,3,FALSE),VLOOKUP(AE727,'AHL_PA_SC_BALANCE'!$A$8:$E$18,5,FALSE)))</x:f>
        <x:v>40</x:v>
      </x:c>
      <x:c r="V727">
        <x:v>58</x:v>
      </x:c>
      <x:c r="W727">
        <x:v>60</x:v>
      </x:c>
      <x:c r="X727">
        <x:v>69</x:v>
      </x:c>
      <x:c r="Y727">
        <x:v>69</x:v>
      </x:c>
      <x:c r="Z727">
        <x:v>51</x:v>
      </x:c>
      <x:c r="AA727">
        <x:v>47</x:v>
      </x:c>
      <x:c r="AB727" s="57" t="n">
        <x:v>42</x:v>
      </x:c>
      <x:c r="AC727" s="57" t="n">
        <x:v>40</x:v>
      </x:c>
      <x:c r="AD727" s="59"/>
      <x:c r="AE727" s="61" t="str">
        <x:f>IF(N(F727)&gt;=10,"NHL_LATEST_10",IF(AND(N(F727)&gt;0,N(G727)&gt;0),"NHL_BOTH_SEASONS",IF(N(G727)&gt;=10,"NHL_PREVIOUS_10",IF(AND(ISNUMBER(AD727),AD727=0,SUM(F727:G727)=0),"FARM_CAREER_0",IF(COUNT(F727:G727)&lt;2,"UNKNOWN_GP",IF(AND(F727=0,G727=0),IF(AD727&gt;=10,"FARM_LEGACY_10",IF(AND(ISNUMBER(AD727),AD727&gt;0),"FARM_CAREER_1_9","FARM_0_0")),IF(F727&gt;=1,IF(F727&lt;=3,"FARM_RECENT_1_3","FARM_RECENT_4_9"),"FARM_PREV_1_9_ONLY")))))))</x:f>
        <x:v>UNKNOWN_GP</x:v>
      </x:c>
      <x:c r="AF727" s="57" t="n">
        <x:f>AB727-T727</x:f>
        <x:v>0</x:v>
      </x:c>
      <x:c r="AG727" s="57" t="n">
        <x:f>AC727-U727</x:f>
        <x:v>0</x:v>
      </x:c>
    </x:row>
    <x:row r="728">
      <x:c r="A728" t="s">
        <x:v>1751</x:v>
      </x:c>
      <x:c r="C728" t="s">
        <x:v>326</x:v>
      </x:c>
      <x:c r="D728">
        <x:v>8483804</x:v>
      </x:c>
      <x:c r="E728" t="s">
        <x:v>267</x:v>
      </x:c>
      <x:c r="J728" t="s">
        <x:v>2474</x:v>
      </x:c>
      <x:c r="K728">
        <x:v>67</x:v>
      </x:c>
      <x:c r="L728">
        <x:v>37</x:v>
      </x:c>
      <x:c r="M728">
        <x:v>71</x:v>
      </x:c>
      <x:c r="N728">
        <x:v>39</x:v>
      </x:c>
      <x:c r="O728">
        <x:v>77</x:v>
      </x:c>
      <x:c r="P728">
        <x:v>75</x:v>
      </x:c>
      <x:c r="Q728">
        <x:v>77</x:v>
      </x:c>
      <x:c r="R728">
        <x:v>39</x:v>
      </x:c>
      <x:c r="S728">
        <x:v>70</x:v>
      </x:c>
      <x:c r="T728" s="63" t="n">
        <x:f>MAX(30,MIN(AB728-VLOOKUP(AE728,'AHL_PA_SC_BALANCE'!$A$8:$E$18,2,FALSE),VLOOKUP(AE728,'AHL_PA_SC_BALANCE'!$A$8:$E$18,4,FALSE)))</x:f>
        <x:v>40</x:v>
      </x:c>
      <x:c r="U728" s="63" t="n">
        <x:f>MAX(30,MIN(AC728-VLOOKUP(AE728,'AHL_PA_SC_BALANCE'!$A$8:$E$18,3,FALSE),VLOOKUP(AE728,'AHL_PA_SC_BALANCE'!$A$8:$E$18,5,FALSE)))</x:f>
        <x:v>43</x:v>
      </x:c>
      <x:c r="V728">
        <x:v>58</x:v>
      </x:c>
      <x:c r="W728">
        <x:v>61</x:v>
      </x:c>
      <x:c r="X728">
        <x:v>67</x:v>
      </x:c>
      <x:c r="Y728">
        <x:v>66</x:v>
      </x:c>
      <x:c r="Z728">
        <x:v>51</x:v>
      </x:c>
      <x:c r="AA728">
        <x:v>47</x:v>
      </x:c>
      <x:c r="AB728" s="57" t="n">
        <x:v>40</x:v>
      </x:c>
      <x:c r="AC728" s="57" t="n">
        <x:v>43</x:v>
      </x:c>
      <x:c r="AD728" s="59"/>
      <x:c r="AE728" s="61" t="str">
        <x:f>IF(N(F728)&gt;=10,"NHL_LATEST_10",IF(AND(N(F728)&gt;0,N(G728)&gt;0),"NHL_BOTH_SEASONS",IF(N(G728)&gt;=10,"NHL_PREVIOUS_10",IF(AND(ISNUMBER(AD728),AD728=0,SUM(F728:G728)=0),"FARM_CAREER_0",IF(COUNT(F728:G728)&lt;2,"UNKNOWN_GP",IF(AND(F728=0,G728=0),IF(AD728&gt;=10,"FARM_LEGACY_10",IF(AND(ISNUMBER(AD728),AD728&gt;0),"FARM_CAREER_1_9","FARM_0_0")),IF(F728&gt;=1,IF(F728&lt;=3,"FARM_RECENT_1_3","FARM_RECENT_4_9"),"FARM_PREV_1_9_ONLY")))))))</x:f>
        <x:v>UNKNOWN_GP</x:v>
      </x:c>
      <x:c r="AF728" s="57" t="n">
        <x:f>AB728-T728</x:f>
        <x:v>0</x:v>
      </x:c>
      <x:c r="AG728" s="57" t="n">
        <x:f>AC728-U728</x:f>
        <x:v>0</x:v>
      </x:c>
    </x:row>
    <x:row r="729">
      <x:c r="A729" t="s">
        <x:v>1752</x:v>
      </x:c>
      <x:c r="C729" t="s">
        <x:v>358</x:v>
      </x:c>
      <x:c r="D729">
        <x:v>8484594</x:v>
      </x:c>
      <x:c r="E729" t="s">
        <x:v>267</x:v>
      </x:c>
      <x:c r="J729" t="s">
        <x:v>2474</x:v>
      </x:c>
      <x:c r="K729">
        <x:v>64</x:v>
      </x:c>
      <x:c r="L729">
        <x:v>35</x:v>
      </x:c>
      <x:c r="M729">
        <x:v>92</x:v>
      </x:c>
      <x:c r="N729">
        <x:v>40</x:v>
      </x:c>
      <x:c r="O729">
        <x:v>77</x:v>
      </x:c>
      <x:c r="P729">
        <x:v>73</x:v>
      </x:c>
      <x:c r="Q729">
        <x:v>76</x:v>
      </x:c>
      <x:c r="R729">
        <x:v>41</x:v>
      </x:c>
      <x:c r="S729">
        <x:v>68</x:v>
      </x:c>
      <x:c r="T729" s="63" t="n">
        <x:f>MAX(30,MIN(AB729-VLOOKUP(AE729,'AHL_PA_SC_BALANCE'!$A$8:$E$18,2,FALSE),VLOOKUP(AE729,'AHL_PA_SC_BALANCE'!$A$8:$E$18,4,FALSE)))</x:f>
        <x:v>44</x:v>
      </x:c>
      <x:c r="U729" s="63" t="n">
        <x:f>MAX(30,MIN(AC729-VLOOKUP(AE729,'AHL_PA_SC_BALANCE'!$A$8:$E$18,3,FALSE),VLOOKUP(AE729,'AHL_PA_SC_BALANCE'!$A$8:$E$18,5,FALSE)))</x:f>
        <x:v>40</x:v>
      </x:c>
      <x:c r="V729">
        <x:v>62</x:v>
      </x:c>
      <x:c r="W729">
        <x:v>61</x:v>
      </x:c>
      <x:c r="X729">
        <x:v>66</x:v>
      </x:c>
      <x:c r="Y729">
        <x:v>66</x:v>
      </x:c>
      <x:c r="Z729">
        <x:v>51</x:v>
      </x:c>
      <x:c r="AA729">
        <x:v>47</x:v>
      </x:c>
      <x:c r="AB729" s="57" t="n">
        <x:v>44</x:v>
      </x:c>
      <x:c r="AC729" s="57" t="n">
        <x:v>40</x:v>
      </x:c>
      <x:c r="AD729" s="59"/>
      <x:c r="AE729" s="61" t="str">
        <x:f>IF(N(F729)&gt;=10,"NHL_LATEST_10",IF(AND(N(F729)&gt;0,N(G729)&gt;0),"NHL_BOTH_SEASONS",IF(N(G729)&gt;=10,"NHL_PREVIOUS_10",IF(AND(ISNUMBER(AD729),AD729=0,SUM(F729:G729)=0),"FARM_CAREER_0",IF(COUNT(F729:G729)&lt;2,"UNKNOWN_GP",IF(AND(F729=0,G729=0),IF(AD729&gt;=10,"FARM_LEGACY_10",IF(AND(ISNUMBER(AD729),AD729&gt;0),"FARM_CAREER_1_9","FARM_0_0")),IF(F729&gt;=1,IF(F729&lt;=3,"FARM_RECENT_1_3","FARM_RECENT_4_9"),"FARM_PREV_1_9_ONLY")))))))</x:f>
        <x:v>UNKNOWN_GP</x:v>
      </x:c>
      <x:c r="AF729" s="57" t="n">
        <x:f>AB729-T729</x:f>
        <x:v>0</x:v>
      </x:c>
      <x:c r="AG729" s="57" t="n">
        <x:f>AC729-U729</x:f>
        <x:v>0</x:v>
      </x:c>
    </x:row>
    <x:row r="730">
      <x:c r="A730" t="s">
        <x:v>1753</x:v>
      </x:c>
      <x:c r="C730" t="s">
        <x:v>339</x:v>
      </x:c>
      <x:c r="E730" t="s">
        <x:v>267</x:v>
      </x:c>
      <x:c r="J730" t="s">
        <x:v>2474</x:v>
      </x:c>
      <x:c r="K730">
        <x:v>59</x:v>
      </x:c>
      <x:c r="L730">
        <x:v>35</x:v>
      </x:c>
      <x:c r="M730">
        <x:v>85</x:v>
      </x:c>
      <x:c r="N730">
        <x:v>39</x:v>
      </x:c>
      <x:c r="O730">
        <x:v>78</x:v>
      </x:c>
      <x:c r="P730">
        <x:v>82</x:v>
      </x:c>
      <x:c r="Q730">
        <x:v>86</x:v>
      </x:c>
      <x:c r="R730">
        <x:v>40</x:v>
      </x:c>
      <x:c r="S730">
        <x:v>77</x:v>
      </x:c>
      <x:c r="T730" s="63" t="n">
        <x:f>MAX(30,MIN(AB730-VLOOKUP(AE730,'AHL_PA_SC_BALANCE'!$A$8:$E$18,2,FALSE),VLOOKUP(AE730,'AHL_PA_SC_BALANCE'!$A$8:$E$18,4,FALSE)))</x:f>
        <x:v>43</x:v>
      </x:c>
      <x:c r="U730" s="63" t="n">
        <x:f>MAX(30,MIN(AC730-VLOOKUP(AE730,'AHL_PA_SC_BALANCE'!$A$8:$E$18,3,FALSE),VLOOKUP(AE730,'AHL_PA_SC_BALANCE'!$A$8:$E$18,5,FALSE)))</x:f>
        <x:v>41</x:v>
      </x:c>
      <x:c r="V730">
        <x:v>60</x:v>
      </x:c>
      <x:c r="W730">
        <x:v>61</x:v>
      </x:c>
      <x:c r="X730">
        <x:v>65</x:v>
      </x:c>
      <x:c r="Y730">
        <x:v>66</x:v>
      </x:c>
      <x:c r="Z730">
        <x:v>51</x:v>
      </x:c>
      <x:c r="AA730">
        <x:v>47</x:v>
      </x:c>
      <x:c r="AB730" s="57" t="n">
        <x:v>43</x:v>
      </x:c>
      <x:c r="AC730" s="57" t="n">
        <x:v>41</x:v>
      </x:c>
      <x:c r="AD730" s="59"/>
      <x:c r="AE730" s="61" t="str">
        <x:f>IF(N(F730)&gt;=10,"NHL_LATEST_10",IF(AND(N(F730)&gt;0,N(G730)&gt;0),"NHL_BOTH_SEASONS",IF(N(G730)&gt;=10,"NHL_PREVIOUS_10",IF(AND(ISNUMBER(AD730),AD730=0,SUM(F730:G730)=0),"FARM_CAREER_0",IF(COUNT(F730:G730)&lt;2,"UNKNOWN_GP",IF(AND(F730=0,G730=0),IF(AD730&gt;=10,"FARM_LEGACY_10",IF(AND(ISNUMBER(AD730),AD730&gt;0),"FARM_CAREER_1_9","FARM_0_0")),IF(F730&gt;=1,IF(F730&lt;=3,"FARM_RECENT_1_3","FARM_RECENT_4_9"),"FARM_PREV_1_9_ONLY")))))))</x:f>
        <x:v>UNKNOWN_GP</x:v>
      </x:c>
      <x:c r="AF730" s="57" t="n">
        <x:f>AB730-T730</x:f>
        <x:v>0</x:v>
      </x:c>
      <x:c r="AG730" s="57" t="n">
        <x:f>AC730-U730</x:f>
        <x:v>0</x:v>
      </x:c>
    </x:row>
    <x:row r="731">
      <x:c r="A731" t="s">
        <x:v>1754</x:v>
      </x:c>
      <x:c r="C731" t="s">
        <x:v>358</x:v>
      </x:c>
      <x:c r="D731">
        <x:v>8484116</x:v>
      </x:c>
      <x:c r="E731" t="s">
        <x:v>267</x:v>
      </x:c>
      <x:c r="J731" t="s">
        <x:v>2474</x:v>
      </x:c>
      <x:c r="K731">
        <x:v>72</x:v>
      </x:c>
      <x:c r="L731">
        <x:v>37</x:v>
      </x:c>
      <x:c r="M731">
        <x:v>88</x:v>
      </x:c>
      <x:c r="N731">
        <x:v>38</x:v>
      </x:c>
      <x:c r="O731">
        <x:v>77</x:v>
      </x:c>
      <x:c r="P731">
        <x:v>70</x:v>
      </x:c>
      <x:c r="Q731">
        <x:v>72</x:v>
      </x:c>
      <x:c r="R731">
        <x:v>39</x:v>
      </x:c>
      <x:c r="S731">
        <x:v>71</x:v>
      </x:c>
      <x:c r="T731" s="63" t="n">
        <x:f>MAX(30,MIN(AB731-VLOOKUP(AE731,'AHL_PA_SC_BALANCE'!$A$8:$E$18,2,FALSE),VLOOKUP(AE731,'AHL_PA_SC_BALANCE'!$A$8:$E$18,4,FALSE)))</x:f>
        <x:v>42</x:v>
      </x:c>
      <x:c r="U731" s="63" t="n">
        <x:f>MAX(30,MIN(AC731-VLOOKUP(AE731,'AHL_PA_SC_BALANCE'!$A$8:$E$18,3,FALSE),VLOOKUP(AE731,'AHL_PA_SC_BALANCE'!$A$8:$E$18,5,FALSE)))</x:f>
        <x:v>39</x:v>
      </x:c>
      <x:c r="V731">
        <x:v>59</x:v>
      </x:c>
      <x:c r="W731">
        <x:v>59</x:v>
      </x:c>
      <x:c r="X731">
        <x:v>69</x:v>
      </x:c>
      <x:c r="Y731">
        <x:v>68</x:v>
      </x:c>
      <x:c r="Z731">
        <x:v>51</x:v>
      </x:c>
      <x:c r="AA731">
        <x:v>47</x:v>
      </x:c>
      <x:c r="AB731" s="57" t="n">
        <x:v>42</x:v>
      </x:c>
      <x:c r="AC731" s="57" t="n">
        <x:v>39</x:v>
      </x:c>
      <x:c r="AD731" s="59"/>
      <x:c r="AE731" s="61" t="str">
        <x:f>IF(N(F731)&gt;=10,"NHL_LATEST_10",IF(AND(N(F731)&gt;0,N(G731)&gt;0),"NHL_BOTH_SEASONS",IF(N(G731)&gt;=10,"NHL_PREVIOUS_10",IF(AND(ISNUMBER(AD731),AD731=0,SUM(F731:G731)=0),"FARM_CAREER_0",IF(COUNT(F731:G731)&lt;2,"UNKNOWN_GP",IF(AND(F731=0,G731=0),IF(AD731&gt;=10,"FARM_LEGACY_10",IF(AND(ISNUMBER(AD731),AD731&gt;0),"FARM_CAREER_1_9","FARM_0_0")),IF(F731&gt;=1,IF(F731&lt;=3,"FARM_RECENT_1_3","FARM_RECENT_4_9"),"FARM_PREV_1_9_ONLY")))))))</x:f>
        <x:v>UNKNOWN_GP</x:v>
      </x:c>
      <x:c r="AF731" s="57" t="n">
        <x:f>AB731-T731</x:f>
        <x:v>0</x:v>
      </x:c>
      <x:c r="AG731" s="57" t="n">
        <x:f>AC731-U731</x:f>
        <x:v>0</x:v>
      </x:c>
    </x:row>
    <x:row r="732">
      <x:c r="A732" t="s">
        <x:v>1755</x:v>
      </x:c>
      <x:c r="C732" t="s">
        <x:v>319</x:v>
      </x:c>
      <x:c r="D732">
        <x:v>8481794</x:v>
      </x:c>
      <x:c r="E732" t="s">
        <x:v>267</x:v>
      </x:c>
      <x:c r="J732" t="s">
        <x:v>2474</x:v>
      </x:c>
      <x:c r="K732">
        <x:v>65</x:v>
      </x:c>
      <x:c r="L732">
        <x:v>37</x:v>
      </x:c>
      <x:c r="M732">
        <x:v>75</x:v>
      </x:c>
      <x:c r="N732">
        <x:v>39</x:v>
      </x:c>
      <x:c r="O732">
        <x:v>74</x:v>
      </x:c>
      <x:c r="P732">
        <x:v>81</x:v>
      </x:c>
      <x:c r="Q732">
        <x:v>83</x:v>
      </x:c>
      <x:c r="R732">
        <x:v>39</x:v>
      </x:c>
      <x:c r="S732">
        <x:v>62</x:v>
      </x:c>
      <x:c r="T732" s="63" t="n">
        <x:f>MAX(30,MIN(AB732-VLOOKUP(AE732,'AHL_PA_SC_BALANCE'!$A$8:$E$18,2,FALSE),VLOOKUP(AE732,'AHL_PA_SC_BALANCE'!$A$8:$E$18,4,FALSE)))</x:f>
        <x:v>43</x:v>
      </x:c>
      <x:c r="U732" s="63" t="n">
        <x:f>MAX(30,MIN(AC732-VLOOKUP(AE732,'AHL_PA_SC_BALANCE'!$A$8:$E$18,3,FALSE),VLOOKUP(AE732,'AHL_PA_SC_BALANCE'!$A$8:$E$18,5,FALSE)))</x:f>
        <x:v>39</x:v>
      </x:c>
      <x:c r="V732">
        <x:v>61</x:v>
      </x:c>
      <x:c r="W732">
        <x:v>60</x:v>
      </x:c>
      <x:c r="X732">
        <x:v>68</x:v>
      </x:c>
      <x:c r="Y732">
        <x:v>68</x:v>
      </x:c>
      <x:c r="Z732">
        <x:v>51</x:v>
      </x:c>
      <x:c r="AA732">
        <x:v>47</x:v>
      </x:c>
      <x:c r="AB732" s="57" t="n">
        <x:v>43</x:v>
      </x:c>
      <x:c r="AC732" s="57" t="n">
        <x:v>39</x:v>
      </x:c>
      <x:c r="AD732" s="59"/>
      <x:c r="AE732" s="61" t="str">
        <x:f>IF(N(F732)&gt;=10,"NHL_LATEST_10",IF(AND(N(F732)&gt;0,N(G732)&gt;0),"NHL_BOTH_SEASONS",IF(N(G732)&gt;=10,"NHL_PREVIOUS_10",IF(AND(ISNUMBER(AD732),AD732=0,SUM(F732:G732)=0),"FARM_CAREER_0",IF(COUNT(F732:G732)&lt;2,"UNKNOWN_GP",IF(AND(F732=0,G732=0),IF(AD732&gt;=10,"FARM_LEGACY_10",IF(AND(ISNUMBER(AD732),AD732&gt;0),"FARM_CAREER_1_9","FARM_0_0")),IF(F732&gt;=1,IF(F732&lt;=3,"FARM_RECENT_1_3","FARM_RECENT_4_9"),"FARM_PREV_1_9_ONLY")))))))</x:f>
        <x:v>UNKNOWN_GP</x:v>
      </x:c>
      <x:c r="AF732" s="57" t="n">
        <x:f>AB732-T732</x:f>
        <x:v>0</x:v>
      </x:c>
      <x:c r="AG732" s="57" t="n">
        <x:f>AC732-U732</x:f>
        <x:v>0</x:v>
      </x:c>
    </x:row>
    <x:row r="733">
      <x:c r="A733" t="s">
        <x:v>1756</x:v>
      </x:c>
      <x:c r="C733" t="s">
        <x:v>319</x:v>
      </x:c>
      <x:c r="D733">
        <x:v>8484775</x:v>
      </x:c>
      <x:c r="E733" t="s">
        <x:v>267</x:v>
      </x:c>
      <x:c r="J733" t="s">
        <x:v>2474</x:v>
      </x:c>
      <x:c r="K733">
        <x:v>78</x:v>
      </x:c>
      <x:c r="L733">
        <x:v>42</x:v>
      </x:c>
      <x:c r="M733">
        <x:v>83</x:v>
      </x:c>
      <x:c r="N733">
        <x:v>38</x:v>
      </x:c>
      <x:c r="O733">
        <x:v>82</x:v>
      </x:c>
      <x:c r="P733">
        <x:v>74</x:v>
      </x:c>
      <x:c r="Q733">
        <x:v>77</x:v>
      </x:c>
      <x:c r="R733">
        <x:v>39</x:v>
      </x:c>
      <x:c r="S733">
        <x:v>70</x:v>
      </x:c>
      <x:c r="T733" s="63" t="n">
        <x:f>MAX(30,MIN(AB733-VLOOKUP(AE733,'AHL_PA_SC_BALANCE'!$A$8:$E$18,2,FALSE),VLOOKUP(AE733,'AHL_PA_SC_BALANCE'!$A$8:$E$18,4,FALSE)))</x:f>
        <x:v>42</x:v>
      </x:c>
      <x:c r="U733" s="63" t="n">
        <x:f>MAX(30,MIN(AC733-VLOOKUP(AE733,'AHL_PA_SC_BALANCE'!$A$8:$E$18,3,FALSE),VLOOKUP(AE733,'AHL_PA_SC_BALANCE'!$A$8:$E$18,5,FALSE)))</x:f>
        <x:v>40</x:v>
      </x:c>
      <x:c r="V733">
        <x:v>62</x:v>
      </x:c>
      <x:c r="W733">
        <x:v>60</x:v>
      </x:c>
      <x:c r="X733">
        <x:v>64</x:v>
      </x:c>
      <x:c r="Y733">
        <x:v>66</x:v>
      </x:c>
      <x:c r="Z733">
        <x:v>51</x:v>
      </x:c>
      <x:c r="AA733">
        <x:v>47</x:v>
      </x:c>
      <x:c r="AB733" s="57" t="n">
        <x:v>42</x:v>
      </x:c>
      <x:c r="AC733" s="57" t="n">
        <x:v>40</x:v>
      </x:c>
      <x:c r="AD733" s="59"/>
      <x:c r="AE733" s="61" t="str">
        <x:f>IF(N(F733)&gt;=10,"NHL_LATEST_10",IF(AND(N(F733)&gt;0,N(G733)&gt;0),"NHL_BOTH_SEASONS",IF(N(G733)&gt;=10,"NHL_PREVIOUS_10",IF(AND(ISNUMBER(AD733),AD733=0,SUM(F733:G733)=0),"FARM_CAREER_0",IF(COUNT(F733:G733)&lt;2,"UNKNOWN_GP",IF(AND(F733=0,G733=0),IF(AD733&gt;=10,"FARM_LEGACY_10",IF(AND(ISNUMBER(AD733),AD733&gt;0),"FARM_CAREER_1_9","FARM_0_0")),IF(F733&gt;=1,IF(F733&lt;=3,"FARM_RECENT_1_3","FARM_RECENT_4_9"),"FARM_PREV_1_9_ONLY")))))))</x:f>
        <x:v>UNKNOWN_GP</x:v>
      </x:c>
      <x:c r="AF733" s="57" t="n">
        <x:f>AB733-T733</x:f>
        <x:v>0</x:v>
      </x:c>
      <x:c r="AG733" s="57" t="n">
        <x:f>AC733-U733</x:f>
        <x:v>0</x:v>
      </x:c>
    </x:row>
    <x:row r="734">
      <x:c r="A734" t="s">
        <x:v>1757</x:v>
      </x:c>
      <x:c r="B734" t="s">
        <x:v>584</x:v>
      </x:c>
      <x:c r="C734" t="s">
        <x:v>319</x:v>
      </x:c>
      <x:c r="D734">
        <x:v>8481760</x:v>
      </x:c>
      <x:c r="E734" t="s">
        <x:v>267</x:v>
      </x:c>
      <x:c r="J734" t="s">
        <x:v>2476</x:v>
      </x:c>
      <x:c r="K734">
        <x:v>61</x:v>
      </x:c>
      <x:c r="L734">
        <x:v>46</x:v>
      </x:c>
      <x:c r="M734">
        <x:v>90</x:v>
      </x:c>
      <x:c r="N734">
        <x:v>41</x:v>
      </x:c>
      <x:c r="O734">
        <x:v>75</x:v>
      </x:c>
      <x:c r="P734">
        <x:v>75</x:v>
      </x:c>
      <x:c r="Q734">
        <x:v>77</x:v>
      </x:c>
      <x:c r="R734">
        <x:v>40</x:v>
      </x:c>
      <x:c r="S734">
        <x:v>83</x:v>
      </x:c>
      <x:c r="T734" s="63" t="n">
        <x:f>MAX(30,MIN(AB734-VLOOKUP(AE734,'AHL_PA_SC_BALANCE'!$A$8:$E$18,2,FALSE),VLOOKUP(AE734,'AHL_PA_SC_BALANCE'!$A$8:$E$18,4,FALSE)))</x:f>
        <x:v>43</x:v>
      </x:c>
      <x:c r="U734" s="63" t="n">
        <x:f>MAX(30,MIN(AC734-VLOOKUP(AE734,'AHL_PA_SC_BALANCE'!$A$8:$E$18,3,FALSE),VLOOKUP(AE734,'AHL_PA_SC_BALANCE'!$A$8:$E$18,5,FALSE)))</x:f>
        <x:v>42</x:v>
      </x:c>
      <x:c r="V734">
        <x:v>62</x:v>
      </x:c>
      <x:c r="W734">
        <x:v>62</x:v>
      </x:c>
      <x:c r="X734">
        <x:v>68</x:v>
      </x:c>
      <x:c r="Y734">
        <x:v>67</x:v>
      </x:c>
      <x:c r="Z734">
        <x:v>51</x:v>
      </x:c>
      <x:c r="AA734">
        <x:v>47</x:v>
      </x:c>
      <x:c r="AB734" s="57" t="n">
        <x:v>43</x:v>
      </x:c>
      <x:c r="AC734" s="57" t="n">
        <x:v>42</x:v>
      </x:c>
      <x:c r="AD734" s="59"/>
      <x:c r="AE734" s="61" t="str">
        <x:f>IF(N(F734)&gt;=10,"NHL_LATEST_10",IF(AND(N(F734)&gt;0,N(G734)&gt;0),"NHL_BOTH_SEASONS",IF(N(G734)&gt;=10,"NHL_PREVIOUS_10",IF(AND(ISNUMBER(AD734),AD734=0,SUM(F734:G734)=0),"FARM_CAREER_0",IF(COUNT(F734:G734)&lt;2,"UNKNOWN_GP",IF(AND(F734=0,G734=0),IF(AD734&gt;=10,"FARM_LEGACY_10",IF(AND(ISNUMBER(AD734),AD734&gt;0),"FARM_CAREER_1_9","FARM_0_0")),IF(F734&gt;=1,IF(F734&lt;=3,"FARM_RECENT_1_3","FARM_RECENT_4_9"),"FARM_PREV_1_9_ONLY")))))))</x:f>
        <x:v>UNKNOWN_GP</x:v>
      </x:c>
      <x:c r="AF734" s="57" t="n">
        <x:f>AB734-T734</x:f>
        <x:v>0</x:v>
      </x:c>
      <x:c r="AG734" s="57" t="n">
        <x:f>AC734-U734</x:f>
        <x:v>0</x:v>
      </x:c>
    </x:row>
    <x:row r="735">
      <x:c r="A735" t="s">
        <x:v>1758</x:v>
      </x:c>
      <x:c r="C735" t="s">
        <x:v>319</x:v>
      </x:c>
      <x:c r="D735">
        <x:v>8483010</x:v>
      </x:c>
      <x:c r="E735" t="s">
        <x:v>267</x:v>
      </x:c>
      <x:c r="J735" t="s">
        <x:v>2474</x:v>
      </x:c>
      <x:c r="K735">
        <x:v>60</x:v>
      </x:c>
      <x:c r="L735">
        <x:v>34</x:v>
      </x:c>
      <x:c r="M735">
        <x:v>89</x:v>
      </x:c>
      <x:c r="N735">
        <x:v>40</x:v>
      </x:c>
      <x:c r="O735">
        <x:v>77</x:v>
      </x:c>
      <x:c r="P735">
        <x:v>81</x:v>
      </x:c>
      <x:c r="Q735">
        <x:v>83</x:v>
      </x:c>
      <x:c r="R735">
        <x:v>40</x:v>
      </x:c>
      <x:c r="S735">
        <x:v>77</x:v>
      </x:c>
      <x:c r="T735" s="63" t="n">
        <x:f>MAX(30,MIN(AB735-VLOOKUP(AE735,'AHL_PA_SC_BALANCE'!$A$8:$E$18,2,FALSE),VLOOKUP(AE735,'AHL_PA_SC_BALANCE'!$A$8:$E$18,4,FALSE)))</x:f>
        <x:v>44</x:v>
      </x:c>
      <x:c r="U735" s="63" t="n">
        <x:f>MAX(30,MIN(AC735-VLOOKUP(AE735,'AHL_PA_SC_BALANCE'!$A$8:$E$18,3,FALSE),VLOOKUP(AE735,'AHL_PA_SC_BALANCE'!$A$8:$E$18,5,FALSE)))</x:f>
        <x:v>44</x:v>
      </x:c>
      <x:c r="V735">
        <x:v>60</x:v>
      </x:c>
      <x:c r="W735">
        <x:v>61</x:v>
      </x:c>
      <x:c r="X735">
        <x:v>66</x:v>
      </x:c>
      <x:c r="Y735">
        <x:v>65</x:v>
      </x:c>
      <x:c r="Z735">
        <x:v>51</x:v>
      </x:c>
      <x:c r="AA735">
        <x:v>47</x:v>
      </x:c>
      <x:c r="AB735" s="57" t="n">
        <x:v>44</x:v>
      </x:c>
      <x:c r="AC735" s="57" t="n">
        <x:v>44</x:v>
      </x:c>
      <x:c r="AD735" s="59"/>
      <x:c r="AE735" s="61" t="str">
        <x:f>IF(N(F735)&gt;=10,"NHL_LATEST_10",IF(AND(N(F735)&gt;0,N(G735)&gt;0),"NHL_BOTH_SEASONS",IF(N(G735)&gt;=10,"NHL_PREVIOUS_10",IF(AND(ISNUMBER(AD735),AD735=0,SUM(F735:G735)=0),"FARM_CAREER_0",IF(COUNT(F735:G735)&lt;2,"UNKNOWN_GP",IF(AND(F735=0,G735=0),IF(AD735&gt;=10,"FARM_LEGACY_10",IF(AND(ISNUMBER(AD735),AD735&gt;0),"FARM_CAREER_1_9","FARM_0_0")),IF(F735&gt;=1,IF(F735&lt;=3,"FARM_RECENT_1_3","FARM_RECENT_4_9"),"FARM_PREV_1_9_ONLY")))))))</x:f>
        <x:v>UNKNOWN_GP</x:v>
      </x:c>
      <x:c r="AF735" s="57" t="n">
        <x:f>AB735-T735</x:f>
        <x:v>0</x:v>
      </x:c>
      <x:c r="AG735" s="57" t="n">
        <x:f>AC735-U735</x:f>
        <x:v>0</x:v>
      </x:c>
    </x:row>
    <x:row r="736">
      <x:c r="A736" t="s">
        <x:v>1759</x:v>
      </x:c>
      <x:c r="C736" t="s">
        <x:v>358</x:v>
      </x:c>
      <x:c r="D736">
        <x:v>8484219</x:v>
      </x:c>
      <x:c r="E736" t="s">
        <x:v>267</x:v>
      </x:c>
      <x:c r="J736" t="s">
        <x:v>2474</x:v>
      </x:c>
      <x:c r="K736">
        <x:v>63</x:v>
      </x:c>
      <x:c r="L736">
        <x:v>38</x:v>
      </x:c>
      <x:c r="M736">
        <x:v>86</x:v>
      </x:c>
      <x:c r="N736">
        <x:v>39</x:v>
      </x:c>
      <x:c r="O736">
        <x:v>81</x:v>
      </x:c>
      <x:c r="P736">
        <x:v>89</x:v>
      </x:c>
      <x:c r="Q736">
        <x:v>93</x:v>
      </x:c>
      <x:c r="R736">
        <x:v>38</x:v>
      </x:c>
      <x:c r="S736">
        <x:v>64</x:v>
      </x:c>
      <x:c r="T736" s="63" t="n">
        <x:f>MAX(30,MIN(AB736-VLOOKUP(AE736,'AHL_PA_SC_BALANCE'!$A$8:$E$18,2,FALSE),VLOOKUP(AE736,'AHL_PA_SC_BALANCE'!$A$8:$E$18,4,FALSE)))</x:f>
        <x:v>40</x:v>
      </x:c>
      <x:c r="U736" s="63" t="n">
        <x:f>MAX(30,MIN(AC736-VLOOKUP(AE736,'AHL_PA_SC_BALANCE'!$A$8:$E$18,3,FALSE),VLOOKUP(AE736,'AHL_PA_SC_BALANCE'!$A$8:$E$18,5,FALSE)))</x:f>
        <x:v>44</x:v>
      </x:c>
      <x:c r="V736">
        <x:v>60</x:v>
      </x:c>
      <x:c r="W736">
        <x:v>61</x:v>
      </x:c>
      <x:c r="X736">
        <x:v>65</x:v>
      </x:c>
      <x:c r="Y736">
        <x:v>66</x:v>
      </x:c>
      <x:c r="Z736">
        <x:v>51</x:v>
      </x:c>
      <x:c r="AA736">
        <x:v>47</x:v>
      </x:c>
      <x:c r="AB736" s="57" t="n">
        <x:v>40</x:v>
      </x:c>
      <x:c r="AC736" s="57" t="n">
        <x:v>44</x:v>
      </x:c>
      <x:c r="AD736" s="59"/>
      <x:c r="AE736" s="61" t="str">
        <x:f>IF(N(F736)&gt;=10,"NHL_LATEST_10",IF(AND(N(F736)&gt;0,N(G736)&gt;0),"NHL_BOTH_SEASONS",IF(N(G736)&gt;=10,"NHL_PREVIOUS_10",IF(AND(ISNUMBER(AD736),AD736=0,SUM(F736:G736)=0),"FARM_CAREER_0",IF(COUNT(F736:G736)&lt;2,"UNKNOWN_GP",IF(AND(F736=0,G736=0),IF(AD736&gt;=10,"FARM_LEGACY_10",IF(AND(ISNUMBER(AD736),AD736&gt;0),"FARM_CAREER_1_9","FARM_0_0")),IF(F736&gt;=1,IF(F736&lt;=3,"FARM_RECENT_1_3","FARM_RECENT_4_9"),"FARM_PREV_1_9_ONLY")))))))</x:f>
        <x:v>UNKNOWN_GP</x:v>
      </x:c>
      <x:c r="AF736" s="57" t="n">
        <x:f>AB736-T736</x:f>
        <x:v>0</x:v>
      </x:c>
      <x:c r="AG736" s="57" t="n">
        <x:f>AC736-U736</x:f>
        <x:v>0</x:v>
      </x:c>
    </x:row>
    <x:row r="737">
      <x:c r="A737" t="s">
        <x:v>1760</x:v>
      </x:c>
      <x:c r="C737" t="s">
        <x:v>319</x:v>
      </x:c>
      <x:c r="D737">
        <x:v>8483685</x:v>
      </x:c>
      <x:c r="E737" t="s">
        <x:v>267</x:v>
      </x:c>
      <x:c r="J737" t="s">
        <x:v>2474</x:v>
      </x:c>
      <x:c r="K737">
        <x:v>66</x:v>
      </x:c>
      <x:c r="L737">
        <x:v>36</x:v>
      </x:c>
      <x:c r="M737">
        <x:v>86</x:v>
      </x:c>
      <x:c r="N737">
        <x:v>40</x:v>
      </x:c>
      <x:c r="O737">
        <x:v>79</x:v>
      </x:c>
      <x:c r="P737">
        <x:v>81</x:v>
      </x:c>
      <x:c r="Q737">
        <x:v>85</x:v>
      </x:c>
      <x:c r="R737">
        <x:v>39</x:v>
      </x:c>
      <x:c r="S737">
        <x:v>62</x:v>
      </x:c>
      <x:c r="T737" s="63" t="n">
        <x:f>MAX(30,MIN(AB737-VLOOKUP(AE737,'AHL_PA_SC_BALANCE'!$A$8:$E$18,2,FALSE),VLOOKUP(AE737,'AHL_PA_SC_BALANCE'!$A$8:$E$18,4,FALSE)))</x:f>
        <x:v>43</x:v>
      </x:c>
      <x:c r="U737" s="63" t="n">
        <x:f>MAX(30,MIN(AC737-VLOOKUP(AE737,'AHL_PA_SC_BALANCE'!$A$8:$E$18,3,FALSE),VLOOKUP(AE737,'AHL_PA_SC_BALANCE'!$A$8:$E$18,5,FALSE)))</x:f>
        <x:v>42</x:v>
      </x:c>
      <x:c r="V737">
        <x:v>59</x:v>
      </x:c>
      <x:c r="W737">
        <x:v>62</x:v>
      </x:c>
      <x:c r="X737">
        <x:v>66</x:v>
      </x:c>
      <x:c r="Y737">
        <x:v>66</x:v>
      </x:c>
      <x:c r="Z737">
        <x:v>51</x:v>
      </x:c>
      <x:c r="AA737">
        <x:v>47</x:v>
      </x:c>
      <x:c r="AB737" s="57" t="n">
        <x:v>43</x:v>
      </x:c>
      <x:c r="AC737" s="57" t="n">
        <x:v>42</x:v>
      </x:c>
      <x:c r="AD737" s="59"/>
      <x:c r="AE737" s="61" t="str">
        <x:f>IF(N(F737)&gt;=10,"NHL_LATEST_10",IF(AND(N(F737)&gt;0,N(G737)&gt;0),"NHL_BOTH_SEASONS",IF(N(G737)&gt;=10,"NHL_PREVIOUS_10",IF(AND(ISNUMBER(AD737),AD737=0,SUM(F737:G737)=0),"FARM_CAREER_0",IF(COUNT(F737:G737)&lt;2,"UNKNOWN_GP",IF(AND(F737=0,G737=0),IF(AD737&gt;=10,"FARM_LEGACY_10",IF(AND(ISNUMBER(AD737),AD737&gt;0),"FARM_CAREER_1_9","FARM_0_0")),IF(F737&gt;=1,IF(F737&lt;=3,"FARM_RECENT_1_3","FARM_RECENT_4_9"),"FARM_PREV_1_9_ONLY")))))))</x:f>
        <x:v>UNKNOWN_GP</x:v>
      </x:c>
      <x:c r="AF737" s="57" t="n">
        <x:f>AB737-T737</x:f>
        <x:v>0</x:v>
      </x:c>
      <x:c r="AG737" s="57" t="n">
        <x:f>AC737-U737</x:f>
        <x:v>0</x:v>
      </x:c>
    </x:row>
    <x:row r="738">
      <x:c r="A738" t="s">
        <x:v>1761</x:v>
      </x:c>
      <x:c r="C738" t="s">
        <x:v>339</x:v>
      </x:c>
      <x:c r="D738">
        <x:v>8485510</x:v>
      </x:c>
      <x:c r="E738" t="s">
        <x:v>267</x:v>
      </x:c>
      <x:c r="J738" t="s">
        <x:v>2474</x:v>
      </x:c>
      <x:c r="K738">
        <x:v>74</x:v>
      </x:c>
      <x:c r="L738">
        <x:v>37</x:v>
      </x:c>
      <x:c r="M738">
        <x:v>90</x:v>
      </x:c>
      <x:c r="N738">
        <x:v>39</x:v>
      </x:c>
      <x:c r="O738">
        <x:v>77</x:v>
      </x:c>
      <x:c r="P738">
        <x:v>81</x:v>
      </x:c>
      <x:c r="Q738">
        <x:v>87</x:v>
      </x:c>
      <x:c r="R738">
        <x:v>39</x:v>
      </x:c>
      <x:c r="S738">
        <x:v>76</x:v>
      </x:c>
      <x:c r="T738" s="63" t="n">
        <x:f>MAX(30,MIN(AB738-VLOOKUP(AE738,'AHL_PA_SC_BALANCE'!$A$8:$E$18,2,FALSE),VLOOKUP(AE738,'AHL_PA_SC_BALANCE'!$A$8:$E$18,4,FALSE)))</x:f>
        <x:v>41</x:v>
      </x:c>
      <x:c r="U738" s="63" t="n">
        <x:f>MAX(30,MIN(AC738-VLOOKUP(AE738,'AHL_PA_SC_BALANCE'!$A$8:$E$18,3,FALSE),VLOOKUP(AE738,'AHL_PA_SC_BALANCE'!$A$8:$E$18,5,FALSE)))</x:f>
        <x:v>41</x:v>
      </x:c>
      <x:c r="V738">
        <x:v>61</x:v>
      </x:c>
      <x:c r="W738">
        <x:v>60</x:v>
      </x:c>
      <x:c r="X738">
        <x:v>68</x:v>
      </x:c>
      <x:c r="Y738">
        <x:v>69</x:v>
      </x:c>
      <x:c r="Z738">
        <x:v>51</x:v>
      </x:c>
      <x:c r="AA738">
        <x:v>47</x:v>
      </x:c>
      <x:c r="AB738" s="57" t="n">
        <x:v>41</x:v>
      </x:c>
      <x:c r="AC738" s="57" t="n">
        <x:v>41</x:v>
      </x:c>
      <x:c r="AD738" s="59"/>
      <x:c r="AE738" s="61" t="str">
        <x:f>IF(N(F738)&gt;=10,"NHL_LATEST_10",IF(AND(N(F738)&gt;0,N(G738)&gt;0),"NHL_BOTH_SEASONS",IF(N(G738)&gt;=10,"NHL_PREVIOUS_10",IF(AND(ISNUMBER(AD738),AD738=0,SUM(F738:G738)=0),"FARM_CAREER_0",IF(COUNT(F738:G738)&lt;2,"UNKNOWN_GP",IF(AND(F738=0,G738=0),IF(AD738&gt;=10,"FARM_LEGACY_10",IF(AND(ISNUMBER(AD738),AD738&gt;0),"FARM_CAREER_1_9","FARM_0_0")),IF(F738&gt;=1,IF(F738&lt;=3,"FARM_RECENT_1_3","FARM_RECENT_4_9"),"FARM_PREV_1_9_ONLY")))))))</x:f>
        <x:v>UNKNOWN_GP</x:v>
      </x:c>
      <x:c r="AF738" s="57" t="n">
        <x:f>AB738-T738</x:f>
        <x:v>0</x:v>
      </x:c>
      <x:c r="AG738" s="57" t="n">
        <x:f>AC738-U738</x:f>
        <x:v>0</x:v>
      </x:c>
    </x:row>
    <x:row r="739">
      <x:c r="A739" t="s">
        <x:v>1762</x:v>
      </x:c>
      <x:c r="C739" t="s">
        <x:v>319</x:v>
      </x:c>
      <x:c r="D739">
        <x:v>8484125</x:v>
      </x:c>
      <x:c r="E739" t="s">
        <x:v>267</x:v>
      </x:c>
      <x:c r="J739" t="s">
        <x:v>2474</x:v>
      </x:c>
      <x:c r="K739">
        <x:v>58</x:v>
      </x:c>
      <x:c r="L739">
        <x:v>34</x:v>
      </x:c>
      <x:c r="M739">
        <x:v>84</x:v>
      </x:c>
      <x:c r="N739">
        <x:v>40</x:v>
      </x:c>
      <x:c r="O739">
        <x:v>82</x:v>
      </x:c>
      <x:c r="P739">
        <x:v>87</x:v>
      </x:c>
      <x:c r="Q739">
        <x:v>89</x:v>
      </x:c>
      <x:c r="R739">
        <x:v>39</x:v>
      </x:c>
      <x:c r="S739">
        <x:v>79</x:v>
      </x:c>
      <x:c r="T739" s="63" t="n">
        <x:f>MAX(30,MIN(AB739-VLOOKUP(AE739,'AHL_PA_SC_BALANCE'!$A$8:$E$18,2,FALSE),VLOOKUP(AE739,'AHL_PA_SC_BALANCE'!$A$8:$E$18,4,FALSE)))</x:f>
        <x:v>43</x:v>
      </x:c>
      <x:c r="U739" s="63" t="n">
        <x:f>MAX(30,MIN(AC739-VLOOKUP(AE739,'AHL_PA_SC_BALANCE'!$A$8:$E$18,3,FALSE),VLOOKUP(AE739,'AHL_PA_SC_BALANCE'!$A$8:$E$18,5,FALSE)))</x:f>
        <x:v>42</x:v>
      </x:c>
      <x:c r="V739">
        <x:v>60</x:v>
      </x:c>
      <x:c r="W739">
        <x:v>63</x:v>
      </x:c>
      <x:c r="X739">
        <x:v>67</x:v>
      </x:c>
      <x:c r="Y739">
        <x:v>67</x:v>
      </x:c>
      <x:c r="Z739">
        <x:v>51</x:v>
      </x:c>
      <x:c r="AA739">
        <x:v>47</x:v>
      </x:c>
      <x:c r="AB739" s="57" t="n">
        <x:v>43</x:v>
      </x:c>
      <x:c r="AC739" s="57" t="n">
        <x:v>42</x:v>
      </x:c>
      <x:c r="AD739" s="59"/>
      <x:c r="AE739" s="61" t="str">
        <x:f>IF(N(F739)&gt;=10,"NHL_LATEST_10",IF(AND(N(F739)&gt;0,N(G739)&gt;0),"NHL_BOTH_SEASONS",IF(N(G739)&gt;=10,"NHL_PREVIOUS_10",IF(AND(ISNUMBER(AD739),AD739=0,SUM(F739:G739)=0),"FARM_CAREER_0",IF(COUNT(F739:G739)&lt;2,"UNKNOWN_GP",IF(AND(F739=0,G739=0),IF(AD739&gt;=10,"FARM_LEGACY_10",IF(AND(ISNUMBER(AD739),AD739&gt;0),"FARM_CAREER_1_9","FARM_0_0")),IF(F739&gt;=1,IF(F739&lt;=3,"FARM_RECENT_1_3","FARM_RECENT_4_9"),"FARM_PREV_1_9_ONLY")))))))</x:f>
        <x:v>UNKNOWN_GP</x:v>
      </x:c>
      <x:c r="AF739" s="57" t="n">
        <x:f>AB739-T739</x:f>
        <x:v>0</x:v>
      </x:c>
      <x:c r="AG739" s="57" t="n">
        <x:f>AC739-U739</x:f>
        <x:v>0</x:v>
      </x:c>
    </x:row>
    <x:row r="740">
      <x:c r="A740" t="s">
        <x:v>1763</x:v>
      </x:c>
      <x:c r="C740" t="s">
        <x:v>326</x:v>
      </x:c>
      <x:c r="D740">
        <x:v>8485045</x:v>
      </x:c>
      <x:c r="E740" t="s">
        <x:v>267</x:v>
      </x:c>
      <x:c r="J740" t="s">
        <x:v>2474</x:v>
      </x:c>
      <x:c r="K740">
        <x:v>64</x:v>
      </x:c>
      <x:c r="L740">
        <x:v>40</x:v>
      </x:c>
      <x:c r="M740">
        <x:v>81</x:v>
      </x:c>
      <x:c r="N740">
        <x:v>39</x:v>
      </x:c>
      <x:c r="O740">
        <x:v>83</x:v>
      </x:c>
      <x:c r="P740">
        <x:v>72</x:v>
      </x:c>
      <x:c r="Q740">
        <x:v>75</x:v>
      </x:c>
      <x:c r="R740">
        <x:v>40</x:v>
      </x:c>
      <x:c r="S740">
        <x:v>67</x:v>
      </x:c>
      <x:c r="T740" s="63" t="n">
        <x:f>MAX(30,MIN(AB740-VLOOKUP(AE740,'AHL_PA_SC_BALANCE'!$A$8:$E$18,2,FALSE),VLOOKUP(AE740,'AHL_PA_SC_BALANCE'!$A$8:$E$18,4,FALSE)))</x:f>
        <x:v>41</x:v>
      </x:c>
      <x:c r="U740" s="63" t="n">
        <x:f>MAX(30,MIN(AC740-VLOOKUP(AE740,'AHL_PA_SC_BALANCE'!$A$8:$E$18,3,FALSE),VLOOKUP(AE740,'AHL_PA_SC_BALANCE'!$A$8:$E$18,5,FALSE)))</x:f>
        <x:v>42</x:v>
      </x:c>
      <x:c r="V740">
        <x:v>62</x:v>
      </x:c>
      <x:c r="W740">
        <x:v>60</x:v>
      </x:c>
      <x:c r="X740">
        <x:v>65</x:v>
      </x:c>
      <x:c r="Y740">
        <x:v>64</x:v>
      </x:c>
      <x:c r="Z740">
        <x:v>51</x:v>
      </x:c>
      <x:c r="AA740">
        <x:v>47</x:v>
      </x:c>
      <x:c r="AB740" s="57" t="n">
        <x:v>41</x:v>
      </x:c>
      <x:c r="AC740" s="57" t="n">
        <x:v>42</x:v>
      </x:c>
      <x:c r="AD740" s="59"/>
      <x:c r="AE740" s="61" t="str">
        <x:f>IF(N(F740)&gt;=10,"NHL_LATEST_10",IF(AND(N(F740)&gt;0,N(G740)&gt;0),"NHL_BOTH_SEASONS",IF(N(G740)&gt;=10,"NHL_PREVIOUS_10",IF(AND(ISNUMBER(AD740),AD740=0,SUM(F740:G740)=0),"FARM_CAREER_0",IF(COUNT(F740:G740)&lt;2,"UNKNOWN_GP",IF(AND(F740=0,G740=0),IF(AD740&gt;=10,"FARM_LEGACY_10",IF(AND(ISNUMBER(AD740),AD740&gt;0),"FARM_CAREER_1_9","FARM_0_0")),IF(F740&gt;=1,IF(F740&lt;=3,"FARM_RECENT_1_3","FARM_RECENT_4_9"),"FARM_PREV_1_9_ONLY")))))))</x:f>
        <x:v>UNKNOWN_GP</x:v>
      </x:c>
      <x:c r="AF740" s="57" t="n">
        <x:f>AB740-T740</x:f>
        <x:v>0</x:v>
      </x:c>
      <x:c r="AG740" s="57" t="n">
        <x:f>AC740-U740</x:f>
        <x:v>0</x:v>
      </x:c>
    </x:row>
    <x:row r="741">
      <x:c r="A741" t="s">
        <x:v>1764</x:v>
      </x:c>
      <x:c r="C741" t="s">
        <x:v>339</x:v>
      </x:c>
      <x:c r="D741">
        <x:v>8484310</x:v>
      </x:c>
      <x:c r="E741" t="s">
        <x:v>267</x:v>
      </x:c>
      <x:c r="J741" t="s">
        <x:v>2474</x:v>
      </x:c>
      <x:c r="K741">
        <x:v>60</x:v>
      </x:c>
      <x:c r="L741">
        <x:v>34</x:v>
      </x:c>
      <x:c r="M741">
        <x:v>78</x:v>
      </x:c>
      <x:c r="N741">
        <x:v>40</x:v>
      </x:c>
      <x:c r="O741">
        <x:v>82</x:v>
      </x:c>
      <x:c r="P741">
        <x:v>88</x:v>
      </x:c>
      <x:c r="Q741">
        <x:v>93</x:v>
      </x:c>
      <x:c r="R741">
        <x:v>40</x:v>
      </x:c>
      <x:c r="S741">
        <x:v>56</x:v>
      </x:c>
      <x:c r="T741" s="63" t="n">
        <x:f>MAX(30,MIN(AB741-VLOOKUP(AE741,'AHL_PA_SC_BALANCE'!$A$8:$E$18,2,FALSE),VLOOKUP(AE741,'AHL_PA_SC_BALANCE'!$A$8:$E$18,4,FALSE)))</x:f>
        <x:v>43</x:v>
      </x:c>
      <x:c r="U741" s="63" t="n">
        <x:f>MAX(30,MIN(AC741-VLOOKUP(AE741,'AHL_PA_SC_BALANCE'!$A$8:$E$18,3,FALSE),VLOOKUP(AE741,'AHL_PA_SC_BALANCE'!$A$8:$E$18,5,FALSE)))</x:f>
        <x:v>41</x:v>
      </x:c>
      <x:c r="V741">
        <x:v>59</x:v>
      </x:c>
      <x:c r="W741">
        <x:v>62</x:v>
      </x:c>
      <x:c r="X741">
        <x:v>67</x:v>
      </x:c>
      <x:c r="Y741">
        <x:v>67</x:v>
      </x:c>
      <x:c r="Z741">
        <x:v>51</x:v>
      </x:c>
      <x:c r="AA741">
        <x:v>47</x:v>
      </x:c>
      <x:c r="AB741" s="57" t="n">
        <x:v>43</x:v>
      </x:c>
      <x:c r="AC741" s="57" t="n">
        <x:v>41</x:v>
      </x:c>
      <x:c r="AD741" s="59"/>
      <x:c r="AE741" s="61" t="str">
        <x:f>IF(N(F741)&gt;=10,"NHL_LATEST_10",IF(AND(N(F741)&gt;0,N(G741)&gt;0),"NHL_BOTH_SEASONS",IF(N(G741)&gt;=10,"NHL_PREVIOUS_10",IF(AND(ISNUMBER(AD741),AD741=0,SUM(F741:G741)=0),"FARM_CAREER_0",IF(COUNT(F741:G741)&lt;2,"UNKNOWN_GP",IF(AND(F741=0,G741=0),IF(AD741&gt;=10,"FARM_LEGACY_10",IF(AND(ISNUMBER(AD741),AD741&gt;0),"FARM_CAREER_1_9","FARM_0_0")),IF(F741&gt;=1,IF(F741&lt;=3,"FARM_RECENT_1_3","FARM_RECENT_4_9"),"FARM_PREV_1_9_ONLY")))))))</x:f>
        <x:v>UNKNOWN_GP</x:v>
      </x:c>
      <x:c r="AF741" s="57" t="n">
        <x:f>AB741-T741</x:f>
        <x:v>0</x:v>
      </x:c>
      <x:c r="AG741" s="57" t="n">
        <x:f>AC741-U741</x:f>
        <x:v>0</x:v>
      </x:c>
    </x:row>
    <x:row r="742">
      <x:c r="A742" t="s">
        <x:v>1765</x:v>
      </x:c>
      <x:c r="C742" t="s">
        <x:v>326</x:v>
      </x:c>
      <x:c r="D742">
        <x:v>8484533</x:v>
      </x:c>
      <x:c r="E742" t="s">
        <x:v>267</x:v>
      </x:c>
      <x:c r="J742" t="s">
        <x:v>2474</x:v>
      </x:c>
      <x:c r="K742">
        <x:v>74</x:v>
      </x:c>
      <x:c r="L742">
        <x:v>60</x:v>
      </x:c>
      <x:c r="M742">
        <x:v>76</x:v>
      </x:c>
      <x:c r="N742">
        <x:v>38</x:v>
      </x:c>
      <x:c r="O742">
        <x:v>84</x:v>
      </x:c>
      <x:c r="P742">
        <x:v>88</x:v>
      </x:c>
      <x:c r="Q742">
        <x:v>92</x:v>
      </x:c>
      <x:c r="R742">
        <x:v>37</x:v>
      </x:c>
      <x:c r="S742">
        <x:v>67</x:v>
      </x:c>
      <x:c r="T742" s="63" t="n">
        <x:f>MAX(30,MIN(AB742-VLOOKUP(AE742,'AHL_PA_SC_BALANCE'!$A$8:$E$18,2,FALSE),VLOOKUP(AE742,'AHL_PA_SC_BALANCE'!$A$8:$E$18,4,FALSE)))</x:f>
        <x:v>42</x:v>
      </x:c>
      <x:c r="U742" s="63" t="n">
        <x:f>MAX(30,MIN(AC742-VLOOKUP(AE742,'AHL_PA_SC_BALANCE'!$A$8:$E$18,3,FALSE),VLOOKUP(AE742,'AHL_PA_SC_BALANCE'!$A$8:$E$18,5,FALSE)))</x:f>
        <x:v>40</x:v>
      </x:c>
      <x:c r="V742">
        <x:v>58</x:v>
      </x:c>
      <x:c r="W742">
        <x:v>60</x:v>
      </x:c>
      <x:c r="X742">
        <x:v>65</x:v>
      </x:c>
      <x:c r="Y742">
        <x:v>65</x:v>
      </x:c>
      <x:c r="Z742">
        <x:v>51</x:v>
      </x:c>
      <x:c r="AA742">
        <x:v>47</x:v>
      </x:c>
      <x:c r="AB742" s="57" t="n">
        <x:v>42</x:v>
      </x:c>
      <x:c r="AC742" s="57" t="n">
        <x:v>40</x:v>
      </x:c>
      <x:c r="AD742" s="59"/>
      <x:c r="AE742" s="61" t="str">
        <x:f>IF(N(F742)&gt;=10,"NHL_LATEST_10",IF(AND(N(F742)&gt;0,N(G742)&gt;0),"NHL_BOTH_SEASONS",IF(N(G742)&gt;=10,"NHL_PREVIOUS_10",IF(AND(ISNUMBER(AD742),AD742=0,SUM(F742:G742)=0),"FARM_CAREER_0",IF(COUNT(F742:G742)&lt;2,"UNKNOWN_GP",IF(AND(F742=0,G742=0),IF(AD742&gt;=10,"FARM_LEGACY_10",IF(AND(ISNUMBER(AD742),AD742&gt;0),"FARM_CAREER_1_9","FARM_0_0")),IF(F742&gt;=1,IF(F742&lt;=3,"FARM_RECENT_1_3","FARM_RECENT_4_9"),"FARM_PREV_1_9_ONLY")))))))</x:f>
        <x:v>UNKNOWN_GP</x:v>
      </x:c>
      <x:c r="AF742" s="57" t="n">
        <x:f>AB742-T742</x:f>
        <x:v>0</x:v>
      </x:c>
      <x:c r="AG742" s="57" t="n">
        <x:f>AC742-U742</x:f>
        <x:v>0</x:v>
      </x:c>
    </x:row>
    <x:row r="743">
      <x:c r="A743" t="s">
        <x:v>1766</x:v>
      </x:c>
      <x:c r="C743" t="s">
        <x:v>358</x:v>
      </x:c>
      <x:c r="D743">
        <x:v>8484187</x:v>
      </x:c>
      <x:c r="E743" t="s">
        <x:v>267</x:v>
      </x:c>
      <x:c r="J743" t="s">
        <x:v>2474</x:v>
      </x:c>
      <x:c r="K743">
        <x:v>60</x:v>
      </x:c>
      <x:c r="L743">
        <x:v>46</x:v>
      </x:c>
      <x:c r="M743">
        <x:v>71</x:v>
      </x:c>
      <x:c r="N743">
        <x:v>40</x:v>
      </x:c>
      <x:c r="O743">
        <x:v>77</x:v>
      </x:c>
      <x:c r="P743">
        <x:v>74</x:v>
      </x:c>
      <x:c r="Q743">
        <x:v>77</x:v>
      </x:c>
      <x:c r="R743">
        <x:v>41</x:v>
      </x:c>
      <x:c r="S743">
        <x:v>60</x:v>
      </x:c>
      <x:c r="T743" s="63" t="n">
        <x:f>MAX(30,MIN(AB743-VLOOKUP(AE743,'AHL_PA_SC_BALANCE'!$A$8:$E$18,2,FALSE),VLOOKUP(AE743,'AHL_PA_SC_BALANCE'!$A$8:$E$18,4,FALSE)))</x:f>
        <x:v>41</x:v>
      </x:c>
      <x:c r="U743" s="63" t="n">
        <x:f>MAX(30,MIN(AC743-VLOOKUP(AE743,'AHL_PA_SC_BALANCE'!$A$8:$E$18,3,FALSE),VLOOKUP(AE743,'AHL_PA_SC_BALANCE'!$A$8:$E$18,5,FALSE)))</x:f>
        <x:v>44</x:v>
      </x:c>
      <x:c r="V743">
        <x:v>60</x:v>
      </x:c>
      <x:c r="W743">
        <x:v>62</x:v>
      </x:c>
      <x:c r="X743">
        <x:v>65</x:v>
      </x:c>
      <x:c r="Y743">
        <x:v>65</x:v>
      </x:c>
      <x:c r="Z743">
        <x:v>51</x:v>
      </x:c>
      <x:c r="AA743">
        <x:v>47</x:v>
      </x:c>
      <x:c r="AB743" s="57" t="n">
        <x:v>41</x:v>
      </x:c>
      <x:c r="AC743" s="57" t="n">
        <x:v>44</x:v>
      </x:c>
      <x:c r="AD743" s="59"/>
      <x:c r="AE743" s="61" t="str">
        <x:f>IF(N(F743)&gt;=10,"NHL_LATEST_10",IF(AND(N(F743)&gt;0,N(G743)&gt;0),"NHL_BOTH_SEASONS",IF(N(G743)&gt;=10,"NHL_PREVIOUS_10",IF(AND(ISNUMBER(AD743),AD743=0,SUM(F743:G743)=0),"FARM_CAREER_0",IF(COUNT(F743:G743)&lt;2,"UNKNOWN_GP",IF(AND(F743=0,G743=0),IF(AD743&gt;=10,"FARM_LEGACY_10",IF(AND(ISNUMBER(AD743),AD743&gt;0),"FARM_CAREER_1_9","FARM_0_0")),IF(F743&gt;=1,IF(F743&lt;=3,"FARM_RECENT_1_3","FARM_RECENT_4_9"),"FARM_PREV_1_9_ONLY")))))))</x:f>
        <x:v>UNKNOWN_GP</x:v>
      </x:c>
      <x:c r="AF743" s="57" t="n">
        <x:f>AB743-T743</x:f>
        <x:v>0</x:v>
      </x:c>
      <x:c r="AG743" s="57" t="n">
        <x:f>AC743-U743</x:f>
        <x:v>0</x:v>
      </x:c>
    </x:row>
    <x:row r="744">
      <x:c r="A744" t="s">
        <x:v>1767</x:v>
      </x:c>
      <x:c r="C744" t="s">
        <x:v>329</x:v>
      </x:c>
      <x:c r="D744">
        <x:v>8482082</x:v>
      </x:c>
      <x:c r="E744" t="s">
        <x:v>267</x:v>
      </x:c>
      <x:c r="J744" t="s">
        <x:v>2474</x:v>
      </x:c>
      <x:c r="K744">
        <x:v>62</x:v>
      </x:c>
      <x:c r="L744">
        <x:v>35</x:v>
      </x:c>
      <x:c r="M744">
        <x:v>92</x:v>
      </x:c>
      <x:c r="N744">
        <x:v>40</x:v>
      </x:c>
      <x:c r="O744">
        <x:v>81</x:v>
      </x:c>
      <x:c r="P744">
        <x:v>84</x:v>
      </x:c>
      <x:c r="Q744">
        <x:v>86</x:v>
      </x:c>
      <x:c r="R744">
        <x:v>41</x:v>
      </x:c>
      <x:c r="S744">
        <x:v>63</x:v>
      </x:c>
      <x:c r="T744" s="63" t="n">
        <x:f>MAX(30,MIN(AB744-VLOOKUP(AE744,'AHL_PA_SC_BALANCE'!$A$8:$E$18,2,FALSE),VLOOKUP(AE744,'AHL_PA_SC_BALANCE'!$A$8:$E$18,4,FALSE)))</x:f>
        <x:v>41</x:v>
      </x:c>
      <x:c r="U744" s="63" t="n">
        <x:f>MAX(30,MIN(AC744-VLOOKUP(AE744,'AHL_PA_SC_BALANCE'!$A$8:$E$18,3,FALSE),VLOOKUP(AE744,'AHL_PA_SC_BALANCE'!$A$8:$E$18,5,FALSE)))</x:f>
        <x:v>43</x:v>
      </x:c>
      <x:c r="V744">
        <x:v>59</x:v>
      </x:c>
      <x:c r="W744">
        <x:v>62</x:v>
      </x:c>
      <x:c r="X744">
        <x:v>68</x:v>
      </x:c>
      <x:c r="Y744">
        <x:v>69</x:v>
      </x:c>
      <x:c r="Z744">
        <x:v>51</x:v>
      </x:c>
      <x:c r="AA744">
        <x:v>47</x:v>
      </x:c>
      <x:c r="AB744" s="57" t="n">
        <x:v>41</x:v>
      </x:c>
      <x:c r="AC744" s="57" t="n">
        <x:v>43</x:v>
      </x:c>
      <x:c r="AD744" s="59"/>
      <x:c r="AE744" s="61" t="str">
        <x:f>IF(N(F744)&gt;=10,"NHL_LATEST_10",IF(AND(N(F744)&gt;0,N(G744)&gt;0),"NHL_BOTH_SEASONS",IF(N(G744)&gt;=10,"NHL_PREVIOUS_10",IF(AND(ISNUMBER(AD744),AD744=0,SUM(F744:G744)=0),"FARM_CAREER_0",IF(COUNT(F744:G744)&lt;2,"UNKNOWN_GP",IF(AND(F744=0,G744=0),IF(AD744&gt;=10,"FARM_LEGACY_10",IF(AND(ISNUMBER(AD744),AD744&gt;0),"FARM_CAREER_1_9","FARM_0_0")),IF(F744&gt;=1,IF(F744&lt;=3,"FARM_RECENT_1_3","FARM_RECENT_4_9"),"FARM_PREV_1_9_ONLY")))))))</x:f>
        <x:v>UNKNOWN_GP</x:v>
      </x:c>
      <x:c r="AF744" s="57" t="n">
        <x:f>AB744-T744</x:f>
        <x:v>0</x:v>
      </x:c>
      <x:c r="AG744" s="57" t="n">
        <x:f>AC744-U744</x:f>
        <x:v>0</x:v>
      </x:c>
    </x:row>
    <x:row r="745">
      <x:c r="A745" t="s">
        <x:v>1768</x:v>
      </x:c>
      <x:c r="C745" t="s">
        <x:v>319</x:v>
      </x:c>
      <x:c r="D745">
        <x:v>8482219</x:v>
      </x:c>
      <x:c r="E745" t="s">
        <x:v>267</x:v>
      </x:c>
      <x:c r="J745" t="s">
        <x:v>2474</x:v>
      </x:c>
      <x:c r="K745">
        <x:v>58</x:v>
      </x:c>
      <x:c r="L745">
        <x:v>37</x:v>
      </x:c>
      <x:c r="M745">
        <x:v>92</x:v>
      </x:c>
      <x:c r="N745">
        <x:v>40</x:v>
      </x:c>
      <x:c r="O745">
        <x:v>81</x:v>
      </x:c>
      <x:c r="P745">
        <x:v>75</x:v>
      </x:c>
      <x:c r="Q745">
        <x:v>78</x:v>
      </x:c>
      <x:c r="R745">
        <x:v>41</x:v>
      </x:c>
      <x:c r="S745">
        <x:v>59</x:v>
      </x:c>
      <x:c r="T745" s="63" t="n">
        <x:f>MAX(30,MIN(AB745-VLOOKUP(AE745,'AHL_PA_SC_BALANCE'!$A$8:$E$18,2,FALSE),VLOOKUP(AE745,'AHL_PA_SC_BALANCE'!$A$8:$E$18,4,FALSE)))</x:f>
        <x:v>40</x:v>
      </x:c>
      <x:c r="U745" s="63" t="n">
        <x:f>MAX(30,MIN(AC745-VLOOKUP(AE745,'AHL_PA_SC_BALANCE'!$A$8:$E$18,3,FALSE),VLOOKUP(AE745,'AHL_PA_SC_BALANCE'!$A$8:$E$18,5,FALSE)))</x:f>
        <x:v>44</x:v>
      </x:c>
      <x:c r="V745">
        <x:v>59</x:v>
      </x:c>
      <x:c r="W745">
        <x:v>61</x:v>
      </x:c>
      <x:c r="X745">
        <x:v>66</x:v>
      </x:c>
      <x:c r="Y745">
        <x:v>66</x:v>
      </x:c>
      <x:c r="Z745">
        <x:v>51</x:v>
      </x:c>
      <x:c r="AA745">
        <x:v>47</x:v>
      </x:c>
      <x:c r="AB745" s="57" t="n">
        <x:v>40</x:v>
      </x:c>
      <x:c r="AC745" s="57" t="n">
        <x:v>44</x:v>
      </x:c>
      <x:c r="AD745" s="59"/>
      <x:c r="AE745" s="61" t="str">
        <x:f>IF(N(F745)&gt;=10,"NHL_LATEST_10",IF(AND(N(F745)&gt;0,N(G745)&gt;0),"NHL_BOTH_SEASONS",IF(N(G745)&gt;=10,"NHL_PREVIOUS_10",IF(AND(ISNUMBER(AD745),AD745=0,SUM(F745:G745)=0),"FARM_CAREER_0",IF(COUNT(F745:G745)&lt;2,"UNKNOWN_GP",IF(AND(F745=0,G745=0),IF(AD745&gt;=10,"FARM_LEGACY_10",IF(AND(ISNUMBER(AD745),AD745&gt;0),"FARM_CAREER_1_9","FARM_0_0")),IF(F745&gt;=1,IF(F745&lt;=3,"FARM_RECENT_1_3","FARM_RECENT_4_9"),"FARM_PREV_1_9_ONLY")))))))</x:f>
        <x:v>UNKNOWN_GP</x:v>
      </x:c>
      <x:c r="AF745" s="57" t="n">
        <x:f>AB745-T745</x:f>
        <x:v>0</x:v>
      </x:c>
      <x:c r="AG745" s="57" t="n">
        <x:f>AC745-U745</x:f>
        <x:v>0</x:v>
      </x:c>
    </x:row>
    <x:row r="746">
      <x:c r="A746" t="s">
        <x:v>1769</x:v>
      </x:c>
      <x:c r="C746" t="s">
        <x:v>326</x:v>
      </x:c>
      <x:c r="D746">
        <x:v>8483488</x:v>
      </x:c>
      <x:c r="E746" t="s">
        <x:v>267</x:v>
      </x:c>
      <x:c r="J746" t="s">
        <x:v>2474</x:v>
      </x:c>
      <x:c r="K746">
        <x:v>57</x:v>
      </x:c>
      <x:c r="L746">
        <x:v>32</x:v>
      </x:c>
      <x:c r="M746">
        <x:v>87</x:v>
      </x:c>
      <x:c r="N746">
        <x:v>42</x:v>
      </x:c>
      <x:c r="O746">
        <x:v>77</x:v>
      </x:c>
      <x:c r="P746">
        <x:v>87</x:v>
      </x:c>
      <x:c r="Q746">
        <x:v>93</x:v>
      </x:c>
      <x:c r="R746">
        <x:v>42</x:v>
      </x:c>
      <x:c r="S746">
        <x:v>64</x:v>
      </x:c>
      <x:c r="T746" s="63" t="n">
        <x:f>MAX(30,MIN(AB746-VLOOKUP(AE746,'AHL_PA_SC_BALANCE'!$A$8:$E$18,2,FALSE),VLOOKUP(AE746,'AHL_PA_SC_BALANCE'!$A$8:$E$18,4,FALSE)))</x:f>
        <x:v>43</x:v>
      </x:c>
      <x:c r="U746" s="63" t="n">
        <x:f>MAX(30,MIN(AC746-VLOOKUP(AE746,'AHL_PA_SC_BALANCE'!$A$8:$E$18,3,FALSE),VLOOKUP(AE746,'AHL_PA_SC_BALANCE'!$A$8:$E$18,5,FALSE)))</x:f>
        <x:v>42</x:v>
      </x:c>
      <x:c r="V746">
        <x:v>61</x:v>
      </x:c>
      <x:c r="W746">
        <x:v>62</x:v>
      </x:c>
      <x:c r="X746">
        <x:v>65</x:v>
      </x:c>
      <x:c r="Y746">
        <x:v>65</x:v>
      </x:c>
      <x:c r="Z746">
        <x:v>51</x:v>
      </x:c>
      <x:c r="AA746">
        <x:v>47</x:v>
      </x:c>
      <x:c r="AB746" s="57" t="n">
        <x:v>43</x:v>
      </x:c>
      <x:c r="AC746" s="57" t="n">
        <x:v>42</x:v>
      </x:c>
      <x:c r="AD746" s="59"/>
      <x:c r="AE746" s="61" t="str">
        <x:f>IF(N(F746)&gt;=10,"NHL_LATEST_10",IF(AND(N(F746)&gt;0,N(G746)&gt;0),"NHL_BOTH_SEASONS",IF(N(G746)&gt;=10,"NHL_PREVIOUS_10",IF(AND(ISNUMBER(AD746),AD746=0,SUM(F746:G746)=0),"FARM_CAREER_0",IF(COUNT(F746:G746)&lt;2,"UNKNOWN_GP",IF(AND(F746=0,G746=0),IF(AD746&gt;=10,"FARM_LEGACY_10",IF(AND(ISNUMBER(AD746),AD746&gt;0),"FARM_CAREER_1_9","FARM_0_0")),IF(F746&gt;=1,IF(F746&lt;=3,"FARM_RECENT_1_3","FARM_RECENT_4_9"),"FARM_PREV_1_9_ONLY")))))))</x:f>
        <x:v>UNKNOWN_GP</x:v>
      </x:c>
      <x:c r="AF746" s="57" t="n">
        <x:f>AB746-T746</x:f>
        <x:v>0</x:v>
      </x:c>
      <x:c r="AG746" s="57" t="n">
        <x:f>AC746-U746</x:f>
        <x:v>0</x:v>
      </x:c>
    </x:row>
    <x:row r="747">
      <x:c r="A747" t="s">
        <x:v>1770</x:v>
      </x:c>
      <x:c r="C747" t="s">
        <x:v>329</x:v>
      </x:c>
      <x:c r="D747">
        <x:v>8485253</x:v>
      </x:c>
      <x:c r="E747" t="s">
        <x:v>267</x:v>
      </x:c>
      <x:c r="J747" t="s">
        <x:v>2474</x:v>
      </x:c>
      <x:c r="K747">
        <x:v>70</x:v>
      </x:c>
      <x:c r="L747">
        <x:v>36</x:v>
      </x:c>
      <x:c r="M747">
        <x:v>94</x:v>
      </x:c>
      <x:c r="N747">
        <x:v>39</x:v>
      </x:c>
      <x:c r="O747">
        <x:v>77</x:v>
      </x:c>
      <x:c r="P747">
        <x:v>73</x:v>
      </x:c>
      <x:c r="Q747">
        <x:v>76</x:v>
      </x:c>
      <x:c r="R747">
        <x:v>40</x:v>
      </x:c>
      <x:c r="S747">
        <x:v>66</x:v>
      </x:c>
      <x:c r="T747" s="63" t="n">
        <x:f>MAX(30,MIN(AB747-VLOOKUP(AE747,'AHL_PA_SC_BALANCE'!$A$8:$E$18,2,FALSE),VLOOKUP(AE747,'AHL_PA_SC_BALANCE'!$A$8:$E$18,4,FALSE)))</x:f>
        <x:v>42</x:v>
      </x:c>
      <x:c r="U747" s="63" t="n">
        <x:f>MAX(30,MIN(AC747-VLOOKUP(AE747,'AHL_PA_SC_BALANCE'!$A$8:$E$18,3,FALSE),VLOOKUP(AE747,'AHL_PA_SC_BALANCE'!$A$8:$E$18,5,FALSE)))</x:f>
        <x:v>40</x:v>
      </x:c>
      <x:c r="V747">
        <x:v>64</x:v>
      </x:c>
      <x:c r="W747">
        <x:v>60</x:v>
      </x:c>
      <x:c r="X747">
        <x:v>69</x:v>
      </x:c>
      <x:c r="Y747">
        <x:v>69</x:v>
      </x:c>
      <x:c r="Z747">
        <x:v>51</x:v>
      </x:c>
      <x:c r="AA747">
        <x:v>47</x:v>
      </x:c>
      <x:c r="AB747" s="57" t="n">
        <x:v>42</x:v>
      </x:c>
      <x:c r="AC747" s="57" t="n">
        <x:v>40</x:v>
      </x:c>
      <x:c r="AD747" s="59"/>
      <x:c r="AE747" s="61" t="str">
        <x:f>IF(N(F747)&gt;=10,"NHL_LATEST_10",IF(AND(N(F747)&gt;0,N(G747)&gt;0),"NHL_BOTH_SEASONS",IF(N(G747)&gt;=10,"NHL_PREVIOUS_10",IF(AND(ISNUMBER(AD747),AD747=0,SUM(F747:G747)=0),"FARM_CAREER_0",IF(COUNT(F747:G747)&lt;2,"UNKNOWN_GP",IF(AND(F747=0,G747=0),IF(AD747&gt;=10,"FARM_LEGACY_10",IF(AND(ISNUMBER(AD747),AD747&gt;0),"FARM_CAREER_1_9","FARM_0_0")),IF(F747&gt;=1,IF(F747&lt;=3,"FARM_RECENT_1_3","FARM_RECENT_4_9"),"FARM_PREV_1_9_ONLY")))))))</x:f>
        <x:v>UNKNOWN_GP</x:v>
      </x:c>
      <x:c r="AF747" s="57" t="n">
        <x:f>AB747-T747</x:f>
        <x:v>0</x:v>
      </x:c>
      <x:c r="AG747" s="57" t="n">
        <x:f>AC747-U747</x:f>
        <x:v>0</x:v>
      </x:c>
    </x:row>
    <x:row r="748">
      <x:c r="A748" t="s">
        <x:v>1771</x:v>
      </x:c>
      <x:c r="C748" t="s">
        <x:v>358</x:v>
      </x:c>
      <x:c r="D748">
        <x:v>8484408</x:v>
      </x:c>
      <x:c r="E748" t="s">
        <x:v>267</x:v>
      </x:c>
      <x:c r="J748" t="s">
        <x:v>2474</x:v>
      </x:c>
      <x:c r="K748">
        <x:v>76</x:v>
      </x:c>
      <x:c r="L748">
        <x:v>46</x:v>
      </x:c>
      <x:c r="M748">
        <x:v>75</x:v>
      </x:c>
      <x:c r="N748">
        <x:v>38</x:v>
      </x:c>
      <x:c r="O748">
        <x:v>84</x:v>
      </x:c>
      <x:c r="P748">
        <x:v>78</x:v>
      </x:c>
      <x:c r="Q748">
        <x:v>81</x:v>
      </x:c>
      <x:c r="R748">
        <x:v>39</x:v>
      </x:c>
      <x:c r="S748">
        <x:v>58</x:v>
      </x:c>
      <x:c r="T748" s="63" t="n">
        <x:f>MAX(30,MIN(AB748-VLOOKUP(AE748,'AHL_PA_SC_BALANCE'!$A$8:$E$18,2,FALSE),VLOOKUP(AE748,'AHL_PA_SC_BALANCE'!$A$8:$E$18,4,FALSE)))</x:f>
        <x:v>40</x:v>
      </x:c>
      <x:c r="U748" s="63" t="n">
        <x:f>MAX(30,MIN(AC748-VLOOKUP(AE748,'AHL_PA_SC_BALANCE'!$A$8:$E$18,3,FALSE),VLOOKUP(AE748,'AHL_PA_SC_BALANCE'!$A$8:$E$18,5,FALSE)))</x:f>
        <x:v>42</x:v>
      </x:c>
      <x:c r="V748">
        <x:v>62</x:v>
      </x:c>
      <x:c r="W748">
        <x:v>60</x:v>
      </x:c>
      <x:c r="X748">
        <x:v>65</x:v>
      </x:c>
      <x:c r="Y748">
        <x:v>65</x:v>
      </x:c>
      <x:c r="Z748">
        <x:v>51</x:v>
      </x:c>
      <x:c r="AA748">
        <x:v>47</x:v>
      </x:c>
      <x:c r="AB748" s="57" t="n">
        <x:v>40</x:v>
      </x:c>
      <x:c r="AC748" s="57" t="n">
        <x:v>42</x:v>
      </x:c>
      <x:c r="AD748" s="59"/>
      <x:c r="AE748" s="61" t="str">
        <x:f>IF(N(F748)&gt;=10,"NHL_LATEST_10",IF(AND(N(F748)&gt;0,N(G748)&gt;0),"NHL_BOTH_SEASONS",IF(N(G748)&gt;=10,"NHL_PREVIOUS_10",IF(AND(ISNUMBER(AD748),AD748=0,SUM(F748:G748)=0),"FARM_CAREER_0",IF(COUNT(F748:G748)&lt;2,"UNKNOWN_GP",IF(AND(F748=0,G748=0),IF(AD748&gt;=10,"FARM_LEGACY_10",IF(AND(ISNUMBER(AD748),AD748&gt;0),"FARM_CAREER_1_9","FARM_0_0")),IF(F748&gt;=1,IF(F748&lt;=3,"FARM_RECENT_1_3","FARM_RECENT_4_9"),"FARM_PREV_1_9_ONLY")))))))</x:f>
        <x:v>UNKNOWN_GP</x:v>
      </x:c>
      <x:c r="AF748" s="57" t="n">
        <x:f>AB748-T748</x:f>
        <x:v>0</x:v>
      </x:c>
      <x:c r="AG748" s="57" t="n">
        <x:f>AC748-U748</x:f>
        <x:v>0</x:v>
      </x:c>
    </x:row>
    <x:row r="749">
      <x:c r="A749" t="s">
        <x:v>1772</x:v>
      </x:c>
      <x:c r="B749" t="s">
        <x:v>584</x:v>
      </x:c>
      <x:c r="C749" t="s">
        <x:v>326</x:v>
      </x:c>
      <x:c r="D749">
        <x:v>8481741</x:v>
      </x:c>
      <x:c r="E749" t="s">
        <x:v>267</x:v>
      </x:c>
      <x:c r="J749" t="s">
        <x:v>2476</x:v>
      </x:c>
      <x:c r="K749">
        <x:v>61</x:v>
      </x:c>
      <x:c r="L749">
        <x:v>38</x:v>
      </x:c>
      <x:c r="M749">
        <x:v>85</x:v>
      </x:c>
      <x:c r="N749">
        <x:v>39</x:v>
      </x:c>
      <x:c r="O749">
        <x:v>79</x:v>
      </x:c>
      <x:c r="P749">
        <x:v>79</x:v>
      </x:c>
      <x:c r="Q749">
        <x:v>83</x:v>
      </x:c>
      <x:c r="R749">
        <x:v>39</x:v>
      </x:c>
      <x:c r="S749">
        <x:v>53</x:v>
      </x:c>
      <x:c r="T749" s="63" t="n">
        <x:f>MAX(30,MIN(AB749-VLOOKUP(AE749,'AHL_PA_SC_BALANCE'!$A$8:$E$18,2,FALSE),VLOOKUP(AE749,'AHL_PA_SC_BALANCE'!$A$8:$E$18,4,FALSE)))</x:f>
        <x:v>42</x:v>
      </x:c>
      <x:c r="U749" s="63" t="n">
        <x:f>MAX(30,MIN(AC749-VLOOKUP(AE749,'AHL_PA_SC_BALANCE'!$A$8:$E$18,3,FALSE),VLOOKUP(AE749,'AHL_PA_SC_BALANCE'!$A$8:$E$18,5,FALSE)))</x:f>
        <x:v>42</x:v>
      </x:c>
      <x:c r="V749">
        <x:v>59</x:v>
      </x:c>
      <x:c r="W749">
        <x:v>61</x:v>
      </x:c>
      <x:c r="X749">
        <x:v>67</x:v>
      </x:c>
      <x:c r="Y749">
        <x:v>66</x:v>
      </x:c>
      <x:c r="Z749">
        <x:v>51</x:v>
      </x:c>
      <x:c r="AA749">
        <x:v>47</x:v>
      </x:c>
      <x:c r="AB749" s="57" t="n">
        <x:v>42</x:v>
      </x:c>
      <x:c r="AC749" s="57" t="n">
        <x:v>42</x:v>
      </x:c>
      <x:c r="AD749" s="59"/>
      <x:c r="AE749" s="61" t="str">
        <x:f>IF(N(F749)&gt;=10,"NHL_LATEST_10",IF(AND(N(F749)&gt;0,N(G749)&gt;0),"NHL_BOTH_SEASONS",IF(N(G749)&gt;=10,"NHL_PREVIOUS_10",IF(AND(ISNUMBER(AD749),AD749=0,SUM(F749:G749)=0),"FARM_CAREER_0",IF(COUNT(F749:G749)&lt;2,"UNKNOWN_GP",IF(AND(F749=0,G749=0),IF(AD749&gt;=10,"FARM_LEGACY_10",IF(AND(ISNUMBER(AD749),AD749&gt;0),"FARM_CAREER_1_9","FARM_0_0")),IF(F749&gt;=1,IF(F749&lt;=3,"FARM_RECENT_1_3","FARM_RECENT_4_9"),"FARM_PREV_1_9_ONLY")))))))</x:f>
        <x:v>UNKNOWN_GP</x:v>
      </x:c>
      <x:c r="AF749" s="57" t="n">
        <x:f>AB749-T749</x:f>
        <x:v>0</x:v>
      </x:c>
      <x:c r="AG749" s="57" t="n">
        <x:f>AC749-U749</x:f>
        <x:v>0</x:v>
      </x:c>
    </x:row>
    <x:row r="750">
      <x:c r="A750" t="s">
        <x:v>1773</x:v>
      </x:c>
      <x:c r="C750" t="s">
        <x:v>319</x:v>
      </x:c>
      <x:c r="D750">
        <x:v>8485368</x:v>
      </x:c>
      <x:c r="E750" t="s">
        <x:v>267</x:v>
      </x:c>
      <x:c r="J750" t="s">
        <x:v>2474</x:v>
      </x:c>
      <x:c r="K750">
        <x:v>69</x:v>
      </x:c>
      <x:c r="L750">
        <x:v>45</x:v>
      </x:c>
      <x:c r="M750">
        <x:v>72</x:v>
      </x:c>
      <x:c r="N750">
        <x:v>39</x:v>
      </x:c>
      <x:c r="O750">
        <x:v>80</x:v>
      </x:c>
      <x:c r="P750">
        <x:v>75</x:v>
      </x:c>
      <x:c r="Q750">
        <x:v>78</x:v>
      </x:c>
      <x:c r="R750">
        <x:v>39</x:v>
      </x:c>
      <x:c r="S750">
        <x:v>74</x:v>
      </x:c>
      <x:c r="T750" s="63" t="n">
        <x:f>MAX(30,MIN(AB750-VLOOKUP(AE750,'AHL_PA_SC_BALANCE'!$A$8:$E$18,2,FALSE),VLOOKUP(AE750,'AHL_PA_SC_BALANCE'!$A$8:$E$18,4,FALSE)))</x:f>
        <x:v>44</x:v>
      </x:c>
      <x:c r="U750" s="63" t="n">
        <x:f>MAX(30,MIN(AC750-VLOOKUP(AE750,'AHL_PA_SC_BALANCE'!$A$8:$E$18,3,FALSE),VLOOKUP(AE750,'AHL_PA_SC_BALANCE'!$A$8:$E$18,5,FALSE)))</x:f>
        <x:v>40</x:v>
      </x:c>
      <x:c r="V750">
        <x:v>59</x:v>
      </x:c>
      <x:c r="W750">
        <x:v>61</x:v>
      </x:c>
      <x:c r="X750">
        <x:v>64</x:v>
      </x:c>
      <x:c r="Y750">
        <x:v>64</x:v>
      </x:c>
      <x:c r="Z750">
        <x:v>56</x:v>
      </x:c>
      <x:c r="AA750">
        <x:v>47</x:v>
      </x:c>
      <x:c r="AB750" s="57" t="n">
        <x:v>44</x:v>
      </x:c>
      <x:c r="AC750" s="57" t="n">
        <x:v>40</x:v>
      </x:c>
      <x:c r="AD750" s="59"/>
      <x:c r="AE750" s="61" t="str">
        <x:f>IF(N(F750)&gt;=10,"NHL_LATEST_10",IF(AND(N(F750)&gt;0,N(G750)&gt;0),"NHL_BOTH_SEASONS",IF(N(G750)&gt;=10,"NHL_PREVIOUS_10",IF(AND(ISNUMBER(AD750),AD750=0,SUM(F750:G750)=0),"FARM_CAREER_0",IF(COUNT(F750:G750)&lt;2,"UNKNOWN_GP",IF(AND(F750=0,G750=0),IF(AD750&gt;=10,"FARM_LEGACY_10",IF(AND(ISNUMBER(AD750),AD750&gt;0),"FARM_CAREER_1_9","FARM_0_0")),IF(F750&gt;=1,IF(F750&lt;=3,"FARM_RECENT_1_3","FARM_RECENT_4_9"),"FARM_PREV_1_9_ONLY")))))))</x:f>
        <x:v>UNKNOWN_GP</x:v>
      </x:c>
      <x:c r="AF750" s="57" t="n">
        <x:f>AB750-T750</x:f>
        <x:v>0</x:v>
      </x:c>
      <x:c r="AG750" s="57" t="n">
        <x:f>AC750-U750</x:f>
        <x:v>0</x:v>
      </x:c>
    </x:row>
    <x:row r="751">
      <x:c r="A751" t="s">
        <x:v>1774</x:v>
      </x:c>
      <x:c r="C751" t="s">
        <x:v>333</x:v>
      </x:c>
      <x:c r="D751">
        <x:v>8484195</x:v>
      </x:c>
      <x:c r="E751" t="s">
        <x:v>267</x:v>
      </x:c>
      <x:c r="J751" t="s">
        <x:v>2474</x:v>
      </x:c>
      <x:c r="K751">
        <x:v>63</x:v>
      </x:c>
      <x:c r="L751">
        <x:v>39</x:v>
      </x:c>
      <x:c r="M751">
        <x:v>83</x:v>
      </x:c>
      <x:c r="N751">
        <x:v>39</x:v>
      </x:c>
      <x:c r="O751">
        <x:v>81</x:v>
      </x:c>
      <x:c r="P751">
        <x:v>84</x:v>
      </x:c>
      <x:c r="Q751">
        <x:v>88</x:v>
      </x:c>
      <x:c r="R751">
        <x:v>40</x:v>
      </x:c>
      <x:c r="S751">
        <x:v>58</x:v>
      </x:c>
      <x:c r="T751" s="63" t="n">
        <x:f>MAX(30,MIN(AB751-VLOOKUP(AE751,'AHL_PA_SC_BALANCE'!$A$8:$E$18,2,FALSE),VLOOKUP(AE751,'AHL_PA_SC_BALANCE'!$A$8:$E$18,4,FALSE)))</x:f>
        <x:v>42</x:v>
      </x:c>
      <x:c r="U751" s="63" t="n">
        <x:f>MAX(30,MIN(AC751-VLOOKUP(AE751,'AHL_PA_SC_BALANCE'!$A$8:$E$18,3,FALSE),VLOOKUP(AE751,'AHL_PA_SC_BALANCE'!$A$8:$E$18,5,FALSE)))</x:f>
        <x:v>40</x:v>
      </x:c>
      <x:c r="V751">
        <x:v>62</x:v>
      </x:c>
      <x:c r="W751">
        <x:v>60</x:v>
      </x:c>
      <x:c r="X751">
        <x:v>65</x:v>
      </x:c>
      <x:c r="Y751">
        <x:v>64</x:v>
      </x:c>
      <x:c r="Z751">
        <x:v>51</x:v>
      </x:c>
      <x:c r="AA751">
        <x:v>47</x:v>
      </x:c>
      <x:c r="AB751" s="57" t="n">
        <x:v>42</x:v>
      </x:c>
      <x:c r="AC751" s="57" t="n">
        <x:v>40</x:v>
      </x:c>
      <x:c r="AD751" s="59"/>
      <x:c r="AE751" s="61" t="str">
        <x:f>IF(N(F751)&gt;=10,"NHL_LATEST_10",IF(AND(N(F751)&gt;0,N(G751)&gt;0),"NHL_BOTH_SEASONS",IF(N(G751)&gt;=10,"NHL_PREVIOUS_10",IF(AND(ISNUMBER(AD751),AD751=0,SUM(F751:G751)=0),"FARM_CAREER_0",IF(COUNT(F751:G751)&lt;2,"UNKNOWN_GP",IF(AND(F751=0,G751=0),IF(AD751&gt;=10,"FARM_LEGACY_10",IF(AND(ISNUMBER(AD751),AD751&gt;0),"FARM_CAREER_1_9","FARM_0_0")),IF(F751&gt;=1,IF(F751&lt;=3,"FARM_RECENT_1_3","FARM_RECENT_4_9"),"FARM_PREV_1_9_ONLY")))))))</x:f>
        <x:v>UNKNOWN_GP</x:v>
      </x:c>
      <x:c r="AF751" s="57" t="n">
        <x:f>AB751-T751</x:f>
        <x:v>0</x:v>
      </x:c>
      <x:c r="AG751" s="57" t="n">
        <x:f>AC751-U751</x:f>
        <x:v>0</x:v>
      </x:c>
    </x:row>
    <x:row r="752">
      <x:c r="A752" t="s">
        <x:v>1775</x:v>
      </x:c>
      <x:c r="C752" t="s">
        <x:v>326</x:v>
      </x:c>
      <x:c r="D752">
        <x:v>8483461</x:v>
      </x:c>
      <x:c r="E752" t="s">
        <x:v>267</x:v>
      </x:c>
      <x:c r="J752" t="s">
        <x:v>2474</x:v>
      </x:c>
      <x:c r="K752">
        <x:v>62</x:v>
      </x:c>
      <x:c r="L752">
        <x:v>41</x:v>
      </x:c>
      <x:c r="M752">
        <x:v>74</x:v>
      </x:c>
      <x:c r="N752">
        <x:v>40</x:v>
      </x:c>
      <x:c r="O752">
        <x:v>82</x:v>
      </x:c>
      <x:c r="P752">
        <x:v>78</x:v>
      </x:c>
      <x:c r="Q752">
        <x:v>82</x:v>
      </x:c>
      <x:c r="R752">
        <x:v>39</x:v>
      </x:c>
      <x:c r="S752">
        <x:v>65</x:v>
      </x:c>
      <x:c r="T752" s="63" t="n">
        <x:f>MAX(30,MIN(AB752-VLOOKUP(AE752,'AHL_PA_SC_BALANCE'!$A$8:$E$18,2,FALSE),VLOOKUP(AE752,'AHL_PA_SC_BALANCE'!$A$8:$E$18,4,FALSE)))</x:f>
        <x:v>42</x:v>
      </x:c>
      <x:c r="U752" s="63" t="n">
        <x:f>MAX(30,MIN(AC752-VLOOKUP(AE752,'AHL_PA_SC_BALANCE'!$A$8:$E$18,3,FALSE),VLOOKUP(AE752,'AHL_PA_SC_BALANCE'!$A$8:$E$18,5,FALSE)))</x:f>
        <x:v>41</x:v>
      </x:c>
      <x:c r="V752">
        <x:v>59</x:v>
      </x:c>
      <x:c r="W752">
        <x:v>60</x:v>
      </x:c>
      <x:c r="X752">
        <x:v>65</x:v>
      </x:c>
      <x:c r="Y752">
        <x:v>64</x:v>
      </x:c>
      <x:c r="Z752">
        <x:v>51</x:v>
      </x:c>
      <x:c r="AA752">
        <x:v>47</x:v>
      </x:c>
      <x:c r="AB752" s="57" t="n">
        <x:v>42</x:v>
      </x:c>
      <x:c r="AC752" s="57" t="n">
        <x:v>41</x:v>
      </x:c>
      <x:c r="AD752" s="59"/>
      <x:c r="AE752" s="61" t="str">
        <x:f>IF(N(F752)&gt;=10,"NHL_LATEST_10",IF(AND(N(F752)&gt;0,N(G752)&gt;0),"NHL_BOTH_SEASONS",IF(N(G752)&gt;=10,"NHL_PREVIOUS_10",IF(AND(ISNUMBER(AD752),AD752=0,SUM(F752:G752)=0),"FARM_CAREER_0",IF(COUNT(F752:G752)&lt;2,"UNKNOWN_GP",IF(AND(F752=0,G752=0),IF(AD752&gt;=10,"FARM_LEGACY_10",IF(AND(ISNUMBER(AD752),AD752&gt;0),"FARM_CAREER_1_9","FARM_0_0")),IF(F752&gt;=1,IF(F752&lt;=3,"FARM_RECENT_1_3","FARM_RECENT_4_9"),"FARM_PREV_1_9_ONLY")))))))</x:f>
        <x:v>UNKNOWN_GP</x:v>
      </x:c>
      <x:c r="AF752" s="57" t="n">
        <x:f>AB752-T752</x:f>
        <x:v>0</x:v>
      </x:c>
      <x:c r="AG752" s="57" t="n">
        <x:f>AC752-U752</x:f>
        <x:v>0</x:v>
      </x:c>
    </x:row>
    <x:row r="753">
      <x:c r="A753" t="s">
        <x:v>1776</x:v>
      </x:c>
      <x:c r="B753" t="s">
        <x:v>584</x:v>
      </x:c>
      <x:c r="C753" t="s">
        <x:v>319</x:v>
      </x:c>
      <x:c r="D753">
        <x:v>8485772</x:v>
      </x:c>
      <x:c r="E753" t="s">
        <x:v>267</x:v>
      </x:c>
      <x:c r="J753" t="s">
        <x:v>2476</x:v>
      </x:c>
      <x:c r="K753">
        <x:v>62</x:v>
      </x:c>
      <x:c r="L753">
        <x:v>38</x:v>
      </x:c>
      <x:c r="M753">
        <x:v>85</x:v>
      </x:c>
      <x:c r="N753">
        <x:v>40</x:v>
      </x:c>
      <x:c r="O753">
        <x:v>81</x:v>
      </x:c>
      <x:c r="P753">
        <x:v>75</x:v>
      </x:c>
      <x:c r="Q753">
        <x:v>78</x:v>
      </x:c>
      <x:c r="R753">
        <x:v>40</x:v>
      </x:c>
      <x:c r="S753">
        <x:v>54</x:v>
      </x:c>
      <x:c r="T753" s="63" t="n">
        <x:f>MAX(30,MIN(AB753-VLOOKUP(AE753,'AHL_PA_SC_BALANCE'!$A$8:$E$18,2,FALSE),VLOOKUP(AE753,'AHL_PA_SC_BALANCE'!$A$8:$E$18,4,FALSE)))</x:f>
        <x:v>42</x:v>
      </x:c>
      <x:c r="U753" s="63" t="n">
        <x:f>MAX(30,MIN(AC753-VLOOKUP(AE753,'AHL_PA_SC_BALANCE'!$A$8:$E$18,3,FALSE),VLOOKUP(AE753,'AHL_PA_SC_BALANCE'!$A$8:$E$18,5,FALSE)))</x:f>
        <x:v>43</x:v>
      </x:c>
      <x:c r="V753">
        <x:v>60</x:v>
      </x:c>
      <x:c r="W753">
        <x:v>62</x:v>
      </x:c>
      <x:c r="X753">
        <x:v>69</x:v>
      </x:c>
      <x:c r="Y753">
        <x:v>70</x:v>
      </x:c>
      <x:c r="Z753">
        <x:v>51</x:v>
      </x:c>
      <x:c r="AA753">
        <x:v>47</x:v>
      </x:c>
      <x:c r="AB753" s="57" t="n">
        <x:v>42</x:v>
      </x:c>
      <x:c r="AC753" s="57" t="n">
        <x:v>43</x:v>
      </x:c>
      <x:c r="AD753" s="59"/>
      <x:c r="AE753" s="61" t="str">
        <x:f>IF(N(F753)&gt;=10,"NHL_LATEST_10",IF(AND(N(F753)&gt;0,N(G753)&gt;0),"NHL_BOTH_SEASONS",IF(N(G753)&gt;=10,"NHL_PREVIOUS_10",IF(AND(ISNUMBER(AD753),AD753=0,SUM(F753:G753)=0),"FARM_CAREER_0",IF(COUNT(F753:G753)&lt;2,"UNKNOWN_GP",IF(AND(F753=0,G753=0),IF(AD753&gt;=10,"FARM_LEGACY_10",IF(AND(ISNUMBER(AD753),AD753&gt;0),"FARM_CAREER_1_9","FARM_0_0")),IF(F753&gt;=1,IF(F753&lt;=3,"FARM_RECENT_1_3","FARM_RECENT_4_9"),"FARM_PREV_1_9_ONLY")))))))</x:f>
        <x:v>UNKNOWN_GP</x:v>
      </x:c>
      <x:c r="AF753" s="57" t="n">
        <x:f>AB753-T753</x:f>
        <x:v>0</x:v>
      </x:c>
      <x:c r="AG753" s="57" t="n">
        <x:f>AC753-U753</x:f>
        <x:v>0</x:v>
      </x:c>
    </x:row>
    <x:row r="754">
      <x:c r="A754" t="s">
        <x:v>1777</x:v>
      </x:c>
      <x:c r="C754" t="s">
        <x:v>323</x:v>
      </x:c>
      <x:c r="E754" t="s">
        <x:v>267</x:v>
      </x:c>
      <x:c r="J754" t="s">
        <x:v>2474</x:v>
      </x:c>
      <x:c r="K754">
        <x:v>60</x:v>
      </x:c>
      <x:c r="L754">
        <x:v>37</x:v>
      </x:c>
      <x:c r="M754">
        <x:v>79</x:v>
      </x:c>
      <x:c r="N754">
        <x:v>39</x:v>
      </x:c>
      <x:c r="O754">
        <x:v>83</x:v>
      </x:c>
      <x:c r="P754">
        <x:v>85</x:v>
      </x:c>
      <x:c r="Q754">
        <x:v>89</x:v>
      </x:c>
      <x:c r="R754">
        <x:v>40</x:v>
      </x:c>
      <x:c r="S754">
        <x:v>62</x:v>
      </x:c>
      <x:c r="T754" s="63" t="n">
        <x:f>MAX(30,MIN(AB754-VLOOKUP(AE754,'AHL_PA_SC_BALANCE'!$A$8:$E$18,2,FALSE),VLOOKUP(AE754,'AHL_PA_SC_BALANCE'!$A$8:$E$18,4,FALSE)))</x:f>
        <x:v>41</x:v>
      </x:c>
      <x:c r="U754" s="63" t="n">
        <x:f>MAX(30,MIN(AC754-VLOOKUP(AE754,'AHL_PA_SC_BALANCE'!$A$8:$E$18,3,FALSE),VLOOKUP(AE754,'AHL_PA_SC_BALANCE'!$A$8:$E$18,5,FALSE)))</x:f>
        <x:v>40</x:v>
      </x:c>
      <x:c r="V754">
        <x:v>62</x:v>
      </x:c>
      <x:c r="W754">
        <x:v>59</x:v>
      </x:c>
      <x:c r="X754">
        <x:v>68</x:v>
      </x:c>
      <x:c r="Y754">
        <x:v>67</x:v>
      </x:c>
      <x:c r="Z754">
        <x:v>51</x:v>
      </x:c>
      <x:c r="AA754">
        <x:v>47</x:v>
      </x:c>
      <x:c r="AB754" s="57" t="n">
        <x:v>41</x:v>
      </x:c>
      <x:c r="AC754" s="57" t="n">
        <x:v>40</x:v>
      </x:c>
      <x:c r="AD754" s="59"/>
      <x:c r="AE754" s="61" t="str">
        <x:f>IF(N(F754)&gt;=10,"NHL_LATEST_10",IF(AND(N(F754)&gt;0,N(G754)&gt;0),"NHL_BOTH_SEASONS",IF(N(G754)&gt;=10,"NHL_PREVIOUS_10",IF(AND(ISNUMBER(AD754),AD754=0,SUM(F754:G754)=0),"FARM_CAREER_0",IF(COUNT(F754:G754)&lt;2,"UNKNOWN_GP",IF(AND(F754=0,G754=0),IF(AD754&gt;=10,"FARM_LEGACY_10",IF(AND(ISNUMBER(AD754),AD754&gt;0),"FARM_CAREER_1_9","FARM_0_0")),IF(F754&gt;=1,IF(F754&lt;=3,"FARM_RECENT_1_3","FARM_RECENT_4_9"),"FARM_PREV_1_9_ONLY")))))))</x:f>
        <x:v>UNKNOWN_GP</x:v>
      </x:c>
      <x:c r="AF754" s="57" t="n">
        <x:f>AB754-T754</x:f>
        <x:v>0</x:v>
      </x:c>
      <x:c r="AG754" s="57" t="n">
        <x:f>AC754-U754</x:f>
        <x:v>0</x:v>
      </x:c>
    </x:row>
    <x:row r="755">
      <x:c r="A755" t="s">
        <x:v>1778</x:v>
      </x:c>
      <x:c r="C755" t="s">
        <x:v>358</x:v>
      </x:c>
      <x:c r="D755">
        <x:v>8482512</x:v>
      </x:c>
      <x:c r="E755" t="s">
        <x:v>267</x:v>
      </x:c>
      <x:c r="J755" t="s">
        <x:v>2474</x:v>
      </x:c>
      <x:c r="K755">
        <x:v>61</x:v>
      </x:c>
      <x:c r="L755">
        <x:v>39</x:v>
      </x:c>
      <x:c r="M755">
        <x:v>81</x:v>
      </x:c>
      <x:c r="N755">
        <x:v>40</x:v>
      </x:c>
      <x:c r="O755">
        <x:v>80</x:v>
      </x:c>
      <x:c r="P755">
        <x:v>89</x:v>
      </x:c>
      <x:c r="Q755">
        <x:v>93</x:v>
      </x:c>
      <x:c r="R755">
        <x:v>40</x:v>
      </x:c>
      <x:c r="S755">
        <x:v>63</x:v>
      </x:c>
      <x:c r="T755" s="63" t="n">
        <x:f>MAX(30,MIN(AB755-VLOOKUP(AE755,'AHL_PA_SC_BALANCE'!$A$8:$E$18,2,FALSE),VLOOKUP(AE755,'AHL_PA_SC_BALANCE'!$A$8:$E$18,4,FALSE)))</x:f>
        <x:v>43</x:v>
      </x:c>
      <x:c r="U755" s="63" t="n">
        <x:f>MAX(30,MIN(AC755-VLOOKUP(AE755,'AHL_PA_SC_BALANCE'!$A$8:$E$18,3,FALSE),VLOOKUP(AE755,'AHL_PA_SC_BALANCE'!$A$8:$E$18,5,FALSE)))</x:f>
        <x:v>42</x:v>
      </x:c>
      <x:c r="V755">
        <x:v>58</x:v>
      </x:c>
      <x:c r="W755">
        <x:v>62</x:v>
      </x:c>
      <x:c r="X755">
        <x:v>66</x:v>
      </x:c>
      <x:c r="Y755">
        <x:v>66</x:v>
      </x:c>
      <x:c r="Z755">
        <x:v>40</x:v>
      </x:c>
      <x:c r="AA755">
        <x:v>47</x:v>
      </x:c>
      <x:c r="AB755" s="57" t="n">
        <x:v>43</x:v>
      </x:c>
      <x:c r="AC755" s="57" t="n">
        <x:v>42</x:v>
      </x:c>
      <x:c r="AD755" s="59"/>
      <x:c r="AE755" s="61" t="str">
        <x:f>IF(N(F755)&gt;=10,"NHL_LATEST_10",IF(AND(N(F755)&gt;0,N(G755)&gt;0),"NHL_BOTH_SEASONS",IF(N(G755)&gt;=10,"NHL_PREVIOUS_10",IF(AND(ISNUMBER(AD755),AD755=0,SUM(F755:G755)=0),"FARM_CAREER_0",IF(COUNT(F755:G755)&lt;2,"UNKNOWN_GP",IF(AND(F755=0,G755=0),IF(AD755&gt;=10,"FARM_LEGACY_10",IF(AND(ISNUMBER(AD755),AD755&gt;0),"FARM_CAREER_1_9","FARM_0_0")),IF(F755&gt;=1,IF(F755&lt;=3,"FARM_RECENT_1_3","FARM_RECENT_4_9"),"FARM_PREV_1_9_ONLY")))))))</x:f>
        <x:v>UNKNOWN_GP</x:v>
      </x:c>
      <x:c r="AF755" s="57" t="n">
        <x:f>AB755-T755</x:f>
        <x:v>0</x:v>
      </x:c>
      <x:c r="AG755" s="57" t="n">
        <x:f>AC755-U755</x:f>
        <x:v>0</x:v>
      </x:c>
    </x:row>
    <x:row r="756">
      <x:c r="A756" t="s">
        <x:v>1779</x:v>
      </x:c>
      <x:c r="C756" t="s">
        <x:v>319</x:v>
      </x:c>
      <x:c r="D756">
        <x:v>8483844</x:v>
      </x:c>
      <x:c r="E756" t="s">
        <x:v>267</x:v>
      </x:c>
      <x:c r="J756" t="s">
        <x:v>2474</x:v>
      </x:c>
      <x:c r="K756">
        <x:v>61</x:v>
      </x:c>
      <x:c r="L756">
        <x:v>38</x:v>
      </x:c>
      <x:c r="M756">
        <x:v>83</x:v>
      </x:c>
      <x:c r="N756">
        <x:v>38</x:v>
      </x:c>
      <x:c r="O756">
        <x:v>80</x:v>
      </x:c>
      <x:c r="P756">
        <x:v>77</x:v>
      </x:c>
      <x:c r="Q756">
        <x:v>80</x:v>
      </x:c>
      <x:c r="R756">
        <x:v>37</x:v>
      </x:c>
      <x:c r="S756">
        <x:v>62</x:v>
      </x:c>
      <x:c r="T756" s="63" t="n">
        <x:f>MAX(30,MIN(AB756-VLOOKUP(AE756,'AHL_PA_SC_BALANCE'!$A$8:$E$18,2,FALSE),VLOOKUP(AE756,'AHL_PA_SC_BALANCE'!$A$8:$E$18,4,FALSE)))</x:f>
        <x:v>42</x:v>
      </x:c>
      <x:c r="U756" s="63" t="n">
        <x:f>MAX(30,MIN(AC756-VLOOKUP(AE756,'AHL_PA_SC_BALANCE'!$A$8:$E$18,3,FALSE),VLOOKUP(AE756,'AHL_PA_SC_BALANCE'!$A$8:$E$18,5,FALSE)))</x:f>
        <x:v>40</x:v>
      </x:c>
      <x:c r="V756">
        <x:v>62</x:v>
      </x:c>
      <x:c r="W756">
        <x:v>60</x:v>
      </x:c>
      <x:c r="X756">
        <x:v>66</x:v>
      </x:c>
      <x:c r="Y756">
        <x:v>76</x:v>
      </x:c>
      <x:c r="Z756">
        <x:v>51</x:v>
      </x:c>
      <x:c r="AA756">
        <x:v>47</x:v>
      </x:c>
      <x:c r="AB756" s="57" t="n">
        <x:v>42</x:v>
      </x:c>
      <x:c r="AC756" s="57" t="n">
        <x:v>40</x:v>
      </x:c>
      <x:c r="AD756" s="59"/>
      <x:c r="AE756" s="61" t="str">
        <x:f>IF(N(F756)&gt;=10,"NHL_LATEST_10",IF(AND(N(F756)&gt;0,N(G756)&gt;0),"NHL_BOTH_SEASONS",IF(N(G756)&gt;=10,"NHL_PREVIOUS_10",IF(AND(ISNUMBER(AD756),AD756=0,SUM(F756:G756)=0),"FARM_CAREER_0",IF(COUNT(F756:G756)&lt;2,"UNKNOWN_GP",IF(AND(F756=0,G756=0),IF(AD756&gt;=10,"FARM_LEGACY_10",IF(AND(ISNUMBER(AD756),AD756&gt;0),"FARM_CAREER_1_9","FARM_0_0")),IF(F756&gt;=1,IF(F756&lt;=3,"FARM_RECENT_1_3","FARM_RECENT_4_9"),"FARM_PREV_1_9_ONLY")))))))</x:f>
        <x:v>UNKNOWN_GP</x:v>
      </x:c>
      <x:c r="AF756" s="57" t="n">
        <x:f>AB756-T756</x:f>
        <x:v>0</x:v>
      </x:c>
      <x:c r="AG756" s="57" t="n">
        <x:f>AC756-U756</x:f>
        <x:v>0</x:v>
      </x:c>
    </x:row>
    <x:row r="757">
      <x:c r="A757" t="s">
        <x:v>1780</x:v>
      </x:c>
      <x:c r="C757" t="s">
        <x:v>326</x:v>
      </x:c>
      <x:c r="D757">
        <x:v>8482714</x:v>
      </x:c>
      <x:c r="E757" t="s">
        <x:v>267</x:v>
      </x:c>
      <x:c r="J757" t="s">
        <x:v>2474</x:v>
      </x:c>
      <x:c r="K757">
        <x:v>64</x:v>
      </x:c>
      <x:c r="L757">
        <x:v>32</x:v>
      </x:c>
      <x:c r="M757">
        <x:v>74</x:v>
      </x:c>
      <x:c r="N757">
        <x:v>40</x:v>
      </x:c>
      <x:c r="O757">
        <x:v>79</x:v>
      </x:c>
      <x:c r="P757">
        <x:v>79</x:v>
      </x:c>
      <x:c r="Q757">
        <x:v>79</x:v>
      </x:c>
      <x:c r="R757">
        <x:v>39</x:v>
      </x:c>
      <x:c r="S757">
        <x:v>55</x:v>
      </x:c>
      <x:c r="T757" s="63" t="n">
        <x:f>MAX(30,MIN(AB757-VLOOKUP(AE757,'AHL_PA_SC_BALANCE'!$A$8:$E$18,2,FALSE),VLOOKUP(AE757,'AHL_PA_SC_BALANCE'!$A$8:$E$18,4,FALSE)))</x:f>
        <x:v>43</x:v>
      </x:c>
      <x:c r="U757" s="63" t="n">
        <x:f>MAX(30,MIN(AC757-VLOOKUP(AE757,'AHL_PA_SC_BALANCE'!$A$8:$E$18,3,FALSE),VLOOKUP(AE757,'AHL_PA_SC_BALANCE'!$A$8:$E$18,5,FALSE)))</x:f>
        <x:v>42</x:v>
      </x:c>
      <x:c r="V757">
        <x:v>60</x:v>
      </x:c>
      <x:c r="W757">
        <x:v>62</x:v>
      </x:c>
      <x:c r="X757">
        <x:v>66</x:v>
      </x:c>
      <x:c r="Y757">
        <x:v>67</x:v>
      </x:c>
      <x:c r="Z757">
        <x:v>51</x:v>
      </x:c>
      <x:c r="AA757">
        <x:v>47</x:v>
      </x:c>
      <x:c r="AB757" s="57" t="n">
        <x:v>43</x:v>
      </x:c>
      <x:c r="AC757" s="57" t="n">
        <x:v>42</x:v>
      </x:c>
      <x:c r="AD757" s="59"/>
      <x:c r="AE757" s="61" t="str">
        <x:f>IF(N(F757)&gt;=10,"NHL_LATEST_10",IF(AND(N(F757)&gt;0,N(G757)&gt;0),"NHL_BOTH_SEASONS",IF(N(G757)&gt;=10,"NHL_PREVIOUS_10",IF(AND(ISNUMBER(AD757),AD757=0,SUM(F757:G757)=0),"FARM_CAREER_0",IF(COUNT(F757:G757)&lt;2,"UNKNOWN_GP",IF(AND(F757=0,G757=0),IF(AD757&gt;=10,"FARM_LEGACY_10",IF(AND(ISNUMBER(AD757),AD757&gt;0),"FARM_CAREER_1_9","FARM_0_0")),IF(F757&gt;=1,IF(F757&lt;=3,"FARM_RECENT_1_3","FARM_RECENT_4_9"),"FARM_PREV_1_9_ONLY")))))))</x:f>
        <x:v>UNKNOWN_GP</x:v>
      </x:c>
      <x:c r="AF757" s="57" t="n">
        <x:f>AB757-T757</x:f>
        <x:v>0</x:v>
      </x:c>
      <x:c r="AG757" s="57" t="n">
        <x:f>AC757-U757</x:f>
        <x:v>0</x:v>
      </x:c>
    </x:row>
    <x:row r="758">
      <x:c r="A758" t="s">
        <x:v>1781</x:v>
      </x:c>
      <x:c r="C758" t="s">
        <x:v>319</x:v>
      </x:c>
      <x:c r="D758">
        <x:v>8484830</x:v>
      </x:c>
      <x:c r="E758" t="s">
        <x:v>267</x:v>
      </x:c>
      <x:c r="J758" t="s">
        <x:v>2474</x:v>
      </x:c>
      <x:c r="K758">
        <x:v>58</x:v>
      </x:c>
      <x:c r="L758">
        <x:v>40</x:v>
      </x:c>
      <x:c r="M758">
        <x:v>80</x:v>
      </x:c>
      <x:c r="N758">
        <x:v>39</x:v>
      </x:c>
      <x:c r="O758">
        <x:v>80</x:v>
      </x:c>
      <x:c r="P758">
        <x:v>84</x:v>
      </x:c>
      <x:c r="Q758">
        <x:v>88</x:v>
      </x:c>
      <x:c r="R758">
        <x:v>40</x:v>
      </x:c>
      <x:c r="S758">
        <x:v>64</x:v>
      </x:c>
      <x:c r="T758" s="63" t="n">
        <x:f>MAX(30,MIN(AB758-VLOOKUP(AE758,'AHL_PA_SC_BALANCE'!$A$8:$E$18,2,FALSE),VLOOKUP(AE758,'AHL_PA_SC_BALANCE'!$A$8:$E$18,4,FALSE)))</x:f>
        <x:v>41</x:v>
      </x:c>
      <x:c r="U758" s="63" t="n">
        <x:f>MAX(30,MIN(AC758-VLOOKUP(AE758,'AHL_PA_SC_BALANCE'!$A$8:$E$18,3,FALSE),VLOOKUP(AE758,'AHL_PA_SC_BALANCE'!$A$8:$E$18,5,FALSE)))</x:f>
        <x:v>42</x:v>
      </x:c>
      <x:c r="V758">
        <x:v>59</x:v>
      </x:c>
      <x:c r="W758">
        <x:v>60</x:v>
      </x:c>
      <x:c r="X758">
        <x:v>67</x:v>
      </x:c>
      <x:c r="Y758">
        <x:v>67</x:v>
      </x:c>
      <x:c r="Z758">
        <x:v>51</x:v>
      </x:c>
      <x:c r="AA758">
        <x:v>47</x:v>
      </x:c>
      <x:c r="AB758" s="57" t="n">
        <x:v>41</x:v>
      </x:c>
      <x:c r="AC758" s="57" t="n">
        <x:v>42</x:v>
      </x:c>
      <x:c r="AD758" s="59"/>
      <x:c r="AE758" s="61" t="str">
        <x:f>IF(N(F758)&gt;=10,"NHL_LATEST_10",IF(AND(N(F758)&gt;0,N(G758)&gt;0),"NHL_BOTH_SEASONS",IF(N(G758)&gt;=10,"NHL_PREVIOUS_10",IF(AND(ISNUMBER(AD758),AD758=0,SUM(F758:G758)=0),"FARM_CAREER_0",IF(COUNT(F758:G758)&lt;2,"UNKNOWN_GP",IF(AND(F758=0,G758=0),IF(AD758&gt;=10,"FARM_LEGACY_10",IF(AND(ISNUMBER(AD758),AD758&gt;0),"FARM_CAREER_1_9","FARM_0_0")),IF(F758&gt;=1,IF(F758&lt;=3,"FARM_RECENT_1_3","FARM_RECENT_4_9"),"FARM_PREV_1_9_ONLY")))))))</x:f>
        <x:v>UNKNOWN_GP</x:v>
      </x:c>
      <x:c r="AF758" s="57" t="n">
        <x:f>AB758-T758</x:f>
        <x:v>0</x:v>
      </x:c>
      <x:c r="AG758" s="57" t="n">
        <x:f>AC758-U758</x:f>
        <x:v>0</x:v>
      </x:c>
    </x:row>
    <x:row r="759">
      <x:c r="A759" t="s">
        <x:v>1782</x:v>
      </x:c>
      <x:c r="C759" t="s">
        <x:v>329</x:v>
      </x:c>
      <x:c r="D759">
        <x:v>8484107</x:v>
      </x:c>
      <x:c r="E759" t="s">
        <x:v>267</x:v>
      </x:c>
      <x:c r="J759" t="s">
        <x:v>2474</x:v>
      </x:c>
      <x:c r="K759">
        <x:v>60</x:v>
      </x:c>
      <x:c r="L759">
        <x:v>33</x:v>
      </x:c>
      <x:c r="M759">
        <x:v>88</x:v>
      </x:c>
      <x:c r="N759">
        <x:v>40</x:v>
      </x:c>
      <x:c r="O759">
        <x:v>78</x:v>
      </x:c>
      <x:c r="P759">
        <x:v>82</x:v>
      </x:c>
      <x:c r="Q759">
        <x:v>84</x:v>
      </x:c>
      <x:c r="R759">
        <x:v>41</x:v>
      </x:c>
      <x:c r="S759">
        <x:v>75</x:v>
      </x:c>
      <x:c r="T759" s="63" t="n">
        <x:f>MAX(30,MIN(AB759-VLOOKUP(AE759,'AHL_PA_SC_BALANCE'!$A$8:$E$18,2,FALSE),VLOOKUP(AE759,'AHL_PA_SC_BALANCE'!$A$8:$E$18,4,FALSE)))</x:f>
        <x:v>41</x:v>
      </x:c>
      <x:c r="U759" s="63" t="n">
        <x:f>MAX(30,MIN(AC759-VLOOKUP(AE759,'AHL_PA_SC_BALANCE'!$A$8:$E$18,3,FALSE),VLOOKUP(AE759,'AHL_PA_SC_BALANCE'!$A$8:$E$18,5,FALSE)))</x:f>
        <x:v>43</x:v>
      </x:c>
      <x:c r="V759">
        <x:v>63</x:v>
      </x:c>
      <x:c r="W759">
        <x:v>61</x:v>
      </x:c>
      <x:c r="X759">
        <x:v>67</x:v>
      </x:c>
      <x:c r="Y759">
        <x:v>66</x:v>
      </x:c>
      <x:c r="Z759">
        <x:v>51</x:v>
      </x:c>
      <x:c r="AA759">
        <x:v>47</x:v>
      </x:c>
      <x:c r="AB759" s="57" t="n">
        <x:v>41</x:v>
      </x:c>
      <x:c r="AC759" s="57" t="n">
        <x:v>43</x:v>
      </x:c>
      <x:c r="AD759" s="59"/>
      <x:c r="AE759" s="61" t="str">
        <x:f>IF(N(F759)&gt;=10,"NHL_LATEST_10",IF(AND(N(F759)&gt;0,N(G759)&gt;0),"NHL_BOTH_SEASONS",IF(N(G759)&gt;=10,"NHL_PREVIOUS_10",IF(AND(ISNUMBER(AD759),AD759=0,SUM(F759:G759)=0),"FARM_CAREER_0",IF(COUNT(F759:G759)&lt;2,"UNKNOWN_GP",IF(AND(F759=0,G759=0),IF(AD759&gt;=10,"FARM_LEGACY_10",IF(AND(ISNUMBER(AD759),AD759&gt;0),"FARM_CAREER_1_9","FARM_0_0")),IF(F759&gt;=1,IF(F759&lt;=3,"FARM_RECENT_1_3","FARM_RECENT_4_9"),"FARM_PREV_1_9_ONLY")))))))</x:f>
        <x:v>UNKNOWN_GP</x:v>
      </x:c>
      <x:c r="AF759" s="57" t="n">
        <x:f>AB759-T759</x:f>
        <x:v>0</x:v>
      </x:c>
      <x:c r="AG759" s="57" t="n">
        <x:f>AC759-U759</x:f>
        <x:v>0</x:v>
      </x:c>
    </x:row>
    <x:row r="760">
      <x:c r="A760" t="s">
        <x:v>1783</x:v>
      </x:c>
      <x:c r="B760" t="s">
        <x:v>584</x:v>
      </x:c>
      <x:c r="C760" t="s">
        <x:v>339</x:v>
      </x:c>
      <x:c r="D760">
        <x:v>8481183</x:v>
      </x:c>
      <x:c r="E760" t="s">
        <x:v>267</x:v>
      </x:c>
      <x:c r="J760" t="s">
        <x:v>2476</x:v>
      </x:c>
      <x:c r="K760">
        <x:v>71</x:v>
      </x:c>
      <x:c r="L760">
        <x:v>40</x:v>
      </x:c>
      <x:c r="M760">
        <x:v>74</x:v>
      </x:c>
      <x:c r="N760">
        <x:v>37</x:v>
      </x:c>
      <x:c r="O760">
        <x:v>86</x:v>
      </x:c>
      <x:c r="P760">
        <x:v>81</x:v>
      </x:c>
      <x:c r="Q760">
        <x:v>83</x:v>
      </x:c>
      <x:c r="R760">
        <x:v>36</x:v>
      </x:c>
      <x:c r="S760">
        <x:v>77</x:v>
      </x:c>
      <x:c r="T760" s="63" t="n">
        <x:f>MAX(30,MIN(AB760-VLOOKUP(AE760,'AHL_PA_SC_BALANCE'!$A$8:$E$18,2,FALSE),VLOOKUP(AE760,'AHL_PA_SC_BALANCE'!$A$8:$E$18,4,FALSE)))</x:f>
        <x:v>40</x:v>
      </x:c>
      <x:c r="U760" s="63" t="n">
        <x:f>MAX(30,MIN(AC760-VLOOKUP(AE760,'AHL_PA_SC_BALANCE'!$A$8:$E$18,3,FALSE),VLOOKUP(AE760,'AHL_PA_SC_BALANCE'!$A$8:$E$18,5,FALSE)))</x:f>
        <x:v>41</x:v>
      </x:c>
      <x:c r="V760">
        <x:v>60</x:v>
      </x:c>
      <x:c r="W760">
        <x:v>58</x:v>
      </x:c>
      <x:c r="X760">
        <x:v>69</x:v>
      </x:c>
      <x:c r="Y760">
        <x:v>69</x:v>
      </x:c>
      <x:c r="Z760">
        <x:v>51</x:v>
      </x:c>
      <x:c r="AA760">
        <x:v>47</x:v>
      </x:c>
      <x:c r="AB760" s="57" t="n">
        <x:v>40</x:v>
      </x:c>
      <x:c r="AC760" s="57" t="n">
        <x:v>41</x:v>
      </x:c>
      <x:c r="AD760" s="59"/>
      <x:c r="AE760" s="61" t="str">
        <x:f>IF(N(F760)&gt;=10,"NHL_LATEST_10",IF(AND(N(F760)&gt;0,N(G760)&gt;0),"NHL_BOTH_SEASONS",IF(N(G760)&gt;=10,"NHL_PREVIOUS_10",IF(AND(ISNUMBER(AD760),AD760=0,SUM(F760:G760)=0),"FARM_CAREER_0",IF(COUNT(F760:G760)&lt;2,"UNKNOWN_GP",IF(AND(F760=0,G760=0),IF(AD760&gt;=10,"FARM_LEGACY_10",IF(AND(ISNUMBER(AD760),AD760&gt;0),"FARM_CAREER_1_9","FARM_0_0")),IF(F760&gt;=1,IF(F760&lt;=3,"FARM_RECENT_1_3","FARM_RECENT_4_9"),"FARM_PREV_1_9_ONLY")))))))</x:f>
        <x:v>UNKNOWN_GP</x:v>
      </x:c>
      <x:c r="AF760" s="57" t="n">
        <x:f>AB760-T760</x:f>
        <x:v>0</x:v>
      </x:c>
      <x:c r="AG760" s="57" t="n">
        <x:f>AC760-U760</x:f>
        <x:v>0</x:v>
      </x:c>
    </x:row>
    <x:row r="761">
      <x:c r="A761" t="s">
        <x:v>1784</x:v>
      </x:c>
      <x:c r="C761" t="s">
        <x:v>358</x:v>
      </x:c>
      <x:c r="D761">
        <x:v>8482452</x:v>
      </x:c>
      <x:c r="E761" t="s">
        <x:v>267</x:v>
      </x:c>
      <x:c r="J761" t="s">
        <x:v>2474</x:v>
      </x:c>
      <x:c r="K761">
        <x:v>62</x:v>
      </x:c>
      <x:c r="L761">
        <x:v>36</x:v>
      </x:c>
      <x:c r="M761">
        <x:v>87</x:v>
      </x:c>
      <x:c r="N761">
        <x:v>40</x:v>
      </x:c>
      <x:c r="O761">
        <x:v>76</x:v>
      </x:c>
      <x:c r="P761">
        <x:v>79</x:v>
      </x:c>
      <x:c r="Q761">
        <x:v>79</x:v>
      </x:c>
      <x:c r="R761">
        <x:v>41</x:v>
      </x:c>
      <x:c r="S761">
        <x:v>58</x:v>
      </x:c>
      <x:c r="T761" s="63" t="n">
        <x:f>MAX(30,MIN(AB761-VLOOKUP(AE761,'AHL_PA_SC_BALANCE'!$A$8:$E$18,2,FALSE),VLOOKUP(AE761,'AHL_PA_SC_BALANCE'!$A$8:$E$18,4,FALSE)))</x:f>
        <x:v>42</x:v>
      </x:c>
      <x:c r="U761" s="63" t="n">
        <x:f>MAX(30,MIN(AC761-VLOOKUP(AE761,'AHL_PA_SC_BALANCE'!$A$8:$E$18,3,FALSE),VLOOKUP(AE761,'AHL_PA_SC_BALANCE'!$A$8:$E$18,5,FALSE)))</x:f>
        <x:v>40</x:v>
      </x:c>
      <x:c r="V761">
        <x:v>61</x:v>
      </x:c>
      <x:c r="W761">
        <x:v>60</x:v>
      </x:c>
      <x:c r="X761">
        <x:v>67</x:v>
      </x:c>
      <x:c r="Y761">
        <x:v>66</x:v>
      </x:c>
      <x:c r="Z761">
        <x:v>51</x:v>
      </x:c>
      <x:c r="AA761">
        <x:v>47</x:v>
      </x:c>
      <x:c r="AB761" s="57" t="n">
        <x:v>42</x:v>
      </x:c>
      <x:c r="AC761" s="57" t="n">
        <x:v>40</x:v>
      </x:c>
      <x:c r="AD761" s="59"/>
      <x:c r="AE761" s="61" t="str">
        <x:f>IF(N(F761)&gt;=10,"NHL_LATEST_10",IF(AND(N(F761)&gt;0,N(G761)&gt;0),"NHL_BOTH_SEASONS",IF(N(G761)&gt;=10,"NHL_PREVIOUS_10",IF(AND(ISNUMBER(AD761),AD761=0,SUM(F761:G761)=0),"FARM_CAREER_0",IF(COUNT(F761:G761)&lt;2,"UNKNOWN_GP",IF(AND(F761=0,G761=0),IF(AD761&gt;=10,"FARM_LEGACY_10",IF(AND(ISNUMBER(AD761),AD761&gt;0),"FARM_CAREER_1_9","FARM_0_0")),IF(F761&gt;=1,IF(F761&lt;=3,"FARM_RECENT_1_3","FARM_RECENT_4_9"),"FARM_PREV_1_9_ONLY")))))))</x:f>
        <x:v>UNKNOWN_GP</x:v>
      </x:c>
      <x:c r="AF761" s="57" t="n">
        <x:f>AB761-T761</x:f>
        <x:v>0</x:v>
      </x:c>
      <x:c r="AG761" s="57" t="n">
        <x:f>AC761-U761</x:f>
        <x:v>0</x:v>
      </x:c>
    </x:row>
    <x:row r="762">
      <x:c r="A762" t="s">
        <x:v>1785</x:v>
      </x:c>
      <x:c r="C762" t="s">
        <x:v>358</x:v>
      </x:c>
      <x:c r="D762">
        <x:v>8483390</x:v>
      </x:c>
      <x:c r="E762" t="s">
        <x:v>267</x:v>
      </x:c>
      <x:c r="J762" t="s">
        <x:v>2474</x:v>
      </x:c>
      <x:c r="K762">
        <x:v>60</x:v>
      </x:c>
      <x:c r="L762">
        <x:v>38</x:v>
      </x:c>
      <x:c r="M762">
        <x:v>78</x:v>
      </x:c>
      <x:c r="N762">
        <x:v>41</x:v>
      </x:c>
      <x:c r="O762">
        <x:v>73</x:v>
      </x:c>
      <x:c r="P762">
        <x:v>89</x:v>
      </x:c>
      <x:c r="Q762">
        <x:v>92</x:v>
      </x:c>
      <x:c r="R762">
        <x:v>41</x:v>
      </x:c>
      <x:c r="S762">
        <x:v>57</x:v>
      </x:c>
      <x:c r="T762" s="63" t="n">
        <x:f>MAX(30,MIN(AB762-VLOOKUP(AE762,'AHL_PA_SC_BALANCE'!$A$8:$E$18,2,FALSE),VLOOKUP(AE762,'AHL_PA_SC_BALANCE'!$A$8:$E$18,4,FALSE)))</x:f>
        <x:v>41</x:v>
      </x:c>
      <x:c r="U762" s="63" t="n">
        <x:f>MAX(30,MIN(AC762-VLOOKUP(AE762,'AHL_PA_SC_BALANCE'!$A$8:$E$18,3,FALSE),VLOOKUP(AE762,'AHL_PA_SC_BALANCE'!$A$8:$E$18,5,FALSE)))</x:f>
        <x:v>45</x:v>
      </x:c>
      <x:c r="V762">
        <x:v>59</x:v>
      </x:c>
      <x:c r="W762">
        <x:v>63</x:v>
      </x:c>
      <x:c r="X762">
        <x:v>69</x:v>
      </x:c>
      <x:c r="Y762">
        <x:v>68</x:v>
      </x:c>
      <x:c r="Z762">
        <x:v>51</x:v>
      </x:c>
      <x:c r="AA762">
        <x:v>47</x:v>
      </x:c>
      <x:c r="AB762" s="57" t="n">
        <x:v>41</x:v>
      </x:c>
      <x:c r="AC762" s="57" t="n">
        <x:v>45</x:v>
      </x:c>
      <x:c r="AD762" s="59"/>
      <x:c r="AE762" s="61" t="str">
        <x:f>IF(N(F762)&gt;=10,"NHL_LATEST_10",IF(AND(N(F762)&gt;0,N(G762)&gt;0),"NHL_BOTH_SEASONS",IF(N(G762)&gt;=10,"NHL_PREVIOUS_10",IF(AND(ISNUMBER(AD762),AD762=0,SUM(F762:G762)=0),"FARM_CAREER_0",IF(COUNT(F762:G762)&lt;2,"UNKNOWN_GP",IF(AND(F762=0,G762=0),IF(AD762&gt;=10,"FARM_LEGACY_10",IF(AND(ISNUMBER(AD762),AD762&gt;0),"FARM_CAREER_1_9","FARM_0_0")),IF(F762&gt;=1,IF(F762&lt;=3,"FARM_RECENT_1_3","FARM_RECENT_4_9"),"FARM_PREV_1_9_ONLY")))))))</x:f>
        <x:v>UNKNOWN_GP</x:v>
      </x:c>
      <x:c r="AF762" s="57" t="n">
        <x:f>AB762-T762</x:f>
        <x:v>0</x:v>
      </x:c>
      <x:c r="AG762" s="57" t="n">
        <x:f>AC762-U762</x:f>
        <x:v>0</x:v>
      </x:c>
    </x:row>
    <x:row r="763">
      <x:c r="A763" t="s">
        <x:v>1786</x:v>
      </x:c>
      <x:c r="C763" t="s">
        <x:v>333</x:v>
      </x:c>
      <x:c r="D763">
        <x:v>8485496</x:v>
      </x:c>
      <x:c r="E763" t="s">
        <x:v>267</x:v>
      </x:c>
      <x:c r="J763" t="s">
        <x:v>2474</x:v>
      </x:c>
      <x:c r="K763">
        <x:v>72</x:v>
      </x:c>
      <x:c r="L763">
        <x:v>40</x:v>
      </x:c>
      <x:c r="M763">
        <x:v>82</x:v>
      </x:c>
      <x:c r="N763">
        <x:v>38</x:v>
      </x:c>
      <x:c r="O763">
        <x:v>84</x:v>
      </x:c>
      <x:c r="P763">
        <x:v>77</x:v>
      </x:c>
      <x:c r="Q763">
        <x:v>81</x:v>
      </x:c>
      <x:c r="R763">
        <x:v>39</x:v>
      </x:c>
      <x:c r="S763">
        <x:v>69</x:v>
      </x:c>
      <x:c r="T763" s="63" t="n">
        <x:f>MAX(30,MIN(AB763-VLOOKUP(AE763,'AHL_PA_SC_BALANCE'!$A$8:$E$18,2,FALSE),VLOOKUP(AE763,'AHL_PA_SC_BALANCE'!$A$8:$E$18,4,FALSE)))</x:f>
        <x:v>40</x:v>
      </x:c>
      <x:c r="U763" s="63" t="n">
        <x:f>MAX(30,MIN(AC763-VLOOKUP(AE763,'AHL_PA_SC_BALANCE'!$A$8:$E$18,3,FALSE),VLOOKUP(AE763,'AHL_PA_SC_BALANCE'!$A$8:$E$18,5,FALSE)))</x:f>
        <x:v>40</x:v>
      </x:c>
      <x:c r="V763">
        <x:v>60</x:v>
      </x:c>
      <x:c r="W763">
        <x:v>59</x:v>
      </x:c>
      <x:c r="X763">
        <x:v>68</x:v>
      </x:c>
      <x:c r="Y763">
        <x:v>68</x:v>
      </x:c>
      <x:c r="Z763">
        <x:v>51</x:v>
      </x:c>
      <x:c r="AA763">
        <x:v>47</x:v>
      </x:c>
      <x:c r="AB763" s="57" t="n">
        <x:v>40</x:v>
      </x:c>
      <x:c r="AC763" s="57" t="n">
        <x:v>40</x:v>
      </x:c>
      <x:c r="AD763" s="59"/>
      <x:c r="AE763" s="61" t="str">
        <x:f>IF(N(F763)&gt;=10,"NHL_LATEST_10",IF(AND(N(F763)&gt;0,N(G763)&gt;0),"NHL_BOTH_SEASONS",IF(N(G763)&gt;=10,"NHL_PREVIOUS_10",IF(AND(ISNUMBER(AD763),AD763=0,SUM(F763:G763)=0),"FARM_CAREER_0",IF(COUNT(F763:G763)&lt;2,"UNKNOWN_GP",IF(AND(F763=0,G763=0),IF(AD763&gt;=10,"FARM_LEGACY_10",IF(AND(ISNUMBER(AD763),AD763&gt;0),"FARM_CAREER_1_9","FARM_0_0")),IF(F763&gt;=1,IF(F763&lt;=3,"FARM_RECENT_1_3","FARM_RECENT_4_9"),"FARM_PREV_1_9_ONLY")))))))</x:f>
        <x:v>UNKNOWN_GP</x:v>
      </x:c>
      <x:c r="AF763" s="57" t="n">
        <x:f>AB763-T763</x:f>
        <x:v>0</x:v>
      </x:c>
      <x:c r="AG763" s="57" t="n">
        <x:f>AC763-U763</x:f>
        <x:v>0</x:v>
      </x:c>
    </x:row>
    <x:row r="764">
      <x:c r="A764" t="s">
        <x:v>1787</x:v>
      </x:c>
      <x:c r="C764" t="s">
        <x:v>319</x:v>
      </x:c>
      <x:c r="D764">
        <x:v>8481579</x:v>
      </x:c>
      <x:c r="E764" t="s">
        <x:v>267</x:v>
      </x:c>
      <x:c r="J764" t="s">
        <x:v>2474</x:v>
      </x:c>
      <x:c r="K764">
        <x:v>66</x:v>
      </x:c>
      <x:c r="L764">
        <x:v>37</x:v>
      </x:c>
      <x:c r="M764">
        <x:v>82</x:v>
      </x:c>
      <x:c r="N764">
        <x:v>39</x:v>
      </x:c>
      <x:c r="O764">
        <x:v>77</x:v>
      </x:c>
      <x:c r="P764">
        <x:v>83</x:v>
      </x:c>
      <x:c r="Q764">
        <x:v>87</x:v>
      </x:c>
      <x:c r="R764">
        <x:v>39</x:v>
      </x:c>
      <x:c r="S764">
        <x:v>76</x:v>
      </x:c>
      <x:c r="T764" s="63" t="n">
        <x:f>MAX(30,MIN(AB764-VLOOKUP(AE764,'AHL_PA_SC_BALANCE'!$A$8:$E$18,2,FALSE),VLOOKUP(AE764,'AHL_PA_SC_BALANCE'!$A$8:$E$18,4,FALSE)))</x:f>
        <x:v>42</x:v>
      </x:c>
      <x:c r="U764" s="63" t="n">
        <x:f>MAX(30,MIN(AC764-VLOOKUP(AE764,'AHL_PA_SC_BALANCE'!$A$8:$E$18,3,FALSE),VLOOKUP(AE764,'AHL_PA_SC_BALANCE'!$A$8:$E$18,5,FALSE)))</x:f>
        <x:v>41</x:v>
      </x:c>
      <x:c r="V764">
        <x:v>58</x:v>
      </x:c>
      <x:c r="W764">
        <x:v>61</x:v>
      </x:c>
      <x:c r="X764">
        <x:v>68</x:v>
      </x:c>
      <x:c r="Y764">
        <x:v>67</x:v>
      </x:c>
      <x:c r="Z764">
        <x:v>51</x:v>
      </x:c>
      <x:c r="AA764">
        <x:v>47</x:v>
      </x:c>
      <x:c r="AB764" s="57" t="n">
        <x:v>42</x:v>
      </x:c>
      <x:c r="AC764" s="57" t="n">
        <x:v>41</x:v>
      </x:c>
      <x:c r="AD764" s="59"/>
      <x:c r="AE764" s="61" t="str">
        <x:f>IF(N(F764)&gt;=10,"NHL_LATEST_10",IF(AND(N(F764)&gt;0,N(G764)&gt;0),"NHL_BOTH_SEASONS",IF(N(G764)&gt;=10,"NHL_PREVIOUS_10",IF(AND(ISNUMBER(AD764),AD764=0,SUM(F764:G764)=0),"FARM_CAREER_0",IF(COUNT(F764:G764)&lt;2,"UNKNOWN_GP",IF(AND(F764=0,G764=0),IF(AD764&gt;=10,"FARM_LEGACY_10",IF(AND(ISNUMBER(AD764),AD764&gt;0),"FARM_CAREER_1_9","FARM_0_0")),IF(F764&gt;=1,IF(F764&lt;=3,"FARM_RECENT_1_3","FARM_RECENT_4_9"),"FARM_PREV_1_9_ONLY")))))))</x:f>
        <x:v>UNKNOWN_GP</x:v>
      </x:c>
      <x:c r="AF764" s="57" t="n">
        <x:f>AB764-T764</x:f>
        <x:v>0</x:v>
      </x:c>
      <x:c r="AG764" s="57" t="n">
        <x:f>AC764-U764</x:f>
        <x:v>0</x:v>
      </x:c>
    </x:row>
    <x:row r="765">
      <x:c r="A765" t="s">
        <x:v>1788</x:v>
      </x:c>
      <x:c r="C765" t="s">
        <x:v>358</x:v>
      </x:c>
      <x:c r="D765">
        <x:v>8484566</x:v>
      </x:c>
      <x:c r="E765" t="s">
        <x:v>267</x:v>
      </x:c>
      <x:c r="J765" t="s">
        <x:v>2474</x:v>
      </x:c>
      <x:c r="K765">
        <x:v>77</x:v>
      </x:c>
      <x:c r="L765">
        <x:v>35</x:v>
      </x:c>
      <x:c r="M765">
        <x:v>77</x:v>
      </x:c>
      <x:c r="N765">
        <x:v>39</x:v>
      </x:c>
      <x:c r="O765">
        <x:v>86</x:v>
      </x:c>
      <x:c r="P765">
        <x:v>82</x:v>
      </x:c>
      <x:c r="Q765">
        <x:v>85</x:v>
      </x:c>
      <x:c r="R765">
        <x:v>39</x:v>
      </x:c>
      <x:c r="S765">
        <x:v>60</x:v>
      </x:c>
      <x:c r="T765" s="63" t="n">
        <x:f>MAX(30,MIN(AB765-VLOOKUP(AE765,'AHL_PA_SC_BALANCE'!$A$8:$E$18,2,FALSE),VLOOKUP(AE765,'AHL_PA_SC_BALANCE'!$A$8:$E$18,4,FALSE)))</x:f>
        <x:v>40</x:v>
      </x:c>
      <x:c r="U765" s="63" t="n">
        <x:f>MAX(30,MIN(AC765-VLOOKUP(AE765,'AHL_PA_SC_BALANCE'!$A$8:$E$18,3,FALSE),VLOOKUP(AE765,'AHL_PA_SC_BALANCE'!$A$8:$E$18,5,FALSE)))</x:f>
        <x:v>42</x:v>
      </x:c>
      <x:c r="V765">
        <x:v>59</x:v>
      </x:c>
      <x:c r="W765">
        <x:v>60</x:v>
      </x:c>
      <x:c r="X765">
        <x:v>69</x:v>
      </x:c>
      <x:c r="Y765">
        <x:v>70</x:v>
      </x:c>
      <x:c r="Z765">
        <x:v>51</x:v>
      </x:c>
      <x:c r="AA765">
        <x:v>47</x:v>
      </x:c>
      <x:c r="AB765" s="57" t="n">
        <x:v>40</x:v>
      </x:c>
      <x:c r="AC765" s="57" t="n">
        <x:v>42</x:v>
      </x:c>
      <x:c r="AD765" s="59"/>
      <x:c r="AE765" s="61" t="str">
        <x:f>IF(N(F765)&gt;=10,"NHL_LATEST_10",IF(AND(N(F765)&gt;0,N(G765)&gt;0),"NHL_BOTH_SEASONS",IF(N(G765)&gt;=10,"NHL_PREVIOUS_10",IF(AND(ISNUMBER(AD765),AD765=0,SUM(F765:G765)=0),"FARM_CAREER_0",IF(COUNT(F765:G765)&lt;2,"UNKNOWN_GP",IF(AND(F765=0,G765=0),IF(AD765&gt;=10,"FARM_LEGACY_10",IF(AND(ISNUMBER(AD765),AD765&gt;0),"FARM_CAREER_1_9","FARM_0_0")),IF(F765&gt;=1,IF(F765&lt;=3,"FARM_RECENT_1_3","FARM_RECENT_4_9"),"FARM_PREV_1_9_ONLY")))))))</x:f>
        <x:v>UNKNOWN_GP</x:v>
      </x:c>
      <x:c r="AF765" s="57" t="n">
        <x:f>AB765-T765</x:f>
        <x:v>0</x:v>
      </x:c>
      <x:c r="AG765" s="57" t="n">
        <x:f>AC765-U765</x:f>
        <x:v>0</x:v>
      </x:c>
    </x:row>
    <x:row r="766">
      <x:c r="A766" t="s">
        <x:v>1789</x:v>
      </x:c>
      <x:c r="C766" t="s">
        <x:v>319</x:v>
      </x:c>
      <x:c r="D766">
        <x:v>8482518</x:v>
      </x:c>
      <x:c r="E766" t="s">
        <x:v>267</x:v>
      </x:c>
      <x:c r="J766" t="s">
        <x:v>2474</x:v>
      </x:c>
      <x:c r="K766">
        <x:v>64</x:v>
      </x:c>
      <x:c r="L766">
        <x:v>36</x:v>
      </x:c>
      <x:c r="M766">
        <x:v>74</x:v>
      </x:c>
      <x:c r="N766">
        <x:v>40</x:v>
      </x:c>
      <x:c r="O766">
        <x:v>78</x:v>
      </x:c>
      <x:c r="P766">
        <x:v>82</x:v>
      </x:c>
      <x:c r="Q766">
        <x:v>88</x:v>
      </x:c>
      <x:c r="R766">
        <x:v>41</x:v>
      </x:c>
      <x:c r="S766">
        <x:v>74</x:v>
      </x:c>
      <x:c r="T766" s="63" t="n">
        <x:f>MAX(30,MIN(AB766-VLOOKUP(AE766,'AHL_PA_SC_BALANCE'!$A$8:$E$18,2,FALSE),VLOOKUP(AE766,'AHL_PA_SC_BALANCE'!$A$8:$E$18,4,FALSE)))</x:f>
        <x:v>41</x:v>
      </x:c>
      <x:c r="U766" s="63" t="n">
        <x:f>MAX(30,MIN(AC766-VLOOKUP(AE766,'AHL_PA_SC_BALANCE'!$A$8:$E$18,3,FALSE),VLOOKUP(AE766,'AHL_PA_SC_BALANCE'!$A$8:$E$18,5,FALSE)))</x:f>
        <x:v>43</x:v>
      </x:c>
      <x:c r="V766">
        <x:v>60</x:v>
      </x:c>
      <x:c r="W766">
        <x:v>61</x:v>
      </x:c>
      <x:c r="X766">
        <x:v>67</x:v>
      </x:c>
      <x:c r="Y766">
        <x:v>66</x:v>
      </x:c>
      <x:c r="Z766">
        <x:v>47</x:v>
      </x:c>
      <x:c r="AA766">
        <x:v>47</x:v>
      </x:c>
      <x:c r="AB766" s="57" t="n">
        <x:v>41</x:v>
      </x:c>
      <x:c r="AC766" s="57" t="n">
        <x:v>43</x:v>
      </x:c>
      <x:c r="AD766" s="59"/>
      <x:c r="AE766" s="61" t="str">
        <x:f>IF(N(F766)&gt;=10,"NHL_LATEST_10",IF(AND(N(F766)&gt;0,N(G766)&gt;0),"NHL_BOTH_SEASONS",IF(N(G766)&gt;=10,"NHL_PREVIOUS_10",IF(AND(ISNUMBER(AD766),AD766=0,SUM(F766:G766)=0),"FARM_CAREER_0",IF(COUNT(F766:G766)&lt;2,"UNKNOWN_GP",IF(AND(F766=0,G766=0),IF(AD766&gt;=10,"FARM_LEGACY_10",IF(AND(ISNUMBER(AD766),AD766&gt;0),"FARM_CAREER_1_9","FARM_0_0")),IF(F766&gt;=1,IF(F766&lt;=3,"FARM_RECENT_1_3","FARM_RECENT_4_9"),"FARM_PREV_1_9_ONLY")))))))</x:f>
        <x:v>UNKNOWN_GP</x:v>
      </x:c>
      <x:c r="AF766" s="57" t="n">
        <x:f>AB766-T766</x:f>
        <x:v>0</x:v>
      </x:c>
      <x:c r="AG766" s="57" t="n">
        <x:f>AC766-U766</x:f>
        <x:v>0</x:v>
      </x:c>
    </x:row>
    <x:row r="767">
      <x:c r="A767" t="s">
        <x:v>1790</x:v>
      </x:c>
      <x:c r="C767" t="s">
        <x:v>326</x:v>
      </x:c>
      <x:c r="D767">
        <x:v>8484222</x:v>
      </x:c>
      <x:c r="E767" t="s">
        <x:v>267</x:v>
      </x:c>
      <x:c r="J767" t="s">
        <x:v>2474</x:v>
      </x:c>
      <x:c r="K767">
        <x:v>65</x:v>
      </x:c>
      <x:c r="L767">
        <x:v>36</x:v>
      </x:c>
      <x:c r="M767">
        <x:v>90</x:v>
      </x:c>
      <x:c r="N767">
        <x:v>40</x:v>
      </x:c>
      <x:c r="O767">
        <x:v>75</x:v>
      </x:c>
      <x:c r="P767">
        <x:v>82</x:v>
      </x:c>
      <x:c r="Q767">
        <x:v>85</x:v>
      </x:c>
      <x:c r="R767">
        <x:v>40</x:v>
      </x:c>
      <x:c r="S767">
        <x:v>68</x:v>
      </x:c>
      <x:c r="T767" s="63" t="n">
        <x:f>MAX(30,MIN(AB767-VLOOKUP(AE767,'AHL_PA_SC_BALANCE'!$A$8:$E$18,2,FALSE),VLOOKUP(AE767,'AHL_PA_SC_BALANCE'!$A$8:$E$18,4,FALSE)))</x:f>
        <x:v>43</x:v>
      </x:c>
      <x:c r="U767" s="63" t="n">
        <x:f>MAX(30,MIN(AC767-VLOOKUP(AE767,'AHL_PA_SC_BALANCE'!$A$8:$E$18,3,FALSE),VLOOKUP(AE767,'AHL_PA_SC_BALANCE'!$A$8:$E$18,5,FALSE)))</x:f>
        <x:v>44</x:v>
      </x:c>
      <x:c r="V767">
        <x:v>58</x:v>
      </x:c>
      <x:c r="W767">
        <x:v>61</x:v>
      </x:c>
      <x:c r="X767">
        <x:v>66</x:v>
      </x:c>
      <x:c r="Y767">
        <x:v>65</x:v>
      </x:c>
      <x:c r="Z767">
        <x:v>51</x:v>
      </x:c>
      <x:c r="AA767">
        <x:v>47</x:v>
      </x:c>
      <x:c r="AB767" s="57" t="n">
        <x:v>43</x:v>
      </x:c>
      <x:c r="AC767" s="57" t="n">
        <x:v>44</x:v>
      </x:c>
      <x:c r="AD767" s="59"/>
      <x:c r="AE767" s="61" t="str">
        <x:f>IF(N(F767)&gt;=10,"NHL_LATEST_10",IF(AND(N(F767)&gt;0,N(G767)&gt;0),"NHL_BOTH_SEASONS",IF(N(G767)&gt;=10,"NHL_PREVIOUS_10",IF(AND(ISNUMBER(AD767),AD767=0,SUM(F767:G767)=0),"FARM_CAREER_0",IF(COUNT(F767:G767)&lt;2,"UNKNOWN_GP",IF(AND(F767=0,G767=0),IF(AD767&gt;=10,"FARM_LEGACY_10",IF(AND(ISNUMBER(AD767),AD767&gt;0),"FARM_CAREER_1_9","FARM_0_0")),IF(F767&gt;=1,IF(F767&lt;=3,"FARM_RECENT_1_3","FARM_RECENT_4_9"),"FARM_PREV_1_9_ONLY")))))))</x:f>
        <x:v>UNKNOWN_GP</x:v>
      </x:c>
      <x:c r="AF767" s="57" t="n">
        <x:f>AB767-T767</x:f>
        <x:v>0</x:v>
      </x:c>
      <x:c r="AG767" s="57" t="n">
        <x:f>AC767-U767</x:f>
        <x:v>0</x:v>
      </x:c>
    </x:row>
    <x:row r="768">
      <x:c r="A768" t="s">
        <x:v>1791</x:v>
      </x:c>
      <x:c r="C768" t="s">
        <x:v>323</x:v>
      </x:c>
      <x:c r="D768">
        <x:v>8482976</x:v>
      </x:c>
      <x:c r="E768" t="s">
        <x:v>267</x:v>
      </x:c>
      <x:c r="J768" t="s">
        <x:v>2474</x:v>
      </x:c>
      <x:c r="K768">
        <x:v>68</x:v>
      </x:c>
      <x:c r="L768">
        <x:v>34</x:v>
      </x:c>
      <x:c r="M768">
        <x:v>78</x:v>
      </x:c>
      <x:c r="N768">
        <x:v>39</x:v>
      </x:c>
      <x:c r="O768">
        <x:v>85</x:v>
      </x:c>
      <x:c r="P768">
        <x:v>79</x:v>
      </x:c>
      <x:c r="Q768">
        <x:v>79</x:v>
      </x:c>
      <x:c r="R768">
        <x:v>40</x:v>
      </x:c>
      <x:c r="S768">
        <x:v>72</x:v>
      </x:c>
      <x:c r="T768" s="63" t="n">
        <x:f>MAX(30,MIN(AB768-VLOOKUP(AE768,'AHL_PA_SC_BALANCE'!$A$8:$E$18,2,FALSE),VLOOKUP(AE768,'AHL_PA_SC_BALANCE'!$A$8:$E$18,4,FALSE)))</x:f>
        <x:v>41</x:v>
      </x:c>
      <x:c r="U768" s="63" t="n">
        <x:f>MAX(30,MIN(AC768-VLOOKUP(AE768,'AHL_PA_SC_BALANCE'!$A$8:$E$18,3,FALSE),VLOOKUP(AE768,'AHL_PA_SC_BALANCE'!$A$8:$E$18,5,FALSE)))</x:f>
        <x:v>42</x:v>
      </x:c>
      <x:c r="V768">
        <x:v>61</x:v>
      </x:c>
      <x:c r="W768">
        <x:v>61</x:v>
      </x:c>
      <x:c r="X768">
        <x:v>67</x:v>
      </x:c>
      <x:c r="Y768">
        <x:v>68</x:v>
      </x:c>
      <x:c r="Z768">
        <x:v>51</x:v>
      </x:c>
      <x:c r="AA768">
        <x:v>47</x:v>
      </x:c>
      <x:c r="AB768" s="57" t="n">
        <x:v>41</x:v>
      </x:c>
      <x:c r="AC768" s="57" t="n">
        <x:v>42</x:v>
      </x:c>
      <x:c r="AD768" s="59"/>
      <x:c r="AE768" s="61" t="str">
        <x:f>IF(N(F768)&gt;=10,"NHL_LATEST_10",IF(AND(N(F768)&gt;0,N(G768)&gt;0),"NHL_BOTH_SEASONS",IF(N(G768)&gt;=10,"NHL_PREVIOUS_10",IF(AND(ISNUMBER(AD768),AD768=0,SUM(F768:G768)=0),"FARM_CAREER_0",IF(COUNT(F768:G768)&lt;2,"UNKNOWN_GP",IF(AND(F768=0,G768=0),IF(AD768&gt;=10,"FARM_LEGACY_10",IF(AND(ISNUMBER(AD768),AD768&gt;0),"FARM_CAREER_1_9","FARM_0_0")),IF(F768&gt;=1,IF(F768&lt;=3,"FARM_RECENT_1_3","FARM_RECENT_4_9"),"FARM_PREV_1_9_ONLY")))))))</x:f>
        <x:v>UNKNOWN_GP</x:v>
      </x:c>
      <x:c r="AF768" s="57" t="n">
        <x:f>AB768-T768</x:f>
        <x:v>0</x:v>
      </x:c>
      <x:c r="AG768" s="57" t="n">
        <x:f>AC768-U768</x:f>
        <x:v>0</x:v>
      </x:c>
    </x:row>
    <x:row r="769">
      <x:c r="A769" t="s">
        <x:v>1792</x:v>
      </x:c>
      <x:c r="C769" t="s">
        <x:v>333</x:v>
      </x:c>
      <x:c r="D769">
        <x:v>8485337</x:v>
      </x:c>
      <x:c r="E769" t="s">
        <x:v>267</x:v>
      </x:c>
      <x:c r="J769" t="s">
        <x:v>2474</x:v>
      </x:c>
      <x:c r="K769">
        <x:v>59</x:v>
      </x:c>
      <x:c r="L769">
        <x:v>36</x:v>
      </x:c>
      <x:c r="M769">
        <x:v>82</x:v>
      </x:c>
      <x:c r="N769">
        <x:v>38</x:v>
      </x:c>
      <x:c r="O769">
        <x:v>76</x:v>
      </x:c>
      <x:c r="P769">
        <x:v>73</x:v>
      </x:c>
      <x:c r="Q769">
        <x:v>75</x:v>
      </x:c>
      <x:c r="R769">
        <x:v>38</x:v>
      </x:c>
      <x:c r="S769">
        <x:v>72</x:v>
      </x:c>
      <x:c r="T769" s="63" t="n">
        <x:f>MAX(30,MIN(AB769-VLOOKUP(AE769,'AHL_PA_SC_BALANCE'!$A$8:$E$18,2,FALSE),VLOOKUP(AE769,'AHL_PA_SC_BALANCE'!$A$8:$E$18,4,FALSE)))</x:f>
        <x:v>42</x:v>
      </x:c>
      <x:c r="U769" s="63" t="n">
        <x:f>MAX(30,MIN(AC769-VLOOKUP(AE769,'AHL_PA_SC_BALANCE'!$A$8:$E$18,3,FALSE),VLOOKUP(AE769,'AHL_PA_SC_BALANCE'!$A$8:$E$18,5,FALSE)))</x:f>
        <x:v>45</x:v>
      </x:c>
      <x:c r="V769">
        <x:v>59</x:v>
      </x:c>
      <x:c r="W769">
        <x:v>59</x:v>
      </x:c>
      <x:c r="X769">
        <x:v>69</x:v>
      </x:c>
      <x:c r="Y769">
        <x:v>69</x:v>
      </x:c>
      <x:c r="Z769">
        <x:v>51</x:v>
      </x:c>
      <x:c r="AA769">
        <x:v>47</x:v>
      </x:c>
      <x:c r="AB769" s="57" t="n">
        <x:v>42</x:v>
      </x:c>
      <x:c r="AC769" s="57" t="n">
        <x:v>45</x:v>
      </x:c>
      <x:c r="AD769" s="59"/>
      <x:c r="AE769" s="61" t="str">
        <x:f>IF(N(F769)&gt;=10,"NHL_LATEST_10",IF(AND(N(F769)&gt;0,N(G769)&gt;0),"NHL_BOTH_SEASONS",IF(N(G769)&gt;=10,"NHL_PREVIOUS_10",IF(AND(ISNUMBER(AD769),AD769=0,SUM(F769:G769)=0),"FARM_CAREER_0",IF(COUNT(F769:G769)&lt;2,"UNKNOWN_GP",IF(AND(F769=0,G769=0),IF(AD769&gt;=10,"FARM_LEGACY_10",IF(AND(ISNUMBER(AD769),AD769&gt;0),"FARM_CAREER_1_9","FARM_0_0")),IF(F769&gt;=1,IF(F769&lt;=3,"FARM_RECENT_1_3","FARM_RECENT_4_9"),"FARM_PREV_1_9_ONLY")))))))</x:f>
        <x:v>UNKNOWN_GP</x:v>
      </x:c>
      <x:c r="AF769" s="57" t="n">
        <x:f>AB769-T769</x:f>
        <x:v>0</x:v>
      </x:c>
      <x:c r="AG769" s="57" t="n">
        <x:f>AC769-U769</x:f>
        <x:v>0</x:v>
      </x:c>
    </x:row>
    <x:row r="770">
      <x:c r="A770" t="s">
        <x:v>1793</x:v>
      </x:c>
      <x:c r="C770" t="s">
        <x:v>319</x:v>
      </x:c>
      <x:c r="D770">
        <x:v>8481666</x:v>
      </x:c>
      <x:c r="E770" t="s">
        <x:v>267</x:v>
      </x:c>
      <x:c r="J770" t="s">
        <x:v>2474</x:v>
      </x:c>
      <x:c r="K770">
        <x:v>59</x:v>
      </x:c>
      <x:c r="L770">
        <x:v>39</x:v>
      </x:c>
      <x:c r="M770">
        <x:v>75</x:v>
      </x:c>
      <x:c r="N770">
        <x:v>40</x:v>
      </x:c>
      <x:c r="O770">
        <x:v>77</x:v>
      </x:c>
      <x:c r="P770">
        <x:v>74</x:v>
      </x:c>
      <x:c r="Q770">
        <x:v>76</x:v>
      </x:c>
      <x:c r="R770">
        <x:v>39</x:v>
      </x:c>
      <x:c r="S770">
        <x:v>72</x:v>
      </x:c>
      <x:c r="T770" s="63" t="n">
        <x:f>MAX(30,MIN(AB770-VLOOKUP(AE770,'AHL_PA_SC_BALANCE'!$A$8:$E$18,2,FALSE),VLOOKUP(AE770,'AHL_PA_SC_BALANCE'!$A$8:$E$18,4,FALSE)))</x:f>
        <x:v>44</x:v>
      </x:c>
      <x:c r="U770" s="63" t="n">
        <x:f>MAX(30,MIN(AC770-VLOOKUP(AE770,'AHL_PA_SC_BALANCE'!$A$8:$E$18,3,FALSE),VLOOKUP(AE770,'AHL_PA_SC_BALANCE'!$A$8:$E$18,5,FALSE)))</x:f>
        <x:v>39</x:v>
      </x:c>
      <x:c r="V770">
        <x:v>62</x:v>
      </x:c>
      <x:c r="W770">
        <x:v>61</x:v>
      </x:c>
      <x:c r="X770">
        <x:v>68</x:v>
      </x:c>
      <x:c r="Y770">
        <x:v>68</x:v>
      </x:c>
      <x:c r="Z770">
        <x:v>51</x:v>
      </x:c>
      <x:c r="AA770">
        <x:v>47</x:v>
      </x:c>
      <x:c r="AB770" s="57" t="n">
        <x:v>44</x:v>
      </x:c>
      <x:c r="AC770" s="57" t="n">
        <x:v>39</x:v>
      </x:c>
      <x:c r="AD770" s="59"/>
      <x:c r="AE770" s="61" t="str">
        <x:f>IF(N(F770)&gt;=10,"NHL_LATEST_10",IF(AND(N(F770)&gt;0,N(G770)&gt;0),"NHL_BOTH_SEASONS",IF(N(G770)&gt;=10,"NHL_PREVIOUS_10",IF(AND(ISNUMBER(AD770),AD770=0,SUM(F770:G770)=0),"FARM_CAREER_0",IF(COUNT(F770:G770)&lt;2,"UNKNOWN_GP",IF(AND(F770=0,G770=0),IF(AD770&gt;=10,"FARM_LEGACY_10",IF(AND(ISNUMBER(AD770),AD770&gt;0),"FARM_CAREER_1_9","FARM_0_0")),IF(F770&gt;=1,IF(F770&lt;=3,"FARM_RECENT_1_3","FARM_RECENT_4_9"),"FARM_PREV_1_9_ONLY")))))))</x:f>
        <x:v>UNKNOWN_GP</x:v>
      </x:c>
      <x:c r="AF770" s="57" t="n">
        <x:f>AB770-T770</x:f>
        <x:v>0</x:v>
      </x:c>
      <x:c r="AG770" s="57" t="n">
        <x:f>AC770-U770</x:f>
        <x:v>0</x:v>
      </x:c>
    </x:row>
    <x:row r="771">
      <x:c r="A771" t="s">
        <x:v>1794</x:v>
      </x:c>
      <x:c r="C771" t="s">
        <x:v>358</x:v>
      </x:c>
      <x:c r="D771">
        <x:v>8483519</x:v>
      </x:c>
      <x:c r="E771" t="s">
        <x:v>267</x:v>
      </x:c>
      <x:c r="J771" t="s">
        <x:v>2474</x:v>
      </x:c>
      <x:c r="K771">
        <x:v>69</x:v>
      </x:c>
      <x:c r="L771">
        <x:v>38</x:v>
      </x:c>
      <x:c r="M771">
        <x:v>83</x:v>
      </x:c>
      <x:c r="N771">
        <x:v>40</x:v>
      </x:c>
      <x:c r="O771">
        <x:v>77</x:v>
      </x:c>
      <x:c r="P771">
        <x:v>78</x:v>
      </x:c>
      <x:c r="Q771">
        <x:v>81</x:v>
      </x:c>
      <x:c r="R771">
        <x:v>41</x:v>
      </x:c>
      <x:c r="S771">
        <x:v>72</x:v>
      </x:c>
      <x:c r="T771" s="63" t="n">
        <x:f>MAX(30,MIN(AB771-VLOOKUP(AE771,'AHL_PA_SC_BALANCE'!$A$8:$E$18,2,FALSE),VLOOKUP(AE771,'AHL_PA_SC_BALANCE'!$A$8:$E$18,4,FALSE)))</x:f>
        <x:v>40</x:v>
      </x:c>
      <x:c r="U771" s="63" t="n">
        <x:f>MAX(30,MIN(AC771-VLOOKUP(AE771,'AHL_PA_SC_BALANCE'!$A$8:$E$18,3,FALSE),VLOOKUP(AE771,'AHL_PA_SC_BALANCE'!$A$8:$E$18,5,FALSE)))</x:f>
        <x:v>43</x:v>
      </x:c>
      <x:c r="V771">
        <x:v>62</x:v>
      </x:c>
      <x:c r="W771">
        <x:v>60</x:v>
      </x:c>
      <x:c r="X771">
        <x:v>65</x:v>
      </x:c>
      <x:c r="Y771">
        <x:v>64</x:v>
      </x:c>
      <x:c r="Z771">
        <x:v>51</x:v>
      </x:c>
      <x:c r="AA771">
        <x:v>47</x:v>
      </x:c>
      <x:c r="AB771" s="57" t="n">
        <x:v>40</x:v>
      </x:c>
      <x:c r="AC771" s="57" t="n">
        <x:v>43</x:v>
      </x:c>
      <x:c r="AD771" s="59"/>
      <x:c r="AE771" s="61" t="str">
        <x:f>IF(N(F771)&gt;=10,"NHL_LATEST_10",IF(AND(N(F771)&gt;0,N(G771)&gt;0),"NHL_BOTH_SEASONS",IF(N(G771)&gt;=10,"NHL_PREVIOUS_10",IF(AND(ISNUMBER(AD771),AD771=0,SUM(F771:G771)=0),"FARM_CAREER_0",IF(COUNT(F771:G771)&lt;2,"UNKNOWN_GP",IF(AND(F771=0,G771=0),IF(AD771&gt;=10,"FARM_LEGACY_10",IF(AND(ISNUMBER(AD771),AD771&gt;0),"FARM_CAREER_1_9","FARM_0_0")),IF(F771&gt;=1,IF(F771&lt;=3,"FARM_RECENT_1_3","FARM_RECENT_4_9"),"FARM_PREV_1_9_ONLY")))))))</x:f>
        <x:v>UNKNOWN_GP</x:v>
      </x:c>
      <x:c r="AF771" s="57" t="n">
        <x:f>AB771-T771</x:f>
        <x:v>0</x:v>
      </x:c>
      <x:c r="AG771" s="57" t="n">
        <x:f>AC771-U771</x:f>
        <x:v>0</x:v>
      </x:c>
    </x:row>
    <x:row r="772">
      <x:c r="A772" t="s">
        <x:v>1795</x:v>
      </x:c>
      <x:c r="C772" t="s">
        <x:v>326</x:v>
      </x:c>
      <x:c r="D772">
        <x:v>8483673</x:v>
      </x:c>
      <x:c r="E772" t="s">
        <x:v>267</x:v>
      </x:c>
      <x:c r="J772" t="s">
        <x:v>2474</x:v>
      </x:c>
      <x:c r="K772">
        <x:v>64</x:v>
      </x:c>
      <x:c r="L772">
        <x:v>35</x:v>
      </x:c>
      <x:c r="M772">
        <x:v>90</x:v>
      </x:c>
      <x:c r="N772">
        <x:v>39</x:v>
      </x:c>
      <x:c r="O772">
        <x:v>82</x:v>
      </x:c>
      <x:c r="P772">
        <x:v>89</x:v>
      </x:c>
      <x:c r="Q772">
        <x:v>93</x:v>
      </x:c>
      <x:c r="R772">
        <x:v>39</x:v>
      </x:c>
      <x:c r="S772">
        <x:v>67</x:v>
      </x:c>
      <x:c r="T772" s="63" t="n">
        <x:f>MAX(30,MIN(AB772-VLOOKUP(AE772,'AHL_PA_SC_BALANCE'!$A$8:$E$18,2,FALSE),VLOOKUP(AE772,'AHL_PA_SC_BALANCE'!$A$8:$E$18,4,FALSE)))</x:f>
        <x:v>41</x:v>
      </x:c>
      <x:c r="U772" s="63" t="n">
        <x:f>MAX(30,MIN(AC772-VLOOKUP(AE772,'AHL_PA_SC_BALANCE'!$A$8:$E$18,3,FALSE),VLOOKUP(AE772,'AHL_PA_SC_BALANCE'!$A$8:$E$18,5,FALSE)))</x:f>
        <x:v>42</x:v>
      </x:c>
      <x:c r="V772">
        <x:v>61</x:v>
      </x:c>
      <x:c r="W772">
        <x:v>61</x:v>
      </x:c>
      <x:c r="X772">
        <x:v>65</x:v>
      </x:c>
      <x:c r="Y772">
        <x:v>65</x:v>
      </x:c>
      <x:c r="Z772">
        <x:v>51</x:v>
      </x:c>
      <x:c r="AA772">
        <x:v>47</x:v>
      </x:c>
      <x:c r="AB772" s="57" t="n">
        <x:v>41</x:v>
      </x:c>
      <x:c r="AC772" s="57" t="n">
        <x:v>42</x:v>
      </x:c>
      <x:c r="AD772" s="59"/>
      <x:c r="AE772" s="61" t="str">
        <x:f>IF(N(F772)&gt;=10,"NHL_LATEST_10",IF(AND(N(F772)&gt;0,N(G772)&gt;0),"NHL_BOTH_SEASONS",IF(N(G772)&gt;=10,"NHL_PREVIOUS_10",IF(AND(ISNUMBER(AD772),AD772=0,SUM(F772:G772)=0),"FARM_CAREER_0",IF(COUNT(F772:G772)&lt;2,"UNKNOWN_GP",IF(AND(F772=0,G772=0),IF(AD772&gt;=10,"FARM_LEGACY_10",IF(AND(ISNUMBER(AD772),AD772&gt;0),"FARM_CAREER_1_9","FARM_0_0")),IF(F772&gt;=1,IF(F772&lt;=3,"FARM_RECENT_1_3","FARM_RECENT_4_9"),"FARM_PREV_1_9_ONLY")))))))</x:f>
        <x:v>UNKNOWN_GP</x:v>
      </x:c>
      <x:c r="AF772" s="57" t="n">
        <x:f>AB772-T772</x:f>
        <x:v>0</x:v>
      </x:c>
      <x:c r="AG772" s="57" t="n">
        <x:f>AC772-U772</x:f>
        <x:v>0</x:v>
      </x:c>
    </x:row>
    <x:row r="773">
      <x:c r="A773" t="s">
        <x:v>1796</x:v>
      </x:c>
      <x:c r="C773" t="s">
        <x:v>339</x:v>
      </x:c>
      <x:c r="D773">
        <x:v>8483921</x:v>
      </x:c>
      <x:c r="E773" t="s">
        <x:v>267</x:v>
      </x:c>
      <x:c r="J773" t="s">
        <x:v>2474</x:v>
      </x:c>
      <x:c r="K773">
        <x:v>82</x:v>
      </x:c>
      <x:c r="L773">
        <x:v>33</x:v>
      </x:c>
      <x:c r="M773">
        <x:v>81</x:v>
      </x:c>
      <x:c r="N773">
        <x:v>38</x:v>
      </x:c>
      <x:c r="O773">
        <x:v>88</x:v>
      </x:c>
      <x:c r="P773">
        <x:v>75</x:v>
      </x:c>
      <x:c r="Q773">
        <x:v>77</x:v>
      </x:c>
      <x:c r="R773">
        <x:v>39</x:v>
      </x:c>
      <x:c r="S773">
        <x:v>77</x:v>
      </x:c>
      <x:c r="T773" s="63" t="n">
        <x:f>MAX(30,MIN(AB773-VLOOKUP(AE773,'AHL_PA_SC_BALANCE'!$A$8:$E$18,2,FALSE),VLOOKUP(AE773,'AHL_PA_SC_BALANCE'!$A$8:$E$18,4,FALSE)))</x:f>
        <x:v>42</x:v>
      </x:c>
      <x:c r="U773" s="63" t="n">
        <x:f>MAX(30,MIN(AC773-VLOOKUP(AE773,'AHL_PA_SC_BALANCE'!$A$8:$E$18,3,FALSE),VLOOKUP(AE773,'AHL_PA_SC_BALANCE'!$A$8:$E$18,5,FALSE)))</x:f>
        <x:v>40</x:v>
      </x:c>
      <x:c r="V773">
        <x:v>59</x:v>
      </x:c>
      <x:c r="W773">
        <x:v>59</x:v>
      </x:c>
      <x:c r="X773">
        <x:v>66</x:v>
      </x:c>
      <x:c r="Y773">
        <x:v>65</x:v>
      </x:c>
      <x:c r="Z773">
        <x:v>51</x:v>
      </x:c>
      <x:c r="AA773">
        <x:v>47</x:v>
      </x:c>
      <x:c r="AB773" s="57" t="n">
        <x:v>42</x:v>
      </x:c>
      <x:c r="AC773" s="57" t="n">
        <x:v>40</x:v>
      </x:c>
      <x:c r="AD773" s="59"/>
      <x:c r="AE773" s="61" t="str">
        <x:f>IF(N(F773)&gt;=10,"NHL_LATEST_10",IF(AND(N(F773)&gt;0,N(G773)&gt;0),"NHL_BOTH_SEASONS",IF(N(G773)&gt;=10,"NHL_PREVIOUS_10",IF(AND(ISNUMBER(AD773),AD773=0,SUM(F773:G773)=0),"FARM_CAREER_0",IF(COUNT(F773:G773)&lt;2,"UNKNOWN_GP",IF(AND(F773=0,G773=0),IF(AD773&gt;=10,"FARM_LEGACY_10",IF(AND(ISNUMBER(AD773),AD773&gt;0),"FARM_CAREER_1_9","FARM_0_0")),IF(F773&gt;=1,IF(F773&lt;=3,"FARM_RECENT_1_3","FARM_RECENT_4_9"),"FARM_PREV_1_9_ONLY")))))))</x:f>
        <x:v>UNKNOWN_GP</x:v>
      </x:c>
      <x:c r="AF773" s="57" t="n">
        <x:f>AB773-T773</x:f>
        <x:v>0</x:v>
      </x:c>
      <x:c r="AG773" s="57" t="n">
        <x:f>AC773-U773</x:f>
        <x:v>0</x:v>
      </x:c>
    </x:row>
    <x:row r="774">
      <x:c r="A774" t="s">
        <x:v>1797</x:v>
      </x:c>
      <x:c r="C774" t="s">
        <x:v>319</x:v>
      </x:c>
      <x:c r="D774">
        <x:v>8482198</x:v>
      </x:c>
      <x:c r="E774" t="s">
        <x:v>267</x:v>
      </x:c>
      <x:c r="J774" t="s">
        <x:v>2474</x:v>
      </x:c>
      <x:c r="K774">
        <x:v>73</x:v>
      </x:c>
      <x:c r="L774">
        <x:v>38</x:v>
      </x:c>
      <x:c r="M774">
        <x:v>94</x:v>
      </x:c>
      <x:c r="N774">
        <x:v>38</x:v>
      </x:c>
      <x:c r="O774">
        <x:v>84</x:v>
      </x:c>
      <x:c r="P774">
        <x:v>73</x:v>
      </x:c>
      <x:c r="Q774">
        <x:v>76</x:v>
      </x:c>
      <x:c r="R774">
        <x:v>39</x:v>
      </x:c>
      <x:c r="S774">
        <x:v>70</x:v>
      </x:c>
      <x:c r="T774" s="63" t="n">
        <x:f>MAX(30,MIN(AB774-VLOOKUP(AE774,'AHL_PA_SC_BALANCE'!$A$8:$E$18,2,FALSE),VLOOKUP(AE774,'AHL_PA_SC_BALANCE'!$A$8:$E$18,4,FALSE)))</x:f>
        <x:v>41</x:v>
      </x:c>
      <x:c r="U774" s="63" t="n">
        <x:f>MAX(30,MIN(AC774-VLOOKUP(AE774,'AHL_PA_SC_BALANCE'!$A$8:$E$18,3,FALSE),VLOOKUP(AE774,'AHL_PA_SC_BALANCE'!$A$8:$E$18,5,FALSE)))</x:f>
        <x:v>39</x:v>
      </x:c>
      <x:c r="V774">
        <x:v>62</x:v>
      </x:c>
      <x:c r="W774">
        <x:v>58</x:v>
      </x:c>
      <x:c r="X774">
        <x:v>66</x:v>
      </x:c>
      <x:c r="Y774">
        <x:v>65</x:v>
      </x:c>
      <x:c r="Z774">
        <x:v>51</x:v>
      </x:c>
      <x:c r="AA774">
        <x:v>47</x:v>
      </x:c>
      <x:c r="AB774" s="57" t="n">
        <x:v>41</x:v>
      </x:c>
      <x:c r="AC774" s="57" t="n">
        <x:v>39</x:v>
      </x:c>
      <x:c r="AD774" s="59"/>
      <x:c r="AE774" s="61" t="str">
        <x:f>IF(N(F774)&gt;=10,"NHL_LATEST_10",IF(AND(N(F774)&gt;0,N(G774)&gt;0),"NHL_BOTH_SEASONS",IF(N(G774)&gt;=10,"NHL_PREVIOUS_10",IF(AND(ISNUMBER(AD774),AD774=0,SUM(F774:G774)=0),"FARM_CAREER_0",IF(COUNT(F774:G774)&lt;2,"UNKNOWN_GP",IF(AND(F774=0,G774=0),IF(AD774&gt;=10,"FARM_LEGACY_10",IF(AND(ISNUMBER(AD774),AD774&gt;0),"FARM_CAREER_1_9","FARM_0_0")),IF(F774&gt;=1,IF(F774&lt;=3,"FARM_RECENT_1_3","FARM_RECENT_4_9"),"FARM_PREV_1_9_ONLY")))))))</x:f>
        <x:v>UNKNOWN_GP</x:v>
      </x:c>
      <x:c r="AF774" s="57" t="n">
        <x:f>AB774-T774</x:f>
        <x:v>0</x:v>
      </x:c>
      <x:c r="AG774" s="57" t="n">
        <x:f>AC774-U774</x:f>
        <x:v>0</x:v>
      </x:c>
    </x:row>
    <x:row r="775">
      <x:c r="A775" t="s">
        <x:v>1798</x:v>
      </x:c>
      <x:c r="C775" t="s">
        <x:v>319</x:v>
      </x:c>
      <x:c r="D775">
        <x:v>8481667</x:v>
      </x:c>
      <x:c r="E775" t="s">
        <x:v>267</x:v>
      </x:c>
      <x:c r="J775" t="s">
        <x:v>2474</x:v>
      </x:c>
      <x:c r="K775">
        <x:v>62</x:v>
      </x:c>
      <x:c r="L775">
        <x:v>39</x:v>
      </x:c>
      <x:c r="M775">
        <x:v>75</x:v>
      </x:c>
      <x:c r="N775">
        <x:v>40</x:v>
      </x:c>
      <x:c r="O775">
        <x:v>76</x:v>
      </x:c>
      <x:c r="P775">
        <x:v>88</x:v>
      </x:c>
      <x:c r="Q775">
        <x:v>89</x:v>
      </x:c>
      <x:c r="R775">
        <x:v>41</x:v>
      </x:c>
      <x:c r="S775">
        <x:v>65</x:v>
      </x:c>
      <x:c r="T775" s="63" t="n">
        <x:f>MAX(30,MIN(AB775-VLOOKUP(AE775,'AHL_PA_SC_BALANCE'!$A$8:$E$18,2,FALSE),VLOOKUP(AE775,'AHL_PA_SC_BALANCE'!$A$8:$E$18,4,FALSE)))</x:f>
        <x:v>41</x:v>
      </x:c>
      <x:c r="U775" s="63" t="n">
        <x:f>MAX(30,MIN(AC775-VLOOKUP(AE775,'AHL_PA_SC_BALANCE'!$A$8:$E$18,3,FALSE),VLOOKUP(AE775,'AHL_PA_SC_BALANCE'!$A$8:$E$18,5,FALSE)))</x:f>
        <x:v>43</x:v>
      </x:c>
      <x:c r="V775">
        <x:v>58</x:v>
      </x:c>
      <x:c r="W775">
        <x:v>61</x:v>
      </x:c>
      <x:c r="X775">
        <x:v>68</x:v>
      </x:c>
      <x:c r="Y775">
        <x:v>69</x:v>
      </x:c>
      <x:c r="Z775">
        <x:v>51</x:v>
      </x:c>
      <x:c r="AA775">
        <x:v>47</x:v>
      </x:c>
      <x:c r="AB775" s="57" t="n">
        <x:v>41</x:v>
      </x:c>
      <x:c r="AC775" s="57" t="n">
        <x:v>43</x:v>
      </x:c>
      <x:c r="AD775" s="59"/>
      <x:c r="AE775" s="61" t="str">
        <x:f>IF(N(F775)&gt;=10,"NHL_LATEST_10",IF(AND(N(F775)&gt;0,N(G775)&gt;0),"NHL_BOTH_SEASONS",IF(N(G775)&gt;=10,"NHL_PREVIOUS_10",IF(AND(ISNUMBER(AD775),AD775=0,SUM(F775:G775)=0),"FARM_CAREER_0",IF(COUNT(F775:G775)&lt;2,"UNKNOWN_GP",IF(AND(F775=0,G775=0),IF(AD775&gt;=10,"FARM_LEGACY_10",IF(AND(ISNUMBER(AD775),AD775&gt;0),"FARM_CAREER_1_9","FARM_0_0")),IF(F775&gt;=1,IF(F775&lt;=3,"FARM_RECENT_1_3","FARM_RECENT_4_9"),"FARM_PREV_1_9_ONLY")))))))</x:f>
        <x:v>UNKNOWN_GP</x:v>
      </x:c>
      <x:c r="AF775" s="57" t="n">
        <x:f>AB775-T775</x:f>
        <x:v>0</x:v>
      </x:c>
      <x:c r="AG775" s="57" t="n">
        <x:f>AC775-U775</x:f>
        <x:v>0</x:v>
      </x:c>
    </x:row>
    <x:row r="776">
      <x:c r="A776" t="s">
        <x:v>1799</x:v>
      </x:c>
      <x:c r="C776" t="s">
        <x:v>339</x:v>
      </x:c>
      <x:c r="D776">
        <x:v>8484507</x:v>
      </x:c>
      <x:c r="E776" t="s">
        <x:v>267</x:v>
      </x:c>
      <x:c r="J776" t="s">
        <x:v>2474</x:v>
      </x:c>
      <x:c r="K776">
        <x:v>65</x:v>
      </x:c>
      <x:c r="L776">
        <x:v>46</x:v>
      </x:c>
      <x:c r="M776">
        <x:v>87</x:v>
      </x:c>
      <x:c r="N776">
        <x:v>40</x:v>
      </x:c>
      <x:c r="O776">
        <x:v>76</x:v>
      </x:c>
      <x:c r="P776">
        <x:v>83</x:v>
      </x:c>
      <x:c r="Q776">
        <x:v>86</x:v>
      </x:c>
      <x:c r="R776">
        <x:v>39</x:v>
      </x:c>
      <x:c r="S776">
        <x:v>73</x:v>
      </x:c>
      <x:c r="T776" s="63" t="n">
        <x:f>MAX(30,MIN(AB776-VLOOKUP(AE776,'AHL_PA_SC_BALANCE'!$A$8:$E$18,2,FALSE),VLOOKUP(AE776,'AHL_PA_SC_BALANCE'!$A$8:$E$18,4,FALSE)))</x:f>
        <x:v>42</x:v>
      </x:c>
      <x:c r="U776" s="63" t="n">
        <x:f>MAX(30,MIN(AC776-VLOOKUP(AE776,'AHL_PA_SC_BALANCE'!$A$8:$E$18,3,FALSE),VLOOKUP(AE776,'AHL_PA_SC_BALANCE'!$A$8:$E$18,5,FALSE)))</x:f>
        <x:v>43</x:v>
      </x:c>
      <x:c r="V776">
        <x:v>63</x:v>
      </x:c>
      <x:c r="W776">
        <x:v>62</x:v>
      </x:c>
      <x:c r="X776">
        <x:v>66</x:v>
      </x:c>
      <x:c r="Y776">
        <x:v>65</x:v>
      </x:c>
      <x:c r="Z776">
        <x:v>51</x:v>
      </x:c>
      <x:c r="AA776">
        <x:v>47</x:v>
      </x:c>
      <x:c r="AB776" s="57" t="n">
        <x:v>42</x:v>
      </x:c>
      <x:c r="AC776" s="57" t="n">
        <x:v>43</x:v>
      </x:c>
      <x:c r="AD776" s="59"/>
      <x:c r="AE776" s="61" t="str">
        <x:f>IF(N(F776)&gt;=10,"NHL_LATEST_10",IF(AND(N(F776)&gt;0,N(G776)&gt;0),"NHL_BOTH_SEASONS",IF(N(G776)&gt;=10,"NHL_PREVIOUS_10",IF(AND(ISNUMBER(AD776),AD776=0,SUM(F776:G776)=0),"FARM_CAREER_0",IF(COUNT(F776:G776)&lt;2,"UNKNOWN_GP",IF(AND(F776=0,G776=0),IF(AD776&gt;=10,"FARM_LEGACY_10",IF(AND(ISNUMBER(AD776),AD776&gt;0),"FARM_CAREER_1_9","FARM_0_0")),IF(F776&gt;=1,IF(F776&lt;=3,"FARM_RECENT_1_3","FARM_RECENT_4_9"),"FARM_PREV_1_9_ONLY")))))))</x:f>
        <x:v>UNKNOWN_GP</x:v>
      </x:c>
      <x:c r="AF776" s="57" t="n">
        <x:f>AB776-T776</x:f>
        <x:v>0</x:v>
      </x:c>
      <x:c r="AG776" s="57" t="n">
        <x:f>AC776-U776</x:f>
        <x:v>0</x:v>
      </x:c>
    </x:row>
    <x:row r="777">
      <x:c r="A777" t="s">
        <x:v>1800</x:v>
      </x:c>
      <x:c r="C777" t="s">
        <x:v>339</x:v>
      </x:c>
      <x:c r="D777">
        <x:v>8483218</x:v>
      </x:c>
      <x:c r="E777" t="s">
        <x:v>267</x:v>
      </x:c>
      <x:c r="J777" t="s">
        <x:v>2474</x:v>
      </x:c>
      <x:c r="K777">
        <x:v>67</x:v>
      </x:c>
      <x:c r="L777">
        <x:v>37</x:v>
      </x:c>
      <x:c r="M777">
        <x:v>71</x:v>
      </x:c>
      <x:c r="N777">
        <x:v>38</x:v>
      </x:c>
      <x:c r="O777">
        <x:v>81</x:v>
      </x:c>
      <x:c r="P777">
        <x:v>77</x:v>
      </x:c>
      <x:c r="Q777">
        <x:v>78</x:v>
      </x:c>
      <x:c r="R777">
        <x:v>39</x:v>
      </x:c>
      <x:c r="S777">
        <x:v>76</x:v>
      </x:c>
      <x:c r="T777" s="63" t="n">
        <x:f>MAX(30,MIN(AB777-VLOOKUP(AE777,'AHL_PA_SC_BALANCE'!$A$8:$E$18,2,FALSE),VLOOKUP(AE777,'AHL_PA_SC_BALANCE'!$A$8:$E$18,4,FALSE)))</x:f>
        <x:v>40</x:v>
      </x:c>
      <x:c r="U777" s="63" t="n">
        <x:f>MAX(30,MIN(AC777-VLOOKUP(AE777,'AHL_PA_SC_BALANCE'!$A$8:$E$18,3,FALSE),VLOOKUP(AE777,'AHL_PA_SC_BALANCE'!$A$8:$E$18,5,FALSE)))</x:f>
        <x:v>40</x:v>
      </x:c>
      <x:c r="V777">
        <x:v>57</x:v>
      </x:c>
      <x:c r="W777">
        <x:v>59</x:v>
      </x:c>
      <x:c r="X777">
        <x:v>74</x:v>
      </x:c>
      <x:c r="Y777">
        <x:v>75</x:v>
      </x:c>
      <x:c r="Z777">
        <x:v>51</x:v>
      </x:c>
      <x:c r="AA777">
        <x:v>47</x:v>
      </x:c>
      <x:c r="AB777" s="57" t="n">
        <x:v>40</x:v>
      </x:c>
      <x:c r="AC777" s="57" t="n">
        <x:v>40</x:v>
      </x:c>
      <x:c r="AD777" s="59"/>
      <x:c r="AE777" s="61" t="str">
        <x:f>IF(N(F777)&gt;=10,"NHL_LATEST_10",IF(AND(N(F777)&gt;0,N(G777)&gt;0),"NHL_BOTH_SEASONS",IF(N(G777)&gt;=10,"NHL_PREVIOUS_10",IF(AND(ISNUMBER(AD777),AD777=0,SUM(F777:G777)=0),"FARM_CAREER_0",IF(COUNT(F777:G777)&lt;2,"UNKNOWN_GP",IF(AND(F777=0,G777=0),IF(AD777&gt;=10,"FARM_LEGACY_10",IF(AND(ISNUMBER(AD777),AD777&gt;0),"FARM_CAREER_1_9","FARM_0_0")),IF(F777&gt;=1,IF(F777&lt;=3,"FARM_RECENT_1_3","FARM_RECENT_4_9"),"FARM_PREV_1_9_ONLY")))))))</x:f>
        <x:v>UNKNOWN_GP</x:v>
      </x:c>
      <x:c r="AF777" s="57" t="n">
        <x:f>AB777-T777</x:f>
        <x:v>0</x:v>
      </x:c>
      <x:c r="AG777" s="57" t="n">
        <x:f>AC777-U777</x:f>
        <x:v>0</x:v>
      </x:c>
    </x:row>
    <x:row r="778">
      <x:c r="A778" t="s">
        <x:v>1801</x:v>
      </x:c>
      <x:c r="C778" t="s">
        <x:v>319</x:v>
      </x:c>
      <x:c r="D778">
        <x:v>8483798</x:v>
      </x:c>
      <x:c r="E778" t="s">
        <x:v>267</x:v>
      </x:c>
      <x:c r="J778" t="s">
        <x:v>2474</x:v>
      </x:c>
      <x:c r="K778">
        <x:v>60</x:v>
      </x:c>
      <x:c r="L778">
        <x:v>38</x:v>
      </x:c>
      <x:c r="M778">
        <x:v>90</x:v>
      </x:c>
      <x:c r="N778">
        <x:v>39</x:v>
      </x:c>
      <x:c r="O778">
        <x:v>80</x:v>
      </x:c>
      <x:c r="P778">
        <x:v>89</x:v>
      </x:c>
      <x:c r="Q778">
        <x:v>93</x:v>
      </x:c>
      <x:c r="R778">
        <x:v>38</x:v>
      </x:c>
      <x:c r="S778">
        <x:v>69</x:v>
      </x:c>
      <x:c r="T778" s="63" t="n">
        <x:f>MAX(30,MIN(AB778-VLOOKUP(AE778,'AHL_PA_SC_BALANCE'!$A$8:$E$18,2,FALSE),VLOOKUP(AE778,'AHL_PA_SC_BALANCE'!$A$8:$E$18,4,FALSE)))</x:f>
        <x:v>42</x:v>
      </x:c>
      <x:c r="U778" s="63" t="n">
        <x:f>MAX(30,MIN(AC778-VLOOKUP(AE778,'AHL_PA_SC_BALANCE'!$A$8:$E$18,3,FALSE),VLOOKUP(AE778,'AHL_PA_SC_BALANCE'!$A$8:$E$18,5,FALSE)))</x:f>
        <x:v>42</x:v>
      </x:c>
      <x:c r="V778">
        <x:v>62</x:v>
      </x:c>
      <x:c r="W778">
        <x:v>61</x:v>
      </x:c>
      <x:c r="X778">
        <x:v>66</x:v>
      </x:c>
      <x:c r="Y778">
        <x:v>71</x:v>
      </x:c>
      <x:c r="Z778">
        <x:v>51</x:v>
      </x:c>
      <x:c r="AA778">
        <x:v>47</x:v>
      </x:c>
      <x:c r="AB778" s="57" t="n">
        <x:v>42</x:v>
      </x:c>
      <x:c r="AC778" s="57" t="n">
        <x:v>42</x:v>
      </x:c>
      <x:c r="AD778" s="59"/>
      <x:c r="AE778" s="61" t="str">
        <x:f>IF(N(F778)&gt;=10,"NHL_LATEST_10",IF(AND(N(F778)&gt;0,N(G778)&gt;0),"NHL_BOTH_SEASONS",IF(N(G778)&gt;=10,"NHL_PREVIOUS_10",IF(AND(ISNUMBER(AD778),AD778=0,SUM(F778:G778)=0),"FARM_CAREER_0",IF(COUNT(F778:G778)&lt;2,"UNKNOWN_GP",IF(AND(F778=0,G778=0),IF(AD778&gt;=10,"FARM_LEGACY_10",IF(AND(ISNUMBER(AD778),AD778&gt;0),"FARM_CAREER_1_9","FARM_0_0")),IF(F778&gt;=1,IF(F778&lt;=3,"FARM_RECENT_1_3","FARM_RECENT_4_9"),"FARM_PREV_1_9_ONLY")))))))</x:f>
        <x:v>UNKNOWN_GP</x:v>
      </x:c>
      <x:c r="AF778" s="57" t="n">
        <x:f>AB778-T778</x:f>
        <x:v>0</x:v>
      </x:c>
      <x:c r="AG778" s="57" t="n">
        <x:f>AC778-U778</x:f>
        <x:v>0</x:v>
      </x:c>
    </x:row>
    <x:row r="779">
      <x:c r="A779" t="s">
        <x:v>1802</x:v>
      </x:c>
      <x:c r="C779" t="s">
        <x:v>319</x:v>
      </x:c>
      <x:c r="D779">
        <x:v>8483526</x:v>
      </x:c>
      <x:c r="E779" t="s">
        <x:v>267</x:v>
      </x:c>
      <x:c r="J779" t="s">
        <x:v>2474</x:v>
      </x:c>
      <x:c r="K779">
        <x:v>62</x:v>
      </x:c>
      <x:c r="L779">
        <x:v>33</x:v>
      </x:c>
      <x:c r="M779">
        <x:v>88</x:v>
      </x:c>
      <x:c r="N779">
        <x:v>40</x:v>
      </x:c>
      <x:c r="O779">
        <x:v>81</x:v>
      </x:c>
      <x:c r="P779">
        <x:v>84</x:v>
      </x:c>
      <x:c r="Q779">
        <x:v>87</x:v>
      </x:c>
      <x:c r="R779">
        <x:v>41</x:v>
      </x:c>
      <x:c r="S779">
        <x:v>79</x:v>
      </x:c>
      <x:c r="T779" s="63" t="n">
        <x:f>MAX(30,MIN(AB779-VLOOKUP(AE779,'AHL_PA_SC_BALANCE'!$A$8:$E$18,2,FALSE),VLOOKUP(AE779,'AHL_PA_SC_BALANCE'!$A$8:$E$18,4,FALSE)))</x:f>
        <x:v>42</x:v>
      </x:c>
      <x:c r="U779" s="63" t="n">
        <x:f>MAX(30,MIN(AC779-VLOOKUP(AE779,'AHL_PA_SC_BALANCE'!$A$8:$E$18,3,FALSE),VLOOKUP(AE779,'AHL_PA_SC_BALANCE'!$A$8:$E$18,5,FALSE)))</x:f>
        <x:v>43</x:v>
      </x:c>
      <x:c r="V779">
        <x:v>57</x:v>
      </x:c>
      <x:c r="W779">
        <x:v>62</x:v>
      </x:c>
      <x:c r="X779">
        <x:v>66</x:v>
      </x:c>
      <x:c r="Y779">
        <x:v>65</x:v>
      </x:c>
      <x:c r="Z779">
        <x:v>51</x:v>
      </x:c>
      <x:c r="AA779">
        <x:v>47</x:v>
      </x:c>
      <x:c r="AB779" s="57" t="n">
        <x:v>42</x:v>
      </x:c>
      <x:c r="AC779" s="57" t="n">
        <x:v>43</x:v>
      </x:c>
      <x:c r="AD779" s="59"/>
      <x:c r="AE779" s="61" t="str">
        <x:f>IF(N(F779)&gt;=10,"NHL_LATEST_10",IF(AND(N(F779)&gt;0,N(G779)&gt;0),"NHL_BOTH_SEASONS",IF(N(G779)&gt;=10,"NHL_PREVIOUS_10",IF(AND(ISNUMBER(AD779),AD779=0,SUM(F779:G779)=0),"FARM_CAREER_0",IF(COUNT(F779:G779)&lt;2,"UNKNOWN_GP",IF(AND(F779=0,G779=0),IF(AD779&gt;=10,"FARM_LEGACY_10",IF(AND(ISNUMBER(AD779),AD779&gt;0),"FARM_CAREER_1_9","FARM_0_0")),IF(F779&gt;=1,IF(F779&lt;=3,"FARM_RECENT_1_3","FARM_RECENT_4_9"),"FARM_PREV_1_9_ONLY")))))))</x:f>
        <x:v>UNKNOWN_GP</x:v>
      </x:c>
      <x:c r="AF779" s="57" t="n">
        <x:f>AB779-T779</x:f>
        <x:v>0</x:v>
      </x:c>
      <x:c r="AG779" s="57" t="n">
        <x:f>AC779-U779</x:f>
        <x:v>0</x:v>
      </x:c>
    </x:row>
    <x:row r="780">
      <x:c r="A780" t="s">
        <x:v>1803</x:v>
      </x:c>
      <x:c r="C780" t="s">
        <x:v>339</x:v>
      </x:c>
      <x:c r="D780">
        <x:v>8481078</x:v>
      </x:c>
      <x:c r="E780" t="s">
        <x:v>267</x:v>
      </x:c>
      <x:c r="J780" t="s">
        <x:v>2474</x:v>
      </x:c>
      <x:c r="K780">
        <x:v>63</x:v>
      </x:c>
      <x:c r="L780">
        <x:v>31</x:v>
      </x:c>
      <x:c r="M780">
        <x:v>84</x:v>
      </x:c>
      <x:c r="N780">
        <x:v>39</x:v>
      </x:c>
      <x:c r="O780">
        <x:v>84</x:v>
      </x:c>
      <x:c r="P780">
        <x:v>75</x:v>
      </x:c>
      <x:c r="Q780">
        <x:v>79</x:v>
      </x:c>
      <x:c r="R780">
        <x:v>39</x:v>
      </x:c>
      <x:c r="S780">
        <x:v>59</x:v>
      </x:c>
      <x:c r="T780" s="63" t="n">
        <x:f>MAX(30,MIN(AB780-VLOOKUP(AE780,'AHL_PA_SC_BALANCE'!$A$8:$E$18,2,FALSE),VLOOKUP(AE780,'AHL_PA_SC_BALANCE'!$A$8:$E$18,4,FALSE)))</x:f>
        <x:v>42</x:v>
      </x:c>
      <x:c r="U780" s="63" t="n">
        <x:f>MAX(30,MIN(AC780-VLOOKUP(AE780,'AHL_PA_SC_BALANCE'!$A$8:$E$18,3,FALSE),VLOOKUP(AE780,'AHL_PA_SC_BALANCE'!$A$8:$E$18,5,FALSE)))</x:f>
        <x:v>41</x:v>
      </x:c>
      <x:c r="V780">
        <x:v>61</x:v>
      </x:c>
      <x:c r="W780">
        <x:v>61</x:v>
      </x:c>
      <x:c r="X780">
        <x:v>70</x:v>
      </x:c>
      <x:c r="Y780">
        <x:v>71</x:v>
      </x:c>
      <x:c r="Z780">
        <x:v>48</x:v>
      </x:c>
      <x:c r="AA780">
        <x:v>47</x:v>
      </x:c>
      <x:c r="AB780" s="57" t="n">
        <x:v>42</x:v>
      </x:c>
      <x:c r="AC780" s="57" t="n">
        <x:v>41</x:v>
      </x:c>
      <x:c r="AD780" s="59"/>
      <x:c r="AE780" s="61" t="str">
        <x:f>IF(N(F780)&gt;=10,"NHL_LATEST_10",IF(AND(N(F780)&gt;0,N(G780)&gt;0),"NHL_BOTH_SEASONS",IF(N(G780)&gt;=10,"NHL_PREVIOUS_10",IF(AND(ISNUMBER(AD780),AD780=0,SUM(F780:G780)=0),"FARM_CAREER_0",IF(COUNT(F780:G780)&lt;2,"UNKNOWN_GP",IF(AND(F780=0,G780=0),IF(AD780&gt;=10,"FARM_LEGACY_10",IF(AND(ISNUMBER(AD780),AD780&gt;0),"FARM_CAREER_1_9","FARM_0_0")),IF(F780&gt;=1,IF(F780&lt;=3,"FARM_RECENT_1_3","FARM_RECENT_4_9"),"FARM_PREV_1_9_ONLY")))))))</x:f>
        <x:v>UNKNOWN_GP</x:v>
      </x:c>
      <x:c r="AF780" s="57" t="n">
        <x:f>AB780-T780</x:f>
        <x:v>0</x:v>
      </x:c>
      <x:c r="AG780" s="57" t="n">
        <x:f>AC780-U780</x:f>
        <x:v>0</x:v>
      </x:c>
    </x:row>
    <x:row r="781">
      <x:c r="A781" t="s">
        <x:v>1804</x:v>
      </x:c>
      <x:c r="C781" t="s">
        <x:v>358</x:v>
      </x:c>
      <x:c r="D781">
        <x:v>8482889</x:v>
      </x:c>
      <x:c r="E781" t="s">
        <x:v>267</x:v>
      </x:c>
      <x:c r="J781" t="s">
        <x:v>2474</x:v>
      </x:c>
      <x:c r="K781">
        <x:v>70</x:v>
      </x:c>
      <x:c r="L781">
        <x:v>31</x:v>
      </x:c>
      <x:c r="M781">
        <x:v>75</x:v>
      </x:c>
      <x:c r="N781">
        <x:v>38</x:v>
      </x:c>
      <x:c r="O781">
        <x:v>88</x:v>
      </x:c>
      <x:c r="P781">
        <x:v>83</x:v>
      </x:c>
      <x:c r="Q781">
        <x:v>85</x:v>
      </x:c>
      <x:c r="R781">
        <x:v>37</x:v>
      </x:c>
      <x:c r="S781">
        <x:v>55</x:v>
      </x:c>
      <x:c r="T781" s="63" t="n">
        <x:f>MAX(30,MIN(AB781-VLOOKUP(AE781,'AHL_PA_SC_BALANCE'!$A$8:$E$18,2,FALSE),VLOOKUP(AE781,'AHL_PA_SC_BALANCE'!$A$8:$E$18,4,FALSE)))</x:f>
        <x:v>40</x:v>
      </x:c>
      <x:c r="U781" s="63" t="n">
        <x:f>MAX(30,MIN(AC781-VLOOKUP(AE781,'AHL_PA_SC_BALANCE'!$A$8:$E$18,3,FALSE),VLOOKUP(AE781,'AHL_PA_SC_BALANCE'!$A$8:$E$18,5,FALSE)))</x:f>
        <x:v>42</x:v>
      </x:c>
      <x:c r="V781">
        <x:v>58</x:v>
      </x:c>
      <x:c r="W781">
        <x:v>59</x:v>
      </x:c>
      <x:c r="X781">
        <x:v>66</x:v>
      </x:c>
      <x:c r="Y781">
        <x:v>65</x:v>
      </x:c>
      <x:c r="Z781">
        <x:v>51</x:v>
      </x:c>
      <x:c r="AA781">
        <x:v>47</x:v>
      </x:c>
      <x:c r="AB781" s="57" t="n">
        <x:v>40</x:v>
      </x:c>
      <x:c r="AC781" s="57" t="n">
        <x:v>42</x:v>
      </x:c>
      <x:c r="AD781" s="59"/>
      <x:c r="AE781" s="61" t="str">
        <x:f>IF(N(F781)&gt;=10,"NHL_LATEST_10",IF(AND(N(F781)&gt;0,N(G781)&gt;0),"NHL_BOTH_SEASONS",IF(N(G781)&gt;=10,"NHL_PREVIOUS_10",IF(AND(ISNUMBER(AD781),AD781=0,SUM(F781:G781)=0),"FARM_CAREER_0",IF(COUNT(F781:G781)&lt;2,"UNKNOWN_GP",IF(AND(F781=0,G781=0),IF(AD781&gt;=10,"FARM_LEGACY_10",IF(AND(ISNUMBER(AD781),AD781&gt;0),"FARM_CAREER_1_9","FARM_0_0")),IF(F781&gt;=1,IF(F781&lt;=3,"FARM_RECENT_1_3","FARM_RECENT_4_9"),"FARM_PREV_1_9_ONLY")))))))</x:f>
        <x:v>UNKNOWN_GP</x:v>
      </x:c>
      <x:c r="AF781" s="57" t="n">
        <x:f>AB781-T781</x:f>
        <x:v>0</x:v>
      </x:c>
      <x:c r="AG781" s="57" t="n">
        <x:f>AC781-U781</x:f>
        <x:v>0</x:v>
      </x:c>
    </x:row>
    <x:row r="782">
      <x:c r="A782" t="s">
        <x:v>1805</x:v>
      </x:c>
      <x:c r="C782" t="s">
        <x:v>319</x:v>
      </x:c>
      <x:c r="D782">
        <x:v>8484131</x:v>
      </x:c>
      <x:c r="E782" t="s">
        <x:v>267</x:v>
      </x:c>
      <x:c r="J782" t="s">
        <x:v>2474</x:v>
      </x:c>
      <x:c r="K782">
        <x:v>64</x:v>
      </x:c>
      <x:c r="L782">
        <x:v>36</x:v>
      </x:c>
      <x:c r="M782">
        <x:v>85</x:v>
      </x:c>
      <x:c r="N782">
        <x:v>40</x:v>
      </x:c>
      <x:c r="O782">
        <x:v>78</x:v>
      </x:c>
      <x:c r="P782">
        <x:v>82</x:v>
      </x:c>
      <x:c r="Q782">
        <x:v>85</x:v>
      </x:c>
      <x:c r="R782">
        <x:v>40</x:v>
      </x:c>
      <x:c r="S782">
        <x:v>65</x:v>
      </x:c>
      <x:c r="T782" s="63" t="n">
        <x:f>MAX(30,MIN(AB782-VLOOKUP(AE782,'AHL_PA_SC_BALANCE'!$A$8:$E$18,2,FALSE),VLOOKUP(AE782,'AHL_PA_SC_BALANCE'!$A$8:$E$18,4,FALSE)))</x:f>
        <x:v>42</x:v>
      </x:c>
      <x:c r="U782" s="63" t="n">
        <x:f>MAX(30,MIN(AC782-VLOOKUP(AE782,'AHL_PA_SC_BALANCE'!$A$8:$E$18,3,FALSE),VLOOKUP(AE782,'AHL_PA_SC_BALANCE'!$A$8:$E$18,5,FALSE)))</x:f>
        <x:v>41</x:v>
      </x:c>
      <x:c r="V782">
        <x:v>58</x:v>
      </x:c>
      <x:c r="W782">
        <x:v>61</x:v>
      </x:c>
      <x:c r="X782">
        <x:v>70</x:v>
      </x:c>
      <x:c r="Y782">
        <x:v>70</x:v>
      </x:c>
      <x:c r="Z782">
        <x:v>51</x:v>
      </x:c>
      <x:c r="AA782">
        <x:v>47</x:v>
      </x:c>
      <x:c r="AB782" s="57" t="n">
        <x:v>42</x:v>
      </x:c>
      <x:c r="AC782" s="57" t="n">
        <x:v>41</x:v>
      </x:c>
      <x:c r="AD782" s="59"/>
      <x:c r="AE782" s="61" t="str">
        <x:f>IF(N(F782)&gt;=10,"NHL_LATEST_10",IF(AND(N(F782)&gt;0,N(G782)&gt;0),"NHL_BOTH_SEASONS",IF(N(G782)&gt;=10,"NHL_PREVIOUS_10",IF(AND(ISNUMBER(AD782),AD782=0,SUM(F782:G782)=0),"FARM_CAREER_0",IF(COUNT(F782:G782)&lt;2,"UNKNOWN_GP",IF(AND(F782=0,G782=0),IF(AD782&gt;=10,"FARM_LEGACY_10",IF(AND(ISNUMBER(AD782),AD782&gt;0),"FARM_CAREER_1_9","FARM_0_0")),IF(F782&gt;=1,IF(F782&lt;=3,"FARM_RECENT_1_3","FARM_RECENT_4_9"),"FARM_PREV_1_9_ONLY")))))))</x:f>
        <x:v>UNKNOWN_GP</x:v>
      </x:c>
      <x:c r="AF782" s="57" t="n">
        <x:f>AB782-T782</x:f>
        <x:v>0</x:v>
      </x:c>
      <x:c r="AG782" s="57" t="n">
        <x:f>AC782-U782</x:f>
        <x:v>0</x:v>
      </x:c>
    </x:row>
    <x:row r="783">
      <x:c r="A783" t="s">
        <x:v>1806</x:v>
      </x:c>
      <x:c r="C783" t="s">
        <x:v>358</x:v>
      </x:c>
      <x:c r="D783">
        <x:v>8484420</x:v>
      </x:c>
      <x:c r="E783" t="s">
        <x:v>267</x:v>
      </x:c>
      <x:c r="J783" t="s">
        <x:v>2474</x:v>
      </x:c>
      <x:c r="K783">
        <x:v>76</x:v>
      </x:c>
      <x:c r="L783">
        <x:v>34</x:v>
      </x:c>
      <x:c r="M783">
        <x:v>83</x:v>
      </x:c>
      <x:c r="N783">
        <x:v>38</x:v>
      </x:c>
      <x:c r="O783">
        <x:v>94</x:v>
      </x:c>
      <x:c r="P783">
        <x:v>75</x:v>
      </x:c>
      <x:c r="Q783">
        <x:v>77</x:v>
      </x:c>
      <x:c r="R783">
        <x:v>39</x:v>
      </x:c>
      <x:c r="S783">
        <x:v>58</x:v>
      </x:c>
      <x:c r="T783" s="63" t="n">
        <x:f>MAX(30,MIN(AB783-VLOOKUP(AE783,'AHL_PA_SC_BALANCE'!$A$8:$E$18,2,FALSE),VLOOKUP(AE783,'AHL_PA_SC_BALANCE'!$A$8:$E$18,4,FALSE)))</x:f>
        <x:v>40</x:v>
      </x:c>
      <x:c r="U783" s="63" t="n">
        <x:f>MAX(30,MIN(AC783-VLOOKUP(AE783,'AHL_PA_SC_BALANCE'!$A$8:$E$18,3,FALSE),VLOOKUP(AE783,'AHL_PA_SC_BALANCE'!$A$8:$E$18,5,FALSE)))</x:f>
        <x:v>41</x:v>
      </x:c>
      <x:c r="V783">
        <x:v>60</x:v>
      </x:c>
      <x:c r="W783">
        <x:v>59</x:v>
      </x:c>
      <x:c r="X783">
        <x:v>66</x:v>
      </x:c>
      <x:c r="Y783">
        <x:v>65</x:v>
      </x:c>
      <x:c r="Z783">
        <x:v>51</x:v>
      </x:c>
      <x:c r="AA783">
        <x:v>47</x:v>
      </x:c>
      <x:c r="AB783" s="57" t="n">
        <x:v>40</x:v>
      </x:c>
      <x:c r="AC783" s="57" t="n">
        <x:v>41</x:v>
      </x:c>
      <x:c r="AD783" s="59"/>
      <x:c r="AE783" s="61" t="str">
        <x:f>IF(N(F783)&gt;=10,"NHL_LATEST_10",IF(AND(N(F783)&gt;0,N(G783)&gt;0),"NHL_BOTH_SEASONS",IF(N(G783)&gt;=10,"NHL_PREVIOUS_10",IF(AND(ISNUMBER(AD783),AD783=0,SUM(F783:G783)=0),"FARM_CAREER_0",IF(COUNT(F783:G783)&lt;2,"UNKNOWN_GP",IF(AND(F783=0,G783=0),IF(AD783&gt;=10,"FARM_LEGACY_10",IF(AND(ISNUMBER(AD783),AD783&gt;0),"FARM_CAREER_1_9","FARM_0_0")),IF(F783&gt;=1,IF(F783&lt;=3,"FARM_RECENT_1_3","FARM_RECENT_4_9"),"FARM_PREV_1_9_ONLY")))))))</x:f>
        <x:v>UNKNOWN_GP</x:v>
      </x:c>
      <x:c r="AF783" s="57" t="n">
        <x:f>AB783-T783</x:f>
        <x:v>0</x:v>
      </x:c>
      <x:c r="AG783" s="57" t="n">
        <x:f>AC783-U783</x:f>
        <x:v>0</x:v>
      </x:c>
    </x:row>
    <x:row r="784">
      <x:c r="A784" t="s">
        <x:v>1807</x:v>
      </x:c>
      <x:c r="C784" t="s">
        <x:v>333</x:v>
      </x:c>
      <x:c r="D784">
        <x:v>8482718</x:v>
      </x:c>
      <x:c r="E784" t="s">
        <x:v>267</x:v>
      </x:c>
      <x:c r="J784" t="s">
        <x:v>2474</x:v>
      </x:c>
      <x:c r="K784">
        <x:v>61</x:v>
      </x:c>
      <x:c r="L784">
        <x:v>31</x:v>
      </x:c>
      <x:c r="M784">
        <x:v>92</x:v>
      </x:c>
      <x:c r="N784">
        <x:v>40</x:v>
      </x:c>
      <x:c r="O784">
        <x:v>79</x:v>
      </x:c>
      <x:c r="P784">
        <x:v>79</x:v>
      </x:c>
      <x:c r="Q784">
        <x:v>81</x:v>
      </x:c>
      <x:c r="R784">
        <x:v>41</x:v>
      </x:c>
      <x:c r="S784">
        <x:v>64</x:v>
      </x:c>
      <x:c r="T784" s="63" t="n">
        <x:f>MAX(30,MIN(AB784-VLOOKUP(AE784,'AHL_PA_SC_BALANCE'!$A$8:$E$18,2,FALSE),VLOOKUP(AE784,'AHL_PA_SC_BALANCE'!$A$8:$E$18,4,FALSE)))</x:f>
        <x:v>42</x:v>
      </x:c>
      <x:c r="U784" s="63" t="n">
        <x:f>MAX(30,MIN(AC784-VLOOKUP(AE784,'AHL_PA_SC_BALANCE'!$A$8:$E$18,3,FALSE),VLOOKUP(AE784,'AHL_PA_SC_BALANCE'!$A$8:$E$18,5,FALSE)))</x:f>
        <x:v>42</x:v>
      </x:c>
      <x:c r="V784">
        <x:v>60</x:v>
      </x:c>
      <x:c r="W784">
        <x:v>62</x:v>
      </x:c>
      <x:c r="X784">
        <x:v>66</x:v>
      </x:c>
      <x:c r="Y784">
        <x:v>66</x:v>
      </x:c>
      <x:c r="Z784">
        <x:v>51</x:v>
      </x:c>
      <x:c r="AA784">
        <x:v>47</x:v>
      </x:c>
      <x:c r="AB784" s="57" t="n">
        <x:v>42</x:v>
      </x:c>
      <x:c r="AC784" s="57" t="n">
        <x:v>42</x:v>
      </x:c>
      <x:c r="AD784" s="59"/>
      <x:c r="AE784" s="61" t="str">
        <x:f>IF(N(F784)&gt;=10,"NHL_LATEST_10",IF(AND(N(F784)&gt;0,N(G784)&gt;0),"NHL_BOTH_SEASONS",IF(N(G784)&gt;=10,"NHL_PREVIOUS_10",IF(AND(ISNUMBER(AD784),AD784=0,SUM(F784:G784)=0),"FARM_CAREER_0",IF(COUNT(F784:G784)&lt;2,"UNKNOWN_GP",IF(AND(F784=0,G784=0),IF(AD784&gt;=10,"FARM_LEGACY_10",IF(AND(ISNUMBER(AD784),AD784&gt;0),"FARM_CAREER_1_9","FARM_0_0")),IF(F784&gt;=1,IF(F784&lt;=3,"FARM_RECENT_1_3","FARM_RECENT_4_9"),"FARM_PREV_1_9_ONLY")))))))</x:f>
        <x:v>UNKNOWN_GP</x:v>
      </x:c>
      <x:c r="AF784" s="57" t="n">
        <x:f>AB784-T784</x:f>
        <x:v>0</x:v>
      </x:c>
      <x:c r="AG784" s="57" t="n">
        <x:f>AC784-U784</x:f>
        <x:v>0</x:v>
      </x:c>
    </x:row>
    <x:row r="785">
      <x:c r="A785" t="s">
        <x:v>1808</x:v>
      </x:c>
      <x:c r="C785" t="s">
        <x:v>339</x:v>
      </x:c>
      <x:c r="D785">
        <x:v>8482842</x:v>
      </x:c>
      <x:c r="E785" t="s">
        <x:v>267</x:v>
      </x:c>
      <x:c r="J785" t="s">
        <x:v>2474</x:v>
      </x:c>
      <x:c r="K785">
        <x:v>67</x:v>
      </x:c>
      <x:c r="L785">
        <x:v>37</x:v>
      </x:c>
      <x:c r="M785">
        <x:v>81</x:v>
      </x:c>
      <x:c r="N785">
        <x:v>38</x:v>
      </x:c>
      <x:c r="O785">
        <x:v>79</x:v>
      </x:c>
      <x:c r="P785">
        <x:v>81</x:v>
      </x:c>
      <x:c r="Q785">
        <x:v>82</x:v>
      </x:c>
      <x:c r="R785">
        <x:v>39</x:v>
      </x:c>
      <x:c r="S785">
        <x:v>75</x:v>
      </x:c>
      <x:c r="T785" s="63" t="n">
        <x:f>MAX(30,MIN(AB785-VLOOKUP(AE785,'AHL_PA_SC_BALANCE'!$A$8:$E$18,2,FALSE),VLOOKUP(AE785,'AHL_PA_SC_BALANCE'!$A$8:$E$18,4,FALSE)))</x:f>
        <x:v>39</x:v>
      </x:c>
      <x:c r="U785" s="63" t="n">
        <x:f>MAX(30,MIN(AC785-VLOOKUP(AE785,'AHL_PA_SC_BALANCE'!$A$8:$E$18,3,FALSE),VLOOKUP(AE785,'AHL_PA_SC_BALANCE'!$A$8:$E$18,5,FALSE)))</x:f>
        <x:v>42</x:v>
      </x:c>
      <x:c r="V785">
        <x:v>60</x:v>
      </x:c>
      <x:c r="W785">
        <x:v>59</x:v>
      </x:c>
      <x:c r="X785">
        <x:v>69</x:v>
      </x:c>
      <x:c r="Y785">
        <x:v>68</x:v>
      </x:c>
      <x:c r="Z785">
        <x:v>51</x:v>
      </x:c>
      <x:c r="AA785">
        <x:v>47</x:v>
      </x:c>
      <x:c r="AB785" s="57" t="n">
        <x:v>39</x:v>
      </x:c>
      <x:c r="AC785" s="57" t="n">
        <x:v>42</x:v>
      </x:c>
      <x:c r="AD785" s="59"/>
      <x:c r="AE785" s="61" t="str">
        <x:f>IF(N(F785)&gt;=10,"NHL_LATEST_10",IF(AND(N(F785)&gt;0,N(G785)&gt;0),"NHL_BOTH_SEASONS",IF(N(G785)&gt;=10,"NHL_PREVIOUS_10",IF(AND(ISNUMBER(AD785),AD785=0,SUM(F785:G785)=0),"FARM_CAREER_0",IF(COUNT(F785:G785)&lt;2,"UNKNOWN_GP",IF(AND(F785=0,G785=0),IF(AD785&gt;=10,"FARM_LEGACY_10",IF(AND(ISNUMBER(AD785),AD785&gt;0),"FARM_CAREER_1_9","FARM_0_0")),IF(F785&gt;=1,IF(F785&lt;=3,"FARM_RECENT_1_3","FARM_RECENT_4_9"),"FARM_PREV_1_9_ONLY")))))))</x:f>
        <x:v>UNKNOWN_GP</x:v>
      </x:c>
      <x:c r="AF785" s="57" t="n">
        <x:f>AB785-T785</x:f>
        <x:v>0</x:v>
      </x:c>
      <x:c r="AG785" s="57" t="n">
        <x:f>AC785-U785</x:f>
        <x:v>0</x:v>
      </x:c>
    </x:row>
    <x:row r="786">
      <x:c r="A786" t="s">
        <x:v>1809</x:v>
      </x:c>
      <x:c r="B786" t="s">
        <x:v>584</x:v>
      </x:c>
      <x:c r="C786" t="s">
        <x:v>329</x:v>
      </x:c>
      <x:c r="D786">
        <x:v>8485460</x:v>
      </x:c>
      <x:c r="E786" t="s">
        <x:v>267</x:v>
      </x:c>
      <x:c r="J786" t="s">
        <x:v>2476</x:v>
      </x:c>
      <x:c r="K786">
        <x:v>59</x:v>
      </x:c>
      <x:c r="L786">
        <x:v>34</x:v>
      </x:c>
      <x:c r="M786">
        <x:v>89</x:v>
      </x:c>
      <x:c r="N786">
        <x:v>39</x:v>
      </x:c>
      <x:c r="O786">
        <x:v>86</x:v>
      </x:c>
      <x:c r="P786">
        <x:v>70</x:v>
      </x:c>
      <x:c r="Q786">
        <x:v>72</x:v>
      </x:c>
      <x:c r="R786">
        <x:v>40</x:v>
      </x:c>
      <x:c r="S786">
        <x:v>77</x:v>
      </x:c>
      <x:c r="T786" s="63" t="n">
        <x:f>MAX(30,MIN(AB786-VLOOKUP(AE786,'AHL_PA_SC_BALANCE'!$A$8:$E$18,2,FALSE),VLOOKUP(AE786,'AHL_PA_SC_BALANCE'!$A$8:$E$18,4,FALSE)))</x:f>
        <x:v>41</x:v>
      </x:c>
      <x:c r="U786" s="63" t="n">
        <x:f>MAX(30,MIN(AC786-VLOOKUP(AE786,'AHL_PA_SC_BALANCE'!$A$8:$E$18,3,FALSE),VLOOKUP(AE786,'AHL_PA_SC_BALANCE'!$A$8:$E$18,5,FALSE)))</x:f>
        <x:v>41</x:v>
      </x:c>
      <x:c r="V786">
        <x:v>59</x:v>
      </x:c>
      <x:c r="W786">
        <x:v>60</x:v>
      </x:c>
      <x:c r="X786">
        <x:v>68</x:v>
      </x:c>
      <x:c r="Y786">
        <x:v>67</x:v>
      </x:c>
      <x:c r="Z786">
        <x:v>51</x:v>
      </x:c>
      <x:c r="AA786">
        <x:v>47</x:v>
      </x:c>
      <x:c r="AB786" s="57" t="n">
        <x:v>41</x:v>
      </x:c>
      <x:c r="AC786" s="57" t="n">
        <x:v>41</x:v>
      </x:c>
      <x:c r="AD786" s="59"/>
      <x:c r="AE786" s="61" t="str">
        <x:f>IF(N(F786)&gt;=10,"NHL_LATEST_10",IF(AND(N(F786)&gt;0,N(G786)&gt;0),"NHL_BOTH_SEASONS",IF(N(G786)&gt;=10,"NHL_PREVIOUS_10",IF(AND(ISNUMBER(AD786),AD786=0,SUM(F786:G786)=0),"FARM_CAREER_0",IF(COUNT(F786:G786)&lt;2,"UNKNOWN_GP",IF(AND(F786=0,G786=0),IF(AD786&gt;=10,"FARM_LEGACY_10",IF(AND(ISNUMBER(AD786),AD786&gt;0),"FARM_CAREER_1_9","FARM_0_0")),IF(F786&gt;=1,IF(F786&lt;=3,"FARM_RECENT_1_3","FARM_RECENT_4_9"),"FARM_PREV_1_9_ONLY")))))))</x:f>
        <x:v>UNKNOWN_GP</x:v>
      </x:c>
      <x:c r="AF786" s="57" t="n">
        <x:f>AB786-T786</x:f>
        <x:v>0</x:v>
      </x:c>
      <x:c r="AG786" s="57" t="n">
        <x:f>AC786-U786</x:f>
        <x:v>0</x:v>
      </x:c>
    </x:row>
    <x:row r="787">
      <x:c r="A787" t="s">
        <x:v>1810</x:v>
      </x:c>
      <x:c r="C787" t="s">
        <x:v>358</x:v>
      </x:c>
      <x:c r="D787">
        <x:v>8484412</x:v>
      </x:c>
      <x:c r="E787" t="s">
        <x:v>267</x:v>
      </x:c>
      <x:c r="J787" t="s">
        <x:v>2474</x:v>
      </x:c>
      <x:c r="K787">
        <x:v>62</x:v>
      </x:c>
      <x:c r="L787">
        <x:v>37</x:v>
      </x:c>
      <x:c r="M787">
        <x:v>86</x:v>
      </x:c>
      <x:c r="N787">
        <x:v>40</x:v>
      </x:c>
      <x:c r="O787">
        <x:v>80</x:v>
      </x:c>
      <x:c r="P787">
        <x:v>80</x:v>
      </x:c>
      <x:c r="Q787">
        <x:v>84</x:v>
      </x:c>
      <x:c r="R787">
        <x:v>41</x:v>
      </x:c>
      <x:c r="S787">
        <x:v>60</x:v>
      </x:c>
      <x:c r="T787" s="63" t="n">
        <x:f>MAX(30,MIN(AB787-VLOOKUP(AE787,'AHL_PA_SC_BALANCE'!$A$8:$E$18,2,FALSE),VLOOKUP(AE787,'AHL_PA_SC_BALANCE'!$A$8:$E$18,4,FALSE)))</x:f>
        <x:v>43</x:v>
      </x:c>
      <x:c r="U787" s="63" t="n">
        <x:f>MAX(30,MIN(AC787-VLOOKUP(AE787,'AHL_PA_SC_BALANCE'!$A$8:$E$18,3,FALSE),VLOOKUP(AE787,'AHL_PA_SC_BALANCE'!$A$8:$E$18,5,FALSE)))</x:f>
        <x:v>42</x:v>
      </x:c>
      <x:c r="V787">
        <x:v>59</x:v>
      </x:c>
      <x:c r="W787">
        <x:v>62</x:v>
      </x:c>
      <x:c r="X787">
        <x:v>65</x:v>
      </x:c>
      <x:c r="Y787">
        <x:v>66</x:v>
      </x:c>
      <x:c r="Z787">
        <x:v>51</x:v>
      </x:c>
      <x:c r="AA787">
        <x:v>47</x:v>
      </x:c>
      <x:c r="AB787" s="57" t="n">
        <x:v>43</x:v>
      </x:c>
      <x:c r="AC787" s="57" t="n">
        <x:v>42</x:v>
      </x:c>
      <x:c r="AD787" s="59"/>
      <x:c r="AE787" s="61" t="str">
        <x:f>IF(N(F787)&gt;=10,"NHL_LATEST_10",IF(AND(N(F787)&gt;0,N(G787)&gt;0),"NHL_BOTH_SEASONS",IF(N(G787)&gt;=10,"NHL_PREVIOUS_10",IF(AND(ISNUMBER(AD787),AD787=0,SUM(F787:G787)=0),"FARM_CAREER_0",IF(COUNT(F787:G787)&lt;2,"UNKNOWN_GP",IF(AND(F787=0,G787=0),IF(AD787&gt;=10,"FARM_LEGACY_10",IF(AND(ISNUMBER(AD787),AD787&gt;0),"FARM_CAREER_1_9","FARM_0_0")),IF(F787&gt;=1,IF(F787&lt;=3,"FARM_RECENT_1_3","FARM_RECENT_4_9"),"FARM_PREV_1_9_ONLY")))))))</x:f>
        <x:v>UNKNOWN_GP</x:v>
      </x:c>
      <x:c r="AF787" s="57" t="n">
        <x:f>AB787-T787</x:f>
        <x:v>0</x:v>
      </x:c>
      <x:c r="AG787" s="57" t="n">
        <x:f>AC787-U787</x:f>
        <x:v>0</x:v>
      </x:c>
    </x:row>
    <x:row r="788">
      <x:c r="A788" t="s">
        <x:v>1811</x:v>
      </x:c>
      <x:c r="C788" t="s">
        <x:v>333</x:v>
      </x:c>
      <x:c r="D788">
        <x:v>8482168</x:v>
      </x:c>
      <x:c r="E788" t="s">
        <x:v>267</x:v>
      </x:c>
      <x:c r="J788" t="s">
        <x:v>2474</x:v>
      </x:c>
      <x:c r="K788">
        <x:v>66</x:v>
      </x:c>
      <x:c r="L788">
        <x:v>33</x:v>
      </x:c>
      <x:c r="M788">
        <x:v>87</x:v>
      </x:c>
      <x:c r="N788">
        <x:v>40</x:v>
      </x:c>
      <x:c r="O788">
        <x:v>81</x:v>
      </x:c>
      <x:c r="P788">
        <x:v>84</x:v>
      </x:c>
      <x:c r="Q788">
        <x:v>87</x:v>
      </x:c>
      <x:c r="R788">
        <x:v>40</x:v>
      </x:c>
      <x:c r="S788">
        <x:v>57</x:v>
      </x:c>
      <x:c r="T788" s="63" t="n">
        <x:f>MAX(30,MIN(AB788-VLOOKUP(AE788,'AHL_PA_SC_BALANCE'!$A$8:$E$18,2,FALSE),VLOOKUP(AE788,'AHL_PA_SC_BALANCE'!$A$8:$E$18,4,FALSE)))</x:f>
        <x:v>44</x:v>
      </x:c>
      <x:c r="U788" s="63" t="n">
        <x:f>MAX(30,MIN(AC788-VLOOKUP(AE788,'AHL_PA_SC_BALANCE'!$A$8:$E$18,3,FALSE),VLOOKUP(AE788,'AHL_PA_SC_BALANCE'!$A$8:$E$18,5,FALSE)))</x:f>
        <x:v>40</x:v>
      </x:c>
      <x:c r="V788">
        <x:v>59</x:v>
      </x:c>
      <x:c r="W788">
        <x:v>62</x:v>
      </x:c>
      <x:c r="X788">
        <x:v>68</x:v>
      </x:c>
      <x:c r="Y788">
        <x:v>67</x:v>
      </x:c>
      <x:c r="Z788">
        <x:v>51</x:v>
      </x:c>
      <x:c r="AA788">
        <x:v>47</x:v>
      </x:c>
      <x:c r="AB788" s="57" t="n">
        <x:v>44</x:v>
      </x:c>
      <x:c r="AC788" s="57" t="n">
        <x:v>40</x:v>
      </x:c>
      <x:c r="AD788" s="59"/>
      <x:c r="AE788" s="61" t="str">
        <x:f>IF(N(F788)&gt;=10,"NHL_LATEST_10",IF(AND(N(F788)&gt;0,N(G788)&gt;0),"NHL_BOTH_SEASONS",IF(N(G788)&gt;=10,"NHL_PREVIOUS_10",IF(AND(ISNUMBER(AD788),AD788=0,SUM(F788:G788)=0),"FARM_CAREER_0",IF(COUNT(F788:G788)&lt;2,"UNKNOWN_GP",IF(AND(F788=0,G788=0),IF(AD788&gt;=10,"FARM_LEGACY_10",IF(AND(ISNUMBER(AD788),AD788&gt;0),"FARM_CAREER_1_9","FARM_0_0")),IF(F788&gt;=1,IF(F788&lt;=3,"FARM_RECENT_1_3","FARM_RECENT_4_9"),"FARM_PREV_1_9_ONLY")))))))</x:f>
        <x:v>UNKNOWN_GP</x:v>
      </x:c>
      <x:c r="AF788" s="57" t="n">
        <x:f>AB788-T788</x:f>
        <x:v>0</x:v>
      </x:c>
      <x:c r="AG788" s="57" t="n">
        <x:f>AC788-U788</x:f>
        <x:v>0</x:v>
      </x:c>
    </x:row>
    <x:row r="789">
      <x:c r="A789" t="s">
        <x:v>1812</x:v>
      </x:c>
      <x:c r="C789" t="s">
        <x:v>358</x:v>
      </x:c>
      <x:c r="D789">
        <x:v>8485483</x:v>
      </x:c>
      <x:c r="E789" t="s">
        <x:v>267</x:v>
      </x:c>
      <x:c r="J789" t="s">
        <x:v>2474</x:v>
      </x:c>
      <x:c r="K789">
        <x:v>63</x:v>
      </x:c>
      <x:c r="L789">
        <x:v>37</x:v>
      </x:c>
      <x:c r="M789">
        <x:v>89</x:v>
      </x:c>
      <x:c r="N789">
        <x:v>39</x:v>
      </x:c>
      <x:c r="O789">
        <x:v>81</x:v>
      </x:c>
      <x:c r="P789">
        <x:v>90</x:v>
      </x:c>
      <x:c r="Q789">
        <x:v>94</x:v>
      </x:c>
      <x:c r="R789">
        <x:v>40</x:v>
      </x:c>
      <x:c r="S789">
        <x:v>63</x:v>
      </x:c>
      <x:c r="T789" s="63" t="n">
        <x:f>MAX(30,MIN(AB789-VLOOKUP(AE789,'AHL_PA_SC_BALANCE'!$A$8:$E$18,2,FALSE),VLOOKUP(AE789,'AHL_PA_SC_BALANCE'!$A$8:$E$18,4,FALSE)))</x:f>
        <x:v>42</x:v>
      </x:c>
      <x:c r="U789" s="63" t="n">
        <x:f>MAX(30,MIN(AC789-VLOOKUP(AE789,'AHL_PA_SC_BALANCE'!$A$8:$E$18,3,FALSE),VLOOKUP(AE789,'AHL_PA_SC_BALANCE'!$A$8:$E$18,5,FALSE)))</x:f>
        <x:v>42</x:v>
      </x:c>
      <x:c r="V789">
        <x:v>60</x:v>
      </x:c>
      <x:c r="W789">
        <x:v>61</x:v>
      </x:c>
      <x:c r="X789">
        <x:v>66</x:v>
      </x:c>
      <x:c r="Y789">
        <x:v>65</x:v>
      </x:c>
      <x:c r="Z789">
        <x:v>51</x:v>
      </x:c>
      <x:c r="AA789">
        <x:v>47</x:v>
      </x:c>
      <x:c r="AB789" s="57" t="n">
        <x:v>42</x:v>
      </x:c>
      <x:c r="AC789" s="57" t="n">
        <x:v>42</x:v>
      </x:c>
      <x:c r="AD789" s="59"/>
      <x:c r="AE789" s="61" t="str">
        <x:f>IF(N(F789)&gt;=10,"NHL_LATEST_10",IF(AND(N(F789)&gt;0,N(G789)&gt;0),"NHL_BOTH_SEASONS",IF(N(G789)&gt;=10,"NHL_PREVIOUS_10",IF(AND(ISNUMBER(AD789),AD789=0,SUM(F789:G789)=0),"FARM_CAREER_0",IF(COUNT(F789:G789)&lt;2,"UNKNOWN_GP",IF(AND(F789=0,G789=0),IF(AD789&gt;=10,"FARM_LEGACY_10",IF(AND(ISNUMBER(AD789),AD789&gt;0),"FARM_CAREER_1_9","FARM_0_0")),IF(F789&gt;=1,IF(F789&lt;=3,"FARM_RECENT_1_3","FARM_RECENT_4_9"),"FARM_PREV_1_9_ONLY")))))))</x:f>
        <x:v>UNKNOWN_GP</x:v>
      </x:c>
      <x:c r="AF789" s="57" t="n">
        <x:f>AB789-T789</x:f>
        <x:v>0</x:v>
      </x:c>
      <x:c r="AG789" s="57" t="n">
        <x:f>AC789-U789</x:f>
        <x:v>0</x:v>
      </x:c>
    </x:row>
    <x:row r="790">
      <x:c r="A790" t="s">
        <x:v>1813</x:v>
      </x:c>
      <x:c r="C790" t="s">
        <x:v>319</x:v>
      </x:c>
      <x:c r="D790">
        <x:v>8482881</x:v>
      </x:c>
      <x:c r="E790" t="s">
        <x:v>267</x:v>
      </x:c>
      <x:c r="J790" t="s">
        <x:v>2474</x:v>
      </x:c>
      <x:c r="K790">
        <x:v>66</x:v>
      </x:c>
      <x:c r="L790">
        <x:v>46</x:v>
      </x:c>
      <x:c r="M790">
        <x:v>73</x:v>
      </x:c>
      <x:c r="N790">
        <x:v>40</x:v>
      </x:c>
      <x:c r="O790">
        <x:v>78</x:v>
      </x:c>
      <x:c r="P790">
        <x:v>77</x:v>
      </x:c>
      <x:c r="Q790">
        <x:v>79</x:v>
      </x:c>
      <x:c r="R790">
        <x:v>41</x:v>
      </x:c>
      <x:c r="S790">
        <x:v>73</x:v>
      </x:c>
      <x:c r="T790" s="63" t="n">
        <x:f>MAX(30,MIN(AB790-VLOOKUP(AE790,'AHL_PA_SC_BALANCE'!$A$8:$E$18,2,FALSE),VLOOKUP(AE790,'AHL_PA_SC_BALANCE'!$A$8:$E$18,4,FALSE)))</x:f>
        <x:v>43</x:v>
      </x:c>
      <x:c r="U790" s="63" t="n">
        <x:f>MAX(30,MIN(AC790-VLOOKUP(AE790,'AHL_PA_SC_BALANCE'!$A$8:$E$18,3,FALSE),VLOOKUP(AE790,'AHL_PA_SC_BALANCE'!$A$8:$E$18,5,FALSE)))</x:f>
        <x:v>41</x:v>
      </x:c>
      <x:c r="V790">
        <x:v>65</x:v>
      </x:c>
      <x:c r="W790">
        <x:v>61</x:v>
      </x:c>
      <x:c r="X790">
        <x:v>66</x:v>
      </x:c>
      <x:c r="Y790">
        <x:v>67</x:v>
      </x:c>
      <x:c r="Z790">
        <x:v>51</x:v>
      </x:c>
      <x:c r="AA790">
        <x:v>47</x:v>
      </x:c>
      <x:c r="AB790" s="57" t="n">
        <x:v>43</x:v>
      </x:c>
      <x:c r="AC790" s="57" t="n">
        <x:v>41</x:v>
      </x:c>
      <x:c r="AD790" s="59"/>
      <x:c r="AE790" s="61" t="str">
        <x:f>IF(N(F790)&gt;=10,"NHL_LATEST_10",IF(AND(N(F790)&gt;0,N(G790)&gt;0),"NHL_BOTH_SEASONS",IF(N(G790)&gt;=10,"NHL_PREVIOUS_10",IF(AND(ISNUMBER(AD790),AD790=0,SUM(F790:G790)=0),"FARM_CAREER_0",IF(COUNT(F790:G790)&lt;2,"UNKNOWN_GP",IF(AND(F790=0,G790=0),IF(AD790&gt;=10,"FARM_LEGACY_10",IF(AND(ISNUMBER(AD790),AD790&gt;0),"FARM_CAREER_1_9","FARM_0_0")),IF(F790&gt;=1,IF(F790&lt;=3,"FARM_RECENT_1_3","FARM_RECENT_4_9"),"FARM_PREV_1_9_ONLY")))))))</x:f>
        <x:v>UNKNOWN_GP</x:v>
      </x:c>
      <x:c r="AF790" s="57" t="n">
        <x:f>AB790-T790</x:f>
        <x:v>0</x:v>
      </x:c>
      <x:c r="AG790" s="57" t="n">
        <x:f>AC790-U790</x:f>
        <x:v>0</x:v>
      </x:c>
    </x:row>
    <x:row r="791">
      <x:c r="A791" t="s">
        <x:v>1814</x:v>
      </x:c>
      <x:c r="C791" t="s">
        <x:v>326</x:v>
      </x:c>
      <x:c r="D791">
        <x:v>8480032</x:v>
      </x:c>
      <x:c r="E791" t="s">
        <x:v>267</x:v>
      </x:c>
      <x:c r="J791" t="s">
        <x:v>2474</x:v>
      </x:c>
      <x:c r="K791">
        <x:v>69</x:v>
      </x:c>
      <x:c r="L791">
        <x:v>38</x:v>
      </x:c>
      <x:c r="M791">
        <x:v>78</x:v>
      </x:c>
      <x:c r="N791">
        <x:v>39</x:v>
      </x:c>
      <x:c r="O791">
        <x:v>81</x:v>
      </x:c>
      <x:c r="P791">
        <x:v>80</x:v>
      </x:c>
      <x:c r="Q791">
        <x:v>80</x:v>
      </x:c>
      <x:c r="R791">
        <x:v>40</x:v>
      </x:c>
      <x:c r="S791">
        <x:v>58</x:v>
      </x:c>
      <x:c r="T791" s="63" t="n">
        <x:f>MAX(30,MIN(AB791-VLOOKUP(AE791,'AHL_PA_SC_BALANCE'!$A$8:$E$18,2,FALSE),VLOOKUP(AE791,'AHL_PA_SC_BALANCE'!$A$8:$E$18,4,FALSE)))</x:f>
        <x:v>45</x:v>
      </x:c>
      <x:c r="U791" s="63" t="n">
        <x:f>MAX(30,MIN(AC791-VLOOKUP(AE791,'AHL_PA_SC_BALANCE'!$A$8:$E$18,3,FALSE),VLOOKUP(AE791,'AHL_PA_SC_BALANCE'!$A$8:$E$18,5,FALSE)))</x:f>
        <x:v>44</x:v>
      </x:c>
      <x:c r="V791">
        <x:v>64</x:v>
      </x:c>
      <x:c r="W791">
        <x:v>60</x:v>
      </x:c>
      <x:c r="X791">
        <x:v>69</x:v>
      </x:c>
      <x:c r="Y791">
        <x:v>70</x:v>
      </x:c>
      <x:c r="Z791">
        <x:v>51</x:v>
      </x:c>
      <x:c r="AA791">
        <x:v>47</x:v>
      </x:c>
      <x:c r="AB791" s="57" t="n">
        <x:v>45</x:v>
      </x:c>
      <x:c r="AC791" s="57" t="n">
        <x:v>44</x:v>
      </x:c>
      <x:c r="AD791" s="59"/>
      <x:c r="AE791" s="61" t="str">
        <x:f>IF(N(F791)&gt;=10,"NHL_LATEST_10",IF(AND(N(F791)&gt;0,N(G791)&gt;0),"NHL_BOTH_SEASONS",IF(N(G791)&gt;=10,"NHL_PREVIOUS_10",IF(AND(ISNUMBER(AD791),AD791=0,SUM(F791:G791)=0),"FARM_CAREER_0",IF(COUNT(F791:G791)&lt;2,"UNKNOWN_GP",IF(AND(F791=0,G791=0),IF(AD791&gt;=10,"FARM_LEGACY_10",IF(AND(ISNUMBER(AD791),AD791&gt;0),"FARM_CAREER_1_9","FARM_0_0")),IF(F791&gt;=1,IF(F791&lt;=3,"FARM_RECENT_1_3","FARM_RECENT_4_9"),"FARM_PREV_1_9_ONLY")))))))</x:f>
        <x:v>UNKNOWN_GP</x:v>
      </x:c>
      <x:c r="AF791" s="57" t="n">
        <x:f>AB791-T791</x:f>
        <x:v>0</x:v>
      </x:c>
      <x:c r="AG791" s="57" t="n">
        <x:f>AC791-U791</x:f>
        <x:v>0</x:v>
      </x:c>
    </x:row>
    <x:row r="792">
      <x:c r="A792" t="s">
        <x:v>1815</x:v>
      </x:c>
      <x:c r="C792" t="s">
        <x:v>326</x:v>
      </x:c>
      <x:c r="D792">
        <x:v>8480025</x:v>
      </x:c>
      <x:c r="E792" t="s">
        <x:v>267</x:v>
      </x:c>
      <x:c r="J792" t="s">
        <x:v>2474</x:v>
      </x:c>
      <x:c r="K792">
        <x:v>76</x:v>
      </x:c>
      <x:c r="L792">
        <x:v>83</x:v>
      </x:c>
      <x:c r="M792">
        <x:v>81</x:v>
      </x:c>
      <x:c r="N792">
        <x:v>38</x:v>
      </x:c>
      <x:c r="O792">
        <x:v>82</x:v>
      </x:c>
      <x:c r="P792">
        <x:v>78</x:v>
      </x:c>
      <x:c r="Q792">
        <x:v>82</x:v>
      </x:c>
      <x:c r="R792">
        <x:v>37</x:v>
      </x:c>
      <x:c r="S792">
        <x:v>79</x:v>
      </x:c>
      <x:c r="T792" s="63" t="n">
        <x:f>MAX(30,MIN(AB792-VLOOKUP(AE792,'AHL_PA_SC_BALANCE'!$A$8:$E$18,2,FALSE),VLOOKUP(AE792,'AHL_PA_SC_BALANCE'!$A$8:$E$18,4,FALSE)))</x:f>
        <x:v>47</x:v>
      </x:c>
      <x:c r="U792" s="63" t="n">
        <x:f>MAX(30,MIN(AC792-VLOOKUP(AE792,'AHL_PA_SC_BALANCE'!$A$8:$E$18,3,FALSE),VLOOKUP(AE792,'AHL_PA_SC_BALANCE'!$A$8:$E$18,5,FALSE)))</x:f>
        <x:v>48</x:v>
      </x:c>
      <x:c r="V792">
        <x:v>62</x:v>
      </x:c>
      <x:c r="W792">
        <x:v>60</x:v>
      </x:c>
      <x:c r="X792">
        <x:v>69</x:v>
      </x:c>
      <x:c r="Y792">
        <x:v>68</x:v>
      </x:c>
      <x:c r="Z792">
        <x:v>51</x:v>
      </x:c>
      <x:c r="AA792">
        <x:v>47</x:v>
      </x:c>
      <x:c r="AB792" s="57" t="n">
        <x:v>47</x:v>
      </x:c>
      <x:c r="AC792" s="57" t="n">
        <x:v>48</x:v>
      </x:c>
      <x:c r="AD792" s="59"/>
      <x:c r="AE792" s="61" t="str">
        <x:f>IF(N(F792)&gt;=10,"NHL_LATEST_10",IF(AND(N(F792)&gt;0,N(G792)&gt;0),"NHL_BOTH_SEASONS",IF(N(G792)&gt;=10,"NHL_PREVIOUS_10",IF(AND(ISNUMBER(AD792),AD792=0,SUM(F792:G792)=0),"FARM_CAREER_0",IF(COUNT(F792:G792)&lt;2,"UNKNOWN_GP",IF(AND(F792=0,G792=0),IF(AD792&gt;=10,"FARM_LEGACY_10",IF(AND(ISNUMBER(AD792),AD792&gt;0),"FARM_CAREER_1_9","FARM_0_0")),IF(F792&gt;=1,IF(F792&lt;=3,"FARM_RECENT_1_3","FARM_RECENT_4_9"),"FARM_PREV_1_9_ONLY")))))))</x:f>
        <x:v>UNKNOWN_GP</x:v>
      </x:c>
      <x:c r="AF792" s="57" t="n">
        <x:f>AB792-T792</x:f>
        <x:v>0</x:v>
      </x:c>
      <x:c r="AG792" s="57" t="n">
        <x:f>AC792-U792</x:f>
        <x:v>0</x:v>
      </x:c>
    </x:row>
    <x:row r="793">
      <x:c r="A793" t="s">
        <x:v>1816</x:v>
      </x:c>
      <x:c r="C793" t="s">
        <x:v>358</x:v>
      </x:c>
      <x:c r="D793">
        <x:v>8485470</x:v>
      </x:c>
      <x:c r="E793" t="s">
        <x:v>267</x:v>
      </x:c>
      <x:c r="J793" t="s">
        <x:v>2474</x:v>
      </x:c>
      <x:c r="K793">
        <x:v>77</x:v>
      </x:c>
      <x:c r="L793">
        <x:v>39</x:v>
      </x:c>
      <x:c r="M793">
        <x:v>80</x:v>
      </x:c>
      <x:c r="N793">
        <x:v>38</x:v>
      </x:c>
      <x:c r="O793">
        <x:v>83</x:v>
      </x:c>
      <x:c r="P793">
        <x:v>75</x:v>
      </x:c>
      <x:c r="Q793">
        <x:v>78</x:v>
      </x:c>
      <x:c r="R793">
        <x:v>38</x:v>
      </x:c>
      <x:c r="S793">
        <x:v>70</x:v>
      </x:c>
      <x:c r="T793" s="63" t="n">
        <x:f>MAX(30,MIN(AB793-VLOOKUP(AE793,'AHL_PA_SC_BALANCE'!$A$8:$E$18,2,FALSE),VLOOKUP(AE793,'AHL_PA_SC_BALANCE'!$A$8:$E$18,4,FALSE)))</x:f>
        <x:v>41</x:v>
      </x:c>
      <x:c r="U793" s="63" t="n">
        <x:f>MAX(30,MIN(AC793-VLOOKUP(AE793,'AHL_PA_SC_BALANCE'!$A$8:$E$18,3,FALSE),VLOOKUP(AE793,'AHL_PA_SC_BALANCE'!$A$8:$E$18,5,FALSE)))</x:f>
        <x:v>40</x:v>
      </x:c>
      <x:c r="V793">
        <x:v>62</x:v>
      </x:c>
      <x:c r="W793">
        <x:v>59</x:v>
      </x:c>
      <x:c r="X793">
        <x:v>65</x:v>
      </x:c>
      <x:c r="Y793">
        <x:v>65</x:v>
      </x:c>
      <x:c r="Z793">
        <x:v>51</x:v>
      </x:c>
      <x:c r="AA793">
        <x:v>47</x:v>
      </x:c>
      <x:c r="AB793" s="57" t="n">
        <x:v>41</x:v>
      </x:c>
      <x:c r="AC793" s="57" t="n">
        <x:v>40</x:v>
      </x:c>
      <x:c r="AD793" s="59"/>
      <x:c r="AE793" s="61" t="str">
        <x:f>IF(N(F793)&gt;=10,"NHL_LATEST_10",IF(AND(N(F793)&gt;0,N(G793)&gt;0),"NHL_BOTH_SEASONS",IF(N(G793)&gt;=10,"NHL_PREVIOUS_10",IF(AND(ISNUMBER(AD793),AD793=0,SUM(F793:G793)=0),"FARM_CAREER_0",IF(COUNT(F793:G793)&lt;2,"UNKNOWN_GP",IF(AND(F793=0,G793=0),IF(AD793&gt;=10,"FARM_LEGACY_10",IF(AND(ISNUMBER(AD793),AD793&gt;0),"FARM_CAREER_1_9","FARM_0_0")),IF(F793&gt;=1,IF(F793&lt;=3,"FARM_RECENT_1_3","FARM_RECENT_4_9"),"FARM_PREV_1_9_ONLY")))))))</x:f>
        <x:v>UNKNOWN_GP</x:v>
      </x:c>
      <x:c r="AF793" s="57" t="n">
        <x:f>AB793-T793</x:f>
        <x:v>0</x:v>
      </x:c>
      <x:c r="AG793" s="57" t="n">
        <x:f>AC793-U793</x:f>
        <x:v>0</x:v>
      </x:c>
    </x:row>
    <x:row r="794">
      <x:c r="A794" t="s">
        <x:v>1817</x:v>
      </x:c>
      <x:c r="C794" t="s">
        <x:v>326</x:v>
      </x:c>
      <x:c r="D794">
        <x:v>8483063</x:v>
      </x:c>
      <x:c r="E794" t="s">
        <x:v>267</x:v>
      </x:c>
      <x:c r="J794" t="s">
        <x:v>2474</x:v>
      </x:c>
      <x:c r="K794">
        <x:v>57</x:v>
      </x:c>
      <x:c r="L794">
        <x:v>37</x:v>
      </x:c>
      <x:c r="M794">
        <x:v>85</x:v>
      </x:c>
      <x:c r="N794">
        <x:v>40</x:v>
      </x:c>
      <x:c r="O794">
        <x:v>76</x:v>
      </x:c>
      <x:c r="P794">
        <x:v>88</x:v>
      </x:c>
      <x:c r="Q794">
        <x:v>91</x:v>
      </x:c>
      <x:c r="R794">
        <x:v>39</x:v>
      </x:c>
      <x:c r="S794">
        <x:v>67</x:v>
      </x:c>
      <x:c r="T794" s="63" t="n">
        <x:f>MAX(30,MIN(AB794-VLOOKUP(AE794,'AHL_PA_SC_BALANCE'!$A$8:$E$18,2,FALSE),VLOOKUP(AE794,'AHL_PA_SC_BALANCE'!$A$8:$E$18,4,FALSE)))</x:f>
        <x:v>42</x:v>
      </x:c>
      <x:c r="U794" s="63" t="n">
        <x:f>MAX(30,MIN(AC794-VLOOKUP(AE794,'AHL_PA_SC_BALANCE'!$A$8:$E$18,3,FALSE),VLOOKUP(AE794,'AHL_PA_SC_BALANCE'!$A$8:$E$18,5,FALSE)))</x:f>
        <x:v>41</x:v>
      </x:c>
      <x:c r="V794">
        <x:v>59</x:v>
      </x:c>
      <x:c r="W794">
        <x:v>61</x:v>
      </x:c>
      <x:c r="X794">
        <x:v>68</x:v>
      </x:c>
      <x:c r="Y794">
        <x:v>68</x:v>
      </x:c>
      <x:c r="Z794">
        <x:v>51</x:v>
      </x:c>
      <x:c r="AA794">
        <x:v>47</x:v>
      </x:c>
      <x:c r="AB794" s="57" t="n">
        <x:v>42</x:v>
      </x:c>
      <x:c r="AC794" s="57" t="n">
        <x:v>41</x:v>
      </x:c>
      <x:c r="AD794" s="59"/>
      <x:c r="AE794" s="61" t="str">
        <x:f>IF(N(F794)&gt;=10,"NHL_LATEST_10",IF(AND(N(F794)&gt;0,N(G794)&gt;0),"NHL_BOTH_SEASONS",IF(N(G794)&gt;=10,"NHL_PREVIOUS_10",IF(AND(ISNUMBER(AD794),AD794=0,SUM(F794:G794)=0),"FARM_CAREER_0",IF(COUNT(F794:G794)&lt;2,"UNKNOWN_GP",IF(AND(F794=0,G794=0),IF(AD794&gt;=10,"FARM_LEGACY_10",IF(AND(ISNUMBER(AD794),AD794&gt;0),"FARM_CAREER_1_9","FARM_0_0")),IF(F794&gt;=1,IF(F794&lt;=3,"FARM_RECENT_1_3","FARM_RECENT_4_9"),"FARM_PREV_1_9_ONLY")))))))</x:f>
        <x:v>UNKNOWN_GP</x:v>
      </x:c>
      <x:c r="AF794" s="57" t="n">
        <x:f>AB794-T794</x:f>
        <x:v>0</x:v>
      </x:c>
      <x:c r="AG794" s="57" t="n">
        <x:f>AC794-U794</x:f>
        <x:v>0</x:v>
      </x:c>
    </x:row>
    <x:row r="795">
      <x:c r="A795" t="s">
        <x:v>1818</x:v>
      </x:c>
      <x:c r="C795" t="s">
        <x:v>333</x:v>
      </x:c>
      <x:c r="D795">
        <x:v>8482919</x:v>
      </x:c>
      <x:c r="E795" t="s">
        <x:v>267</x:v>
      </x:c>
      <x:c r="J795" t="s">
        <x:v>2474</x:v>
      </x:c>
      <x:c r="K795">
        <x:v>68</x:v>
      </x:c>
      <x:c r="L795">
        <x:v>37</x:v>
      </x:c>
      <x:c r="M795">
        <x:v>84</x:v>
      </x:c>
      <x:c r="N795">
        <x:v>39</x:v>
      </x:c>
      <x:c r="O795">
        <x:v>79</x:v>
      </x:c>
      <x:c r="P795">
        <x:v>77</x:v>
      </x:c>
      <x:c r="Q795">
        <x:v>81</x:v>
      </x:c>
      <x:c r="R795">
        <x:v>38</x:v>
      </x:c>
      <x:c r="S795">
        <x:v>69</x:v>
      </x:c>
      <x:c r="T795" s="63" t="n">
        <x:f>MAX(30,MIN(AB795-VLOOKUP(AE795,'AHL_PA_SC_BALANCE'!$A$8:$E$18,2,FALSE),VLOOKUP(AE795,'AHL_PA_SC_BALANCE'!$A$8:$E$18,4,FALSE)))</x:f>
        <x:v>42</x:v>
      </x:c>
      <x:c r="U795" s="63" t="n">
        <x:f>MAX(30,MIN(AC795-VLOOKUP(AE795,'AHL_PA_SC_BALANCE'!$A$8:$E$18,3,FALSE),VLOOKUP(AE795,'AHL_PA_SC_BALANCE'!$A$8:$E$18,5,FALSE)))</x:f>
        <x:v>40</x:v>
      </x:c>
      <x:c r="V795">
        <x:v>64</x:v>
      </x:c>
      <x:c r="W795">
        <x:v>60</x:v>
      </x:c>
      <x:c r="X795">
        <x:v>66</x:v>
      </x:c>
      <x:c r="Y795">
        <x:v>66</x:v>
      </x:c>
      <x:c r="Z795">
        <x:v>51</x:v>
      </x:c>
      <x:c r="AA795">
        <x:v>47</x:v>
      </x:c>
      <x:c r="AB795" s="57" t="n">
        <x:v>42</x:v>
      </x:c>
      <x:c r="AC795" s="57" t="n">
        <x:v>40</x:v>
      </x:c>
      <x:c r="AD795" s="59"/>
      <x:c r="AE795" s="61" t="str">
        <x:f>IF(N(F795)&gt;=10,"NHL_LATEST_10",IF(AND(N(F795)&gt;0,N(G795)&gt;0),"NHL_BOTH_SEASONS",IF(N(G795)&gt;=10,"NHL_PREVIOUS_10",IF(AND(ISNUMBER(AD795),AD795=0,SUM(F795:G795)=0),"FARM_CAREER_0",IF(COUNT(F795:G795)&lt;2,"UNKNOWN_GP",IF(AND(F795=0,G795=0),IF(AD795&gt;=10,"FARM_LEGACY_10",IF(AND(ISNUMBER(AD795),AD795&gt;0),"FARM_CAREER_1_9","FARM_0_0")),IF(F795&gt;=1,IF(F795&lt;=3,"FARM_RECENT_1_3","FARM_RECENT_4_9"),"FARM_PREV_1_9_ONLY")))))))</x:f>
        <x:v>UNKNOWN_GP</x:v>
      </x:c>
      <x:c r="AF795" s="57" t="n">
        <x:f>AB795-T795</x:f>
        <x:v>0</x:v>
      </x:c>
      <x:c r="AG795" s="57" t="n">
        <x:f>AC795-U795</x:f>
        <x:v>0</x:v>
      </x:c>
    </x:row>
    <x:row r="796">
      <x:c r="A796" t="s">
        <x:v>1819</x:v>
      </x:c>
      <x:c r="C796" t="s">
        <x:v>358</x:v>
      </x:c>
      <x:c r="D796">
        <x:v>8478429</x:v>
      </x:c>
      <x:c r="E796" t="s">
        <x:v>267</x:v>
      </x:c>
      <x:c r="J796" t="s">
        <x:v>2474</x:v>
      </x:c>
      <x:c r="K796">
        <x:v>63</x:v>
      </x:c>
      <x:c r="L796">
        <x:v>38</x:v>
      </x:c>
      <x:c r="M796">
        <x:v>85</x:v>
      </x:c>
      <x:c r="N796">
        <x:v>39</x:v>
      </x:c>
      <x:c r="O796">
        <x:v>79</x:v>
      </x:c>
      <x:c r="P796">
        <x:v>85</x:v>
      </x:c>
      <x:c r="Q796">
        <x:v>88</x:v>
      </x:c>
      <x:c r="R796">
        <x:v>39</x:v>
      </x:c>
      <x:c r="S796">
        <x:v>53</x:v>
      </x:c>
      <x:c r="T796" s="63" t="n">
        <x:f>MAX(30,MIN(AB796-VLOOKUP(AE796,'AHL_PA_SC_BALANCE'!$A$8:$E$18,2,FALSE),VLOOKUP(AE796,'AHL_PA_SC_BALANCE'!$A$8:$E$18,4,FALSE)))</x:f>
        <x:v>41</x:v>
      </x:c>
      <x:c r="U796" s="63" t="n">
        <x:f>MAX(30,MIN(AC796-VLOOKUP(AE796,'AHL_PA_SC_BALANCE'!$A$8:$E$18,3,FALSE),VLOOKUP(AE796,'AHL_PA_SC_BALANCE'!$A$8:$E$18,5,FALSE)))</x:f>
        <x:v>41</x:v>
      </x:c>
      <x:c r="V796">
        <x:v>59</x:v>
      </x:c>
      <x:c r="W796">
        <x:v>60</x:v>
      </x:c>
      <x:c r="X796">
        <x:v>71</x:v>
      </x:c>
      <x:c r="Y796">
        <x:v>71</x:v>
      </x:c>
      <x:c r="Z796">
        <x:v>51</x:v>
      </x:c>
      <x:c r="AA796">
        <x:v>47</x:v>
      </x:c>
      <x:c r="AB796" s="57" t="n">
        <x:v>41</x:v>
      </x:c>
      <x:c r="AC796" s="57" t="n">
        <x:v>41</x:v>
      </x:c>
      <x:c r="AD796" s="59"/>
      <x:c r="AE796" s="61" t="str">
        <x:f>IF(N(F796)&gt;=10,"NHL_LATEST_10",IF(AND(N(F796)&gt;0,N(G796)&gt;0),"NHL_BOTH_SEASONS",IF(N(G796)&gt;=10,"NHL_PREVIOUS_10",IF(AND(ISNUMBER(AD796),AD796=0,SUM(F796:G796)=0),"FARM_CAREER_0",IF(COUNT(F796:G796)&lt;2,"UNKNOWN_GP",IF(AND(F796=0,G796=0),IF(AD796&gt;=10,"FARM_LEGACY_10",IF(AND(ISNUMBER(AD796),AD796&gt;0),"FARM_CAREER_1_9","FARM_0_0")),IF(F796&gt;=1,IF(F796&lt;=3,"FARM_RECENT_1_3","FARM_RECENT_4_9"),"FARM_PREV_1_9_ONLY")))))))</x:f>
        <x:v>UNKNOWN_GP</x:v>
      </x:c>
      <x:c r="AF796" s="57" t="n">
        <x:f>AB796-T796</x:f>
        <x:v>0</x:v>
      </x:c>
      <x:c r="AG796" s="57" t="n">
        <x:f>AC796-U796</x:f>
        <x:v>0</x:v>
      </x:c>
    </x:row>
    <x:row r="797">
      <x:c r="A797" t="s">
        <x:v>1820</x:v>
      </x:c>
      <x:c r="C797" t="s">
        <x:v>319</x:v>
      </x:c>
      <x:c r="D797">
        <x:v>8483043</x:v>
      </x:c>
      <x:c r="E797" t="s">
        <x:v>267</x:v>
      </x:c>
      <x:c r="J797" t="s">
        <x:v>2474</x:v>
      </x:c>
      <x:c r="K797">
        <x:v>63</x:v>
      </x:c>
      <x:c r="L797">
        <x:v>35</x:v>
      </x:c>
      <x:c r="M797">
        <x:v>84</x:v>
      </x:c>
      <x:c r="N797">
        <x:v>40</x:v>
      </x:c>
      <x:c r="O797">
        <x:v>77</x:v>
      </x:c>
      <x:c r="P797">
        <x:v>83</x:v>
      </x:c>
      <x:c r="Q797">
        <x:v>87</x:v>
      </x:c>
      <x:c r="R797">
        <x:v>41</x:v>
      </x:c>
      <x:c r="S797">
        <x:v>73</x:v>
      </x:c>
      <x:c r="T797" s="63" t="n">
        <x:f>MAX(30,MIN(AB797-VLOOKUP(AE797,'AHL_PA_SC_BALANCE'!$A$8:$E$18,2,FALSE),VLOOKUP(AE797,'AHL_PA_SC_BALANCE'!$A$8:$E$18,4,FALSE)))</x:f>
        <x:v>43</x:v>
      </x:c>
      <x:c r="U797" s="63" t="n">
        <x:f>MAX(30,MIN(AC797-VLOOKUP(AE797,'AHL_PA_SC_BALANCE'!$A$8:$E$18,3,FALSE),VLOOKUP(AE797,'AHL_PA_SC_BALANCE'!$A$8:$E$18,5,FALSE)))</x:f>
        <x:v>43</x:v>
      </x:c>
      <x:c r="V797">
        <x:v>60</x:v>
      </x:c>
      <x:c r="W797">
        <x:v>63</x:v>
      </x:c>
      <x:c r="X797">
        <x:v>66</x:v>
      </x:c>
      <x:c r="Y797">
        <x:v>66</x:v>
      </x:c>
      <x:c r="Z797">
        <x:v>51</x:v>
      </x:c>
      <x:c r="AA797">
        <x:v>47</x:v>
      </x:c>
      <x:c r="AB797" s="57" t="n">
        <x:v>43</x:v>
      </x:c>
      <x:c r="AC797" s="57" t="n">
        <x:v>43</x:v>
      </x:c>
      <x:c r="AD797" s="59"/>
      <x:c r="AE797" s="61" t="str">
        <x:f>IF(N(F797)&gt;=10,"NHL_LATEST_10",IF(AND(N(F797)&gt;0,N(G797)&gt;0),"NHL_BOTH_SEASONS",IF(N(G797)&gt;=10,"NHL_PREVIOUS_10",IF(AND(ISNUMBER(AD797),AD797=0,SUM(F797:G797)=0),"FARM_CAREER_0",IF(COUNT(F797:G797)&lt;2,"UNKNOWN_GP",IF(AND(F797=0,G797=0),IF(AD797&gt;=10,"FARM_LEGACY_10",IF(AND(ISNUMBER(AD797),AD797&gt;0),"FARM_CAREER_1_9","FARM_0_0")),IF(F797&gt;=1,IF(F797&lt;=3,"FARM_RECENT_1_3","FARM_RECENT_4_9"),"FARM_PREV_1_9_ONLY")))))))</x:f>
        <x:v>UNKNOWN_GP</x:v>
      </x:c>
      <x:c r="AF797" s="57" t="n">
        <x:f>AB797-T797</x:f>
        <x:v>0</x:v>
      </x:c>
      <x:c r="AG797" s="57" t="n">
        <x:f>AC797-U797</x:f>
        <x:v>0</x:v>
      </x:c>
    </x:row>
    <x:row r="798">
      <x:c r="A798" t="s">
        <x:v>1821</x:v>
      </x:c>
      <x:c r="C798" t="s">
        <x:v>326</x:v>
      </x:c>
      <x:c r="D798">
        <x:v>8484466</x:v>
      </x:c>
      <x:c r="E798" t="s">
        <x:v>267</x:v>
      </x:c>
      <x:c r="J798" t="s">
        <x:v>2474</x:v>
      </x:c>
      <x:c r="K798">
        <x:v>62</x:v>
      </x:c>
      <x:c r="L798">
        <x:v>39</x:v>
      </x:c>
      <x:c r="M798">
        <x:v>82</x:v>
      </x:c>
      <x:c r="N798">
        <x:v>40</x:v>
      </x:c>
      <x:c r="O798">
        <x:v>82</x:v>
      </x:c>
      <x:c r="P798">
        <x:v>81</x:v>
      </x:c>
      <x:c r="Q798">
        <x:v>85</x:v>
      </x:c>
      <x:c r="R798">
        <x:v>40</x:v>
      </x:c>
      <x:c r="S798">
        <x:v>69</x:v>
      </x:c>
      <x:c r="T798" s="63" t="n">
        <x:f>MAX(30,MIN(AB798-VLOOKUP(AE798,'AHL_PA_SC_BALANCE'!$A$8:$E$18,2,FALSE),VLOOKUP(AE798,'AHL_PA_SC_BALANCE'!$A$8:$E$18,4,FALSE)))</x:f>
        <x:v>41</x:v>
      </x:c>
      <x:c r="U798" s="63" t="n">
        <x:f>MAX(30,MIN(AC798-VLOOKUP(AE798,'AHL_PA_SC_BALANCE'!$A$8:$E$18,3,FALSE),VLOOKUP(AE798,'AHL_PA_SC_BALANCE'!$A$8:$E$18,5,FALSE)))</x:f>
        <x:v>44</x:v>
      </x:c>
      <x:c r="V798">
        <x:v>59</x:v>
      </x:c>
      <x:c r="W798">
        <x:v>62</x:v>
      </x:c>
      <x:c r="X798">
        <x:v>65</x:v>
      </x:c>
      <x:c r="Y798">
        <x:v>65</x:v>
      </x:c>
      <x:c r="Z798">
        <x:v>51</x:v>
      </x:c>
      <x:c r="AA798">
        <x:v>47</x:v>
      </x:c>
      <x:c r="AB798" s="57" t="n">
        <x:v>41</x:v>
      </x:c>
      <x:c r="AC798" s="57" t="n">
        <x:v>44</x:v>
      </x:c>
      <x:c r="AD798" s="59"/>
      <x:c r="AE798" s="61" t="str">
        <x:f>IF(N(F798)&gt;=10,"NHL_LATEST_10",IF(AND(N(F798)&gt;0,N(G798)&gt;0),"NHL_BOTH_SEASONS",IF(N(G798)&gt;=10,"NHL_PREVIOUS_10",IF(AND(ISNUMBER(AD798),AD798=0,SUM(F798:G798)=0),"FARM_CAREER_0",IF(COUNT(F798:G798)&lt;2,"UNKNOWN_GP",IF(AND(F798=0,G798=0),IF(AD798&gt;=10,"FARM_LEGACY_10",IF(AND(ISNUMBER(AD798),AD798&gt;0),"FARM_CAREER_1_9","FARM_0_0")),IF(F798&gt;=1,IF(F798&lt;=3,"FARM_RECENT_1_3","FARM_RECENT_4_9"),"FARM_PREV_1_9_ONLY")))))))</x:f>
        <x:v>UNKNOWN_GP</x:v>
      </x:c>
      <x:c r="AF798" s="57" t="n">
        <x:f>AB798-T798</x:f>
        <x:v>0</x:v>
      </x:c>
      <x:c r="AG798" s="57" t="n">
        <x:f>AC798-U798</x:f>
        <x:v>0</x:v>
      </x:c>
    </x:row>
    <x:row r="799">
      <x:c r="A799" t="s">
        <x:v>1822</x:v>
      </x:c>
      <x:c r="C799" t="s">
        <x:v>329</x:v>
      </x:c>
      <x:c r="D799">
        <x:v>8484497</x:v>
      </x:c>
      <x:c r="E799" t="s">
        <x:v>267</x:v>
      </x:c>
      <x:c r="J799" t="s">
        <x:v>2474</x:v>
      </x:c>
      <x:c r="K799">
        <x:v>68</x:v>
      </x:c>
      <x:c r="L799">
        <x:v>37</x:v>
      </x:c>
      <x:c r="M799">
        <x:v>84</x:v>
      </x:c>
      <x:c r="N799">
        <x:v>39</x:v>
      </x:c>
      <x:c r="O799">
        <x:v>78</x:v>
      </x:c>
      <x:c r="P799">
        <x:v>77</x:v>
      </x:c>
      <x:c r="Q799">
        <x:v>81</x:v>
      </x:c>
      <x:c r="R799">
        <x:v>39</x:v>
      </x:c>
      <x:c r="S799">
        <x:v>78</x:v>
      </x:c>
      <x:c r="T799" s="63" t="n">
        <x:f>MAX(30,MIN(AB799-VLOOKUP(AE799,'AHL_PA_SC_BALANCE'!$A$8:$E$18,2,FALSE),VLOOKUP(AE799,'AHL_PA_SC_BALANCE'!$A$8:$E$18,4,FALSE)))</x:f>
        <x:v>41</x:v>
      </x:c>
      <x:c r="U799" s="63" t="n">
        <x:f>MAX(30,MIN(AC799-VLOOKUP(AE799,'AHL_PA_SC_BALANCE'!$A$8:$E$18,3,FALSE),VLOOKUP(AE799,'AHL_PA_SC_BALANCE'!$A$8:$E$18,5,FALSE)))</x:f>
        <x:v>42</x:v>
      </x:c>
      <x:c r="V799">
        <x:v>61</x:v>
      </x:c>
      <x:c r="W799">
        <x:v>60</x:v>
      </x:c>
      <x:c r="X799">
        <x:v>67</x:v>
      </x:c>
      <x:c r="Y799">
        <x:v>68</x:v>
      </x:c>
      <x:c r="Z799">
        <x:v>51</x:v>
      </x:c>
      <x:c r="AA799">
        <x:v>47</x:v>
      </x:c>
      <x:c r="AB799" s="57" t="n">
        <x:v>41</x:v>
      </x:c>
      <x:c r="AC799" s="57" t="n">
        <x:v>42</x:v>
      </x:c>
      <x:c r="AD799" s="59"/>
      <x:c r="AE799" s="61" t="str">
        <x:f>IF(N(F799)&gt;=10,"NHL_LATEST_10",IF(AND(N(F799)&gt;0,N(G799)&gt;0),"NHL_BOTH_SEASONS",IF(N(G799)&gt;=10,"NHL_PREVIOUS_10",IF(AND(ISNUMBER(AD799),AD799=0,SUM(F799:G799)=0),"FARM_CAREER_0",IF(COUNT(F799:G799)&lt;2,"UNKNOWN_GP",IF(AND(F799=0,G799=0),IF(AD799&gt;=10,"FARM_LEGACY_10",IF(AND(ISNUMBER(AD799),AD799&gt;0),"FARM_CAREER_1_9","FARM_0_0")),IF(F799&gt;=1,IF(F799&lt;=3,"FARM_RECENT_1_3","FARM_RECENT_4_9"),"FARM_PREV_1_9_ONLY")))))))</x:f>
        <x:v>UNKNOWN_GP</x:v>
      </x:c>
      <x:c r="AF799" s="57" t="n">
        <x:f>AB799-T799</x:f>
        <x:v>0</x:v>
      </x:c>
      <x:c r="AG799" s="57" t="n">
        <x:f>AC799-U799</x:f>
        <x:v>0</x:v>
      </x:c>
    </x:row>
    <x:row r="800">
      <x:c r="A800" t="s">
        <x:v>1823</x:v>
      </x:c>
      <x:c r="B800" t="s">
        <x:v>584</x:v>
      </x:c>
      <x:c r="C800" t="s">
        <x:v>323</x:v>
      </x:c>
      <x:c r="E800" t="s">
        <x:v>267</x:v>
      </x:c>
      <x:c r="J800" t="s">
        <x:v>2474</x:v>
      </x:c>
      <x:c r="K800">
        <x:v>60</x:v>
      </x:c>
      <x:c r="L800">
        <x:v>32</x:v>
      </x:c>
      <x:c r="M800">
        <x:v>79</x:v>
      </x:c>
      <x:c r="N800">
        <x:v>40</x:v>
      </x:c>
      <x:c r="O800">
        <x:v>82</x:v>
      </x:c>
      <x:c r="P800">
        <x:v>77</x:v>
      </x:c>
      <x:c r="Q800">
        <x:v>80</x:v>
      </x:c>
      <x:c r="R800">
        <x:v>40</x:v>
      </x:c>
      <x:c r="S800">
        <x:v>63</x:v>
      </x:c>
      <x:c r="T800" s="63" t="n">
        <x:f>MAX(30,MIN(AB800-VLOOKUP(AE800,'AHL_PA_SC_BALANCE'!$A$8:$E$18,2,FALSE),VLOOKUP(AE800,'AHL_PA_SC_BALANCE'!$A$8:$E$18,4,FALSE)))</x:f>
        <x:v>43</x:v>
      </x:c>
      <x:c r="U800" s="63" t="n">
        <x:f>MAX(30,MIN(AC800-VLOOKUP(AE800,'AHL_PA_SC_BALANCE'!$A$8:$E$18,3,FALSE),VLOOKUP(AE800,'AHL_PA_SC_BALANCE'!$A$8:$E$18,5,FALSE)))</x:f>
        <x:v>41</x:v>
      </x:c>
      <x:c r="V800">
        <x:v>59</x:v>
      </x:c>
      <x:c r="W800">
        <x:v>61</x:v>
      </x:c>
      <x:c r="X800">
        <x:v>69</x:v>
      </x:c>
      <x:c r="Y800">
        <x:v>69</x:v>
      </x:c>
      <x:c r="Z800">
        <x:v>51</x:v>
      </x:c>
      <x:c r="AA800">
        <x:v>47</x:v>
      </x:c>
      <x:c r="AB800" s="57" t="n">
        <x:v>43</x:v>
      </x:c>
      <x:c r="AC800" s="57" t="n">
        <x:v>41</x:v>
      </x:c>
      <x:c r="AD800" s="59"/>
      <x:c r="AE800" s="61" t="str">
        <x:f>IF(N(F800)&gt;=10,"NHL_LATEST_10",IF(AND(N(F800)&gt;0,N(G800)&gt;0),"NHL_BOTH_SEASONS",IF(N(G800)&gt;=10,"NHL_PREVIOUS_10",IF(AND(ISNUMBER(AD800),AD800=0,SUM(F800:G800)=0),"FARM_CAREER_0",IF(COUNT(F800:G800)&lt;2,"UNKNOWN_GP",IF(AND(F800=0,G800=0),IF(AD800&gt;=10,"FARM_LEGACY_10",IF(AND(ISNUMBER(AD800),AD800&gt;0),"FARM_CAREER_1_9","FARM_0_0")),IF(F800&gt;=1,IF(F800&lt;=3,"FARM_RECENT_1_3","FARM_RECENT_4_9"),"FARM_PREV_1_9_ONLY")))))))</x:f>
        <x:v>UNKNOWN_GP</x:v>
      </x:c>
      <x:c r="AF800" s="57" t="n">
        <x:f>AB800-T800</x:f>
        <x:v>0</x:v>
      </x:c>
      <x:c r="AG800" s="57" t="n">
        <x:f>AC800-U800</x:f>
        <x:v>0</x:v>
      </x:c>
    </x:row>
    <x:row r="801">
      <x:c r="A801" t="s">
        <x:v>1824</x:v>
      </x:c>
      <x:c r="C801" t="s">
        <x:v>319</x:v>
      </x:c>
      <x:c r="D801">
        <x:v>8484236</x:v>
      </x:c>
      <x:c r="E801" t="s">
        <x:v>267</x:v>
      </x:c>
      <x:c r="J801" t="s">
        <x:v>2474</x:v>
      </x:c>
      <x:c r="K801">
        <x:v>58</x:v>
      </x:c>
      <x:c r="L801">
        <x:v>39</x:v>
      </x:c>
      <x:c r="M801">
        <x:v>82</x:v>
      </x:c>
      <x:c r="N801">
        <x:v>39</x:v>
      </x:c>
      <x:c r="O801">
        <x:v>82</x:v>
      </x:c>
      <x:c r="P801">
        <x:v>88</x:v>
      </x:c>
      <x:c r="Q801">
        <x:v>92</x:v>
      </x:c>
      <x:c r="R801">
        <x:v>40</x:v>
      </x:c>
      <x:c r="S801">
        <x:v>69</x:v>
      </x:c>
      <x:c r="T801" s="63" t="n">
        <x:f>MAX(30,MIN(AB801-VLOOKUP(AE801,'AHL_PA_SC_BALANCE'!$A$8:$E$18,2,FALSE),VLOOKUP(AE801,'AHL_PA_SC_BALANCE'!$A$8:$E$18,4,FALSE)))</x:f>
        <x:v>41</x:v>
      </x:c>
      <x:c r="U801" s="63" t="n">
        <x:f>MAX(30,MIN(AC801-VLOOKUP(AE801,'AHL_PA_SC_BALANCE'!$A$8:$E$18,3,FALSE),VLOOKUP(AE801,'AHL_PA_SC_BALANCE'!$A$8:$E$18,5,FALSE)))</x:f>
        <x:v>42</x:v>
      </x:c>
      <x:c r="V801">
        <x:v>62</x:v>
      </x:c>
      <x:c r="W801">
        <x:v>60</x:v>
      </x:c>
      <x:c r="X801">
        <x:v>65</x:v>
      </x:c>
      <x:c r="Y801">
        <x:v>66</x:v>
      </x:c>
      <x:c r="Z801">
        <x:v>51</x:v>
      </x:c>
      <x:c r="AA801">
        <x:v>47</x:v>
      </x:c>
      <x:c r="AB801" s="57" t="n">
        <x:v>41</x:v>
      </x:c>
      <x:c r="AC801" s="57" t="n">
        <x:v>42</x:v>
      </x:c>
      <x:c r="AD801" s="59"/>
      <x:c r="AE801" s="61" t="str">
        <x:f>IF(N(F801)&gt;=10,"NHL_LATEST_10",IF(AND(N(F801)&gt;0,N(G801)&gt;0),"NHL_BOTH_SEASONS",IF(N(G801)&gt;=10,"NHL_PREVIOUS_10",IF(AND(ISNUMBER(AD801),AD801=0,SUM(F801:G801)=0),"FARM_CAREER_0",IF(COUNT(F801:G801)&lt;2,"UNKNOWN_GP",IF(AND(F801=0,G801=0),IF(AD801&gt;=10,"FARM_LEGACY_10",IF(AND(ISNUMBER(AD801),AD801&gt;0),"FARM_CAREER_1_9","FARM_0_0")),IF(F801&gt;=1,IF(F801&lt;=3,"FARM_RECENT_1_3","FARM_RECENT_4_9"),"FARM_PREV_1_9_ONLY")))))))</x:f>
        <x:v>UNKNOWN_GP</x:v>
      </x:c>
      <x:c r="AF801" s="57" t="n">
        <x:f>AB801-T801</x:f>
        <x:v>0</x:v>
      </x:c>
      <x:c r="AG801" s="57" t="n">
        <x:f>AC801-U801</x:f>
        <x:v>0</x:v>
      </x:c>
    </x:row>
    <x:row r="802">
      <x:c r="A802" t="s">
        <x:v>1825</x:v>
      </x:c>
      <x:c r="C802" t="s">
        <x:v>323</x:v>
      </x:c>
      <x:c r="E802" t="s">
        <x:v>267</x:v>
      </x:c>
      <x:c r="J802" t="s">
        <x:v>2474</x:v>
      </x:c>
      <x:c r="K802">
        <x:v>60</x:v>
      </x:c>
      <x:c r="L802">
        <x:v>32</x:v>
      </x:c>
      <x:c r="M802">
        <x:v>79</x:v>
      </x:c>
      <x:c r="N802">
        <x:v>40</x:v>
      </x:c>
      <x:c r="O802">
        <x:v>82</x:v>
      </x:c>
      <x:c r="P802">
        <x:v>77</x:v>
      </x:c>
      <x:c r="Q802">
        <x:v>80</x:v>
      </x:c>
      <x:c r="R802">
        <x:v>40</x:v>
      </x:c>
      <x:c r="S802">
        <x:v>63</x:v>
      </x:c>
      <x:c r="T802" s="63" t="n">
        <x:f>MAX(30,MIN(AB802-VLOOKUP(AE802,'AHL_PA_SC_BALANCE'!$A$8:$E$18,2,FALSE),VLOOKUP(AE802,'AHL_PA_SC_BALANCE'!$A$8:$E$18,4,FALSE)))</x:f>
        <x:v>43</x:v>
      </x:c>
      <x:c r="U802" s="63" t="n">
        <x:f>MAX(30,MIN(AC802-VLOOKUP(AE802,'AHL_PA_SC_BALANCE'!$A$8:$E$18,3,FALSE),VLOOKUP(AE802,'AHL_PA_SC_BALANCE'!$A$8:$E$18,5,FALSE)))</x:f>
        <x:v>41</x:v>
      </x:c>
      <x:c r="V802">
        <x:v>59</x:v>
      </x:c>
      <x:c r="W802">
        <x:v>61</x:v>
      </x:c>
      <x:c r="X802">
        <x:v>69</x:v>
      </x:c>
      <x:c r="Y802">
        <x:v>69</x:v>
      </x:c>
      <x:c r="Z802">
        <x:v>51</x:v>
      </x:c>
      <x:c r="AA802">
        <x:v>47</x:v>
      </x:c>
      <x:c r="AB802" s="57" t="n">
        <x:v>43</x:v>
      </x:c>
      <x:c r="AC802" s="57" t="n">
        <x:v>41</x:v>
      </x:c>
      <x:c r="AD802" s="59"/>
      <x:c r="AE802" s="61" t="str">
        <x:f>IF(N(F802)&gt;=10,"NHL_LATEST_10",IF(AND(N(F802)&gt;0,N(G802)&gt;0),"NHL_BOTH_SEASONS",IF(N(G802)&gt;=10,"NHL_PREVIOUS_10",IF(AND(ISNUMBER(AD802),AD802=0,SUM(F802:G802)=0),"FARM_CAREER_0",IF(COUNT(F802:G802)&lt;2,"UNKNOWN_GP",IF(AND(F802=0,G802=0),IF(AD802&gt;=10,"FARM_LEGACY_10",IF(AND(ISNUMBER(AD802),AD802&gt;0),"FARM_CAREER_1_9","FARM_0_0")),IF(F802&gt;=1,IF(F802&lt;=3,"FARM_RECENT_1_3","FARM_RECENT_4_9"),"FARM_PREV_1_9_ONLY")))))))</x:f>
        <x:v>UNKNOWN_GP</x:v>
      </x:c>
      <x:c r="AF802" s="57" t="n">
        <x:f>AB802-T802</x:f>
        <x:v>0</x:v>
      </x:c>
      <x:c r="AG802" s="57" t="n">
        <x:f>AC802-U802</x:f>
        <x:v>0</x:v>
      </x:c>
    </x:row>
    <x:row r="803">
      <x:c r="A803" t="s">
        <x:v>1826</x:v>
      </x:c>
      <x:c r="C803" t="s">
        <x:v>323</x:v>
      </x:c>
      <x:c r="D803">
        <x:v>8482150</x:v>
      </x:c>
      <x:c r="E803" t="s">
        <x:v>267</x:v>
      </x:c>
      <x:c r="J803" t="s">
        <x:v>2474</x:v>
      </x:c>
      <x:c r="K803">
        <x:v>59</x:v>
      </x:c>
      <x:c r="L803">
        <x:v>39</x:v>
      </x:c>
      <x:c r="M803">
        <x:v>91</x:v>
      </x:c>
      <x:c r="N803">
        <x:v>40</x:v>
      </x:c>
      <x:c r="O803">
        <x:v>79</x:v>
      </x:c>
      <x:c r="P803">
        <x:v>76</x:v>
      </x:c>
      <x:c r="Q803">
        <x:v>77</x:v>
      </x:c>
      <x:c r="R803">
        <x:v>41</x:v>
      </x:c>
      <x:c r="S803">
        <x:v>61</x:v>
      </x:c>
      <x:c r="T803" s="63" t="n">
        <x:f>MAX(30,MIN(AB803-VLOOKUP(AE803,'AHL_PA_SC_BALANCE'!$A$8:$E$18,2,FALSE),VLOOKUP(AE803,'AHL_PA_SC_BALANCE'!$A$8:$E$18,4,FALSE)))</x:f>
        <x:v>41</x:v>
      </x:c>
      <x:c r="U803" s="63" t="n">
        <x:f>MAX(30,MIN(AC803-VLOOKUP(AE803,'AHL_PA_SC_BALANCE'!$A$8:$E$18,3,FALSE),VLOOKUP(AE803,'AHL_PA_SC_BALANCE'!$A$8:$E$18,5,FALSE)))</x:f>
        <x:v>43</x:v>
      </x:c>
      <x:c r="V803">
        <x:v>58</x:v>
      </x:c>
      <x:c r="W803">
        <x:v>62</x:v>
      </x:c>
      <x:c r="X803">
        <x:v>67</x:v>
      </x:c>
      <x:c r="Y803">
        <x:v>67</x:v>
      </x:c>
      <x:c r="Z803">
        <x:v>51</x:v>
      </x:c>
      <x:c r="AA803">
        <x:v>47</x:v>
      </x:c>
      <x:c r="AB803" s="57" t="n">
        <x:v>41</x:v>
      </x:c>
      <x:c r="AC803" s="57" t="n">
        <x:v>43</x:v>
      </x:c>
      <x:c r="AD803" s="59"/>
      <x:c r="AE803" s="61" t="str">
        <x:f>IF(N(F803)&gt;=10,"NHL_LATEST_10",IF(AND(N(F803)&gt;0,N(G803)&gt;0),"NHL_BOTH_SEASONS",IF(N(G803)&gt;=10,"NHL_PREVIOUS_10",IF(AND(ISNUMBER(AD803),AD803=0,SUM(F803:G803)=0),"FARM_CAREER_0",IF(COUNT(F803:G803)&lt;2,"UNKNOWN_GP",IF(AND(F803=0,G803=0),IF(AD803&gt;=10,"FARM_LEGACY_10",IF(AND(ISNUMBER(AD803),AD803&gt;0),"FARM_CAREER_1_9","FARM_0_0")),IF(F803&gt;=1,IF(F803&lt;=3,"FARM_RECENT_1_3","FARM_RECENT_4_9"),"FARM_PREV_1_9_ONLY")))))))</x:f>
        <x:v>UNKNOWN_GP</x:v>
      </x:c>
      <x:c r="AF803" s="57" t="n">
        <x:f>AB803-T803</x:f>
        <x:v>0</x:v>
      </x:c>
      <x:c r="AG803" s="57" t="n">
        <x:f>AC803-U803</x:f>
        <x:v>0</x:v>
      </x:c>
    </x:row>
    <x:row r="804">
      <x:c r="A804" t="s">
        <x:v>1827</x:v>
      </x:c>
      <x:c r="B804" t="s">
        <x:v>584</x:v>
      </x:c>
      <x:c r="C804" t="s">
        <x:v>329</x:v>
      </x:c>
      <x:c r="D804">
        <x:v>8484909</x:v>
      </x:c>
      <x:c r="E804" t="s">
        <x:v>267</x:v>
      </x:c>
      <x:c r="J804" t="s">
        <x:v>2476</x:v>
      </x:c>
      <x:c r="K804">
        <x:v>62</x:v>
      </x:c>
      <x:c r="L804">
        <x:v>32</x:v>
      </x:c>
      <x:c r="M804">
        <x:v>82</x:v>
      </x:c>
      <x:c r="N804">
        <x:v>39</x:v>
      </x:c>
      <x:c r="O804">
        <x:v>73</x:v>
      </x:c>
      <x:c r="P804">
        <x:v>72</x:v>
      </x:c>
      <x:c r="Q804">
        <x:v>75</x:v>
      </x:c>
      <x:c r="R804">
        <x:v>40</x:v>
      </x:c>
      <x:c r="S804">
        <x:v>69</x:v>
      </x:c>
      <x:c r="T804" s="63" t="n">
        <x:f>MAX(30,MIN(AB804-VLOOKUP(AE804,'AHL_PA_SC_BALANCE'!$A$8:$E$18,2,FALSE),VLOOKUP(AE804,'AHL_PA_SC_BALANCE'!$A$8:$E$18,4,FALSE)))</x:f>
        <x:v>39</x:v>
      </x:c>
      <x:c r="U804" s="63" t="n">
        <x:f>MAX(30,MIN(AC804-VLOOKUP(AE804,'AHL_PA_SC_BALANCE'!$A$8:$E$18,3,FALSE),VLOOKUP(AE804,'AHL_PA_SC_BALANCE'!$A$8:$E$18,5,FALSE)))</x:f>
        <x:v>43</x:v>
      </x:c>
      <x:c r="V804">
        <x:v>58</x:v>
      </x:c>
      <x:c r="W804">
        <x:v>60</x:v>
      </x:c>
      <x:c r="X804">
        <x:v>69</x:v>
      </x:c>
      <x:c r="Y804">
        <x:v>69</x:v>
      </x:c>
      <x:c r="Z804">
        <x:v>51</x:v>
      </x:c>
      <x:c r="AA804">
        <x:v>46</x:v>
      </x:c>
      <x:c r="AB804" s="57" t="n">
        <x:v>39</x:v>
      </x:c>
      <x:c r="AC804" s="57" t="n">
        <x:v>43</x:v>
      </x:c>
      <x:c r="AD804" s="59"/>
      <x:c r="AE804" s="61" t="str">
        <x:f>IF(N(F804)&gt;=10,"NHL_LATEST_10",IF(AND(N(F804)&gt;0,N(G804)&gt;0),"NHL_BOTH_SEASONS",IF(N(G804)&gt;=10,"NHL_PREVIOUS_10",IF(AND(ISNUMBER(AD804),AD804=0,SUM(F804:G804)=0),"FARM_CAREER_0",IF(COUNT(F804:G804)&lt;2,"UNKNOWN_GP",IF(AND(F804=0,G804=0),IF(AD804&gt;=10,"FARM_LEGACY_10",IF(AND(ISNUMBER(AD804),AD804&gt;0),"FARM_CAREER_1_9","FARM_0_0")),IF(F804&gt;=1,IF(F804&lt;=3,"FARM_RECENT_1_3","FARM_RECENT_4_9"),"FARM_PREV_1_9_ONLY")))))))</x:f>
        <x:v>UNKNOWN_GP</x:v>
      </x:c>
      <x:c r="AF804" s="57" t="n">
        <x:f>AB804-T804</x:f>
        <x:v>0</x:v>
      </x:c>
      <x:c r="AG804" s="57" t="n">
        <x:f>AC804-U804</x:f>
        <x:v>0</x:v>
      </x:c>
    </x:row>
    <x:row r="805">
      <x:c r="A805" t="s">
        <x:v>1828</x:v>
      </x:c>
      <x:c r="B805" t="s">
        <x:v>584</x:v>
      </x:c>
      <x:c r="C805" t="s">
        <x:v>358</x:v>
      </x:c>
      <x:c r="D805">
        <x:v>8485554</x:v>
      </x:c>
      <x:c r="E805" t="s">
        <x:v>267</x:v>
      </x:c>
      <x:c r="J805" t="s">
        <x:v>2476</x:v>
      </x:c>
      <x:c r="K805">
        <x:v>61</x:v>
      </x:c>
      <x:c r="L805">
        <x:v>47</x:v>
      </x:c>
      <x:c r="M805">
        <x:v>71</x:v>
      </x:c>
      <x:c r="N805">
        <x:v>37</x:v>
      </x:c>
      <x:c r="O805">
        <x:v>86</x:v>
      </x:c>
      <x:c r="P805">
        <x:v>80</x:v>
      </x:c>
      <x:c r="Q805">
        <x:v>84</x:v>
      </x:c>
      <x:c r="R805">
        <x:v>38</x:v>
      </x:c>
      <x:c r="S805">
        <x:v>57</x:v>
      </x:c>
      <x:c r="T805" s="63" t="n">
        <x:f>MAX(30,MIN(AB805-VLOOKUP(AE805,'AHL_PA_SC_BALANCE'!$A$8:$E$18,2,FALSE),VLOOKUP(AE805,'AHL_PA_SC_BALANCE'!$A$8:$E$18,4,FALSE)))</x:f>
        <x:v>40</x:v>
      </x:c>
      <x:c r="U805" s="63" t="n">
        <x:f>MAX(30,MIN(AC805-VLOOKUP(AE805,'AHL_PA_SC_BALANCE'!$A$8:$E$18,3,FALSE),VLOOKUP(AE805,'AHL_PA_SC_BALANCE'!$A$8:$E$18,5,FALSE)))</x:f>
        <x:v>40</x:v>
      </x:c>
      <x:c r="V805">
        <x:v>59</x:v>
      </x:c>
      <x:c r="W805">
        <x:v>58</x:v>
      </x:c>
      <x:c r="X805">
        <x:v>70</x:v>
      </x:c>
      <x:c r="Y805">
        <x:v>69</x:v>
      </x:c>
      <x:c r="Z805">
        <x:v>51</x:v>
      </x:c>
      <x:c r="AA805">
        <x:v>46</x:v>
      </x:c>
      <x:c r="AB805" s="57" t="n">
        <x:v>40</x:v>
      </x:c>
      <x:c r="AC805" s="57" t="n">
        <x:v>40</x:v>
      </x:c>
      <x:c r="AD805" s="59"/>
      <x:c r="AE805" s="61" t="str">
        <x:f>IF(N(F805)&gt;=10,"NHL_LATEST_10",IF(AND(N(F805)&gt;0,N(G805)&gt;0),"NHL_BOTH_SEASONS",IF(N(G805)&gt;=10,"NHL_PREVIOUS_10",IF(AND(ISNUMBER(AD805),AD805=0,SUM(F805:G805)=0),"FARM_CAREER_0",IF(COUNT(F805:G805)&lt;2,"UNKNOWN_GP",IF(AND(F805=0,G805=0),IF(AD805&gt;=10,"FARM_LEGACY_10",IF(AND(ISNUMBER(AD805),AD805&gt;0),"FARM_CAREER_1_9","FARM_0_0")),IF(F805&gt;=1,IF(F805&lt;=3,"FARM_RECENT_1_3","FARM_RECENT_4_9"),"FARM_PREV_1_9_ONLY")))))))</x:f>
        <x:v>UNKNOWN_GP</x:v>
      </x:c>
      <x:c r="AF805" s="57" t="n">
        <x:f>AB805-T805</x:f>
        <x:v>0</x:v>
      </x:c>
      <x:c r="AG805" s="57" t="n">
        <x:f>AC805-U805</x:f>
        <x:v>0</x:v>
      </x:c>
    </x:row>
    <x:row r="806">
      <x:c r="A806" t="s">
        <x:v>1829</x:v>
      </x:c>
      <x:c r="C806" t="s">
        <x:v>333</x:v>
      </x:c>
      <x:c r="D806">
        <x:v>8486141</x:v>
      </x:c>
      <x:c r="E806" t="s">
        <x:v>267</x:v>
      </x:c>
      <x:c r="J806" t="s">
        <x:v>2474</x:v>
      </x:c>
      <x:c r="K806">
        <x:v>62</x:v>
      </x:c>
      <x:c r="L806">
        <x:v>33</x:v>
      </x:c>
      <x:c r="M806">
        <x:v>78</x:v>
      </x:c>
      <x:c r="N806">
        <x:v>38</x:v>
      </x:c>
      <x:c r="O806">
        <x:v>78</x:v>
      </x:c>
      <x:c r="P806">
        <x:v>70</x:v>
      </x:c>
      <x:c r="Q806">
        <x:v>73</x:v>
      </x:c>
      <x:c r="R806">
        <x:v>37</x:v>
      </x:c>
      <x:c r="S806">
        <x:v>59</x:v>
      </x:c>
      <x:c r="T806" s="63" t="n">
        <x:f>MAX(30,MIN(AB806-VLOOKUP(AE806,'AHL_PA_SC_BALANCE'!$A$8:$E$18,2,FALSE),VLOOKUP(AE806,'AHL_PA_SC_BALANCE'!$A$8:$E$18,4,FALSE)))</x:f>
        <x:v>40</x:v>
      </x:c>
      <x:c r="U806" s="63" t="n">
        <x:f>MAX(30,MIN(AC806-VLOOKUP(AE806,'AHL_PA_SC_BALANCE'!$A$8:$E$18,3,FALSE),VLOOKUP(AE806,'AHL_PA_SC_BALANCE'!$A$8:$E$18,5,FALSE)))</x:f>
        <x:v>41</x:v>
      </x:c>
      <x:c r="V806">
        <x:v>58</x:v>
      </x:c>
      <x:c r="W806">
        <x:v>59</x:v>
      </x:c>
      <x:c r="X806">
        <x:v>67</x:v>
      </x:c>
      <x:c r="Y806">
        <x:v>66</x:v>
      </x:c>
      <x:c r="Z806">
        <x:v>51</x:v>
      </x:c>
      <x:c r="AA806">
        <x:v>46</x:v>
      </x:c>
      <x:c r="AB806" s="57" t="n">
        <x:v>40</x:v>
      </x:c>
      <x:c r="AC806" s="57" t="n">
        <x:v>41</x:v>
      </x:c>
      <x:c r="AD806" s="59"/>
      <x:c r="AE806" s="61" t="str">
        <x:f>IF(N(F806)&gt;=10,"NHL_LATEST_10",IF(AND(N(F806)&gt;0,N(G806)&gt;0),"NHL_BOTH_SEASONS",IF(N(G806)&gt;=10,"NHL_PREVIOUS_10",IF(AND(ISNUMBER(AD806),AD806=0,SUM(F806:G806)=0),"FARM_CAREER_0",IF(COUNT(F806:G806)&lt;2,"UNKNOWN_GP",IF(AND(F806=0,G806=0),IF(AD806&gt;=10,"FARM_LEGACY_10",IF(AND(ISNUMBER(AD806),AD806&gt;0),"FARM_CAREER_1_9","FARM_0_0")),IF(F806&gt;=1,IF(F806&lt;=3,"FARM_RECENT_1_3","FARM_RECENT_4_9"),"FARM_PREV_1_9_ONLY")))))))</x:f>
        <x:v>UNKNOWN_GP</x:v>
      </x:c>
      <x:c r="AF806" s="57" t="n">
        <x:f>AB806-T806</x:f>
        <x:v>0</x:v>
      </x:c>
      <x:c r="AG806" s="57" t="n">
        <x:f>AC806-U806</x:f>
        <x:v>0</x:v>
      </x:c>
    </x:row>
    <x:row r="807">
      <x:c r="A807" t="s">
        <x:v>1830</x:v>
      </x:c>
      <x:c r="C807" t="s">
        <x:v>319</x:v>
      </x:c>
      <x:c r="D807">
        <x:v>8482114</x:v>
      </x:c>
      <x:c r="E807" t="s">
        <x:v>267</x:v>
      </x:c>
      <x:c r="J807" t="s">
        <x:v>2474</x:v>
      </x:c>
      <x:c r="K807">
        <x:v>64</x:v>
      </x:c>
      <x:c r="L807">
        <x:v>37</x:v>
      </x:c>
      <x:c r="M807">
        <x:v>86</x:v>
      </x:c>
      <x:c r="N807">
        <x:v>37</x:v>
      </x:c>
      <x:c r="O807">
        <x:v>82</x:v>
      </x:c>
      <x:c r="P807">
        <x:v>75</x:v>
      </x:c>
      <x:c r="Q807">
        <x:v>78</x:v>
      </x:c>
      <x:c r="R807">
        <x:v>36</x:v>
      </x:c>
      <x:c r="S807">
        <x:v>65</x:v>
      </x:c>
      <x:c r="T807" s="63" t="n">
        <x:f>MAX(30,MIN(AB807-VLOOKUP(AE807,'AHL_PA_SC_BALANCE'!$A$8:$E$18,2,FALSE),VLOOKUP(AE807,'AHL_PA_SC_BALANCE'!$A$8:$E$18,4,FALSE)))</x:f>
        <x:v>39</x:v>
      </x:c>
      <x:c r="U807" s="63" t="n">
        <x:f>MAX(30,MIN(AC807-VLOOKUP(AE807,'AHL_PA_SC_BALANCE'!$A$8:$E$18,3,FALSE),VLOOKUP(AE807,'AHL_PA_SC_BALANCE'!$A$8:$E$18,5,FALSE)))</x:f>
        <x:v>41</x:v>
      </x:c>
      <x:c r="V807">
        <x:v>62</x:v>
      </x:c>
      <x:c r="W807">
        <x:v>58</x:v>
      </x:c>
      <x:c r="X807">
        <x:v>66</x:v>
      </x:c>
      <x:c r="Y807">
        <x:v>66</x:v>
      </x:c>
      <x:c r="Z807">
        <x:v>51</x:v>
      </x:c>
      <x:c r="AA807">
        <x:v>46</x:v>
      </x:c>
      <x:c r="AB807" s="57" t="n">
        <x:v>39</x:v>
      </x:c>
      <x:c r="AC807" s="57" t="n">
        <x:v>41</x:v>
      </x:c>
      <x:c r="AD807" s="59"/>
      <x:c r="AE807" s="61" t="str">
        <x:f>IF(N(F807)&gt;=10,"NHL_LATEST_10",IF(AND(N(F807)&gt;0,N(G807)&gt;0),"NHL_BOTH_SEASONS",IF(N(G807)&gt;=10,"NHL_PREVIOUS_10",IF(AND(ISNUMBER(AD807),AD807=0,SUM(F807:G807)=0),"FARM_CAREER_0",IF(COUNT(F807:G807)&lt;2,"UNKNOWN_GP",IF(AND(F807=0,G807=0),IF(AD807&gt;=10,"FARM_LEGACY_10",IF(AND(ISNUMBER(AD807),AD807&gt;0),"FARM_CAREER_1_9","FARM_0_0")),IF(F807&gt;=1,IF(F807&lt;=3,"FARM_RECENT_1_3","FARM_RECENT_4_9"),"FARM_PREV_1_9_ONLY")))))))</x:f>
        <x:v>UNKNOWN_GP</x:v>
      </x:c>
      <x:c r="AF807" s="57" t="n">
        <x:f>AB807-T807</x:f>
        <x:v>0</x:v>
      </x:c>
      <x:c r="AG807" s="57" t="n">
        <x:f>AC807-U807</x:f>
        <x:v>0</x:v>
      </x:c>
    </x:row>
    <x:row r="808">
      <x:c r="A808" t="s">
        <x:v>1831</x:v>
      </x:c>
      <x:c r="C808" t="s">
        <x:v>358</x:v>
      </x:c>
      <x:c r="D808">
        <x:v>8482829</x:v>
      </x:c>
      <x:c r="E808" t="s">
        <x:v>267</x:v>
      </x:c>
      <x:c r="J808" t="s">
        <x:v>2474</x:v>
      </x:c>
      <x:c r="K808">
        <x:v>62</x:v>
      </x:c>
      <x:c r="L808">
        <x:v>33</x:v>
      </x:c>
      <x:c r="M808">
        <x:v>80</x:v>
      </x:c>
      <x:c r="N808">
        <x:v>39</x:v>
      </x:c>
      <x:c r="O808">
        <x:v>77</x:v>
      </x:c>
      <x:c r="P808">
        <x:v>80</x:v>
      </x:c>
      <x:c r="Q808">
        <x:v>82</x:v>
      </x:c>
      <x:c r="R808">
        <x:v>38</x:v>
      </x:c>
      <x:c r="S808">
        <x:v>72</x:v>
      </x:c>
      <x:c r="T808" s="63" t="n">
        <x:f>MAX(30,MIN(AB808-VLOOKUP(AE808,'AHL_PA_SC_BALANCE'!$A$8:$E$18,2,FALSE),VLOOKUP(AE808,'AHL_PA_SC_BALANCE'!$A$8:$E$18,4,FALSE)))</x:f>
        <x:v>41</x:v>
      </x:c>
      <x:c r="U808" s="63" t="n">
        <x:f>MAX(30,MIN(AC808-VLOOKUP(AE808,'AHL_PA_SC_BALANCE'!$A$8:$E$18,3,FALSE),VLOOKUP(AE808,'AHL_PA_SC_BALANCE'!$A$8:$E$18,5,FALSE)))</x:f>
        <x:v>41</x:v>
      </x:c>
      <x:c r="V808">
        <x:v>58</x:v>
      </x:c>
      <x:c r="W808">
        <x:v>60</x:v>
      </x:c>
      <x:c r="X808">
        <x:v>67</x:v>
      </x:c>
      <x:c r="Y808">
        <x:v>67</x:v>
      </x:c>
      <x:c r="Z808">
        <x:v>51</x:v>
      </x:c>
      <x:c r="AA808">
        <x:v>46</x:v>
      </x:c>
      <x:c r="AB808" s="57" t="n">
        <x:v>41</x:v>
      </x:c>
      <x:c r="AC808" s="57" t="n">
        <x:v>41</x:v>
      </x:c>
      <x:c r="AD808" s="59"/>
      <x:c r="AE808" s="61" t="str">
        <x:f>IF(N(F808)&gt;=10,"NHL_LATEST_10",IF(AND(N(F808)&gt;0,N(G808)&gt;0),"NHL_BOTH_SEASONS",IF(N(G808)&gt;=10,"NHL_PREVIOUS_10",IF(AND(ISNUMBER(AD808),AD808=0,SUM(F808:G808)=0),"FARM_CAREER_0",IF(COUNT(F808:G808)&lt;2,"UNKNOWN_GP",IF(AND(F808=0,G808=0),IF(AD808&gt;=10,"FARM_LEGACY_10",IF(AND(ISNUMBER(AD808),AD808&gt;0),"FARM_CAREER_1_9","FARM_0_0")),IF(F808&gt;=1,IF(F808&lt;=3,"FARM_RECENT_1_3","FARM_RECENT_4_9"),"FARM_PREV_1_9_ONLY")))))))</x:f>
        <x:v>UNKNOWN_GP</x:v>
      </x:c>
      <x:c r="AF808" s="57" t="n">
        <x:f>AB808-T808</x:f>
        <x:v>0</x:v>
      </x:c>
      <x:c r="AG808" s="57" t="n">
        <x:f>AC808-U808</x:f>
        <x:v>0</x:v>
      </x:c>
    </x:row>
    <x:row r="809">
      <x:c r="A809" t="s">
        <x:v>1832</x:v>
      </x:c>
      <x:c r="B809" t="s">
        <x:v>584</x:v>
      </x:c>
      <x:c r="C809" t="s">
        <x:v>358</x:v>
      </x:c>
      <x:c r="D809">
        <x:v>8478956</x:v>
      </x:c>
      <x:c r="E809" t="s">
        <x:v>267</x:v>
      </x:c>
      <x:c r="J809" t="s">
        <x:v>2476</x:v>
      </x:c>
      <x:c r="K809">
        <x:v>72</x:v>
      </x:c>
      <x:c r="L809">
        <x:v>33</x:v>
      </x:c>
      <x:c r="M809">
        <x:v>67</x:v>
      </x:c>
      <x:c r="N809">
        <x:v>37</x:v>
      </x:c>
      <x:c r="O809">
        <x:v>83</x:v>
      </x:c>
      <x:c r="P809">
        <x:v>76</x:v>
      </x:c>
      <x:c r="Q809">
        <x:v>76</x:v>
      </x:c>
      <x:c r="R809">
        <x:v>37</x:v>
      </x:c>
      <x:c r="S809">
        <x:v>61</x:v>
      </x:c>
      <x:c r="T809" s="63" t="n">
        <x:f>MAX(30,MIN(AB809-VLOOKUP(AE809,'AHL_PA_SC_BALANCE'!$A$8:$E$18,2,FALSE),VLOOKUP(AE809,'AHL_PA_SC_BALANCE'!$A$8:$E$18,4,FALSE)))</x:f>
        <x:v>39</x:v>
      </x:c>
      <x:c r="U809" s="63" t="n">
        <x:f>MAX(30,MIN(AC809-VLOOKUP(AE809,'AHL_PA_SC_BALANCE'!$A$8:$E$18,3,FALSE),VLOOKUP(AE809,'AHL_PA_SC_BALANCE'!$A$8:$E$18,5,FALSE)))</x:f>
        <x:v>39</x:v>
      </x:c>
      <x:c r="V809">
        <x:v>59</x:v>
      </x:c>
      <x:c r="W809">
        <x:v>58</x:v>
      </x:c>
      <x:c r="X809">
        <x:v>71</x:v>
      </x:c>
      <x:c r="Y809">
        <x:v>71</x:v>
      </x:c>
      <x:c r="Z809">
        <x:v>51</x:v>
      </x:c>
      <x:c r="AA809">
        <x:v>46</x:v>
      </x:c>
      <x:c r="AB809" s="57" t="n">
        <x:v>39</x:v>
      </x:c>
      <x:c r="AC809" s="57" t="n">
        <x:v>39</x:v>
      </x:c>
      <x:c r="AD809" s="59"/>
      <x:c r="AE809" s="61" t="str">
        <x:f>IF(N(F809)&gt;=10,"NHL_LATEST_10",IF(AND(N(F809)&gt;0,N(G809)&gt;0),"NHL_BOTH_SEASONS",IF(N(G809)&gt;=10,"NHL_PREVIOUS_10",IF(AND(ISNUMBER(AD809),AD809=0,SUM(F809:G809)=0),"FARM_CAREER_0",IF(COUNT(F809:G809)&lt;2,"UNKNOWN_GP",IF(AND(F809=0,G809=0),IF(AD809&gt;=10,"FARM_LEGACY_10",IF(AND(ISNUMBER(AD809),AD809&gt;0),"FARM_CAREER_1_9","FARM_0_0")),IF(F809&gt;=1,IF(F809&lt;=3,"FARM_RECENT_1_3","FARM_RECENT_4_9"),"FARM_PREV_1_9_ONLY")))))))</x:f>
        <x:v>UNKNOWN_GP</x:v>
      </x:c>
      <x:c r="AF809" s="57" t="n">
        <x:f>AB809-T809</x:f>
        <x:v>0</x:v>
      </x:c>
      <x:c r="AG809" s="57" t="n">
        <x:f>AC809-U809</x:f>
        <x:v>0</x:v>
      </x:c>
    </x:row>
    <x:row r="810">
      <x:c r="A810" t="s">
        <x:v>1833</x:v>
      </x:c>
      <x:c r="C810" t="s">
        <x:v>329</x:v>
      </x:c>
      <x:c r="D810">
        <x:v>8483483</x:v>
      </x:c>
      <x:c r="E810" t="s">
        <x:v>267</x:v>
      </x:c>
      <x:c r="J810" t="s">
        <x:v>2474</x:v>
      </x:c>
      <x:c r="K810">
        <x:v>64</x:v>
      </x:c>
      <x:c r="L810">
        <x:v>34</x:v>
      </x:c>
      <x:c r="M810">
        <x:v>79</x:v>
      </x:c>
      <x:c r="N810">
        <x:v>38</x:v>
      </x:c>
      <x:c r="O810">
        <x:v>78</x:v>
      </x:c>
      <x:c r="P810">
        <x:v>81</x:v>
      </x:c>
      <x:c r="Q810">
        <x:v>84</x:v>
      </x:c>
      <x:c r="R810">
        <x:v>38</x:v>
      </x:c>
      <x:c r="S810">
        <x:v>69</x:v>
      </x:c>
      <x:c r="T810" s="63" t="n">
        <x:f>MAX(30,MIN(AB810-VLOOKUP(AE810,'AHL_PA_SC_BALANCE'!$A$8:$E$18,2,FALSE),VLOOKUP(AE810,'AHL_PA_SC_BALANCE'!$A$8:$E$18,4,FALSE)))</x:f>
        <x:v>41</x:v>
      </x:c>
      <x:c r="U810" s="63" t="n">
        <x:f>MAX(30,MIN(AC810-VLOOKUP(AE810,'AHL_PA_SC_BALANCE'!$A$8:$E$18,3,FALSE),VLOOKUP(AE810,'AHL_PA_SC_BALANCE'!$A$8:$E$18,5,FALSE)))</x:f>
        <x:v>41</x:v>
      </x:c>
      <x:c r="V810">
        <x:v>58</x:v>
      </x:c>
      <x:c r="W810">
        <x:v>59</x:v>
      </x:c>
      <x:c r="X810">
        <x:v>65</x:v>
      </x:c>
      <x:c r="Y810">
        <x:v>65</x:v>
      </x:c>
      <x:c r="Z810">
        <x:v>51</x:v>
      </x:c>
      <x:c r="AA810">
        <x:v>46</x:v>
      </x:c>
      <x:c r="AB810" s="57" t="n">
        <x:v>41</x:v>
      </x:c>
      <x:c r="AC810" s="57" t="n">
        <x:v>41</x:v>
      </x:c>
      <x:c r="AD810" s="59"/>
      <x:c r="AE810" s="61" t="str">
        <x:f>IF(N(F810)&gt;=10,"NHL_LATEST_10",IF(AND(N(F810)&gt;0,N(G810)&gt;0),"NHL_BOTH_SEASONS",IF(N(G810)&gt;=10,"NHL_PREVIOUS_10",IF(AND(ISNUMBER(AD810),AD810=0,SUM(F810:G810)=0),"FARM_CAREER_0",IF(COUNT(F810:G810)&lt;2,"UNKNOWN_GP",IF(AND(F810=0,G810=0),IF(AD810&gt;=10,"FARM_LEGACY_10",IF(AND(ISNUMBER(AD810),AD810&gt;0),"FARM_CAREER_1_9","FARM_0_0")),IF(F810&gt;=1,IF(F810&lt;=3,"FARM_RECENT_1_3","FARM_RECENT_4_9"),"FARM_PREV_1_9_ONLY")))))))</x:f>
        <x:v>UNKNOWN_GP</x:v>
      </x:c>
      <x:c r="AF810" s="57" t="n">
        <x:f>AB810-T810</x:f>
        <x:v>0</x:v>
      </x:c>
      <x:c r="AG810" s="57" t="n">
        <x:f>AC810-U810</x:f>
        <x:v>0</x:v>
      </x:c>
    </x:row>
    <x:row r="811">
      <x:c r="A811" t="s">
        <x:v>1834</x:v>
      </x:c>
      <x:c r="C811" t="s">
        <x:v>358</x:v>
      </x:c>
      <x:c r="D811">
        <x:v>8483013</x:v>
      </x:c>
      <x:c r="E811" t="s">
        <x:v>267</x:v>
      </x:c>
      <x:c r="J811" t="s">
        <x:v>2474</x:v>
      </x:c>
      <x:c r="K811">
        <x:v>64</x:v>
      </x:c>
      <x:c r="L811">
        <x:v>53</x:v>
      </x:c>
      <x:c r="M811">
        <x:v>94</x:v>
      </x:c>
      <x:c r="N811">
        <x:v>38</x:v>
      </x:c>
      <x:c r="O811">
        <x:v>81</x:v>
      </x:c>
      <x:c r="P811">
        <x:v>72</x:v>
      </x:c>
      <x:c r="Q811">
        <x:v>75</x:v>
      </x:c>
      <x:c r="R811">
        <x:v>37</x:v>
      </x:c>
      <x:c r="S811">
        <x:v>53</x:v>
      </x:c>
      <x:c r="T811" s="63" t="n">
        <x:f>MAX(30,MIN(AB811-VLOOKUP(AE811,'AHL_PA_SC_BALANCE'!$A$8:$E$18,2,FALSE),VLOOKUP(AE811,'AHL_PA_SC_BALANCE'!$A$8:$E$18,4,FALSE)))</x:f>
        <x:v>40</x:v>
      </x:c>
      <x:c r="U811" s="63" t="n">
        <x:f>MAX(30,MIN(AC811-VLOOKUP(AE811,'AHL_PA_SC_BALANCE'!$A$8:$E$18,3,FALSE),VLOOKUP(AE811,'AHL_PA_SC_BALANCE'!$A$8:$E$18,5,FALSE)))</x:f>
        <x:v>41</x:v>
      </x:c>
      <x:c r="V811">
        <x:v>59</x:v>
      </x:c>
      <x:c r="W811">
        <x:v>59</x:v>
      </x:c>
      <x:c r="X811">
        <x:v>66</x:v>
      </x:c>
      <x:c r="Y811">
        <x:v>67</x:v>
      </x:c>
      <x:c r="Z811">
        <x:v>51</x:v>
      </x:c>
      <x:c r="AA811">
        <x:v>46</x:v>
      </x:c>
      <x:c r="AB811" s="57" t="n">
        <x:v>40</x:v>
      </x:c>
      <x:c r="AC811" s="57" t="n">
        <x:v>41</x:v>
      </x:c>
      <x:c r="AD811" s="59"/>
      <x:c r="AE811" s="61" t="str">
        <x:f>IF(N(F811)&gt;=10,"NHL_LATEST_10",IF(AND(N(F811)&gt;0,N(G811)&gt;0),"NHL_BOTH_SEASONS",IF(N(G811)&gt;=10,"NHL_PREVIOUS_10",IF(AND(ISNUMBER(AD811),AD811=0,SUM(F811:G811)=0),"FARM_CAREER_0",IF(COUNT(F811:G811)&lt;2,"UNKNOWN_GP",IF(AND(F811=0,G811=0),IF(AD811&gt;=10,"FARM_LEGACY_10",IF(AND(ISNUMBER(AD811),AD811&gt;0),"FARM_CAREER_1_9","FARM_0_0")),IF(F811&gt;=1,IF(F811&lt;=3,"FARM_RECENT_1_3","FARM_RECENT_4_9"),"FARM_PREV_1_9_ONLY")))))))</x:f>
        <x:v>UNKNOWN_GP</x:v>
      </x:c>
      <x:c r="AF811" s="57" t="n">
        <x:f>AB811-T811</x:f>
        <x:v>0</x:v>
      </x:c>
      <x:c r="AG811" s="57" t="n">
        <x:f>AC811-U811</x:f>
        <x:v>0</x:v>
      </x:c>
    </x:row>
    <x:row r="812">
      <x:c r="A812" t="s">
        <x:v>1835</x:v>
      </x:c>
      <x:c r="C812" t="s">
        <x:v>323</x:v>
      </x:c>
      <x:c r="D812">
        <x:v>8484216</x:v>
      </x:c>
      <x:c r="E812" t="s">
        <x:v>267</x:v>
      </x:c>
      <x:c r="J812" t="s">
        <x:v>2474</x:v>
      </x:c>
      <x:c r="K812">
        <x:v>64</x:v>
      </x:c>
      <x:c r="L812">
        <x:v>34</x:v>
      </x:c>
      <x:c r="M812">
        <x:v>91</x:v>
      </x:c>
      <x:c r="N812">
        <x:v>39</x:v>
      </x:c>
      <x:c r="O812">
        <x:v>76</x:v>
      </x:c>
      <x:c r="P812">
        <x:v>78</x:v>
      </x:c>
      <x:c r="Q812">
        <x:v>79</x:v>
      </x:c>
      <x:c r="R812">
        <x:v>39</x:v>
      </x:c>
      <x:c r="S812">
        <x:v>63</x:v>
      </x:c>
      <x:c r="T812" s="63" t="n">
        <x:f>MAX(30,MIN(AB812-VLOOKUP(AE812,'AHL_PA_SC_BALANCE'!$A$8:$E$18,2,FALSE),VLOOKUP(AE812,'AHL_PA_SC_BALANCE'!$A$8:$E$18,4,FALSE)))</x:f>
        <x:v>41</x:v>
      </x:c>
      <x:c r="U812" s="63" t="n">
        <x:f>MAX(30,MIN(AC812-VLOOKUP(AE812,'AHL_PA_SC_BALANCE'!$A$8:$E$18,3,FALSE),VLOOKUP(AE812,'AHL_PA_SC_BALANCE'!$A$8:$E$18,5,FALSE)))</x:f>
        <x:v>41</x:v>
      </x:c>
      <x:c r="V812">
        <x:v>60</x:v>
      </x:c>
      <x:c r="W812">
        <x:v>60</x:v>
      </x:c>
      <x:c r="X812">
        <x:v>65</x:v>
      </x:c>
      <x:c r="Y812">
        <x:v>65</x:v>
      </x:c>
      <x:c r="Z812">
        <x:v>51</x:v>
      </x:c>
      <x:c r="AA812">
        <x:v>46</x:v>
      </x:c>
      <x:c r="AB812" s="57" t="n">
        <x:v>41</x:v>
      </x:c>
      <x:c r="AC812" s="57" t="n">
        <x:v>41</x:v>
      </x:c>
      <x:c r="AD812" s="59"/>
      <x:c r="AE812" s="61" t="str">
        <x:f>IF(N(F812)&gt;=10,"NHL_LATEST_10",IF(AND(N(F812)&gt;0,N(G812)&gt;0),"NHL_BOTH_SEASONS",IF(N(G812)&gt;=10,"NHL_PREVIOUS_10",IF(AND(ISNUMBER(AD812),AD812=0,SUM(F812:G812)=0),"FARM_CAREER_0",IF(COUNT(F812:G812)&lt;2,"UNKNOWN_GP",IF(AND(F812=0,G812=0),IF(AD812&gt;=10,"FARM_LEGACY_10",IF(AND(ISNUMBER(AD812),AD812&gt;0),"FARM_CAREER_1_9","FARM_0_0")),IF(F812&gt;=1,IF(F812&lt;=3,"FARM_RECENT_1_3","FARM_RECENT_4_9"),"FARM_PREV_1_9_ONLY")))))))</x:f>
        <x:v>UNKNOWN_GP</x:v>
      </x:c>
      <x:c r="AF812" s="57" t="n">
        <x:f>AB812-T812</x:f>
        <x:v>0</x:v>
      </x:c>
      <x:c r="AG812" s="57" t="n">
        <x:f>AC812-U812</x:f>
        <x:v>0</x:v>
      </x:c>
    </x:row>
    <x:row r="813">
      <x:c r="A813" t="s">
        <x:v>1836</x:v>
      </x:c>
      <x:c r="C813" t="s">
        <x:v>339</x:v>
      </x:c>
      <x:c r="D813">
        <x:v>8486005</x:v>
      </x:c>
      <x:c r="E813" t="s">
        <x:v>267</x:v>
      </x:c>
      <x:c r="J813" t="s">
        <x:v>2474</x:v>
      </x:c>
      <x:c r="K813">
        <x:v>59</x:v>
      </x:c>
      <x:c r="L813">
        <x:v>31</x:v>
      </x:c>
      <x:c r="M813">
        <x:v>80</x:v>
      </x:c>
      <x:c r="N813">
        <x:v>37</x:v>
      </x:c>
      <x:c r="O813">
        <x:v>82</x:v>
      </x:c>
      <x:c r="P813">
        <x:v>69</x:v>
      </x:c>
      <x:c r="Q813">
        <x:v>72</x:v>
      </x:c>
      <x:c r="R813">
        <x:v>38</x:v>
      </x:c>
      <x:c r="S813">
        <x:v>66</x:v>
      </x:c>
      <x:c r="T813" s="63" t="n">
        <x:f>MAX(30,MIN(AB813-VLOOKUP(AE813,'AHL_PA_SC_BALANCE'!$A$8:$E$18,2,FALSE),VLOOKUP(AE813,'AHL_PA_SC_BALANCE'!$A$8:$E$18,4,FALSE)))</x:f>
        <x:v>40</x:v>
      </x:c>
      <x:c r="U813" s="63" t="n">
        <x:f>MAX(30,MIN(AC813-VLOOKUP(AE813,'AHL_PA_SC_BALANCE'!$A$8:$E$18,3,FALSE),VLOOKUP(AE813,'AHL_PA_SC_BALANCE'!$A$8:$E$18,5,FALSE)))</x:f>
        <x:v>39</x:v>
      </x:c>
      <x:c r="V813">
        <x:v>61</x:v>
      </x:c>
      <x:c r="W813">
        <x:v>58</x:v>
      </x:c>
      <x:c r="X813">
        <x:v>67</x:v>
      </x:c>
      <x:c r="Y813">
        <x:v>66</x:v>
      </x:c>
      <x:c r="Z813">
        <x:v>51</x:v>
      </x:c>
      <x:c r="AA813">
        <x:v>46</x:v>
      </x:c>
      <x:c r="AB813" s="57" t="n">
        <x:v>40</x:v>
      </x:c>
      <x:c r="AC813" s="57" t="n">
        <x:v>39</x:v>
      </x:c>
      <x:c r="AD813" s="59"/>
      <x:c r="AE813" s="61" t="str">
        <x:f>IF(N(F813)&gt;=10,"NHL_LATEST_10",IF(AND(N(F813)&gt;0,N(G813)&gt;0),"NHL_BOTH_SEASONS",IF(N(G813)&gt;=10,"NHL_PREVIOUS_10",IF(AND(ISNUMBER(AD813),AD813=0,SUM(F813:G813)=0),"FARM_CAREER_0",IF(COUNT(F813:G813)&lt;2,"UNKNOWN_GP",IF(AND(F813=0,G813=0),IF(AD813&gt;=10,"FARM_LEGACY_10",IF(AND(ISNUMBER(AD813),AD813&gt;0),"FARM_CAREER_1_9","FARM_0_0")),IF(F813&gt;=1,IF(F813&lt;=3,"FARM_RECENT_1_3","FARM_RECENT_4_9"),"FARM_PREV_1_9_ONLY")))))))</x:f>
        <x:v>UNKNOWN_GP</x:v>
      </x:c>
      <x:c r="AF813" s="57" t="n">
        <x:f>AB813-T813</x:f>
        <x:v>0</x:v>
      </x:c>
      <x:c r="AG813" s="57" t="n">
        <x:f>AC813-U813</x:f>
        <x:v>0</x:v>
      </x:c>
    </x:row>
    <x:row r="814">
      <x:c r="A814" t="s">
        <x:v>1837</x:v>
      </x:c>
      <x:c r="C814" t="s">
        <x:v>329</x:v>
      </x:c>
      <x:c r="D814">
        <x:v>8482195</x:v>
      </x:c>
      <x:c r="E814" t="s">
        <x:v>267</x:v>
      </x:c>
      <x:c r="J814" t="s">
        <x:v>2474</x:v>
      </x:c>
      <x:c r="K814">
        <x:v>63</x:v>
      </x:c>
      <x:c r="L814">
        <x:v>37</x:v>
      </x:c>
      <x:c r="M814">
        <x:v>85</x:v>
      </x:c>
      <x:c r="N814">
        <x:v>36</x:v>
      </x:c>
      <x:c r="O814">
        <x:v>79</x:v>
      </x:c>
      <x:c r="P814">
        <x:v>73</x:v>
      </x:c>
      <x:c r="Q814">
        <x:v>76</x:v>
      </x:c>
      <x:c r="R814">
        <x:v>37</x:v>
      </x:c>
      <x:c r="S814">
        <x:v>57</x:v>
      </x:c>
      <x:c r="T814" s="63" t="n">
        <x:f>MAX(30,MIN(AB814-VLOOKUP(AE814,'AHL_PA_SC_BALANCE'!$A$8:$E$18,2,FALSE),VLOOKUP(AE814,'AHL_PA_SC_BALANCE'!$A$8:$E$18,4,FALSE)))</x:f>
        <x:v>40</x:v>
      </x:c>
      <x:c r="U814" s="63" t="n">
        <x:f>MAX(30,MIN(AC814-VLOOKUP(AE814,'AHL_PA_SC_BALANCE'!$A$8:$E$18,3,FALSE),VLOOKUP(AE814,'AHL_PA_SC_BALANCE'!$A$8:$E$18,5,FALSE)))</x:f>
        <x:v>41</x:v>
      </x:c>
      <x:c r="V814">
        <x:v>60</x:v>
      </x:c>
      <x:c r="W814">
        <x:v>58</x:v>
      </x:c>
      <x:c r="X814">
        <x:v>66</x:v>
      </x:c>
      <x:c r="Y814">
        <x:v>66</x:v>
      </x:c>
      <x:c r="Z814">
        <x:v>51</x:v>
      </x:c>
      <x:c r="AA814">
        <x:v>46</x:v>
      </x:c>
      <x:c r="AB814" s="57" t="n">
        <x:v>40</x:v>
      </x:c>
      <x:c r="AC814" s="57" t="n">
        <x:v>41</x:v>
      </x:c>
      <x:c r="AD814" s="59"/>
      <x:c r="AE814" s="61" t="str">
        <x:f>IF(N(F814)&gt;=10,"NHL_LATEST_10",IF(AND(N(F814)&gt;0,N(G814)&gt;0),"NHL_BOTH_SEASONS",IF(N(G814)&gt;=10,"NHL_PREVIOUS_10",IF(AND(ISNUMBER(AD814),AD814=0,SUM(F814:G814)=0),"FARM_CAREER_0",IF(COUNT(F814:G814)&lt;2,"UNKNOWN_GP",IF(AND(F814=0,G814=0),IF(AD814&gt;=10,"FARM_LEGACY_10",IF(AND(ISNUMBER(AD814),AD814&gt;0),"FARM_CAREER_1_9","FARM_0_0")),IF(F814&gt;=1,IF(F814&lt;=3,"FARM_RECENT_1_3","FARM_RECENT_4_9"),"FARM_PREV_1_9_ONLY")))))))</x:f>
        <x:v>UNKNOWN_GP</x:v>
      </x:c>
      <x:c r="AF814" s="57" t="n">
        <x:f>AB814-T814</x:f>
        <x:v>0</x:v>
      </x:c>
      <x:c r="AG814" s="57" t="n">
        <x:f>AC814-U814</x:f>
        <x:v>0</x:v>
      </x:c>
    </x:row>
    <x:row r="815">
      <x:c r="A815" t="s">
        <x:v>1838</x:v>
      </x:c>
      <x:c r="C815" t="s">
        <x:v>329</x:v>
      </x:c>
      <x:c r="D815">
        <x:v>8486156</x:v>
      </x:c>
      <x:c r="E815" t="s">
        <x:v>267</x:v>
      </x:c>
      <x:c r="J815" t="s">
        <x:v>2474</x:v>
      </x:c>
      <x:c r="K815">
        <x:v>62</x:v>
      </x:c>
      <x:c r="L815">
        <x:v>33</x:v>
      </x:c>
      <x:c r="M815">
        <x:v>89</x:v>
      </x:c>
      <x:c r="N815">
        <x:v>37</x:v>
      </x:c>
      <x:c r="O815">
        <x:v>81</x:v>
      </x:c>
      <x:c r="P815">
        <x:v>70</x:v>
      </x:c>
      <x:c r="Q815">
        <x:v>73</x:v>
      </x:c>
      <x:c r="R815">
        <x:v>37</x:v>
      </x:c>
      <x:c r="S815">
        <x:v>55</x:v>
      </x:c>
      <x:c r="T815" s="63" t="n">
        <x:f>MAX(30,MIN(AB815-VLOOKUP(AE815,'AHL_PA_SC_BALANCE'!$A$8:$E$18,2,FALSE),VLOOKUP(AE815,'AHL_PA_SC_BALANCE'!$A$8:$E$18,4,FALSE)))</x:f>
        <x:v>40</x:v>
      </x:c>
      <x:c r="U815" s="63" t="n">
        <x:f>MAX(30,MIN(AC815-VLOOKUP(AE815,'AHL_PA_SC_BALANCE'!$A$8:$E$18,3,FALSE),VLOOKUP(AE815,'AHL_PA_SC_BALANCE'!$A$8:$E$18,5,FALSE)))</x:f>
        <x:v>39</x:v>
      </x:c>
      <x:c r="V815">
        <x:v>62</x:v>
      </x:c>
      <x:c r="W815">
        <x:v>58</x:v>
      </x:c>
      <x:c r="X815">
        <x:v>67</x:v>
      </x:c>
      <x:c r="Y815">
        <x:v>68</x:v>
      </x:c>
      <x:c r="Z815">
        <x:v>51</x:v>
      </x:c>
      <x:c r="AA815">
        <x:v>46</x:v>
      </x:c>
      <x:c r="AB815" s="57" t="n">
        <x:v>40</x:v>
      </x:c>
      <x:c r="AC815" s="57" t="n">
        <x:v>39</x:v>
      </x:c>
      <x:c r="AD815" s="59"/>
      <x:c r="AE815" s="61" t="str">
        <x:f>IF(N(F815)&gt;=10,"NHL_LATEST_10",IF(AND(N(F815)&gt;0,N(G815)&gt;0),"NHL_BOTH_SEASONS",IF(N(G815)&gt;=10,"NHL_PREVIOUS_10",IF(AND(ISNUMBER(AD815),AD815=0,SUM(F815:G815)=0),"FARM_CAREER_0",IF(COUNT(F815:G815)&lt;2,"UNKNOWN_GP",IF(AND(F815=0,G815=0),IF(AD815&gt;=10,"FARM_LEGACY_10",IF(AND(ISNUMBER(AD815),AD815&gt;0),"FARM_CAREER_1_9","FARM_0_0")),IF(F815&gt;=1,IF(F815&lt;=3,"FARM_RECENT_1_3","FARM_RECENT_4_9"),"FARM_PREV_1_9_ONLY")))))))</x:f>
        <x:v>UNKNOWN_GP</x:v>
      </x:c>
      <x:c r="AF815" s="57" t="n">
        <x:f>AB815-T815</x:f>
        <x:v>0</x:v>
      </x:c>
      <x:c r="AG815" s="57" t="n">
        <x:f>AC815-U815</x:f>
        <x:v>0</x:v>
      </x:c>
    </x:row>
    <x:row r="816">
      <x:c r="A816" t="s">
        <x:v>1839</x:v>
      </x:c>
      <x:c r="C816" t="s">
        <x:v>323</x:v>
      </x:c>
      <x:c r="D816">
        <x:v>8483520</x:v>
      </x:c>
      <x:c r="E816" t="s">
        <x:v>267</x:v>
      </x:c>
      <x:c r="J816" t="s">
        <x:v>2474</x:v>
      </x:c>
      <x:c r="K816">
        <x:v>68</x:v>
      </x:c>
      <x:c r="L816">
        <x:v>39</x:v>
      </x:c>
      <x:c r="M816">
        <x:v>91</x:v>
      </x:c>
      <x:c r="N816">
        <x:v>38</x:v>
      </x:c>
      <x:c r="O816">
        <x:v>75</x:v>
      </x:c>
      <x:c r="P816">
        <x:v>78</x:v>
      </x:c>
      <x:c r="Q816">
        <x:v>80</x:v>
      </x:c>
      <x:c r="R816">
        <x:v>38</x:v>
      </x:c>
      <x:c r="S816">
        <x:v>78</x:v>
      </x:c>
      <x:c r="T816" s="63" t="n">
        <x:f>MAX(30,MIN(AB816-VLOOKUP(AE816,'AHL_PA_SC_BALANCE'!$A$8:$E$18,2,FALSE),VLOOKUP(AE816,'AHL_PA_SC_BALANCE'!$A$8:$E$18,4,FALSE)))</x:f>
        <x:v>40</x:v>
      </x:c>
      <x:c r="U816" s="63" t="n">
        <x:f>MAX(30,MIN(AC816-VLOOKUP(AE816,'AHL_PA_SC_BALANCE'!$A$8:$E$18,3,FALSE),VLOOKUP(AE816,'AHL_PA_SC_BALANCE'!$A$8:$E$18,5,FALSE)))</x:f>
        <x:v>41</x:v>
      </x:c>
      <x:c r="V816">
        <x:v>62</x:v>
      </x:c>
      <x:c r="W816">
        <x:v>59</x:v>
      </x:c>
      <x:c r="X816">
        <x:v>65</x:v>
      </x:c>
      <x:c r="Y816">
        <x:v>66</x:v>
      </x:c>
      <x:c r="Z816">
        <x:v>51</x:v>
      </x:c>
      <x:c r="AA816">
        <x:v>46</x:v>
      </x:c>
      <x:c r="AB816" s="57" t="n">
        <x:v>40</x:v>
      </x:c>
      <x:c r="AC816" s="57" t="n">
        <x:v>41</x:v>
      </x:c>
      <x:c r="AD816" s="59"/>
      <x:c r="AE816" s="61" t="str">
        <x:f>IF(N(F816)&gt;=10,"NHL_LATEST_10",IF(AND(N(F816)&gt;0,N(G816)&gt;0),"NHL_BOTH_SEASONS",IF(N(G816)&gt;=10,"NHL_PREVIOUS_10",IF(AND(ISNUMBER(AD816),AD816=0,SUM(F816:G816)=0),"FARM_CAREER_0",IF(COUNT(F816:G816)&lt;2,"UNKNOWN_GP",IF(AND(F816=0,G816=0),IF(AD816&gt;=10,"FARM_LEGACY_10",IF(AND(ISNUMBER(AD816),AD816&gt;0),"FARM_CAREER_1_9","FARM_0_0")),IF(F816&gt;=1,IF(F816&lt;=3,"FARM_RECENT_1_3","FARM_RECENT_4_9"),"FARM_PREV_1_9_ONLY")))))))</x:f>
        <x:v>UNKNOWN_GP</x:v>
      </x:c>
      <x:c r="AF816" s="57" t="n">
        <x:f>AB816-T816</x:f>
        <x:v>0</x:v>
      </x:c>
      <x:c r="AG816" s="57" t="n">
        <x:f>AC816-U816</x:f>
        <x:v>0</x:v>
      </x:c>
    </x:row>
    <x:row r="817">
      <x:c r="A817" t="s">
        <x:v>1840</x:v>
      </x:c>
      <x:c r="C817" t="s">
        <x:v>339</x:v>
      </x:c>
      <x:c r="D817">
        <x:v>8484511</x:v>
      </x:c>
      <x:c r="E817" t="s">
        <x:v>267</x:v>
      </x:c>
      <x:c r="J817" t="s">
        <x:v>2474</x:v>
      </x:c>
      <x:c r="K817">
        <x:v>68</x:v>
      </x:c>
      <x:c r="L817">
        <x:v>38</x:v>
      </x:c>
      <x:c r="M817">
        <x:v>91</x:v>
      </x:c>
      <x:c r="N817">
        <x:v>37</x:v>
      </x:c>
      <x:c r="O817">
        <x:v>75</x:v>
      </x:c>
      <x:c r="P817">
        <x:v>71</x:v>
      </x:c>
      <x:c r="Q817">
        <x:v>73</x:v>
      </x:c>
      <x:c r="R817">
        <x:v>36</x:v>
      </x:c>
      <x:c r="S817">
        <x:v>82</x:v>
      </x:c>
      <x:c r="T817" s="63" t="n">
        <x:f>MAX(30,MIN(AB817-VLOOKUP(AE817,'AHL_PA_SC_BALANCE'!$A$8:$E$18,2,FALSE),VLOOKUP(AE817,'AHL_PA_SC_BALANCE'!$A$8:$E$18,4,FALSE)))</x:f>
        <x:v>39</x:v>
      </x:c>
      <x:c r="U817" s="63" t="n">
        <x:f>MAX(30,MIN(AC817-VLOOKUP(AE817,'AHL_PA_SC_BALANCE'!$A$8:$E$18,3,FALSE),VLOOKUP(AE817,'AHL_PA_SC_BALANCE'!$A$8:$E$18,5,FALSE)))</x:f>
        <x:v>40</x:v>
      </x:c>
      <x:c r="V817">
        <x:v>63</x:v>
      </x:c>
      <x:c r="W817">
        <x:v>58</x:v>
      </x:c>
      <x:c r="X817">
        <x:v>66</x:v>
      </x:c>
      <x:c r="Y817">
        <x:v>67</x:v>
      </x:c>
      <x:c r="Z817">
        <x:v>51</x:v>
      </x:c>
      <x:c r="AA817">
        <x:v>46</x:v>
      </x:c>
      <x:c r="AB817" s="57" t="n">
        <x:v>39</x:v>
      </x:c>
      <x:c r="AC817" s="57" t="n">
        <x:v>40</x:v>
      </x:c>
      <x:c r="AD817" s="59"/>
      <x:c r="AE817" s="61" t="str">
        <x:f>IF(N(F817)&gt;=10,"NHL_LATEST_10",IF(AND(N(F817)&gt;0,N(G817)&gt;0),"NHL_BOTH_SEASONS",IF(N(G817)&gt;=10,"NHL_PREVIOUS_10",IF(AND(ISNUMBER(AD817),AD817=0,SUM(F817:G817)=0),"FARM_CAREER_0",IF(COUNT(F817:G817)&lt;2,"UNKNOWN_GP",IF(AND(F817=0,G817=0),IF(AD817&gt;=10,"FARM_LEGACY_10",IF(AND(ISNUMBER(AD817),AD817&gt;0),"FARM_CAREER_1_9","FARM_0_0")),IF(F817&gt;=1,IF(F817&lt;=3,"FARM_RECENT_1_3","FARM_RECENT_4_9"),"FARM_PREV_1_9_ONLY")))))))</x:f>
        <x:v>UNKNOWN_GP</x:v>
      </x:c>
      <x:c r="AF817" s="57" t="n">
        <x:f>AB817-T817</x:f>
        <x:v>0</x:v>
      </x:c>
      <x:c r="AG817" s="57" t="n">
        <x:f>AC817-U817</x:f>
        <x:v>0</x:v>
      </x:c>
    </x:row>
    <x:row r="818">
      <x:c r="A818" t="s">
        <x:v>1841</x:v>
      </x:c>
      <x:c r="C818" t="s">
        <x:v>323</x:v>
      </x:c>
      <x:c r="D818">
        <x:v>8483124</x:v>
      </x:c>
      <x:c r="E818" t="s">
        <x:v>267</x:v>
      </x:c>
      <x:c r="J818" t="s">
        <x:v>2474</x:v>
      </x:c>
      <x:c r="K818">
        <x:v>67</x:v>
      </x:c>
      <x:c r="L818">
        <x:v>33</x:v>
      </x:c>
      <x:c r="M818">
        <x:v>86</x:v>
      </x:c>
      <x:c r="N818">
        <x:v>37</x:v>
      </x:c>
      <x:c r="O818">
        <x:v>77</x:v>
      </x:c>
      <x:c r="P818">
        <x:v>73</x:v>
      </x:c>
      <x:c r="Q818">
        <x:v>76</x:v>
      </x:c>
      <x:c r="R818">
        <x:v>36</x:v>
      </x:c>
      <x:c r="S818">
        <x:v>70</x:v>
      </x:c>
      <x:c r="T818" s="63" t="n">
        <x:f>MAX(30,MIN(AB818-VLOOKUP(AE818,'AHL_PA_SC_BALANCE'!$A$8:$E$18,2,FALSE),VLOOKUP(AE818,'AHL_PA_SC_BALANCE'!$A$8:$E$18,4,FALSE)))</x:f>
        <x:v>40</x:v>
      </x:c>
      <x:c r="U818" s="63" t="n">
        <x:f>MAX(30,MIN(AC818-VLOOKUP(AE818,'AHL_PA_SC_BALANCE'!$A$8:$E$18,3,FALSE),VLOOKUP(AE818,'AHL_PA_SC_BALANCE'!$A$8:$E$18,5,FALSE)))</x:f>
        <x:v>39</x:v>
      </x:c>
      <x:c r="V818">
        <x:v>61</x:v>
      </x:c>
      <x:c r="W818">
        <x:v>58</x:v>
      </x:c>
      <x:c r="X818">
        <x:v>68</x:v>
      </x:c>
      <x:c r="Y818">
        <x:v>67</x:v>
      </x:c>
      <x:c r="Z818">
        <x:v>51</x:v>
      </x:c>
      <x:c r="AA818">
        <x:v>46</x:v>
      </x:c>
      <x:c r="AB818" s="57" t="n">
        <x:v>40</x:v>
      </x:c>
      <x:c r="AC818" s="57" t="n">
        <x:v>39</x:v>
      </x:c>
      <x:c r="AD818" s="59"/>
      <x:c r="AE818" s="61" t="str">
        <x:f>IF(N(F818)&gt;=10,"NHL_LATEST_10",IF(AND(N(F818)&gt;0,N(G818)&gt;0),"NHL_BOTH_SEASONS",IF(N(G818)&gt;=10,"NHL_PREVIOUS_10",IF(AND(ISNUMBER(AD818),AD818=0,SUM(F818:G818)=0),"FARM_CAREER_0",IF(COUNT(F818:G818)&lt;2,"UNKNOWN_GP",IF(AND(F818=0,G818=0),IF(AD818&gt;=10,"FARM_LEGACY_10",IF(AND(ISNUMBER(AD818),AD818&gt;0),"FARM_CAREER_1_9","FARM_0_0")),IF(F818&gt;=1,IF(F818&lt;=3,"FARM_RECENT_1_3","FARM_RECENT_4_9"),"FARM_PREV_1_9_ONLY")))))))</x:f>
        <x:v>UNKNOWN_GP</x:v>
      </x:c>
      <x:c r="AF818" s="57" t="n">
        <x:f>AB818-T818</x:f>
        <x:v>0</x:v>
      </x:c>
      <x:c r="AG818" s="57" t="n">
        <x:f>AC818-U818</x:f>
        <x:v>0</x:v>
      </x:c>
    </x:row>
    <x:row r="819">
      <x:c r="A819" t="s">
        <x:v>1842</x:v>
      </x:c>
      <x:c r="C819" t="s">
        <x:v>358</x:v>
      </x:c>
      <x:c r="D819">
        <x:v>8483439</x:v>
      </x:c>
      <x:c r="E819" t="s">
        <x:v>267</x:v>
      </x:c>
      <x:c r="J819" t="s">
        <x:v>2474</x:v>
      </x:c>
      <x:c r="K819">
        <x:v>59</x:v>
      </x:c>
      <x:c r="L819">
        <x:v>37</x:v>
      </x:c>
      <x:c r="M819">
        <x:v>84</x:v>
      </x:c>
      <x:c r="N819">
        <x:v>38</x:v>
      </x:c>
      <x:c r="O819">
        <x:v>76</x:v>
      </x:c>
      <x:c r="P819">
        <x:v>75</x:v>
      </x:c>
      <x:c r="Q819">
        <x:v>78</x:v>
      </x:c>
      <x:c r="R819">
        <x:v>38</x:v>
      </x:c>
      <x:c r="S819">
        <x:v>65</x:v>
      </x:c>
      <x:c r="T819" s="63" t="n">
        <x:f>MAX(30,MIN(AB819-VLOOKUP(AE819,'AHL_PA_SC_BALANCE'!$A$8:$E$18,2,FALSE),VLOOKUP(AE819,'AHL_PA_SC_BALANCE'!$A$8:$E$18,4,FALSE)))</x:f>
        <x:v>40</x:v>
      </x:c>
      <x:c r="U819" s="63" t="n">
        <x:f>MAX(30,MIN(AC819-VLOOKUP(AE819,'AHL_PA_SC_BALANCE'!$A$8:$E$18,3,FALSE),VLOOKUP(AE819,'AHL_PA_SC_BALANCE'!$A$8:$E$18,5,FALSE)))</x:f>
        <x:v>42</x:v>
      </x:c>
      <x:c r="V819">
        <x:v>59</x:v>
      </x:c>
      <x:c r="W819">
        <x:v>60</x:v>
      </x:c>
      <x:c r="X819">
        <x:v>65</x:v>
      </x:c>
      <x:c r="Y819">
        <x:v>66</x:v>
      </x:c>
      <x:c r="Z819">
        <x:v>51</x:v>
      </x:c>
      <x:c r="AA819">
        <x:v>46</x:v>
      </x:c>
      <x:c r="AB819" s="57" t="n">
        <x:v>40</x:v>
      </x:c>
      <x:c r="AC819" s="57" t="n">
        <x:v>42</x:v>
      </x:c>
      <x:c r="AD819" s="59"/>
      <x:c r="AE819" s="61" t="str">
        <x:f>IF(N(F819)&gt;=10,"NHL_LATEST_10",IF(AND(N(F819)&gt;0,N(G819)&gt;0),"NHL_BOTH_SEASONS",IF(N(G819)&gt;=10,"NHL_PREVIOUS_10",IF(AND(ISNUMBER(AD819),AD819=0,SUM(F819:G819)=0),"FARM_CAREER_0",IF(COUNT(F819:G819)&lt;2,"UNKNOWN_GP",IF(AND(F819=0,G819=0),IF(AD819&gt;=10,"FARM_LEGACY_10",IF(AND(ISNUMBER(AD819),AD819&gt;0),"FARM_CAREER_1_9","FARM_0_0")),IF(F819&gt;=1,IF(F819&lt;=3,"FARM_RECENT_1_3","FARM_RECENT_4_9"),"FARM_PREV_1_9_ONLY")))))))</x:f>
        <x:v>UNKNOWN_GP</x:v>
      </x:c>
      <x:c r="AF819" s="57" t="n">
        <x:f>AB819-T819</x:f>
        <x:v>0</x:v>
      </x:c>
      <x:c r="AG819" s="57" t="n">
        <x:f>AC819-U819</x:f>
        <x:v>0</x:v>
      </x:c>
    </x:row>
    <x:row r="820">
      <x:c r="A820" t="s">
        <x:v>1843</x:v>
      </x:c>
      <x:c r="B820" t="s">
        <x:v>584</x:v>
      </x:c>
      <x:c r="C820" t="s">
        <x:v>358</x:v>
      </x:c>
      <x:c r="D820">
        <x:v>8478069</x:v>
      </x:c>
      <x:c r="E820" t="s">
        <x:v>267</x:v>
      </x:c>
      <x:c r="J820" t="s">
        <x:v>2476</x:v>
      </x:c>
      <x:c r="K820">
        <x:v>80</x:v>
      </x:c>
      <x:c r="L820">
        <x:v>42</x:v>
      </x:c>
      <x:c r="M820">
        <x:v>77</x:v>
      </x:c>
      <x:c r="N820">
        <x:v>33</x:v>
      </x:c>
      <x:c r="O820">
        <x:v>77</x:v>
      </x:c>
      <x:c r="P820">
        <x:v>81</x:v>
      </x:c>
      <x:c r="Q820">
        <x:v>82</x:v>
      </x:c>
      <x:c r="R820">
        <x:v>32</x:v>
      </x:c>
      <x:c r="S820">
        <x:v>30</x:v>
      </x:c>
      <x:c r="T820" s="63" t="n">
        <x:f>MAX(30,MIN(AB820-VLOOKUP(AE820,'AHL_PA_SC_BALANCE'!$A$8:$E$18,2,FALSE),VLOOKUP(AE820,'AHL_PA_SC_BALANCE'!$A$8:$E$18,4,FALSE)))</x:f>
        <x:v>39</x:v>
      </x:c>
      <x:c r="U820" s="63" t="n">
        <x:f>MAX(30,MIN(AC820-VLOOKUP(AE820,'AHL_PA_SC_BALANCE'!$A$8:$E$18,3,FALSE),VLOOKUP(AE820,'AHL_PA_SC_BALANCE'!$A$8:$E$18,5,FALSE)))</x:f>
        <x:v>41</x:v>
      </x:c>
      <x:c r="V820">
        <x:v>65</x:v>
      </x:c>
      <x:c r="W820">
        <x:v>45</x:v>
      </x:c>
      <x:c r="X820">
        <x:v>76</x:v>
      </x:c>
      <x:c r="Y820">
        <x:v>75</x:v>
      </x:c>
      <x:c r="Z820">
        <x:v>51</x:v>
      </x:c>
      <x:c r="AA820">
        <x:v>46</x:v>
      </x:c>
      <x:c r="AB820" s="57" t="n">
        <x:v>39</x:v>
      </x:c>
      <x:c r="AC820" s="57" t="n">
        <x:v>41</x:v>
      </x:c>
      <x:c r="AD820" s="59"/>
      <x:c r="AE820" s="61" t="str">
        <x:f>IF(N(F820)&gt;=10,"NHL_LATEST_10",IF(AND(N(F820)&gt;0,N(G820)&gt;0),"NHL_BOTH_SEASONS",IF(N(G820)&gt;=10,"NHL_PREVIOUS_10",IF(AND(ISNUMBER(AD820),AD820=0,SUM(F820:G820)=0),"FARM_CAREER_0",IF(COUNT(F820:G820)&lt;2,"UNKNOWN_GP",IF(AND(F820=0,G820=0),IF(AD820&gt;=10,"FARM_LEGACY_10",IF(AND(ISNUMBER(AD820),AD820&gt;0),"FARM_CAREER_1_9","FARM_0_0")),IF(F820&gt;=1,IF(F820&lt;=3,"FARM_RECENT_1_3","FARM_RECENT_4_9"),"FARM_PREV_1_9_ONLY")))))))</x:f>
        <x:v>UNKNOWN_GP</x:v>
      </x:c>
      <x:c r="AF820" s="57" t="n">
        <x:f>AB820-T820</x:f>
        <x:v>0</x:v>
      </x:c>
      <x:c r="AG820" s="57" t="n">
        <x:f>AC820-U820</x:f>
        <x:v>0</x:v>
      </x:c>
    </x:row>
    <x:row r="821">
      <x:c r="A821" t="s">
        <x:v>1844</x:v>
      </x:c>
      <x:c r="C821" t="s">
        <x:v>319</x:v>
      </x:c>
      <x:c r="D821">
        <x:v>8482925</x:v>
      </x:c>
      <x:c r="E821" t="s">
        <x:v>267</x:v>
      </x:c>
      <x:c r="J821" t="s">
        <x:v>2474</x:v>
      </x:c>
      <x:c r="K821">
        <x:v>60</x:v>
      </x:c>
      <x:c r="L821">
        <x:v>36</x:v>
      </x:c>
      <x:c r="M821">
        <x:v>85</x:v>
      </x:c>
      <x:c r="N821">
        <x:v>38</x:v>
      </x:c>
      <x:c r="O821">
        <x:v>82</x:v>
      </x:c>
      <x:c r="P821">
        <x:v>79</x:v>
      </x:c>
      <x:c r="Q821">
        <x:v>79</x:v>
      </x:c>
      <x:c r="R821">
        <x:v>39</x:v>
      </x:c>
      <x:c r="S821">
        <x:v>70</x:v>
      </x:c>
      <x:c r="T821" s="63" t="n">
        <x:f>MAX(30,MIN(AB821-VLOOKUP(AE821,'AHL_PA_SC_BALANCE'!$A$8:$E$18,2,FALSE),VLOOKUP(AE821,'AHL_PA_SC_BALANCE'!$A$8:$E$18,4,FALSE)))</x:f>
        <x:v>40</x:v>
      </x:c>
      <x:c r="U821" s="63" t="n">
        <x:f>MAX(30,MIN(AC821-VLOOKUP(AE821,'AHL_PA_SC_BALANCE'!$A$8:$E$18,3,FALSE),VLOOKUP(AE821,'AHL_PA_SC_BALANCE'!$A$8:$E$18,5,FALSE)))</x:f>
        <x:v>40</x:v>
      </x:c>
      <x:c r="V821">
        <x:v>57</x:v>
      </x:c>
      <x:c r="W821">
        <x:v>58</x:v>
      </x:c>
      <x:c r="X821">
        <x:v>68</x:v>
      </x:c>
      <x:c r="Y821">
        <x:v>67</x:v>
      </x:c>
      <x:c r="Z821">
        <x:v>51</x:v>
      </x:c>
      <x:c r="AA821">
        <x:v>46</x:v>
      </x:c>
      <x:c r="AB821" s="57" t="n">
        <x:v>40</x:v>
      </x:c>
      <x:c r="AC821" s="57" t="n">
        <x:v>40</x:v>
      </x:c>
      <x:c r="AD821" s="59"/>
      <x:c r="AE821" s="61" t="str">
        <x:f>IF(N(F821)&gt;=10,"NHL_LATEST_10",IF(AND(N(F821)&gt;0,N(G821)&gt;0),"NHL_BOTH_SEASONS",IF(N(G821)&gt;=10,"NHL_PREVIOUS_10",IF(AND(ISNUMBER(AD821),AD821=0,SUM(F821:G821)=0),"FARM_CAREER_0",IF(COUNT(F821:G821)&lt;2,"UNKNOWN_GP",IF(AND(F821=0,G821=0),IF(AD821&gt;=10,"FARM_LEGACY_10",IF(AND(ISNUMBER(AD821),AD821&gt;0),"FARM_CAREER_1_9","FARM_0_0")),IF(F821&gt;=1,IF(F821&lt;=3,"FARM_RECENT_1_3","FARM_RECENT_4_9"),"FARM_PREV_1_9_ONLY")))))))</x:f>
        <x:v>UNKNOWN_GP</x:v>
      </x:c>
      <x:c r="AF821" s="57" t="n">
        <x:f>AB821-T821</x:f>
        <x:v>0</x:v>
      </x:c>
      <x:c r="AG821" s="57" t="n">
        <x:f>AC821-U821</x:f>
        <x:v>0</x:v>
      </x:c>
    </x:row>
    <x:row r="822">
      <x:c r="A822" t="s">
        <x:v>1845</x:v>
      </x:c>
      <x:c r="C822" t="s">
        <x:v>326</x:v>
      </x:c>
      <x:c r="D822">
        <x:v>8482129</x:v>
      </x:c>
      <x:c r="E822" t="s">
        <x:v>267</x:v>
      </x:c>
      <x:c r="J822" t="s">
        <x:v>2474</x:v>
      </x:c>
      <x:c r="K822">
        <x:v>63</x:v>
      </x:c>
      <x:c r="L822">
        <x:v>37</x:v>
      </x:c>
      <x:c r="M822">
        <x:v>94</x:v>
      </x:c>
      <x:c r="N822">
        <x:v>37</x:v>
      </x:c>
      <x:c r="O822">
        <x:v>85</x:v>
      </x:c>
      <x:c r="P822">
        <x:v>75</x:v>
      </x:c>
      <x:c r="Q822">
        <x:v>78</x:v>
      </x:c>
      <x:c r="R822">
        <x:v>37</x:v>
      </x:c>
      <x:c r="S822">
        <x:v>68</x:v>
      </x:c>
      <x:c r="T822" s="63" t="n">
        <x:f>MAX(30,MIN(AB822-VLOOKUP(AE822,'AHL_PA_SC_BALANCE'!$A$8:$E$18,2,FALSE),VLOOKUP(AE822,'AHL_PA_SC_BALANCE'!$A$8:$E$18,4,FALSE)))</x:f>
        <x:v>39</x:v>
      </x:c>
      <x:c r="U822" s="63" t="n">
        <x:f>MAX(30,MIN(AC822-VLOOKUP(AE822,'AHL_PA_SC_BALANCE'!$A$8:$E$18,3,FALSE),VLOOKUP(AE822,'AHL_PA_SC_BALANCE'!$A$8:$E$18,5,FALSE)))</x:f>
        <x:v>41</x:v>
      </x:c>
      <x:c r="V822">
        <x:v>61</x:v>
      </x:c>
      <x:c r="W822">
        <x:v>58</x:v>
      </x:c>
      <x:c r="X822">
        <x:v>67</x:v>
      </x:c>
      <x:c r="Y822">
        <x:v>68</x:v>
      </x:c>
      <x:c r="Z822">
        <x:v>51</x:v>
      </x:c>
      <x:c r="AA822">
        <x:v>46</x:v>
      </x:c>
      <x:c r="AB822" s="57" t="n">
        <x:v>39</x:v>
      </x:c>
      <x:c r="AC822" s="57" t="n">
        <x:v>41</x:v>
      </x:c>
      <x:c r="AD822" s="59"/>
      <x:c r="AE822" s="61" t="str">
        <x:f>IF(N(F822)&gt;=10,"NHL_LATEST_10",IF(AND(N(F822)&gt;0,N(G822)&gt;0),"NHL_BOTH_SEASONS",IF(N(G822)&gt;=10,"NHL_PREVIOUS_10",IF(AND(ISNUMBER(AD822),AD822=0,SUM(F822:G822)=0),"FARM_CAREER_0",IF(COUNT(F822:G822)&lt;2,"UNKNOWN_GP",IF(AND(F822=0,G822=0),IF(AD822&gt;=10,"FARM_LEGACY_10",IF(AND(ISNUMBER(AD822),AD822&gt;0),"FARM_CAREER_1_9","FARM_0_0")),IF(F822&gt;=1,IF(F822&lt;=3,"FARM_RECENT_1_3","FARM_RECENT_4_9"),"FARM_PREV_1_9_ONLY")))))))</x:f>
        <x:v>UNKNOWN_GP</x:v>
      </x:c>
      <x:c r="AF822" s="57" t="n">
        <x:f>AB822-T822</x:f>
        <x:v>0</x:v>
      </x:c>
      <x:c r="AG822" s="57" t="n">
        <x:f>AC822-U822</x:f>
        <x:v>0</x:v>
      </x:c>
    </x:row>
    <x:row r="823">
      <x:c r="A823" t="s">
        <x:v>1846</x:v>
      </x:c>
      <x:c r="C823" t="s">
        <x:v>319</x:v>
      </x:c>
      <x:c r="D823">
        <x:v>8484155</x:v>
      </x:c>
      <x:c r="E823" t="s">
        <x:v>267</x:v>
      </x:c>
      <x:c r="J823" t="s">
        <x:v>2474</x:v>
      </x:c>
      <x:c r="K823">
        <x:v>61</x:v>
      </x:c>
      <x:c r="L823">
        <x:v>38</x:v>
      </x:c>
      <x:c r="M823">
        <x:v>84</x:v>
      </x:c>
      <x:c r="N823">
        <x:v>38</x:v>
      </x:c>
      <x:c r="O823">
        <x:v>81</x:v>
      </x:c>
      <x:c r="P823">
        <x:v>81</x:v>
      </x:c>
      <x:c r="Q823">
        <x:v>85</x:v>
      </x:c>
      <x:c r="R823">
        <x:v>37</x:v>
      </x:c>
      <x:c r="S823">
        <x:v>62</x:v>
      </x:c>
      <x:c r="T823" s="63" t="n">
        <x:f>MAX(30,MIN(AB823-VLOOKUP(AE823,'AHL_PA_SC_BALANCE'!$A$8:$E$18,2,FALSE),VLOOKUP(AE823,'AHL_PA_SC_BALANCE'!$A$8:$E$18,4,FALSE)))</x:f>
        <x:v>42</x:v>
      </x:c>
      <x:c r="U823" s="63" t="n">
        <x:f>MAX(30,MIN(AC823-VLOOKUP(AE823,'AHL_PA_SC_BALANCE'!$A$8:$E$18,3,FALSE),VLOOKUP(AE823,'AHL_PA_SC_BALANCE'!$A$8:$E$18,5,FALSE)))</x:f>
        <x:v>40</x:v>
      </x:c>
      <x:c r="V823">
        <x:v>62</x:v>
      </x:c>
      <x:c r="W823">
        <x:v>60</x:v>
      </x:c>
      <x:c r="X823">
        <x:v>65</x:v>
      </x:c>
      <x:c r="Y823">
        <x:v>64</x:v>
      </x:c>
      <x:c r="Z823">
        <x:v>51</x:v>
      </x:c>
      <x:c r="AA823">
        <x:v>46</x:v>
      </x:c>
      <x:c r="AB823" s="57" t="n">
        <x:v>42</x:v>
      </x:c>
      <x:c r="AC823" s="57" t="n">
        <x:v>40</x:v>
      </x:c>
      <x:c r="AD823" s="59"/>
      <x:c r="AE823" s="61" t="str">
        <x:f>IF(N(F823)&gt;=10,"NHL_LATEST_10",IF(AND(N(F823)&gt;0,N(G823)&gt;0),"NHL_BOTH_SEASONS",IF(N(G823)&gt;=10,"NHL_PREVIOUS_10",IF(AND(ISNUMBER(AD823),AD823=0,SUM(F823:G823)=0),"FARM_CAREER_0",IF(COUNT(F823:G823)&lt;2,"UNKNOWN_GP",IF(AND(F823=0,G823=0),IF(AD823&gt;=10,"FARM_LEGACY_10",IF(AND(ISNUMBER(AD823),AD823&gt;0),"FARM_CAREER_1_9","FARM_0_0")),IF(F823&gt;=1,IF(F823&lt;=3,"FARM_RECENT_1_3","FARM_RECENT_4_9"),"FARM_PREV_1_9_ONLY")))))))</x:f>
        <x:v>UNKNOWN_GP</x:v>
      </x:c>
      <x:c r="AF823" s="57" t="n">
        <x:f>AB823-T823</x:f>
        <x:v>0</x:v>
      </x:c>
      <x:c r="AG823" s="57" t="n">
        <x:f>AC823-U823</x:f>
        <x:v>0</x:v>
      </x:c>
    </x:row>
    <x:row r="824">
      <x:c r="A824" t="s">
        <x:v>1847</x:v>
      </x:c>
      <x:c r="C824" t="s">
        <x:v>358</x:v>
      </x:c>
      <x:c r="D824">
        <x:v>8484904</x:v>
      </x:c>
      <x:c r="E824" t="s">
        <x:v>267</x:v>
      </x:c>
      <x:c r="J824" t="s">
        <x:v>2474</x:v>
      </x:c>
      <x:c r="K824">
        <x:v>61</x:v>
      </x:c>
      <x:c r="L824">
        <x:v>34</x:v>
      </x:c>
      <x:c r="M824">
        <x:v>88</x:v>
      </x:c>
      <x:c r="N824">
        <x:v>36</x:v>
      </x:c>
      <x:c r="O824">
        <x:v>85</x:v>
      </x:c>
      <x:c r="P824">
        <x:v>73</x:v>
      </x:c>
      <x:c r="Q824">
        <x:v>74</x:v>
      </x:c>
      <x:c r="R824">
        <x:v>37</x:v>
      </x:c>
      <x:c r="S824">
        <x:v>61</x:v>
      </x:c>
      <x:c r="T824" s="63" t="n">
        <x:f>MAX(30,MIN(AB824-VLOOKUP(AE824,'AHL_PA_SC_BALANCE'!$A$8:$E$18,2,FALSE),VLOOKUP(AE824,'AHL_PA_SC_BALANCE'!$A$8:$E$18,4,FALSE)))</x:f>
        <x:v>38</x:v>
      </x:c>
      <x:c r="U824" s="63" t="n">
        <x:f>MAX(30,MIN(AC824-VLOOKUP(AE824,'AHL_PA_SC_BALANCE'!$A$8:$E$18,3,FALSE),VLOOKUP(AE824,'AHL_PA_SC_BALANCE'!$A$8:$E$18,5,FALSE)))</x:f>
        <x:v>39</x:v>
      </x:c>
      <x:c r="V824">
        <x:v>63</x:v>
      </x:c>
      <x:c r="W824">
        <x:v>57</x:v>
      </x:c>
      <x:c r="X824">
        <x:v>70</x:v>
      </x:c>
      <x:c r="Y824">
        <x:v>71</x:v>
      </x:c>
      <x:c r="Z824">
        <x:v>51</x:v>
      </x:c>
      <x:c r="AA824">
        <x:v>46</x:v>
      </x:c>
      <x:c r="AB824" s="57" t="n">
        <x:v>38</x:v>
      </x:c>
      <x:c r="AC824" s="57" t="n">
        <x:v>39</x:v>
      </x:c>
      <x:c r="AD824" s="59"/>
      <x:c r="AE824" s="61" t="str">
        <x:f>IF(N(F824)&gt;=10,"NHL_LATEST_10",IF(AND(N(F824)&gt;0,N(G824)&gt;0),"NHL_BOTH_SEASONS",IF(N(G824)&gt;=10,"NHL_PREVIOUS_10",IF(AND(ISNUMBER(AD824),AD824=0,SUM(F824:G824)=0),"FARM_CAREER_0",IF(COUNT(F824:G824)&lt;2,"UNKNOWN_GP",IF(AND(F824=0,G824=0),IF(AD824&gt;=10,"FARM_LEGACY_10",IF(AND(ISNUMBER(AD824),AD824&gt;0),"FARM_CAREER_1_9","FARM_0_0")),IF(F824&gt;=1,IF(F824&lt;=3,"FARM_RECENT_1_3","FARM_RECENT_4_9"),"FARM_PREV_1_9_ONLY")))))))</x:f>
        <x:v>UNKNOWN_GP</x:v>
      </x:c>
      <x:c r="AF824" s="57" t="n">
        <x:f>AB824-T824</x:f>
        <x:v>0</x:v>
      </x:c>
      <x:c r="AG824" s="57" t="n">
        <x:f>AC824-U824</x:f>
        <x:v>0</x:v>
      </x:c>
    </x:row>
    <x:row r="825">
      <x:c r="A825" t="s">
        <x:v>1848</x:v>
      </x:c>
      <x:c r="C825" t="s">
        <x:v>326</x:v>
      </x:c>
      <x:c r="D825">
        <x:v>8484405</x:v>
      </x:c>
      <x:c r="E825" t="s">
        <x:v>267</x:v>
      </x:c>
      <x:c r="J825" t="s">
        <x:v>2474</x:v>
      </x:c>
      <x:c r="K825">
        <x:v>60</x:v>
      </x:c>
      <x:c r="L825">
        <x:v>38</x:v>
      </x:c>
      <x:c r="M825">
        <x:v>86</x:v>
      </x:c>
      <x:c r="N825">
        <x:v>38</x:v>
      </x:c>
      <x:c r="O825">
        <x:v>77</x:v>
      </x:c>
      <x:c r="P825">
        <x:v>78</x:v>
      </x:c>
      <x:c r="Q825">
        <x:v>82</x:v>
      </x:c>
      <x:c r="R825">
        <x:v>37</x:v>
      </x:c>
      <x:c r="S825">
        <x:v>63</x:v>
      </x:c>
      <x:c r="T825" s="63" t="n">
        <x:f>MAX(30,MIN(AB825-VLOOKUP(AE825,'AHL_PA_SC_BALANCE'!$A$8:$E$18,2,FALSE),VLOOKUP(AE825,'AHL_PA_SC_BALANCE'!$A$8:$E$18,4,FALSE)))</x:f>
        <x:v>43</x:v>
      </x:c>
      <x:c r="U825" s="63" t="n">
        <x:f>MAX(30,MIN(AC825-VLOOKUP(AE825,'AHL_PA_SC_BALANCE'!$A$8:$E$18,3,FALSE),VLOOKUP(AE825,'AHL_PA_SC_BALANCE'!$A$8:$E$18,5,FALSE)))</x:f>
        <x:v>42</x:v>
      </x:c>
      <x:c r="V825">
        <x:v>61</x:v>
      </x:c>
      <x:c r="W825">
        <x:v>60</x:v>
      </x:c>
      <x:c r="X825">
        <x:v>65</x:v>
      </x:c>
      <x:c r="Y825">
        <x:v>65</x:v>
      </x:c>
      <x:c r="Z825">
        <x:v>51</x:v>
      </x:c>
      <x:c r="AA825">
        <x:v>46</x:v>
      </x:c>
      <x:c r="AB825" s="57" t="n">
        <x:v>43</x:v>
      </x:c>
      <x:c r="AC825" s="57" t="n">
        <x:v>42</x:v>
      </x:c>
      <x:c r="AD825" s="59"/>
      <x:c r="AE825" s="61" t="str">
        <x:f>IF(N(F825)&gt;=10,"NHL_LATEST_10",IF(AND(N(F825)&gt;0,N(G825)&gt;0),"NHL_BOTH_SEASONS",IF(N(G825)&gt;=10,"NHL_PREVIOUS_10",IF(AND(ISNUMBER(AD825),AD825=0,SUM(F825:G825)=0),"FARM_CAREER_0",IF(COUNT(F825:G825)&lt;2,"UNKNOWN_GP",IF(AND(F825=0,G825=0),IF(AD825&gt;=10,"FARM_LEGACY_10",IF(AND(ISNUMBER(AD825),AD825&gt;0),"FARM_CAREER_1_9","FARM_0_0")),IF(F825&gt;=1,IF(F825&lt;=3,"FARM_RECENT_1_3","FARM_RECENT_4_9"),"FARM_PREV_1_9_ONLY")))))))</x:f>
        <x:v>UNKNOWN_GP</x:v>
      </x:c>
      <x:c r="AF825" s="57" t="n">
        <x:f>AB825-T825</x:f>
        <x:v>0</x:v>
      </x:c>
      <x:c r="AG825" s="57" t="n">
        <x:f>AC825-U825</x:f>
        <x:v>0</x:v>
      </x:c>
    </x:row>
    <x:row r="826">
      <x:c r="A826" t="s">
        <x:v>1849</x:v>
      </x:c>
      <x:c r="C826" t="s">
        <x:v>323</x:v>
      </x:c>
      <x:c r="D826">
        <x:v>8482706</x:v>
      </x:c>
      <x:c r="E826" t="s">
        <x:v>267</x:v>
      </x:c>
      <x:c r="J826" t="s">
        <x:v>2474</x:v>
      </x:c>
      <x:c r="K826">
        <x:v>72</x:v>
      </x:c>
      <x:c r="L826">
        <x:v>34</x:v>
      </x:c>
      <x:c r="M826">
        <x:v>91</x:v>
      </x:c>
      <x:c r="N826">
        <x:v>36</x:v>
      </x:c>
      <x:c r="O826">
        <x:v>82</x:v>
      </x:c>
      <x:c r="P826">
        <x:v>75</x:v>
      </x:c>
      <x:c r="Q826">
        <x:v>77</x:v>
      </x:c>
      <x:c r="R826">
        <x:v>37</x:v>
      </x:c>
      <x:c r="S826">
        <x:v>64</x:v>
      </x:c>
      <x:c r="T826" s="63" t="n">
        <x:f>MAX(30,MIN(AB826-VLOOKUP(AE826,'AHL_PA_SC_BALANCE'!$A$8:$E$18,2,FALSE),VLOOKUP(AE826,'AHL_PA_SC_BALANCE'!$A$8:$E$18,4,FALSE)))</x:f>
        <x:v>39</x:v>
      </x:c>
      <x:c r="U826" s="63" t="n">
        <x:f>MAX(30,MIN(AC826-VLOOKUP(AE826,'AHL_PA_SC_BALANCE'!$A$8:$E$18,3,FALSE),VLOOKUP(AE826,'AHL_PA_SC_BALANCE'!$A$8:$E$18,5,FALSE)))</x:f>
        <x:v>39</x:v>
      </x:c>
      <x:c r="V826">
        <x:v>57</x:v>
      </x:c>
      <x:c r="W826">
        <x:v>57</x:v>
      </x:c>
      <x:c r="X826">
        <x:v>66</x:v>
      </x:c>
      <x:c r="Y826">
        <x:v>67</x:v>
      </x:c>
      <x:c r="Z826">
        <x:v>51</x:v>
      </x:c>
      <x:c r="AA826">
        <x:v>46</x:v>
      </x:c>
      <x:c r="AB826" s="57" t="n">
        <x:v>39</x:v>
      </x:c>
      <x:c r="AC826" s="57" t="n">
        <x:v>39</x:v>
      </x:c>
      <x:c r="AD826" s="59"/>
      <x:c r="AE826" s="61" t="str">
        <x:f>IF(N(F826)&gt;=10,"NHL_LATEST_10",IF(AND(N(F826)&gt;0,N(G826)&gt;0),"NHL_BOTH_SEASONS",IF(N(G826)&gt;=10,"NHL_PREVIOUS_10",IF(AND(ISNUMBER(AD826),AD826=0,SUM(F826:G826)=0),"FARM_CAREER_0",IF(COUNT(F826:G826)&lt;2,"UNKNOWN_GP",IF(AND(F826=0,G826=0),IF(AD826&gt;=10,"FARM_LEGACY_10",IF(AND(ISNUMBER(AD826),AD826&gt;0),"FARM_CAREER_1_9","FARM_0_0")),IF(F826&gt;=1,IF(F826&lt;=3,"FARM_RECENT_1_3","FARM_RECENT_4_9"),"FARM_PREV_1_9_ONLY")))))))</x:f>
        <x:v>UNKNOWN_GP</x:v>
      </x:c>
      <x:c r="AF826" s="57" t="n">
        <x:f>AB826-T826</x:f>
        <x:v>0</x:v>
      </x:c>
      <x:c r="AG826" s="57" t="n">
        <x:f>AC826-U826</x:f>
        <x:v>0</x:v>
      </x:c>
    </x:row>
    <x:row r="827">
      <x:c r="A827" t="s">
        <x:v>1850</x:v>
      </x:c>
      <x:c r="C827" t="s">
        <x:v>323</x:v>
      </x:c>
      <x:c r="D827">
        <x:v>8483856</x:v>
      </x:c>
      <x:c r="E827" t="s">
        <x:v>267</x:v>
      </x:c>
      <x:c r="J827" t="s">
        <x:v>2474</x:v>
      </x:c>
      <x:c r="K827">
        <x:v>63</x:v>
      </x:c>
      <x:c r="L827">
        <x:v>35</x:v>
      </x:c>
      <x:c r="M827">
        <x:v>87</x:v>
      </x:c>
      <x:c r="N827">
        <x:v>38</x:v>
      </x:c>
      <x:c r="O827">
        <x:v>82</x:v>
      </x:c>
      <x:c r="P827">
        <x:v>75</x:v>
      </x:c>
      <x:c r="Q827">
        <x:v>79</x:v>
      </x:c>
      <x:c r="R827">
        <x:v>37</x:v>
      </x:c>
      <x:c r="S827">
        <x:v>56</x:v>
      </x:c>
      <x:c r="T827" s="63" t="n">
        <x:f>MAX(30,MIN(AB827-VLOOKUP(AE827,'AHL_PA_SC_BALANCE'!$A$8:$E$18,2,FALSE),VLOOKUP(AE827,'AHL_PA_SC_BALANCE'!$A$8:$E$18,4,FALSE)))</x:f>
        <x:v>40</x:v>
      </x:c>
      <x:c r="U827" s="63" t="n">
        <x:f>MAX(30,MIN(AC827-VLOOKUP(AE827,'AHL_PA_SC_BALANCE'!$A$8:$E$18,3,FALSE),VLOOKUP(AE827,'AHL_PA_SC_BALANCE'!$A$8:$E$18,5,FALSE)))</x:f>
        <x:v>40</x:v>
      </x:c>
      <x:c r="V827">
        <x:v>58</x:v>
      </x:c>
      <x:c r="W827">
        <x:v>59</x:v>
      </x:c>
      <x:c r="X827">
        <x:v>67</x:v>
      </x:c>
      <x:c r="Y827">
        <x:v>67</x:v>
      </x:c>
      <x:c r="Z827">
        <x:v>51</x:v>
      </x:c>
      <x:c r="AA827">
        <x:v>46</x:v>
      </x:c>
      <x:c r="AB827" s="57" t="n">
        <x:v>40</x:v>
      </x:c>
      <x:c r="AC827" s="57" t="n">
        <x:v>40</x:v>
      </x:c>
      <x:c r="AD827" s="59"/>
      <x:c r="AE827" s="61" t="str">
        <x:f>IF(N(F827)&gt;=10,"NHL_LATEST_10",IF(AND(N(F827)&gt;0,N(G827)&gt;0),"NHL_BOTH_SEASONS",IF(N(G827)&gt;=10,"NHL_PREVIOUS_10",IF(AND(ISNUMBER(AD827),AD827=0,SUM(F827:G827)=0),"FARM_CAREER_0",IF(COUNT(F827:G827)&lt;2,"UNKNOWN_GP",IF(AND(F827=0,G827=0),IF(AD827&gt;=10,"FARM_LEGACY_10",IF(AND(ISNUMBER(AD827),AD827&gt;0),"FARM_CAREER_1_9","FARM_0_0")),IF(F827&gt;=1,IF(F827&lt;=3,"FARM_RECENT_1_3","FARM_RECENT_4_9"),"FARM_PREV_1_9_ONLY")))))))</x:f>
        <x:v>UNKNOWN_GP</x:v>
      </x:c>
      <x:c r="AF827" s="57" t="n">
        <x:f>AB827-T827</x:f>
        <x:v>0</x:v>
      </x:c>
      <x:c r="AG827" s="57" t="n">
        <x:f>AC827-U827</x:f>
        <x:v>0</x:v>
      </x:c>
    </x:row>
    <x:row r="828">
      <x:c r="A828" t="s">
        <x:v>1851</x:v>
      </x:c>
      <x:c r="C828" t="s">
        <x:v>326</x:v>
      </x:c>
      <x:c r="D828">
        <x:v>8484916</x:v>
      </x:c>
      <x:c r="E828" t="s">
        <x:v>267</x:v>
      </x:c>
      <x:c r="J828" t="s">
        <x:v>2474</x:v>
      </x:c>
      <x:c r="K828">
        <x:v>63</x:v>
      </x:c>
      <x:c r="L828">
        <x:v>31</x:v>
      </x:c>
      <x:c r="M828">
        <x:v>85</x:v>
      </x:c>
      <x:c r="N828">
        <x:v>38</x:v>
      </x:c>
      <x:c r="O828">
        <x:v>79</x:v>
      </x:c>
      <x:c r="P828">
        <x:v>74</x:v>
      </x:c>
      <x:c r="Q828">
        <x:v>77</x:v>
      </x:c>
      <x:c r="R828">
        <x:v>37</x:v>
      </x:c>
      <x:c r="S828">
        <x:v>62</x:v>
      </x:c>
      <x:c r="T828" s="63" t="n">
        <x:f>MAX(30,MIN(AB828-VLOOKUP(AE828,'AHL_PA_SC_BALANCE'!$A$8:$E$18,2,FALSE),VLOOKUP(AE828,'AHL_PA_SC_BALANCE'!$A$8:$E$18,4,FALSE)))</x:f>
        <x:v>42</x:v>
      </x:c>
      <x:c r="U828" s="63" t="n">
        <x:f>MAX(30,MIN(AC828-VLOOKUP(AE828,'AHL_PA_SC_BALANCE'!$A$8:$E$18,3,FALSE),VLOOKUP(AE828,'AHL_PA_SC_BALANCE'!$A$8:$E$18,5,FALSE)))</x:f>
        <x:v>39</x:v>
      </x:c>
      <x:c r="V828">
        <x:v>58</x:v>
      </x:c>
      <x:c r="W828">
        <x:v>59</x:v>
      </x:c>
      <x:c r="X828">
        <x:v>68</x:v>
      </x:c>
      <x:c r="Y828">
        <x:v>67</x:v>
      </x:c>
      <x:c r="Z828">
        <x:v>51</x:v>
      </x:c>
      <x:c r="AA828">
        <x:v>46</x:v>
      </x:c>
      <x:c r="AB828" s="57" t="n">
        <x:v>42</x:v>
      </x:c>
      <x:c r="AC828" s="57" t="n">
        <x:v>39</x:v>
      </x:c>
      <x:c r="AD828" s="59"/>
      <x:c r="AE828" s="61" t="str">
        <x:f>IF(N(F828)&gt;=10,"NHL_LATEST_10",IF(AND(N(F828)&gt;0,N(G828)&gt;0),"NHL_BOTH_SEASONS",IF(N(G828)&gt;=10,"NHL_PREVIOUS_10",IF(AND(ISNUMBER(AD828),AD828=0,SUM(F828:G828)=0),"FARM_CAREER_0",IF(COUNT(F828:G828)&lt;2,"UNKNOWN_GP",IF(AND(F828=0,G828=0),IF(AD828&gt;=10,"FARM_LEGACY_10",IF(AND(ISNUMBER(AD828),AD828&gt;0),"FARM_CAREER_1_9","FARM_0_0")),IF(F828&gt;=1,IF(F828&lt;=3,"FARM_RECENT_1_3","FARM_RECENT_4_9"),"FARM_PREV_1_9_ONLY")))))))</x:f>
        <x:v>UNKNOWN_GP</x:v>
      </x:c>
      <x:c r="AF828" s="57" t="n">
        <x:f>AB828-T828</x:f>
        <x:v>0</x:v>
      </x:c>
      <x:c r="AG828" s="57" t="n">
        <x:f>AC828-U828</x:f>
        <x:v>0</x:v>
      </x:c>
    </x:row>
    <x:row r="829">
      <x:c r="A829" t="s">
        <x:v>1852</x:v>
      </x:c>
      <x:c r="B829" t="s">
        <x:v>584</x:v>
      </x:c>
      <x:c r="C829" t="s">
        <x:v>319</x:v>
      </x:c>
      <x:c r="D829">
        <x:v>8482213</x:v>
      </x:c>
      <x:c r="E829" t="s">
        <x:v>267</x:v>
      </x:c>
      <x:c r="G829">
        <x:v>2</x:v>
      </x:c>
      <x:c r="J829" t="s">
        <x:v>2488</x:v>
      </x:c>
      <x:c r="K829">
        <x:v>60</x:v>
      </x:c>
      <x:c r="L829">
        <x:v>31</x:v>
      </x:c>
      <x:c r="M829">
        <x:v>88</x:v>
      </x:c>
      <x:c r="N829">
        <x:v>39</x:v>
      </x:c>
      <x:c r="O829">
        <x:v>79</x:v>
      </x:c>
      <x:c r="P829">
        <x:v>89</x:v>
      </x:c>
      <x:c r="Q829">
        <x:v>95</x:v>
      </x:c>
      <x:c r="R829">
        <x:v>39</x:v>
      </x:c>
      <x:c r="S829">
        <x:v>86</x:v>
      </x:c>
      <x:c r="T829" s="63" t="n">
        <x:f>MAX(30,MIN(AB829-VLOOKUP(AE829,'AHL_PA_SC_BALANCE'!$A$8:$E$18,2,FALSE),VLOOKUP(AE829,'AHL_PA_SC_BALANCE'!$A$8:$E$18,4,FALSE)))</x:f>
        <x:v>42</x:v>
      </x:c>
      <x:c r="U829" s="63" t="n">
        <x:f>MAX(30,MIN(AC829-VLOOKUP(AE829,'AHL_PA_SC_BALANCE'!$A$8:$E$18,3,FALSE),VLOOKUP(AE829,'AHL_PA_SC_BALANCE'!$A$8:$E$18,5,FALSE)))</x:f>
        <x:v>41</x:v>
      </x:c>
      <x:c r="V829">
        <x:v>57</x:v>
      </x:c>
      <x:c r="W829">
        <x:v>61</x:v>
      </x:c>
      <x:c r="X829">
        <x:v>67</x:v>
      </x:c>
      <x:c r="Y829">
        <x:v>67</x:v>
      </x:c>
      <x:c r="Z829">
        <x:v>51</x:v>
      </x:c>
      <x:c r="AA829">
        <x:v>46</x:v>
      </x:c>
      <x:c r="AB829" s="57" t="n">
        <x:v>42</x:v>
      </x:c>
      <x:c r="AC829" s="57" t="n">
        <x:v>41</x:v>
      </x:c>
      <x:c r="AD829" s="59"/>
      <x:c r="AE829" s="61" t="str">
        <x:f>IF(N(F829)&gt;=10,"NHL_LATEST_10",IF(AND(N(F829)&gt;0,N(G829)&gt;0),"NHL_BOTH_SEASONS",IF(N(G829)&gt;=10,"NHL_PREVIOUS_10",IF(AND(ISNUMBER(AD829),AD829=0,SUM(F829:G829)=0),"FARM_CAREER_0",IF(COUNT(F829:G829)&lt;2,"UNKNOWN_GP",IF(AND(F829=0,G829=0),IF(AD829&gt;=10,"FARM_LEGACY_10",IF(AND(ISNUMBER(AD829),AD829&gt;0),"FARM_CAREER_1_9","FARM_0_0")),IF(F829&gt;=1,IF(F829&lt;=3,"FARM_RECENT_1_3","FARM_RECENT_4_9"),"FARM_PREV_1_9_ONLY")))))))</x:f>
        <x:v>UNKNOWN_GP</x:v>
      </x:c>
      <x:c r="AF829" s="57" t="n">
        <x:f>AB829-T829</x:f>
        <x:v>0</x:v>
      </x:c>
      <x:c r="AG829" s="57" t="n">
        <x:f>AC829-U829</x:f>
        <x:v>0</x:v>
      </x:c>
    </x:row>
    <x:row r="830">
      <x:c r="A830" t="s">
        <x:v>1853</x:v>
      </x:c>
      <x:c r="C830" t="s">
        <x:v>319</x:v>
      </x:c>
      <x:c r="D830">
        <x:v>8485491</x:v>
      </x:c>
      <x:c r="E830" t="s">
        <x:v>267</x:v>
      </x:c>
      <x:c r="J830" t="s">
        <x:v>2474</x:v>
      </x:c>
      <x:c r="K830">
        <x:v>71</x:v>
      </x:c>
      <x:c r="L830">
        <x:v>42</x:v>
      </x:c>
      <x:c r="M830">
        <x:v>89</x:v>
      </x:c>
      <x:c r="N830">
        <x:v>37</x:v>
      </x:c>
      <x:c r="O830">
        <x:v>78</x:v>
      </x:c>
      <x:c r="P830">
        <x:v>71</x:v>
      </x:c>
      <x:c r="Q830">
        <x:v>73</x:v>
      </x:c>
      <x:c r="R830">
        <x:v>37</x:v>
      </x:c>
      <x:c r="S830">
        <x:v>72</x:v>
      </x:c>
      <x:c r="T830" s="63" t="n">
        <x:f>MAX(30,MIN(AB830-VLOOKUP(AE830,'AHL_PA_SC_BALANCE'!$A$8:$E$18,2,FALSE),VLOOKUP(AE830,'AHL_PA_SC_BALANCE'!$A$8:$E$18,4,FALSE)))</x:f>
        <x:v>39</x:v>
      </x:c>
      <x:c r="U830" s="63" t="n">
        <x:f>MAX(30,MIN(AC830-VLOOKUP(AE830,'AHL_PA_SC_BALANCE'!$A$8:$E$18,3,FALSE),VLOOKUP(AE830,'AHL_PA_SC_BALANCE'!$A$8:$E$18,5,FALSE)))</x:f>
        <x:v>41</x:v>
      </x:c>
      <x:c r="V830">
        <x:v>58</x:v>
      </x:c>
      <x:c r="W830">
        <x:v>58</x:v>
      </x:c>
      <x:c r="X830">
        <x:v>68</x:v>
      </x:c>
      <x:c r="Y830">
        <x:v>69</x:v>
      </x:c>
      <x:c r="Z830">
        <x:v>51</x:v>
      </x:c>
      <x:c r="AA830">
        <x:v>46</x:v>
      </x:c>
      <x:c r="AB830" s="57" t="n">
        <x:v>39</x:v>
      </x:c>
      <x:c r="AC830" s="57" t="n">
        <x:v>41</x:v>
      </x:c>
      <x:c r="AD830" s="59"/>
      <x:c r="AE830" s="61" t="str">
        <x:f>IF(N(F830)&gt;=10,"NHL_LATEST_10",IF(AND(N(F830)&gt;0,N(G830)&gt;0),"NHL_BOTH_SEASONS",IF(N(G830)&gt;=10,"NHL_PREVIOUS_10",IF(AND(ISNUMBER(AD830),AD830=0,SUM(F830:G830)=0),"FARM_CAREER_0",IF(COUNT(F830:G830)&lt;2,"UNKNOWN_GP",IF(AND(F830=0,G830=0),IF(AD830&gt;=10,"FARM_LEGACY_10",IF(AND(ISNUMBER(AD830),AD830&gt;0),"FARM_CAREER_1_9","FARM_0_0")),IF(F830&gt;=1,IF(F830&lt;=3,"FARM_RECENT_1_3","FARM_RECENT_4_9"),"FARM_PREV_1_9_ONLY")))))))</x:f>
        <x:v>UNKNOWN_GP</x:v>
      </x:c>
      <x:c r="AF830" s="57" t="n">
        <x:f>AB830-T830</x:f>
        <x:v>0</x:v>
      </x:c>
      <x:c r="AG830" s="57" t="n">
        <x:f>AC830-U830</x:f>
        <x:v>0</x:v>
      </x:c>
    </x:row>
    <x:row r="831">
      <x:c r="A831" t="s">
        <x:v>1854</x:v>
      </x:c>
      <x:c r="C831" t="s">
        <x:v>358</x:v>
      </x:c>
      <x:c r="D831">
        <x:v>8480242</x:v>
      </x:c>
      <x:c r="E831" t="s">
        <x:v>267</x:v>
      </x:c>
      <x:c r="J831" t="s">
        <x:v>2474</x:v>
      </x:c>
      <x:c r="K831">
        <x:v>62</x:v>
      </x:c>
      <x:c r="L831">
        <x:v>38</x:v>
      </x:c>
      <x:c r="M831">
        <x:v>84</x:v>
      </x:c>
      <x:c r="N831">
        <x:v>38</x:v>
      </x:c>
      <x:c r="O831">
        <x:v>80</x:v>
      </x:c>
      <x:c r="P831">
        <x:v>73</x:v>
      </x:c>
      <x:c r="Q831">
        <x:v>76</x:v>
      </x:c>
      <x:c r="R831">
        <x:v>37</x:v>
      </x:c>
      <x:c r="S831">
        <x:v>66</x:v>
      </x:c>
      <x:c r="T831" s="63" t="n">
        <x:f>MAX(30,MIN(AB831-VLOOKUP(AE831,'AHL_PA_SC_BALANCE'!$A$8:$E$18,2,FALSE),VLOOKUP(AE831,'AHL_PA_SC_BALANCE'!$A$8:$E$18,4,FALSE)))</x:f>
        <x:v>42</x:v>
      </x:c>
      <x:c r="U831" s="63" t="n">
        <x:f>MAX(30,MIN(AC831-VLOOKUP(AE831,'AHL_PA_SC_BALANCE'!$A$8:$E$18,3,FALSE),VLOOKUP(AE831,'AHL_PA_SC_BALANCE'!$A$8:$E$18,5,FALSE)))</x:f>
        <x:v>39</x:v>
      </x:c>
      <x:c r="V831">
        <x:v>58</x:v>
      </x:c>
      <x:c r="W831">
        <x:v>59</x:v>
      </x:c>
      <x:c r="X831">
        <x:v>69</x:v>
      </x:c>
      <x:c r="Y831">
        <x:v>68</x:v>
      </x:c>
      <x:c r="Z831">
        <x:v>51</x:v>
      </x:c>
      <x:c r="AA831">
        <x:v>46</x:v>
      </x:c>
      <x:c r="AB831" s="57" t="n">
        <x:v>42</x:v>
      </x:c>
      <x:c r="AC831" s="57" t="n">
        <x:v>39</x:v>
      </x:c>
      <x:c r="AD831" s="59"/>
      <x:c r="AE831" s="61" t="str">
        <x:f>IF(N(F831)&gt;=10,"NHL_LATEST_10",IF(AND(N(F831)&gt;0,N(G831)&gt;0),"NHL_BOTH_SEASONS",IF(N(G831)&gt;=10,"NHL_PREVIOUS_10",IF(AND(ISNUMBER(AD831),AD831=0,SUM(F831:G831)=0),"FARM_CAREER_0",IF(COUNT(F831:G831)&lt;2,"UNKNOWN_GP",IF(AND(F831=0,G831=0),IF(AD831&gt;=10,"FARM_LEGACY_10",IF(AND(ISNUMBER(AD831),AD831&gt;0),"FARM_CAREER_1_9","FARM_0_0")),IF(F831&gt;=1,IF(F831&lt;=3,"FARM_RECENT_1_3","FARM_RECENT_4_9"),"FARM_PREV_1_9_ONLY")))))))</x:f>
        <x:v>UNKNOWN_GP</x:v>
      </x:c>
      <x:c r="AF831" s="57" t="n">
        <x:f>AB831-T831</x:f>
        <x:v>0</x:v>
      </x:c>
      <x:c r="AG831" s="57" t="n">
        <x:f>AC831-U831</x:f>
        <x:v>0</x:v>
      </x:c>
    </x:row>
    <x:row r="832">
      <x:c r="A832" t="s">
        <x:v>1855</x:v>
      </x:c>
      <x:c r="C832" t="s">
        <x:v>358</x:v>
      </x:c>
      <x:c r="D832">
        <x:v>8482490</x:v>
      </x:c>
      <x:c r="E832" t="s">
        <x:v>267</x:v>
      </x:c>
      <x:c r="J832" t="s">
        <x:v>2474</x:v>
      </x:c>
      <x:c r="K832">
        <x:v>68</x:v>
      </x:c>
      <x:c r="L832">
        <x:v>38</x:v>
      </x:c>
      <x:c r="M832">
        <x:v>78</x:v>
      </x:c>
      <x:c r="N832">
        <x:v>38</x:v>
      </x:c>
      <x:c r="O832">
        <x:v>85</x:v>
      </x:c>
      <x:c r="P832">
        <x:v>78</x:v>
      </x:c>
      <x:c r="Q832">
        <x:v>82</x:v>
      </x:c>
      <x:c r="R832">
        <x:v>37</x:v>
      </x:c>
      <x:c r="S832">
        <x:v>66</x:v>
      </x:c>
      <x:c r="T832" s="63" t="n">
        <x:f>MAX(30,MIN(AB832-VLOOKUP(AE832,'AHL_PA_SC_BALANCE'!$A$8:$E$18,2,FALSE),VLOOKUP(AE832,'AHL_PA_SC_BALANCE'!$A$8:$E$18,4,FALSE)))</x:f>
        <x:v>40</x:v>
      </x:c>
      <x:c r="U832" s="63" t="n">
        <x:f>MAX(30,MIN(AC832-VLOOKUP(AE832,'AHL_PA_SC_BALANCE'!$A$8:$E$18,3,FALSE),VLOOKUP(AE832,'AHL_PA_SC_BALANCE'!$A$8:$E$18,5,FALSE)))</x:f>
        <x:v>40</x:v>
      </x:c>
      <x:c r="V832">
        <x:v>60</x:v>
      </x:c>
      <x:c r="W832">
        <x:v>58</x:v>
      </x:c>
      <x:c r="X832">
        <x:v>67</x:v>
      </x:c>
      <x:c r="Y832">
        <x:v>68</x:v>
      </x:c>
      <x:c r="Z832">
        <x:v>51</x:v>
      </x:c>
      <x:c r="AA832">
        <x:v>46</x:v>
      </x:c>
      <x:c r="AB832" s="57" t="n">
        <x:v>40</x:v>
      </x:c>
      <x:c r="AC832" s="57" t="n">
        <x:v>40</x:v>
      </x:c>
      <x:c r="AD832" s="59"/>
      <x:c r="AE832" s="61" t="str">
        <x:f>IF(N(F832)&gt;=10,"NHL_LATEST_10",IF(AND(N(F832)&gt;0,N(G832)&gt;0),"NHL_BOTH_SEASONS",IF(N(G832)&gt;=10,"NHL_PREVIOUS_10",IF(AND(ISNUMBER(AD832),AD832=0,SUM(F832:G832)=0),"FARM_CAREER_0",IF(COUNT(F832:G832)&lt;2,"UNKNOWN_GP",IF(AND(F832=0,G832=0),IF(AD832&gt;=10,"FARM_LEGACY_10",IF(AND(ISNUMBER(AD832),AD832&gt;0),"FARM_CAREER_1_9","FARM_0_0")),IF(F832&gt;=1,IF(F832&lt;=3,"FARM_RECENT_1_3","FARM_RECENT_4_9"),"FARM_PREV_1_9_ONLY")))))))</x:f>
        <x:v>UNKNOWN_GP</x:v>
      </x:c>
      <x:c r="AF832" s="57" t="n">
        <x:f>AB832-T832</x:f>
        <x:v>0</x:v>
      </x:c>
      <x:c r="AG832" s="57" t="n">
        <x:f>AC832-U832</x:f>
        <x:v>0</x:v>
      </x:c>
    </x:row>
    <x:row r="833">
      <x:c r="A833" t="s">
        <x:v>1856</x:v>
      </x:c>
      <x:c r="C833" t="s">
        <x:v>319</x:v>
      </x:c>
      <x:c r="D833">
        <x:v>8484641</x:v>
      </x:c>
      <x:c r="E833" t="s">
        <x:v>267</x:v>
      </x:c>
      <x:c r="J833" t="s">
        <x:v>2474</x:v>
      </x:c>
      <x:c r="K833">
        <x:v>79</x:v>
      </x:c>
      <x:c r="L833">
        <x:v>31</x:v>
      </x:c>
      <x:c r="M833">
        <x:v>87</x:v>
      </x:c>
      <x:c r="N833">
        <x:v>36</x:v>
      </x:c>
      <x:c r="O833">
        <x:v>87</x:v>
      </x:c>
      <x:c r="P833">
        <x:v>73</x:v>
      </x:c>
      <x:c r="Q833">
        <x:v>75</x:v>
      </x:c>
      <x:c r="R833">
        <x:v>35</x:v>
      </x:c>
      <x:c r="S833">
        <x:v>76</x:v>
      </x:c>
      <x:c r="T833" s="63" t="n">
        <x:f>MAX(30,MIN(AB833-VLOOKUP(AE833,'AHL_PA_SC_BALANCE'!$A$8:$E$18,2,FALSE),VLOOKUP(AE833,'AHL_PA_SC_BALANCE'!$A$8:$E$18,4,FALSE)))</x:f>
        <x:v>39</x:v>
      </x:c>
      <x:c r="U833" s="63" t="n">
        <x:f>MAX(30,MIN(AC833-VLOOKUP(AE833,'AHL_PA_SC_BALANCE'!$A$8:$E$18,3,FALSE),VLOOKUP(AE833,'AHL_PA_SC_BALANCE'!$A$8:$E$18,5,FALSE)))</x:f>
        <x:v>39</x:v>
      </x:c>
      <x:c r="V833">
        <x:v>60</x:v>
      </x:c>
      <x:c r="W833">
        <x:v>57</x:v>
      </x:c>
      <x:c r="X833">
        <x:v>67</x:v>
      </x:c>
      <x:c r="Y833">
        <x:v>67</x:v>
      </x:c>
      <x:c r="Z833">
        <x:v>51</x:v>
      </x:c>
      <x:c r="AA833">
        <x:v>46</x:v>
      </x:c>
      <x:c r="AB833" s="57" t="n">
        <x:v>39</x:v>
      </x:c>
      <x:c r="AC833" s="57" t="n">
        <x:v>39</x:v>
      </x:c>
      <x:c r="AD833" s="59"/>
      <x:c r="AE833" s="61" t="str">
        <x:f>IF(N(F833)&gt;=10,"NHL_LATEST_10",IF(AND(N(F833)&gt;0,N(G833)&gt;0),"NHL_BOTH_SEASONS",IF(N(G833)&gt;=10,"NHL_PREVIOUS_10",IF(AND(ISNUMBER(AD833),AD833=0,SUM(F833:G833)=0),"FARM_CAREER_0",IF(COUNT(F833:G833)&lt;2,"UNKNOWN_GP",IF(AND(F833=0,G833=0),IF(AD833&gt;=10,"FARM_LEGACY_10",IF(AND(ISNUMBER(AD833),AD833&gt;0),"FARM_CAREER_1_9","FARM_0_0")),IF(F833&gt;=1,IF(F833&lt;=3,"FARM_RECENT_1_3","FARM_RECENT_4_9"),"FARM_PREV_1_9_ONLY")))))))</x:f>
        <x:v>UNKNOWN_GP</x:v>
      </x:c>
      <x:c r="AF833" s="57" t="n">
        <x:f>AB833-T833</x:f>
        <x:v>0</x:v>
      </x:c>
      <x:c r="AG833" s="57" t="n">
        <x:f>AC833-U833</x:f>
        <x:v>0</x:v>
      </x:c>
    </x:row>
    <x:row r="834">
      <x:c r="A834" t="s">
        <x:v>1857</x:v>
      </x:c>
      <x:c r="B834" t="s">
        <x:v>584</x:v>
      </x:c>
      <x:c r="C834" t="s">
        <x:v>326</x:v>
      </x:c>
      <x:c r="D834">
        <x:v>8483045</x:v>
      </x:c>
      <x:c r="E834" t="s">
        <x:v>267</x:v>
      </x:c>
      <x:c r="J834" t="s">
        <x:v>2476</x:v>
      </x:c>
      <x:c r="K834">
        <x:v>80</x:v>
      </x:c>
      <x:c r="L834">
        <x:v>36</x:v>
      </x:c>
      <x:c r="M834">
        <x:v>74</x:v>
      </x:c>
      <x:c r="N834">
        <x:v>37</x:v>
      </x:c>
      <x:c r="O834">
        <x:v>85</x:v>
      </x:c>
      <x:c r="P834">
        <x:v>75</x:v>
      </x:c>
      <x:c r="Q834">
        <x:v>77</x:v>
      </x:c>
      <x:c r="R834">
        <x:v>36</x:v>
      </x:c>
      <x:c r="S834">
        <x:v>72</x:v>
      </x:c>
      <x:c r="T834" s="63" t="n">
        <x:f>MAX(30,MIN(AB834-VLOOKUP(AE834,'AHL_PA_SC_BALANCE'!$A$8:$E$18,2,FALSE),VLOOKUP(AE834,'AHL_PA_SC_BALANCE'!$A$8:$E$18,4,FALSE)))</x:f>
        <x:v>39</x:v>
      </x:c>
      <x:c r="U834" s="63" t="n">
        <x:f>MAX(30,MIN(AC834-VLOOKUP(AE834,'AHL_PA_SC_BALANCE'!$A$8:$E$18,3,FALSE),VLOOKUP(AE834,'AHL_PA_SC_BALANCE'!$A$8:$E$18,5,FALSE)))</x:f>
        <x:v>40</x:v>
      </x:c>
      <x:c r="V834">
        <x:v>62</x:v>
      </x:c>
      <x:c r="W834">
        <x:v>58</x:v>
      </x:c>
      <x:c r="X834">
        <x:v>67</x:v>
      </x:c>
      <x:c r="Y834">
        <x:v>67</x:v>
      </x:c>
      <x:c r="Z834">
        <x:v>51</x:v>
      </x:c>
      <x:c r="AA834">
        <x:v>46</x:v>
      </x:c>
      <x:c r="AB834" s="57" t="n">
        <x:v>39</x:v>
      </x:c>
      <x:c r="AC834" s="57" t="n">
        <x:v>40</x:v>
      </x:c>
      <x:c r="AD834" s="59"/>
      <x:c r="AE834" s="61" t="str">
        <x:f>IF(N(F834)&gt;=10,"NHL_LATEST_10",IF(AND(N(F834)&gt;0,N(G834)&gt;0),"NHL_BOTH_SEASONS",IF(N(G834)&gt;=10,"NHL_PREVIOUS_10",IF(AND(ISNUMBER(AD834),AD834=0,SUM(F834:G834)=0),"FARM_CAREER_0",IF(COUNT(F834:G834)&lt;2,"UNKNOWN_GP",IF(AND(F834=0,G834=0),IF(AD834&gt;=10,"FARM_LEGACY_10",IF(AND(ISNUMBER(AD834),AD834&gt;0),"FARM_CAREER_1_9","FARM_0_0")),IF(F834&gt;=1,IF(F834&lt;=3,"FARM_RECENT_1_3","FARM_RECENT_4_9"),"FARM_PREV_1_9_ONLY")))))))</x:f>
        <x:v>UNKNOWN_GP</x:v>
      </x:c>
      <x:c r="AF834" s="57" t="n">
        <x:f>AB834-T834</x:f>
        <x:v>0</x:v>
      </x:c>
      <x:c r="AG834" s="57" t="n">
        <x:f>AC834-U834</x:f>
        <x:v>0</x:v>
      </x:c>
    </x:row>
    <x:row r="835">
      <x:c r="A835" t="s">
        <x:v>1858</x:v>
      </x:c>
      <x:c r="C835" t="s">
        <x:v>319</x:v>
      </x:c>
      <x:c r="D835">
        <x:v>8483449</x:v>
      </x:c>
      <x:c r="E835" t="s">
        <x:v>267</x:v>
      </x:c>
      <x:c r="J835" t="s">
        <x:v>2474</x:v>
      </x:c>
      <x:c r="K835">
        <x:v>67</x:v>
      </x:c>
      <x:c r="L835">
        <x:v>32</x:v>
      </x:c>
      <x:c r="M835">
        <x:v>76</x:v>
      </x:c>
      <x:c r="N835">
        <x:v>39</x:v>
      </x:c>
      <x:c r="O835">
        <x:v>74</x:v>
      </x:c>
      <x:c r="P835">
        <x:v>80</x:v>
      </x:c>
      <x:c r="Q835">
        <x:v>84</x:v>
      </x:c>
      <x:c r="R835">
        <x:v>40</x:v>
      </x:c>
      <x:c r="S835">
        <x:v>73</x:v>
      </x:c>
      <x:c r="T835" s="63" t="n">
        <x:f>MAX(30,MIN(AB835-VLOOKUP(AE835,'AHL_PA_SC_BALANCE'!$A$8:$E$18,2,FALSE),VLOOKUP(AE835,'AHL_PA_SC_BALANCE'!$A$8:$E$18,4,FALSE)))</x:f>
        <x:v>41</x:v>
      </x:c>
      <x:c r="U835" s="63" t="n">
        <x:f>MAX(30,MIN(AC835-VLOOKUP(AE835,'AHL_PA_SC_BALANCE'!$A$8:$E$18,3,FALSE),VLOOKUP(AE835,'AHL_PA_SC_BALANCE'!$A$8:$E$18,5,FALSE)))</x:f>
        <x:v>40</x:v>
      </x:c>
      <x:c r="V835">
        <x:v>61</x:v>
      </x:c>
      <x:c r="W835">
        <x:v>60</x:v>
      </x:c>
      <x:c r="X835">
        <x:v>65</x:v>
      </x:c>
      <x:c r="Y835">
        <x:v>66</x:v>
      </x:c>
      <x:c r="Z835">
        <x:v>51</x:v>
      </x:c>
      <x:c r="AA835">
        <x:v>46</x:v>
      </x:c>
      <x:c r="AB835" s="57" t="n">
        <x:v>41</x:v>
      </x:c>
      <x:c r="AC835" s="57" t="n">
        <x:v>40</x:v>
      </x:c>
      <x:c r="AD835" s="59"/>
      <x:c r="AE835" s="61" t="str">
        <x:f>IF(N(F835)&gt;=10,"NHL_LATEST_10",IF(AND(N(F835)&gt;0,N(G835)&gt;0),"NHL_BOTH_SEASONS",IF(N(G835)&gt;=10,"NHL_PREVIOUS_10",IF(AND(ISNUMBER(AD835),AD835=0,SUM(F835:G835)=0),"FARM_CAREER_0",IF(COUNT(F835:G835)&lt;2,"UNKNOWN_GP",IF(AND(F835=0,G835=0),IF(AD835&gt;=10,"FARM_LEGACY_10",IF(AND(ISNUMBER(AD835),AD835&gt;0),"FARM_CAREER_1_9","FARM_0_0")),IF(F835&gt;=1,IF(F835&lt;=3,"FARM_RECENT_1_3","FARM_RECENT_4_9"),"FARM_PREV_1_9_ONLY")))))))</x:f>
        <x:v>UNKNOWN_GP</x:v>
      </x:c>
      <x:c r="AF835" s="57" t="n">
        <x:f>AB835-T835</x:f>
        <x:v>0</x:v>
      </x:c>
      <x:c r="AG835" s="57" t="n">
        <x:f>AC835-U835</x:f>
        <x:v>0</x:v>
      </x:c>
    </x:row>
    <x:row r="836">
      <x:c r="A836" t="s">
        <x:v>1859</x:v>
      </x:c>
      <x:c r="B836" t="s">
        <x:v>584</x:v>
      </x:c>
      <x:c r="C836" t="s">
        <x:v>323</x:v>
      </x:c>
      <x:c r="D836">
        <x:v>8483058</x:v>
      </x:c>
      <x:c r="E836" t="s">
        <x:v>267</x:v>
      </x:c>
      <x:c r="J836" t="s">
        <x:v>2476</x:v>
      </x:c>
      <x:c r="K836">
        <x:v>76</x:v>
      </x:c>
      <x:c r="L836">
        <x:v>41</x:v>
      </x:c>
      <x:c r="M836">
        <x:v>71</x:v>
      </x:c>
      <x:c r="N836">
        <x:v>36</x:v>
      </x:c>
      <x:c r="O836">
        <x:v>73</x:v>
      </x:c>
      <x:c r="P836">
        <x:v>69</x:v>
      </x:c>
      <x:c r="Q836">
        <x:v>72</x:v>
      </x:c>
      <x:c r="R836">
        <x:v>35</x:v>
      </x:c>
      <x:c r="S836">
        <x:v>82</x:v>
      </x:c>
      <x:c r="T836" s="63" t="n">
        <x:f>MAX(30,MIN(AB836-VLOOKUP(AE836,'AHL_PA_SC_BALANCE'!$A$8:$E$18,2,FALSE),VLOOKUP(AE836,'AHL_PA_SC_BALANCE'!$A$8:$E$18,4,FALSE)))</x:f>
        <x:v>38</x:v>
      </x:c>
      <x:c r="U836" s="63" t="n">
        <x:f>MAX(30,MIN(AC836-VLOOKUP(AE836,'AHL_PA_SC_BALANCE'!$A$8:$E$18,3,FALSE),VLOOKUP(AE836,'AHL_PA_SC_BALANCE'!$A$8:$E$18,5,FALSE)))</x:f>
        <x:v>40</x:v>
      </x:c>
      <x:c r="V836">
        <x:v>60</x:v>
      </x:c>
      <x:c r="W836">
        <x:v>57</x:v>
      </x:c>
      <x:c r="X836">
        <x:v>69</x:v>
      </x:c>
      <x:c r="Y836">
        <x:v>68</x:v>
      </x:c>
      <x:c r="Z836">
        <x:v>51</x:v>
      </x:c>
      <x:c r="AA836">
        <x:v>46</x:v>
      </x:c>
      <x:c r="AB836" s="57" t="n">
        <x:v>38</x:v>
      </x:c>
      <x:c r="AC836" s="57" t="n">
        <x:v>40</x:v>
      </x:c>
      <x:c r="AD836" s="59"/>
      <x:c r="AE836" s="61" t="str">
        <x:f>IF(N(F836)&gt;=10,"NHL_LATEST_10",IF(AND(N(F836)&gt;0,N(G836)&gt;0),"NHL_BOTH_SEASONS",IF(N(G836)&gt;=10,"NHL_PREVIOUS_10",IF(AND(ISNUMBER(AD836),AD836=0,SUM(F836:G836)=0),"FARM_CAREER_0",IF(COUNT(F836:G836)&lt;2,"UNKNOWN_GP",IF(AND(F836=0,G836=0),IF(AD836&gt;=10,"FARM_LEGACY_10",IF(AND(ISNUMBER(AD836),AD836&gt;0),"FARM_CAREER_1_9","FARM_0_0")),IF(F836&gt;=1,IF(F836&lt;=3,"FARM_RECENT_1_3","FARM_RECENT_4_9"),"FARM_PREV_1_9_ONLY")))))))</x:f>
        <x:v>UNKNOWN_GP</x:v>
      </x:c>
      <x:c r="AF836" s="57" t="n">
        <x:f>AB836-T836</x:f>
        <x:v>0</x:v>
      </x:c>
      <x:c r="AG836" s="57" t="n">
        <x:f>AC836-U836</x:f>
        <x:v>0</x:v>
      </x:c>
    </x:row>
    <x:row r="837">
      <x:c r="A837" t="s">
        <x:v>1860</x:v>
      </x:c>
      <x:c r="C837" t="s">
        <x:v>319</x:v>
      </x:c>
      <x:c r="D837">
        <x:v>8482147</x:v>
      </x:c>
      <x:c r="E837" t="s">
        <x:v>267</x:v>
      </x:c>
      <x:c r="J837" t="s">
        <x:v>2474</x:v>
      </x:c>
      <x:c r="K837">
        <x:v>58</x:v>
      </x:c>
      <x:c r="L837">
        <x:v>36</x:v>
      </x:c>
      <x:c r="M837">
        <x:v>85</x:v>
      </x:c>
      <x:c r="N837">
        <x:v>39</x:v>
      </x:c>
      <x:c r="O837">
        <x:v>76</x:v>
      </x:c>
      <x:c r="P837">
        <x:v>86</x:v>
      </x:c>
      <x:c r="Q837">
        <x:v>91</x:v>
      </x:c>
      <x:c r="R837">
        <x:v>40</x:v>
      </x:c>
      <x:c r="S837">
        <x:v>56</x:v>
      </x:c>
      <x:c r="T837" s="63" t="n">
        <x:f>MAX(30,MIN(AB837-VLOOKUP(AE837,'AHL_PA_SC_BALANCE'!$A$8:$E$18,2,FALSE),VLOOKUP(AE837,'AHL_PA_SC_BALANCE'!$A$8:$E$18,4,FALSE)))</x:f>
        <x:v>44</x:v>
      </x:c>
      <x:c r="U837" s="63" t="n">
        <x:f>MAX(30,MIN(AC837-VLOOKUP(AE837,'AHL_PA_SC_BALANCE'!$A$8:$E$18,3,FALSE),VLOOKUP(AE837,'AHL_PA_SC_BALANCE'!$A$8:$E$18,5,FALSE)))</x:f>
        <x:v>39</x:v>
      </x:c>
      <x:c r="V837">
        <x:v>58</x:v>
      </x:c>
      <x:c r="W837">
        <x:v>61</x:v>
      </x:c>
      <x:c r="X837">
        <x:v>67</x:v>
      </x:c>
      <x:c r="Y837">
        <x:v>68</x:v>
      </x:c>
      <x:c r="Z837">
        <x:v>51</x:v>
      </x:c>
      <x:c r="AA837">
        <x:v>46</x:v>
      </x:c>
      <x:c r="AB837" s="57" t="n">
        <x:v>44</x:v>
      </x:c>
      <x:c r="AC837" s="57" t="n">
        <x:v>39</x:v>
      </x:c>
      <x:c r="AD837" s="59"/>
      <x:c r="AE837" s="61" t="str">
        <x:f>IF(N(F837)&gt;=10,"NHL_LATEST_10",IF(AND(N(F837)&gt;0,N(G837)&gt;0),"NHL_BOTH_SEASONS",IF(N(G837)&gt;=10,"NHL_PREVIOUS_10",IF(AND(ISNUMBER(AD837),AD837=0,SUM(F837:G837)=0),"FARM_CAREER_0",IF(COUNT(F837:G837)&lt;2,"UNKNOWN_GP",IF(AND(F837=0,G837=0),IF(AD837&gt;=10,"FARM_LEGACY_10",IF(AND(ISNUMBER(AD837),AD837&gt;0),"FARM_CAREER_1_9","FARM_0_0")),IF(F837&gt;=1,IF(F837&lt;=3,"FARM_RECENT_1_3","FARM_RECENT_4_9"),"FARM_PREV_1_9_ONLY")))))))</x:f>
        <x:v>UNKNOWN_GP</x:v>
      </x:c>
      <x:c r="AF837" s="57" t="n">
        <x:f>AB837-T837</x:f>
        <x:v>0</x:v>
      </x:c>
      <x:c r="AG837" s="57" t="n">
        <x:f>AC837-U837</x:f>
        <x:v>0</x:v>
      </x:c>
    </x:row>
    <x:row r="838">
      <x:c r="A838" t="s">
        <x:v>1861</x:v>
      </x:c>
      <x:c r="C838" t="s">
        <x:v>358</x:v>
      </x:c>
      <x:c r="D838">
        <x:v>8485182</x:v>
      </x:c>
      <x:c r="E838" t="s">
        <x:v>267</x:v>
      </x:c>
      <x:c r="J838" t="s">
        <x:v>2474</x:v>
      </x:c>
      <x:c r="K838">
        <x:v>67</x:v>
      </x:c>
      <x:c r="L838">
        <x:v>39</x:v>
      </x:c>
      <x:c r="M838">
        <x:v>79</x:v>
      </x:c>
      <x:c r="N838">
        <x:v>36</x:v>
      </x:c>
      <x:c r="O838">
        <x:v>88</x:v>
      </x:c>
      <x:c r="P838">
        <x:v>71</x:v>
      </x:c>
      <x:c r="Q838">
        <x:v>73</x:v>
      </x:c>
      <x:c r="R838">
        <x:v>37</x:v>
      </x:c>
      <x:c r="S838">
        <x:v>71</x:v>
      </x:c>
      <x:c r="T838" s="63" t="n">
        <x:f>MAX(30,MIN(AB838-VLOOKUP(AE838,'AHL_PA_SC_BALANCE'!$A$8:$E$18,2,FALSE),VLOOKUP(AE838,'AHL_PA_SC_BALANCE'!$A$8:$E$18,4,FALSE)))</x:f>
        <x:v>39</x:v>
      </x:c>
      <x:c r="U838" s="63" t="n">
        <x:f>MAX(30,MIN(AC838-VLOOKUP(AE838,'AHL_PA_SC_BALANCE'!$A$8:$E$18,3,FALSE),VLOOKUP(AE838,'AHL_PA_SC_BALANCE'!$A$8:$E$18,5,FALSE)))</x:f>
        <x:v>39</x:v>
      </x:c>
      <x:c r="V838">
        <x:v>62</x:v>
      </x:c>
      <x:c r="W838">
        <x:v>57</x:v>
      </x:c>
      <x:c r="X838">
        <x:v>69</x:v>
      </x:c>
      <x:c r="Y838">
        <x:v>69</x:v>
      </x:c>
      <x:c r="Z838">
        <x:v>51</x:v>
      </x:c>
      <x:c r="AA838">
        <x:v>46</x:v>
      </x:c>
      <x:c r="AB838" s="57" t="n">
        <x:v>39</x:v>
      </x:c>
      <x:c r="AC838" s="57" t="n">
        <x:v>39</x:v>
      </x:c>
      <x:c r="AD838" s="59"/>
      <x:c r="AE838" s="61" t="str">
        <x:f>IF(N(F838)&gt;=10,"NHL_LATEST_10",IF(AND(N(F838)&gt;0,N(G838)&gt;0),"NHL_BOTH_SEASONS",IF(N(G838)&gt;=10,"NHL_PREVIOUS_10",IF(AND(ISNUMBER(AD838),AD838=0,SUM(F838:G838)=0),"FARM_CAREER_0",IF(COUNT(F838:G838)&lt;2,"UNKNOWN_GP",IF(AND(F838=0,G838=0),IF(AD838&gt;=10,"FARM_LEGACY_10",IF(AND(ISNUMBER(AD838),AD838&gt;0),"FARM_CAREER_1_9","FARM_0_0")),IF(F838&gt;=1,IF(F838&lt;=3,"FARM_RECENT_1_3","FARM_RECENT_4_9"),"FARM_PREV_1_9_ONLY")))))))</x:f>
        <x:v>UNKNOWN_GP</x:v>
      </x:c>
      <x:c r="AF838" s="57" t="n">
        <x:f>AB838-T838</x:f>
        <x:v>0</x:v>
      </x:c>
      <x:c r="AG838" s="57" t="n">
        <x:f>AC838-U838</x:f>
        <x:v>0</x:v>
      </x:c>
    </x:row>
    <x:row r="839">
      <x:c r="A839" t="s">
        <x:v>1862</x:v>
      </x:c>
      <x:c r="C839" t="s">
        <x:v>326</x:v>
      </x:c>
      <x:c r="D839">
        <x:v>8485884</x:v>
      </x:c>
      <x:c r="E839" t="s">
        <x:v>267</x:v>
      </x:c>
      <x:c r="J839" t="s">
        <x:v>2474</x:v>
      </x:c>
      <x:c r="K839">
        <x:v>60</x:v>
      </x:c>
      <x:c r="L839">
        <x:v>42</x:v>
      </x:c>
      <x:c r="M839">
        <x:v>78</x:v>
      </x:c>
      <x:c r="N839">
        <x:v>37</x:v>
      </x:c>
      <x:c r="O839">
        <x:v>82</x:v>
      </x:c>
      <x:c r="P839">
        <x:v>72</x:v>
      </x:c>
      <x:c r="Q839">
        <x:v>75</x:v>
      </x:c>
      <x:c r="R839">
        <x:v>37</x:v>
      </x:c>
      <x:c r="S839">
        <x:v>61</x:v>
      </x:c>
      <x:c r="T839" s="63" t="n">
        <x:f>MAX(30,MIN(AB839-VLOOKUP(AE839,'AHL_PA_SC_BALANCE'!$A$8:$E$18,2,FALSE),VLOOKUP(AE839,'AHL_PA_SC_BALANCE'!$A$8:$E$18,4,FALSE)))</x:f>
        <x:v>40</x:v>
      </x:c>
      <x:c r="U839" s="63" t="n">
        <x:f>MAX(30,MIN(AC839-VLOOKUP(AE839,'AHL_PA_SC_BALANCE'!$A$8:$E$18,3,FALSE),VLOOKUP(AE839,'AHL_PA_SC_BALANCE'!$A$8:$E$18,5,FALSE)))</x:f>
        <x:v>40</x:v>
      </x:c>
      <x:c r="V839">
        <x:v>62</x:v>
      </x:c>
      <x:c r="W839">
        <x:v>58</x:v>
      </x:c>
      <x:c r="X839">
        <x:v>69</x:v>
      </x:c>
      <x:c r="Y839">
        <x:v>68</x:v>
      </x:c>
      <x:c r="Z839">
        <x:v>51</x:v>
      </x:c>
      <x:c r="AA839">
        <x:v>46</x:v>
      </x:c>
      <x:c r="AB839" s="57" t="n">
        <x:v>40</x:v>
      </x:c>
      <x:c r="AC839" s="57" t="n">
        <x:v>40</x:v>
      </x:c>
      <x:c r="AD839" s="59"/>
      <x:c r="AE839" s="61" t="str">
        <x:f>IF(N(F839)&gt;=10,"NHL_LATEST_10",IF(AND(N(F839)&gt;0,N(G839)&gt;0),"NHL_BOTH_SEASONS",IF(N(G839)&gt;=10,"NHL_PREVIOUS_10",IF(AND(ISNUMBER(AD839),AD839=0,SUM(F839:G839)=0),"FARM_CAREER_0",IF(COUNT(F839:G839)&lt;2,"UNKNOWN_GP",IF(AND(F839=0,G839=0),IF(AD839&gt;=10,"FARM_LEGACY_10",IF(AND(ISNUMBER(AD839),AD839&gt;0),"FARM_CAREER_1_9","FARM_0_0")),IF(F839&gt;=1,IF(F839&lt;=3,"FARM_RECENT_1_3","FARM_RECENT_4_9"),"FARM_PREV_1_9_ONLY")))))))</x:f>
        <x:v>UNKNOWN_GP</x:v>
      </x:c>
      <x:c r="AF839" s="57" t="n">
        <x:f>AB839-T839</x:f>
        <x:v>0</x:v>
      </x:c>
      <x:c r="AG839" s="57" t="n">
        <x:f>AC839-U839</x:f>
        <x:v>0</x:v>
      </x:c>
    </x:row>
    <x:row r="840">
      <x:c r="A840" t="s">
        <x:v>1863</x:v>
      </x:c>
      <x:c r="C840" t="s">
        <x:v>358</x:v>
      </x:c>
      <x:c r="D840">
        <x:v>8485071</x:v>
      </x:c>
      <x:c r="E840" t="s">
        <x:v>267</x:v>
      </x:c>
      <x:c r="J840" t="s">
        <x:v>2474</x:v>
      </x:c>
      <x:c r="K840">
        <x:v>60</x:v>
      </x:c>
      <x:c r="L840">
        <x:v>39</x:v>
      </x:c>
      <x:c r="M840">
        <x:v>80</x:v>
      </x:c>
      <x:c r="N840">
        <x:v>38</x:v>
      </x:c>
      <x:c r="O840">
        <x:v>79</x:v>
      </x:c>
      <x:c r="P840">
        <x:v>78</x:v>
      </x:c>
      <x:c r="Q840">
        <x:v>82</x:v>
      </x:c>
      <x:c r="R840">
        <x:v>37</x:v>
      </x:c>
      <x:c r="S840">
        <x:v>67</x:v>
      </x:c>
      <x:c r="T840" s="63" t="n">
        <x:f>MAX(30,MIN(AB840-VLOOKUP(AE840,'AHL_PA_SC_BALANCE'!$A$8:$E$18,2,FALSE),VLOOKUP(AE840,'AHL_PA_SC_BALANCE'!$A$8:$E$18,4,FALSE)))</x:f>
        <x:v>42</x:v>
      </x:c>
      <x:c r="U840" s="63" t="n">
        <x:f>MAX(30,MIN(AC840-VLOOKUP(AE840,'AHL_PA_SC_BALANCE'!$A$8:$E$18,3,FALSE),VLOOKUP(AE840,'AHL_PA_SC_BALANCE'!$A$8:$E$18,5,FALSE)))</x:f>
        <x:v>42</x:v>
      </x:c>
      <x:c r="V840">
        <x:v>60</x:v>
      </x:c>
      <x:c r="W840">
        <x:v>59</x:v>
      </x:c>
      <x:c r="X840">
        <x:v>65</x:v>
      </x:c>
      <x:c r="Y840">
        <x:v>65</x:v>
      </x:c>
      <x:c r="Z840">
        <x:v>51</x:v>
      </x:c>
      <x:c r="AA840">
        <x:v>46</x:v>
      </x:c>
      <x:c r="AB840" s="57" t="n">
        <x:v>42</x:v>
      </x:c>
      <x:c r="AC840" s="57" t="n">
        <x:v>42</x:v>
      </x:c>
      <x:c r="AD840" s="59"/>
      <x:c r="AE840" s="61" t="str">
        <x:f>IF(N(F840)&gt;=10,"NHL_LATEST_10",IF(AND(N(F840)&gt;0,N(G840)&gt;0),"NHL_BOTH_SEASONS",IF(N(G840)&gt;=10,"NHL_PREVIOUS_10",IF(AND(ISNUMBER(AD840),AD840=0,SUM(F840:G840)=0),"FARM_CAREER_0",IF(COUNT(F840:G840)&lt;2,"UNKNOWN_GP",IF(AND(F840=0,G840=0),IF(AD840&gt;=10,"FARM_LEGACY_10",IF(AND(ISNUMBER(AD840),AD840&gt;0),"FARM_CAREER_1_9","FARM_0_0")),IF(F840&gt;=1,IF(F840&lt;=3,"FARM_RECENT_1_3","FARM_RECENT_4_9"),"FARM_PREV_1_9_ONLY")))))))</x:f>
        <x:v>UNKNOWN_GP</x:v>
      </x:c>
      <x:c r="AF840" s="57" t="n">
        <x:f>AB840-T840</x:f>
        <x:v>0</x:v>
      </x:c>
      <x:c r="AG840" s="57" t="n">
        <x:f>AC840-U840</x:f>
        <x:v>0</x:v>
      </x:c>
    </x:row>
    <x:row r="841">
      <x:c r="A841" t="s">
        <x:v>1864</x:v>
      </x:c>
      <x:c r="C841" t="s">
        <x:v>319</x:v>
      </x:c>
      <x:c r="D841">
        <x:v>8483050</x:v>
      </x:c>
      <x:c r="E841" t="s">
        <x:v>267</x:v>
      </x:c>
      <x:c r="J841" t="s">
        <x:v>2474</x:v>
      </x:c>
      <x:c r="K841">
        <x:v>73</x:v>
      </x:c>
      <x:c r="L841">
        <x:v>35</x:v>
      </x:c>
      <x:c r="M841">
        <x:v>91</x:v>
      </x:c>
      <x:c r="N841">
        <x:v>36</x:v>
      </x:c>
      <x:c r="O841">
        <x:v>84</x:v>
      </x:c>
      <x:c r="P841">
        <x:v>74</x:v>
      </x:c>
      <x:c r="Q841">
        <x:v>76</x:v>
      </x:c>
      <x:c r="R841">
        <x:v>36</x:v>
      </x:c>
      <x:c r="S841">
        <x:v>65</x:v>
      </x:c>
      <x:c r="T841" s="63" t="n">
        <x:f>MAX(30,MIN(AB841-VLOOKUP(AE841,'AHL_PA_SC_BALANCE'!$A$8:$E$18,2,FALSE),VLOOKUP(AE841,'AHL_PA_SC_BALANCE'!$A$8:$E$18,4,FALSE)))</x:f>
        <x:v>39</x:v>
      </x:c>
      <x:c r="U841" s="63" t="n">
        <x:f>MAX(30,MIN(AC841-VLOOKUP(AE841,'AHL_PA_SC_BALANCE'!$A$8:$E$18,3,FALSE),VLOOKUP(AE841,'AHL_PA_SC_BALANCE'!$A$8:$E$18,5,FALSE)))</x:f>
        <x:v>39</x:v>
      </x:c>
      <x:c r="V841">
        <x:v>59</x:v>
      </x:c>
      <x:c r="W841">
        <x:v>57</x:v>
      </x:c>
      <x:c r="X841">
        <x:v>68</x:v>
      </x:c>
      <x:c r="Y841">
        <x:v>67</x:v>
      </x:c>
      <x:c r="Z841">
        <x:v>51</x:v>
      </x:c>
      <x:c r="AA841">
        <x:v>46</x:v>
      </x:c>
      <x:c r="AB841" s="57" t="n">
        <x:v>39</x:v>
      </x:c>
      <x:c r="AC841" s="57" t="n">
        <x:v>39</x:v>
      </x:c>
      <x:c r="AD841" s="59"/>
      <x:c r="AE841" s="61" t="str">
        <x:f>IF(N(F841)&gt;=10,"NHL_LATEST_10",IF(AND(N(F841)&gt;0,N(G841)&gt;0),"NHL_BOTH_SEASONS",IF(N(G841)&gt;=10,"NHL_PREVIOUS_10",IF(AND(ISNUMBER(AD841),AD841=0,SUM(F841:G841)=0),"FARM_CAREER_0",IF(COUNT(F841:G841)&lt;2,"UNKNOWN_GP",IF(AND(F841=0,G841=0),IF(AD841&gt;=10,"FARM_LEGACY_10",IF(AND(ISNUMBER(AD841),AD841&gt;0),"FARM_CAREER_1_9","FARM_0_0")),IF(F841&gt;=1,IF(F841&lt;=3,"FARM_RECENT_1_3","FARM_RECENT_4_9"),"FARM_PREV_1_9_ONLY")))))))</x:f>
        <x:v>UNKNOWN_GP</x:v>
      </x:c>
      <x:c r="AF841" s="57" t="n">
        <x:f>AB841-T841</x:f>
        <x:v>0</x:v>
      </x:c>
      <x:c r="AG841" s="57" t="n">
        <x:f>AC841-U841</x:f>
        <x:v>0</x:v>
      </x:c>
    </x:row>
    <x:row r="842">
      <x:c r="A842" t="s">
        <x:v>1865</x:v>
      </x:c>
      <x:c r="C842" t="s">
        <x:v>358</x:v>
      </x:c>
      <x:c r="D842">
        <x:v>8481660</x:v>
      </x:c>
      <x:c r="E842" t="s">
        <x:v>267</x:v>
      </x:c>
      <x:c r="J842" t="s">
        <x:v>2474</x:v>
      </x:c>
      <x:c r="K842">
        <x:v>66</x:v>
      </x:c>
      <x:c r="L842">
        <x:v>39</x:v>
      </x:c>
      <x:c r="M842">
        <x:v>77</x:v>
      </x:c>
      <x:c r="N842">
        <x:v>38</x:v>
      </x:c>
      <x:c r="O842">
        <x:v>85</x:v>
      </x:c>
      <x:c r="P842">
        <x:v>77</x:v>
      </x:c>
      <x:c r="Q842">
        <x:v>81</x:v>
      </x:c>
      <x:c r="R842">
        <x:v>38</x:v>
      </x:c>
      <x:c r="S842">
        <x:v>62</x:v>
      </x:c>
      <x:c r="T842" s="63" t="n">
        <x:f>MAX(30,MIN(AB842-VLOOKUP(AE842,'AHL_PA_SC_BALANCE'!$A$8:$E$18,2,FALSE),VLOOKUP(AE842,'AHL_PA_SC_BALANCE'!$A$8:$E$18,4,FALSE)))</x:f>
        <x:v>40</x:v>
      </x:c>
      <x:c r="U842" s="63" t="n">
        <x:f>MAX(30,MIN(AC842-VLOOKUP(AE842,'AHL_PA_SC_BALANCE'!$A$8:$E$18,3,FALSE),VLOOKUP(AE842,'AHL_PA_SC_BALANCE'!$A$8:$E$18,5,FALSE)))</x:f>
        <x:v>41</x:v>
      </x:c>
      <x:c r="V842">
        <x:v>58</x:v>
      </x:c>
      <x:c r="W842">
        <x:v>59</x:v>
      </x:c>
      <x:c r="X842">
        <x:v>68</x:v>
      </x:c>
      <x:c r="Y842">
        <x:v>68</x:v>
      </x:c>
      <x:c r="Z842">
        <x:v>51</x:v>
      </x:c>
      <x:c r="AA842">
        <x:v>46</x:v>
      </x:c>
      <x:c r="AB842" s="57" t="n">
        <x:v>40</x:v>
      </x:c>
      <x:c r="AC842" s="57" t="n">
        <x:v>41</x:v>
      </x:c>
      <x:c r="AD842" s="59"/>
      <x:c r="AE842" s="61" t="str">
        <x:f>IF(N(F842)&gt;=10,"NHL_LATEST_10",IF(AND(N(F842)&gt;0,N(G842)&gt;0),"NHL_BOTH_SEASONS",IF(N(G842)&gt;=10,"NHL_PREVIOUS_10",IF(AND(ISNUMBER(AD842),AD842=0,SUM(F842:G842)=0),"FARM_CAREER_0",IF(COUNT(F842:G842)&lt;2,"UNKNOWN_GP",IF(AND(F842=0,G842=0),IF(AD842&gt;=10,"FARM_LEGACY_10",IF(AND(ISNUMBER(AD842),AD842&gt;0),"FARM_CAREER_1_9","FARM_0_0")),IF(F842&gt;=1,IF(F842&lt;=3,"FARM_RECENT_1_3","FARM_RECENT_4_9"),"FARM_PREV_1_9_ONLY")))))))</x:f>
        <x:v>UNKNOWN_GP</x:v>
      </x:c>
      <x:c r="AF842" s="57" t="n">
        <x:f>AB842-T842</x:f>
        <x:v>0</x:v>
      </x:c>
      <x:c r="AG842" s="57" t="n">
        <x:f>AC842-U842</x:f>
        <x:v>0</x:v>
      </x:c>
    </x:row>
    <x:row r="843">
      <x:c r="A843" t="s">
        <x:v>1866</x:v>
      </x:c>
      <x:c r="C843" t="s">
        <x:v>333</x:v>
      </x:c>
      <x:c r="D843">
        <x:v>8485166</x:v>
      </x:c>
      <x:c r="E843" t="s">
        <x:v>267</x:v>
      </x:c>
      <x:c r="J843" t="s">
        <x:v>2474</x:v>
      </x:c>
      <x:c r="K843">
        <x:v>71</x:v>
      </x:c>
      <x:c r="L843">
        <x:v>44</x:v>
      </x:c>
      <x:c r="M843">
        <x:v>68</x:v>
      </x:c>
      <x:c r="N843">
        <x:v>38</x:v>
      </x:c>
      <x:c r="O843">
        <x:v>79</x:v>
      </x:c>
      <x:c r="P843">
        <x:v>78</x:v>
      </x:c>
      <x:c r="Q843">
        <x:v>82</x:v>
      </x:c>
      <x:c r="R843">
        <x:v>37</x:v>
      </x:c>
      <x:c r="S843">
        <x:v>69</x:v>
      </x:c>
      <x:c r="T843" s="63" t="n">
        <x:f>MAX(30,MIN(AB843-VLOOKUP(AE843,'AHL_PA_SC_BALANCE'!$A$8:$E$18,2,FALSE),VLOOKUP(AE843,'AHL_PA_SC_BALANCE'!$A$8:$E$18,4,FALSE)))</x:f>
        <x:v>40</x:v>
      </x:c>
      <x:c r="U843" s="63" t="n">
        <x:f>MAX(30,MIN(AC843-VLOOKUP(AE843,'AHL_PA_SC_BALANCE'!$A$8:$E$18,3,FALSE),VLOOKUP(AE843,'AHL_PA_SC_BALANCE'!$A$8:$E$18,5,FALSE)))</x:f>
        <x:v>39</x:v>
      </x:c>
      <x:c r="V843">
        <x:v>60</x:v>
      </x:c>
      <x:c r="W843">
        <x:v>58</x:v>
      </x:c>
      <x:c r="X843">
        <x:v>69</x:v>
      </x:c>
      <x:c r="Y843">
        <x:v>70</x:v>
      </x:c>
      <x:c r="Z843">
        <x:v>51</x:v>
      </x:c>
      <x:c r="AA843">
        <x:v>46</x:v>
      </x:c>
      <x:c r="AB843" s="57" t="n">
        <x:v>40</x:v>
      </x:c>
      <x:c r="AC843" s="57" t="n">
        <x:v>39</x:v>
      </x:c>
      <x:c r="AD843" s="59"/>
      <x:c r="AE843" s="61" t="str">
        <x:f>IF(N(F843)&gt;=10,"NHL_LATEST_10",IF(AND(N(F843)&gt;0,N(G843)&gt;0),"NHL_BOTH_SEASONS",IF(N(G843)&gt;=10,"NHL_PREVIOUS_10",IF(AND(ISNUMBER(AD843),AD843=0,SUM(F843:G843)=0),"FARM_CAREER_0",IF(COUNT(F843:G843)&lt;2,"UNKNOWN_GP",IF(AND(F843=0,G843=0),IF(AD843&gt;=10,"FARM_LEGACY_10",IF(AND(ISNUMBER(AD843),AD843&gt;0),"FARM_CAREER_1_9","FARM_0_0")),IF(F843&gt;=1,IF(F843&lt;=3,"FARM_RECENT_1_3","FARM_RECENT_4_9"),"FARM_PREV_1_9_ONLY")))))))</x:f>
        <x:v>UNKNOWN_GP</x:v>
      </x:c>
      <x:c r="AF843" s="57" t="n">
        <x:f>AB843-T843</x:f>
        <x:v>0</x:v>
      </x:c>
      <x:c r="AG843" s="57" t="n">
        <x:f>AC843-U843</x:f>
        <x:v>0</x:v>
      </x:c>
    </x:row>
    <x:row r="844">
      <x:c r="A844" t="s">
        <x:v>1867</x:v>
      </x:c>
      <x:c r="C844" t="s">
        <x:v>358</x:v>
      </x:c>
      <x:c r="D844">
        <x:v>8483016</x:v>
      </x:c>
      <x:c r="E844" t="s">
        <x:v>267</x:v>
      </x:c>
      <x:c r="J844" t="s">
        <x:v>2474</x:v>
      </x:c>
      <x:c r="K844">
        <x:v>68</x:v>
      </x:c>
      <x:c r="L844">
        <x:v>43</x:v>
      </x:c>
      <x:c r="M844">
        <x:v>70</x:v>
      </x:c>
      <x:c r="N844">
        <x:v>36</x:v>
      </x:c>
      <x:c r="O844">
        <x:v>83</x:v>
      </x:c>
      <x:c r="P844">
        <x:v>74</x:v>
      </x:c>
      <x:c r="Q844">
        <x:v>78</x:v>
      </x:c>
      <x:c r="R844">
        <x:v>37</x:v>
      </x:c>
      <x:c r="S844">
        <x:v>69</x:v>
      </x:c>
      <x:c r="T844" s="63" t="n">
        <x:f>MAX(30,MIN(AB844-VLOOKUP(AE844,'AHL_PA_SC_BALANCE'!$A$8:$E$18,2,FALSE),VLOOKUP(AE844,'AHL_PA_SC_BALANCE'!$A$8:$E$18,4,FALSE)))</x:f>
        <x:v>39</x:v>
      </x:c>
      <x:c r="U844" s="63" t="n">
        <x:f>MAX(30,MIN(AC844-VLOOKUP(AE844,'AHL_PA_SC_BALANCE'!$A$8:$E$18,3,FALSE),VLOOKUP(AE844,'AHL_PA_SC_BALANCE'!$A$8:$E$18,5,FALSE)))</x:f>
        <x:v>39</x:v>
      </x:c>
      <x:c r="V844">
        <x:v>60</x:v>
      </x:c>
      <x:c r="W844">
        <x:v>57</x:v>
      </x:c>
      <x:c r="X844">
        <x:v>69</x:v>
      </x:c>
      <x:c r="Y844">
        <x:v>70</x:v>
      </x:c>
      <x:c r="Z844">
        <x:v>51</x:v>
      </x:c>
      <x:c r="AA844">
        <x:v>46</x:v>
      </x:c>
      <x:c r="AB844" s="57" t="n">
        <x:v>39</x:v>
      </x:c>
      <x:c r="AC844" s="57" t="n">
        <x:v>39</x:v>
      </x:c>
      <x:c r="AD844" s="59"/>
      <x:c r="AE844" s="61" t="str">
        <x:f>IF(N(F844)&gt;=10,"NHL_LATEST_10",IF(AND(N(F844)&gt;0,N(G844)&gt;0),"NHL_BOTH_SEASONS",IF(N(G844)&gt;=10,"NHL_PREVIOUS_10",IF(AND(ISNUMBER(AD844),AD844=0,SUM(F844:G844)=0),"FARM_CAREER_0",IF(COUNT(F844:G844)&lt;2,"UNKNOWN_GP",IF(AND(F844=0,G844=0),IF(AD844&gt;=10,"FARM_LEGACY_10",IF(AND(ISNUMBER(AD844),AD844&gt;0),"FARM_CAREER_1_9","FARM_0_0")),IF(F844&gt;=1,IF(F844&lt;=3,"FARM_RECENT_1_3","FARM_RECENT_4_9"),"FARM_PREV_1_9_ONLY")))))))</x:f>
        <x:v>UNKNOWN_GP</x:v>
      </x:c>
      <x:c r="AF844" s="57" t="n">
        <x:f>AB844-T844</x:f>
        <x:v>0</x:v>
      </x:c>
      <x:c r="AG844" s="57" t="n">
        <x:f>AC844-U844</x:f>
        <x:v>0</x:v>
      </x:c>
    </x:row>
    <x:row r="845">
      <x:c r="A845" t="s">
        <x:v>1868</x:v>
      </x:c>
      <x:c r="B845" t="s">
        <x:v>584</x:v>
      </x:c>
      <x:c r="C845" t="s">
        <x:v>319</x:v>
      </x:c>
      <x:c r="D845">
        <x:v>8485555</x:v>
      </x:c>
      <x:c r="E845" t="s">
        <x:v>267</x:v>
      </x:c>
      <x:c r="J845" t="s">
        <x:v>2476</x:v>
      </x:c>
      <x:c r="K845">
        <x:v>64</x:v>
      </x:c>
      <x:c r="L845">
        <x:v>40</x:v>
      </x:c>
      <x:c r="M845">
        <x:v>83</x:v>
      </x:c>
      <x:c r="N845">
        <x:v>37</x:v>
      </x:c>
      <x:c r="O845">
        <x:v>83</x:v>
      </x:c>
      <x:c r="P845">
        <x:v>75</x:v>
      </x:c>
      <x:c r="Q845">
        <x:v>78</x:v>
      </x:c>
      <x:c r="R845">
        <x:v>37</x:v>
      </x:c>
      <x:c r="S845">
        <x:v>67</x:v>
      </x:c>
      <x:c r="T845" s="63" t="n">
        <x:f>MAX(30,MIN(AB845-VLOOKUP(AE845,'AHL_PA_SC_BALANCE'!$A$8:$E$18,2,FALSE),VLOOKUP(AE845,'AHL_PA_SC_BALANCE'!$A$8:$E$18,4,FALSE)))</x:f>
        <x:v>40</x:v>
      </x:c>
      <x:c r="U845" s="63" t="n">
        <x:f>MAX(30,MIN(AC845-VLOOKUP(AE845,'AHL_PA_SC_BALANCE'!$A$8:$E$18,3,FALSE),VLOOKUP(AE845,'AHL_PA_SC_BALANCE'!$A$8:$E$18,5,FALSE)))</x:f>
        <x:v>40</x:v>
      </x:c>
      <x:c r="V845">
        <x:v>58</x:v>
      </x:c>
      <x:c r="W845">
        <x:v>58</x:v>
      </x:c>
      <x:c r="X845">
        <x:v>69</x:v>
      </x:c>
      <x:c r="Y845">
        <x:v>69</x:v>
      </x:c>
      <x:c r="Z845">
        <x:v>51</x:v>
      </x:c>
      <x:c r="AA845">
        <x:v>46</x:v>
      </x:c>
      <x:c r="AB845" s="57" t="n">
        <x:v>40</x:v>
      </x:c>
      <x:c r="AC845" s="57" t="n">
        <x:v>40</x:v>
      </x:c>
      <x:c r="AD845" s="59"/>
      <x:c r="AE845" s="61" t="str">
        <x:f>IF(N(F845)&gt;=10,"NHL_LATEST_10",IF(AND(N(F845)&gt;0,N(G845)&gt;0),"NHL_BOTH_SEASONS",IF(N(G845)&gt;=10,"NHL_PREVIOUS_10",IF(AND(ISNUMBER(AD845),AD845=0,SUM(F845:G845)=0),"FARM_CAREER_0",IF(COUNT(F845:G845)&lt;2,"UNKNOWN_GP",IF(AND(F845=0,G845=0),IF(AD845&gt;=10,"FARM_LEGACY_10",IF(AND(ISNUMBER(AD845),AD845&gt;0),"FARM_CAREER_1_9","FARM_0_0")),IF(F845&gt;=1,IF(F845&lt;=3,"FARM_RECENT_1_3","FARM_RECENT_4_9"),"FARM_PREV_1_9_ONLY")))))))</x:f>
        <x:v>UNKNOWN_GP</x:v>
      </x:c>
      <x:c r="AF845" s="57" t="n">
        <x:f>AB845-T845</x:f>
        <x:v>0</x:v>
      </x:c>
      <x:c r="AG845" s="57" t="n">
        <x:f>AC845-U845</x:f>
        <x:v>0</x:v>
      </x:c>
    </x:row>
    <x:row r="846">
      <x:c r="A846" t="s">
        <x:v>1869</x:v>
      </x:c>
      <x:c r="C846" t="s">
        <x:v>333</x:v>
      </x:c>
      <x:c r="D846">
        <x:v>8485488</x:v>
      </x:c>
      <x:c r="E846" t="s">
        <x:v>267</x:v>
      </x:c>
      <x:c r="J846" t="s">
        <x:v>2474</x:v>
      </x:c>
      <x:c r="K846">
        <x:v>62</x:v>
      </x:c>
      <x:c r="L846">
        <x:v>39</x:v>
      </x:c>
      <x:c r="M846">
        <x:v>92</x:v>
      </x:c>
      <x:c r="N846">
        <x:v>38</x:v>
      </x:c>
      <x:c r="O846">
        <x:v>85</x:v>
      </x:c>
      <x:c r="P846">
        <x:v>71</x:v>
      </x:c>
      <x:c r="Q846">
        <x:v>74</x:v>
      </x:c>
      <x:c r="R846">
        <x:v>37</x:v>
      </x:c>
      <x:c r="S846">
        <x:v>64</x:v>
      </x:c>
      <x:c r="T846" s="63" t="n">
        <x:f>MAX(30,MIN(AB846-VLOOKUP(AE846,'AHL_PA_SC_BALANCE'!$A$8:$E$18,2,FALSE),VLOOKUP(AE846,'AHL_PA_SC_BALANCE'!$A$8:$E$18,4,FALSE)))</x:f>
        <x:v>40</x:v>
      </x:c>
      <x:c r="U846" s="63" t="n">
        <x:f>MAX(30,MIN(AC846-VLOOKUP(AE846,'AHL_PA_SC_BALANCE'!$A$8:$E$18,3,FALSE),VLOOKUP(AE846,'AHL_PA_SC_BALANCE'!$A$8:$E$18,5,FALSE)))</x:f>
        <x:v>41</x:v>
      </x:c>
      <x:c r="V846">
        <x:v>59</x:v>
      </x:c>
      <x:c r="W846">
        <x:v>59</x:v>
      </x:c>
      <x:c r="X846">
        <x:v>66</x:v>
      </x:c>
      <x:c r="Y846">
        <x:v>66</x:v>
      </x:c>
      <x:c r="Z846">
        <x:v>51</x:v>
      </x:c>
      <x:c r="AA846">
        <x:v>46</x:v>
      </x:c>
      <x:c r="AB846" s="57" t="n">
        <x:v>40</x:v>
      </x:c>
      <x:c r="AC846" s="57" t="n">
        <x:v>41</x:v>
      </x:c>
      <x:c r="AD846" s="59"/>
      <x:c r="AE846" s="61" t="str">
        <x:f>IF(N(F846)&gt;=10,"NHL_LATEST_10",IF(AND(N(F846)&gt;0,N(G846)&gt;0),"NHL_BOTH_SEASONS",IF(N(G846)&gt;=10,"NHL_PREVIOUS_10",IF(AND(ISNUMBER(AD846),AD846=0,SUM(F846:G846)=0),"FARM_CAREER_0",IF(COUNT(F846:G846)&lt;2,"UNKNOWN_GP",IF(AND(F846=0,G846=0),IF(AD846&gt;=10,"FARM_LEGACY_10",IF(AND(ISNUMBER(AD846),AD846&gt;0),"FARM_CAREER_1_9","FARM_0_0")),IF(F846&gt;=1,IF(F846&lt;=3,"FARM_RECENT_1_3","FARM_RECENT_4_9"),"FARM_PREV_1_9_ONLY")))))))</x:f>
        <x:v>UNKNOWN_GP</x:v>
      </x:c>
      <x:c r="AF846" s="57" t="n">
        <x:f>AB846-T846</x:f>
        <x:v>0</x:v>
      </x:c>
      <x:c r="AG846" s="57" t="n">
        <x:f>AC846-U846</x:f>
        <x:v>0</x:v>
      </x:c>
    </x:row>
    <x:row r="847">
      <x:c r="A847" t="s">
        <x:v>1870</x:v>
      </x:c>
      <x:c r="C847" t="s">
        <x:v>339</x:v>
      </x:c>
      <x:c r="D847">
        <x:v>8483838</x:v>
      </x:c>
      <x:c r="E847" t="s">
        <x:v>267</x:v>
      </x:c>
      <x:c r="J847" t="s">
        <x:v>2474</x:v>
      </x:c>
      <x:c r="K847">
        <x:v>57</x:v>
      </x:c>
      <x:c r="L847">
        <x:v>34</x:v>
      </x:c>
      <x:c r="M847">
        <x:v>82</x:v>
      </x:c>
      <x:c r="N847">
        <x:v>39</x:v>
      </x:c>
      <x:c r="O847">
        <x:v>79</x:v>
      </x:c>
      <x:c r="P847">
        <x:v>75</x:v>
      </x:c>
      <x:c r="Q847">
        <x:v>76</x:v>
      </x:c>
      <x:c r="R847">
        <x:v>38</x:v>
      </x:c>
      <x:c r="S847">
        <x:v>74</x:v>
      </x:c>
      <x:c r="T847" s="63" t="n">
        <x:f>MAX(30,MIN(AB847-VLOOKUP(AE847,'AHL_PA_SC_BALANCE'!$A$8:$E$18,2,FALSE),VLOOKUP(AE847,'AHL_PA_SC_BALANCE'!$A$8:$E$18,4,FALSE)))</x:f>
        <x:v>38</x:v>
      </x:c>
      <x:c r="U847" s="63" t="n">
        <x:f>MAX(30,MIN(AC847-VLOOKUP(AE847,'AHL_PA_SC_BALANCE'!$A$8:$E$18,3,FALSE),VLOOKUP(AE847,'AHL_PA_SC_BALANCE'!$A$8:$E$18,5,FALSE)))</x:f>
        <x:v>42</x:v>
      </x:c>
      <x:c r="V847">
        <x:v>58</x:v>
      </x:c>
      <x:c r="W847">
        <x:v>59</x:v>
      </x:c>
      <x:c r="X847">
        <x:v>71</x:v>
      </x:c>
      <x:c r="Y847">
        <x:v>70</x:v>
      </x:c>
      <x:c r="Z847">
        <x:v>51</x:v>
      </x:c>
      <x:c r="AA847">
        <x:v>46</x:v>
      </x:c>
      <x:c r="AB847" s="57" t="n">
        <x:v>38</x:v>
      </x:c>
      <x:c r="AC847" s="57" t="n">
        <x:v>42</x:v>
      </x:c>
      <x:c r="AD847" s="59"/>
      <x:c r="AE847" s="61" t="str">
        <x:f>IF(N(F847)&gt;=10,"NHL_LATEST_10",IF(AND(N(F847)&gt;0,N(G847)&gt;0),"NHL_BOTH_SEASONS",IF(N(G847)&gt;=10,"NHL_PREVIOUS_10",IF(AND(ISNUMBER(AD847),AD847=0,SUM(F847:G847)=0),"FARM_CAREER_0",IF(COUNT(F847:G847)&lt;2,"UNKNOWN_GP",IF(AND(F847=0,G847=0),IF(AD847&gt;=10,"FARM_LEGACY_10",IF(AND(ISNUMBER(AD847),AD847&gt;0),"FARM_CAREER_1_9","FARM_0_0")),IF(F847&gt;=1,IF(F847&lt;=3,"FARM_RECENT_1_3","FARM_RECENT_4_9"),"FARM_PREV_1_9_ONLY")))))))</x:f>
        <x:v>UNKNOWN_GP</x:v>
      </x:c>
      <x:c r="AF847" s="57" t="n">
        <x:f>AB847-T847</x:f>
        <x:v>0</x:v>
      </x:c>
      <x:c r="AG847" s="57" t="n">
        <x:f>AC847-U847</x:f>
        <x:v>0</x:v>
      </x:c>
    </x:row>
    <x:row r="848">
      <x:c r="A848" t="s">
        <x:v>1871</x:v>
      </x:c>
      <x:c r="B848" t="s">
        <x:v>584</x:v>
      </x:c>
      <x:c r="C848" t="s">
        <x:v>339</x:v>
      </x:c>
      <x:c r="E848" t="s">
        <x:v>267</x:v>
      </x:c>
      <x:c r="J848" t="s">
        <x:v>2474</x:v>
      </x:c>
      <x:c r="K848">
        <x:v>64</x:v>
      </x:c>
      <x:c r="L848">
        <x:v>34</x:v>
      </x:c>
      <x:c r="M848">
        <x:v>91</x:v>
      </x:c>
      <x:c r="N848">
        <x:v>36</x:v>
      </x:c>
      <x:c r="O848">
        <x:v>79</x:v>
      </x:c>
      <x:c r="P848">
        <x:v>67</x:v>
      </x:c>
      <x:c r="Q848">
        <x:v>70</x:v>
      </x:c>
      <x:c r="R848">
        <x:v>37</x:v>
      </x:c>
      <x:c r="S848">
        <x:v>66</x:v>
      </x:c>
      <x:c r="T848" s="63" t="n">
        <x:f>MAX(30,MIN(AB848-VLOOKUP(AE848,'AHL_PA_SC_BALANCE'!$A$8:$E$18,2,FALSE),VLOOKUP(AE848,'AHL_PA_SC_BALANCE'!$A$8:$E$18,4,FALSE)))</x:f>
        <x:v>38</x:v>
      </x:c>
      <x:c r="U848" s="63" t="n">
        <x:f>MAX(30,MIN(AC848-VLOOKUP(AE848,'AHL_PA_SC_BALANCE'!$A$8:$E$18,3,FALSE),VLOOKUP(AE848,'AHL_PA_SC_BALANCE'!$A$8:$E$18,5,FALSE)))</x:f>
        <x:v>39</x:v>
      </x:c>
      <x:c r="V848">
        <x:v>62</x:v>
      </x:c>
      <x:c r="W848">
        <x:v>56</x:v>
      </x:c>
      <x:c r="X848">
        <x:v>69</x:v>
      </x:c>
      <x:c r="Y848">
        <x:v>70</x:v>
      </x:c>
      <x:c r="Z848">
        <x:v>51</x:v>
      </x:c>
      <x:c r="AA848">
        <x:v>46</x:v>
      </x:c>
      <x:c r="AB848" s="57" t="n">
        <x:v>38</x:v>
      </x:c>
      <x:c r="AC848" s="57" t="n">
        <x:v>39</x:v>
      </x:c>
      <x:c r="AD848" s="59"/>
      <x:c r="AE848" s="61" t="str">
        <x:f>IF(N(F848)&gt;=10,"NHL_LATEST_10",IF(AND(N(F848)&gt;0,N(G848)&gt;0),"NHL_BOTH_SEASONS",IF(N(G848)&gt;=10,"NHL_PREVIOUS_10",IF(AND(ISNUMBER(AD848),AD848=0,SUM(F848:G848)=0),"FARM_CAREER_0",IF(COUNT(F848:G848)&lt;2,"UNKNOWN_GP",IF(AND(F848=0,G848=0),IF(AD848&gt;=10,"FARM_LEGACY_10",IF(AND(ISNUMBER(AD848),AD848&gt;0),"FARM_CAREER_1_9","FARM_0_0")),IF(F848&gt;=1,IF(F848&lt;=3,"FARM_RECENT_1_3","FARM_RECENT_4_9"),"FARM_PREV_1_9_ONLY")))))))</x:f>
        <x:v>UNKNOWN_GP</x:v>
      </x:c>
      <x:c r="AF848" s="57" t="n">
        <x:f>AB848-T848</x:f>
        <x:v>0</x:v>
      </x:c>
      <x:c r="AG848" s="57" t="n">
        <x:f>AC848-U848</x:f>
        <x:v>0</x:v>
      </x:c>
    </x:row>
    <x:row r="849">
      <x:c r="A849" t="s">
        <x:v>1872</x:v>
      </x:c>
      <x:c r="C849" t="s">
        <x:v>329</x:v>
      </x:c>
      <x:c r="D849">
        <x:v>8486129</x:v>
      </x:c>
      <x:c r="E849" t="s">
        <x:v>267</x:v>
      </x:c>
      <x:c r="J849" t="s">
        <x:v>2474</x:v>
      </x:c>
      <x:c r="K849">
        <x:v>61</x:v>
      </x:c>
      <x:c r="L849">
        <x:v>35</x:v>
      </x:c>
      <x:c r="M849">
        <x:v>81</x:v>
      </x:c>
      <x:c r="N849">
        <x:v>38</x:v>
      </x:c>
      <x:c r="O849">
        <x:v>83</x:v>
      </x:c>
      <x:c r="P849">
        <x:v>70</x:v>
      </x:c>
      <x:c r="Q849">
        <x:v>73</x:v>
      </x:c>
      <x:c r="R849">
        <x:v>38</x:v>
      </x:c>
      <x:c r="S849">
        <x:v>70</x:v>
      </x:c>
      <x:c r="T849" s="63" t="n">
        <x:f>MAX(30,MIN(AB849-VLOOKUP(AE849,'AHL_PA_SC_BALANCE'!$A$8:$E$18,2,FALSE),VLOOKUP(AE849,'AHL_PA_SC_BALANCE'!$A$8:$E$18,4,FALSE)))</x:f>
        <x:v>41</x:v>
      </x:c>
      <x:c r="U849" s="63" t="n">
        <x:f>MAX(30,MIN(AC849-VLOOKUP(AE849,'AHL_PA_SC_BALANCE'!$A$8:$E$18,3,FALSE),VLOOKUP(AE849,'AHL_PA_SC_BALANCE'!$A$8:$E$18,5,FALSE)))</x:f>
        <x:v>39</x:v>
      </x:c>
      <x:c r="V849">
        <x:v>60</x:v>
      </x:c>
      <x:c r="W849">
        <x:v>58</x:v>
      </x:c>
      <x:c r="X849">
        <x:v>66</x:v>
      </x:c>
      <x:c r="Y849">
        <x:v>66</x:v>
      </x:c>
      <x:c r="Z849">
        <x:v>51</x:v>
      </x:c>
      <x:c r="AA849">
        <x:v>46</x:v>
      </x:c>
      <x:c r="AB849" s="57" t="n">
        <x:v>41</x:v>
      </x:c>
      <x:c r="AC849" s="57" t="n">
        <x:v>39</x:v>
      </x:c>
      <x:c r="AD849" s="59"/>
      <x:c r="AE849" s="61" t="str">
        <x:f>IF(N(F849)&gt;=10,"NHL_LATEST_10",IF(AND(N(F849)&gt;0,N(G849)&gt;0),"NHL_BOTH_SEASONS",IF(N(G849)&gt;=10,"NHL_PREVIOUS_10",IF(AND(ISNUMBER(AD849),AD849=0,SUM(F849:G849)=0),"FARM_CAREER_0",IF(COUNT(F849:G849)&lt;2,"UNKNOWN_GP",IF(AND(F849=0,G849=0),IF(AD849&gt;=10,"FARM_LEGACY_10",IF(AND(ISNUMBER(AD849),AD849&gt;0),"FARM_CAREER_1_9","FARM_0_0")),IF(F849&gt;=1,IF(F849&lt;=3,"FARM_RECENT_1_3","FARM_RECENT_4_9"),"FARM_PREV_1_9_ONLY")))))))</x:f>
        <x:v>UNKNOWN_GP</x:v>
      </x:c>
      <x:c r="AF849" s="57" t="n">
        <x:f>AB849-T849</x:f>
        <x:v>0</x:v>
      </x:c>
      <x:c r="AG849" s="57" t="n">
        <x:f>AC849-U849</x:f>
        <x:v>0</x:v>
      </x:c>
    </x:row>
    <x:row r="850">
      <x:c r="A850" t="s">
        <x:v>1873</x:v>
      </x:c>
      <x:c r="C850" t="s">
        <x:v>333</x:v>
      </x:c>
      <x:c r="D850">
        <x:v>8485486</x:v>
      </x:c>
      <x:c r="E850" t="s">
        <x:v>267</x:v>
      </x:c>
      <x:c r="J850" t="s">
        <x:v>2474</x:v>
      </x:c>
      <x:c r="K850">
        <x:v>64</x:v>
      </x:c>
      <x:c r="L850">
        <x:v>36</x:v>
      </x:c>
      <x:c r="M850">
        <x:v>84</x:v>
      </x:c>
      <x:c r="N850">
        <x:v>39</x:v>
      </x:c>
      <x:c r="O850">
        <x:v>76</x:v>
      </x:c>
      <x:c r="P850">
        <x:v>73</x:v>
      </x:c>
      <x:c r="Q850">
        <x:v>76</x:v>
      </x:c>
      <x:c r="R850">
        <x:v>38</x:v>
      </x:c>
      <x:c r="S850">
        <x:v>76</x:v>
      </x:c>
      <x:c r="T850" s="63" t="n">
        <x:f>MAX(30,MIN(AB850-VLOOKUP(AE850,'AHL_PA_SC_BALANCE'!$A$8:$E$18,2,FALSE),VLOOKUP(AE850,'AHL_PA_SC_BALANCE'!$A$8:$E$18,4,FALSE)))</x:f>
        <x:v>41</x:v>
      </x:c>
      <x:c r="U850" s="63" t="n">
        <x:f>MAX(30,MIN(AC850-VLOOKUP(AE850,'AHL_PA_SC_BALANCE'!$A$8:$E$18,3,FALSE),VLOOKUP(AE850,'AHL_PA_SC_BALANCE'!$A$8:$E$18,5,FALSE)))</x:f>
        <x:v>41</x:v>
      </x:c>
      <x:c r="V850">
        <x:v>59</x:v>
      </x:c>
      <x:c r="W850">
        <x:v>60</x:v>
      </x:c>
      <x:c r="X850">
        <x:v>68</x:v>
      </x:c>
      <x:c r="Y850">
        <x:v>69</x:v>
      </x:c>
      <x:c r="Z850">
        <x:v>51</x:v>
      </x:c>
      <x:c r="AA850">
        <x:v>46</x:v>
      </x:c>
      <x:c r="AB850" s="57" t="n">
        <x:v>41</x:v>
      </x:c>
      <x:c r="AC850" s="57" t="n">
        <x:v>41</x:v>
      </x:c>
      <x:c r="AD850" s="59"/>
      <x:c r="AE850" s="61" t="str">
        <x:f>IF(N(F850)&gt;=10,"NHL_LATEST_10",IF(AND(N(F850)&gt;0,N(G850)&gt;0),"NHL_BOTH_SEASONS",IF(N(G850)&gt;=10,"NHL_PREVIOUS_10",IF(AND(ISNUMBER(AD850),AD850=0,SUM(F850:G850)=0),"FARM_CAREER_0",IF(COUNT(F850:G850)&lt;2,"UNKNOWN_GP",IF(AND(F850=0,G850=0),IF(AD850&gt;=10,"FARM_LEGACY_10",IF(AND(ISNUMBER(AD850),AD850&gt;0),"FARM_CAREER_1_9","FARM_0_0")),IF(F850&gt;=1,IF(F850&lt;=3,"FARM_RECENT_1_3","FARM_RECENT_4_9"),"FARM_PREV_1_9_ONLY")))))))</x:f>
        <x:v>UNKNOWN_GP</x:v>
      </x:c>
      <x:c r="AF850" s="57" t="n">
        <x:f>AB850-T850</x:f>
        <x:v>0</x:v>
      </x:c>
      <x:c r="AG850" s="57" t="n">
        <x:f>AC850-U850</x:f>
        <x:v>0</x:v>
      </x:c>
    </x:row>
    <x:row r="851">
      <x:c r="A851" t="s">
        <x:v>1874</x:v>
      </x:c>
      <x:c r="C851" t="s">
        <x:v>339</x:v>
      </x:c>
      <x:c r="D851">
        <x:v>8482924</x:v>
      </x:c>
      <x:c r="E851" t="s">
        <x:v>267</x:v>
      </x:c>
      <x:c r="J851" t="s">
        <x:v>2474</x:v>
      </x:c>
      <x:c r="K851">
        <x:v>58</x:v>
      </x:c>
      <x:c r="L851">
        <x:v>33</x:v>
      </x:c>
      <x:c r="M851">
        <x:v>82</x:v>
      </x:c>
      <x:c r="N851">
        <x:v>39</x:v>
      </x:c>
      <x:c r="O851">
        <x:v>80</x:v>
      </x:c>
      <x:c r="P851">
        <x:v>80</x:v>
      </x:c>
      <x:c r="Q851">
        <x:v>82</x:v>
      </x:c>
      <x:c r="R851">
        <x:v>39</x:v>
      </x:c>
      <x:c r="S851">
        <x:v>56</x:v>
      </x:c>
      <x:c r="T851" s="63" t="n">
        <x:f>MAX(30,MIN(AB851-VLOOKUP(AE851,'AHL_PA_SC_BALANCE'!$A$8:$E$18,2,FALSE),VLOOKUP(AE851,'AHL_PA_SC_BALANCE'!$A$8:$E$18,4,FALSE)))</x:f>
        <x:v>42</x:v>
      </x:c>
      <x:c r="U851" s="63" t="n">
        <x:f>MAX(30,MIN(AC851-VLOOKUP(AE851,'AHL_PA_SC_BALANCE'!$A$8:$E$18,3,FALSE),VLOOKUP(AE851,'AHL_PA_SC_BALANCE'!$A$8:$E$18,5,FALSE)))</x:f>
        <x:v>41</x:v>
      </x:c>
      <x:c r="V851">
        <x:v>58</x:v>
      </x:c>
      <x:c r="W851">
        <x:v>60</x:v>
      </x:c>
      <x:c r="X851">
        <x:v>66</x:v>
      </x:c>
      <x:c r="Y851">
        <x:v>66</x:v>
      </x:c>
      <x:c r="Z851">
        <x:v>51</x:v>
      </x:c>
      <x:c r="AA851">
        <x:v>46</x:v>
      </x:c>
      <x:c r="AB851" s="57" t="n">
        <x:v>42</x:v>
      </x:c>
      <x:c r="AC851" s="57" t="n">
        <x:v>41</x:v>
      </x:c>
      <x:c r="AD851" s="59"/>
      <x:c r="AE851" s="61" t="str">
        <x:f>IF(N(F851)&gt;=10,"NHL_LATEST_10",IF(AND(N(F851)&gt;0,N(G851)&gt;0),"NHL_BOTH_SEASONS",IF(N(G851)&gt;=10,"NHL_PREVIOUS_10",IF(AND(ISNUMBER(AD851),AD851=0,SUM(F851:G851)=0),"FARM_CAREER_0",IF(COUNT(F851:G851)&lt;2,"UNKNOWN_GP",IF(AND(F851=0,G851=0),IF(AD851&gt;=10,"FARM_LEGACY_10",IF(AND(ISNUMBER(AD851),AD851&gt;0),"FARM_CAREER_1_9","FARM_0_0")),IF(F851&gt;=1,IF(F851&lt;=3,"FARM_RECENT_1_3","FARM_RECENT_4_9"),"FARM_PREV_1_9_ONLY")))))))</x:f>
        <x:v>UNKNOWN_GP</x:v>
      </x:c>
      <x:c r="AF851" s="57" t="n">
        <x:f>AB851-T851</x:f>
        <x:v>0</x:v>
      </x:c>
      <x:c r="AG851" s="57" t="n">
        <x:f>AC851-U851</x:f>
        <x:v>0</x:v>
      </x:c>
    </x:row>
    <x:row r="852">
      <x:c r="A852" t="s">
        <x:v>1875</x:v>
      </x:c>
      <x:c r="C852" t="s">
        <x:v>326</x:v>
      </x:c>
      <x:c r="D852">
        <x:v>8486117</x:v>
      </x:c>
      <x:c r="E852" t="s">
        <x:v>267</x:v>
      </x:c>
      <x:c r="J852" t="s">
        <x:v>2474</x:v>
      </x:c>
      <x:c r="K852">
        <x:v>60</x:v>
      </x:c>
      <x:c r="L852">
        <x:v>41</x:v>
      </x:c>
      <x:c r="M852">
        <x:v>80</x:v>
      </x:c>
      <x:c r="N852">
        <x:v>36</x:v>
      </x:c>
      <x:c r="O852">
        <x:v>81</x:v>
      </x:c>
      <x:c r="P852">
        <x:v>71</x:v>
      </x:c>
      <x:c r="Q852">
        <x:v>74</x:v>
      </x:c>
      <x:c r="R852">
        <x:v>37</x:v>
      </x:c>
      <x:c r="S852">
        <x:v>62</x:v>
      </x:c>
      <x:c r="T852" s="63" t="n">
        <x:f>MAX(30,MIN(AB852-VLOOKUP(AE852,'AHL_PA_SC_BALANCE'!$A$8:$E$18,2,FALSE),VLOOKUP(AE852,'AHL_PA_SC_BALANCE'!$A$8:$E$18,4,FALSE)))</x:f>
        <x:v>39</x:v>
      </x:c>
      <x:c r="U852" s="63" t="n">
        <x:f>MAX(30,MIN(AC852-VLOOKUP(AE852,'AHL_PA_SC_BALANCE'!$A$8:$E$18,3,FALSE),VLOOKUP(AE852,'AHL_PA_SC_BALANCE'!$A$8:$E$18,5,FALSE)))</x:f>
        <x:v>41</x:v>
      </x:c>
      <x:c r="V852">
        <x:v>62</x:v>
      </x:c>
      <x:c r="W852">
        <x:v>57</x:v>
      </x:c>
      <x:c r="X852">
        <x:v>68</x:v>
      </x:c>
      <x:c r="Y852">
        <x:v>69</x:v>
      </x:c>
      <x:c r="Z852">
        <x:v>51</x:v>
      </x:c>
      <x:c r="AA852">
        <x:v>46</x:v>
      </x:c>
      <x:c r="AB852" s="57" t="n">
        <x:v>39</x:v>
      </x:c>
      <x:c r="AC852" s="57" t="n">
        <x:v>41</x:v>
      </x:c>
      <x:c r="AD852" s="59"/>
      <x:c r="AE852" s="61" t="str">
        <x:f>IF(N(F852)&gt;=10,"NHL_LATEST_10",IF(AND(N(F852)&gt;0,N(G852)&gt;0),"NHL_BOTH_SEASONS",IF(N(G852)&gt;=10,"NHL_PREVIOUS_10",IF(AND(ISNUMBER(AD852),AD852=0,SUM(F852:G852)=0),"FARM_CAREER_0",IF(COUNT(F852:G852)&lt;2,"UNKNOWN_GP",IF(AND(F852=0,G852=0),IF(AD852&gt;=10,"FARM_LEGACY_10",IF(AND(ISNUMBER(AD852),AD852&gt;0),"FARM_CAREER_1_9","FARM_0_0")),IF(F852&gt;=1,IF(F852&lt;=3,"FARM_RECENT_1_3","FARM_RECENT_4_9"),"FARM_PREV_1_9_ONLY")))))))</x:f>
        <x:v>UNKNOWN_GP</x:v>
      </x:c>
      <x:c r="AF852" s="57" t="n">
        <x:f>AB852-T852</x:f>
        <x:v>0</x:v>
      </x:c>
      <x:c r="AG852" s="57" t="n">
        <x:f>AC852-U852</x:f>
        <x:v>0</x:v>
      </x:c>
    </x:row>
    <x:row r="853">
      <x:c r="A853" t="s">
        <x:v>1876</x:v>
      </x:c>
      <x:c r="C853" t="s">
        <x:v>319</x:v>
      </x:c>
      <x:c r="D853">
        <x:v>8482704</x:v>
      </x:c>
      <x:c r="E853" t="s">
        <x:v>267</x:v>
      </x:c>
      <x:c r="J853" t="s">
        <x:v>2474</x:v>
      </x:c>
      <x:c r="K853">
        <x:v>59</x:v>
      </x:c>
      <x:c r="L853">
        <x:v>33</x:v>
      </x:c>
      <x:c r="M853">
        <x:v>78</x:v>
      </x:c>
      <x:c r="N853">
        <x:v>37</x:v>
      </x:c>
      <x:c r="O853">
        <x:v>84</x:v>
      </x:c>
      <x:c r="P853">
        <x:v>75</x:v>
      </x:c>
      <x:c r="Q853">
        <x:v>75</x:v>
      </x:c>
      <x:c r="R853">
        <x:v>38</x:v>
      </x:c>
      <x:c r="S853">
        <x:v>79</x:v>
      </x:c>
      <x:c r="T853" s="63" t="n">
        <x:f>MAX(30,MIN(AB853-VLOOKUP(AE853,'AHL_PA_SC_BALANCE'!$A$8:$E$18,2,FALSE),VLOOKUP(AE853,'AHL_PA_SC_BALANCE'!$A$8:$E$18,4,FALSE)))</x:f>
        <x:v>39</x:v>
      </x:c>
      <x:c r="U853" s="63" t="n">
        <x:f>MAX(30,MIN(AC853-VLOOKUP(AE853,'AHL_PA_SC_BALANCE'!$A$8:$E$18,3,FALSE),VLOOKUP(AE853,'AHL_PA_SC_BALANCE'!$A$8:$E$18,5,FALSE)))</x:f>
        <x:v>42</x:v>
      </x:c>
      <x:c r="V853">
        <x:v>61</x:v>
      </x:c>
      <x:c r="W853">
        <x:v>59</x:v>
      </x:c>
      <x:c r="X853">
        <x:v>66</x:v>
      </x:c>
      <x:c r="Y853">
        <x:v>66</x:v>
      </x:c>
      <x:c r="Z853">
        <x:v>51</x:v>
      </x:c>
      <x:c r="AA853">
        <x:v>46</x:v>
      </x:c>
      <x:c r="AB853" s="57" t="n">
        <x:v>39</x:v>
      </x:c>
      <x:c r="AC853" s="57" t="n">
        <x:v>42</x:v>
      </x:c>
      <x:c r="AD853" s="59"/>
      <x:c r="AE853" s="61" t="str">
        <x:f>IF(N(F853)&gt;=10,"NHL_LATEST_10",IF(AND(N(F853)&gt;0,N(G853)&gt;0),"NHL_BOTH_SEASONS",IF(N(G853)&gt;=10,"NHL_PREVIOUS_10",IF(AND(ISNUMBER(AD853),AD853=0,SUM(F853:G853)=0),"FARM_CAREER_0",IF(COUNT(F853:G853)&lt;2,"UNKNOWN_GP",IF(AND(F853=0,G853=0),IF(AD853&gt;=10,"FARM_LEGACY_10",IF(AND(ISNUMBER(AD853),AD853&gt;0),"FARM_CAREER_1_9","FARM_0_0")),IF(F853&gt;=1,IF(F853&lt;=3,"FARM_RECENT_1_3","FARM_RECENT_4_9"),"FARM_PREV_1_9_ONLY")))))))</x:f>
        <x:v>UNKNOWN_GP</x:v>
      </x:c>
      <x:c r="AF853" s="57" t="n">
        <x:f>AB853-T853</x:f>
        <x:v>0</x:v>
      </x:c>
      <x:c r="AG853" s="57" t="n">
        <x:f>AC853-U853</x:f>
        <x:v>0</x:v>
      </x:c>
    </x:row>
    <x:row r="854">
      <x:c r="A854" t="s">
        <x:v>1877</x:v>
      </x:c>
      <x:c r="C854" t="s">
        <x:v>339</x:v>
      </x:c>
      <x:c r="D854">
        <x:v>8484382</x:v>
      </x:c>
      <x:c r="E854" t="s">
        <x:v>267</x:v>
      </x:c>
      <x:c r="J854" t="s">
        <x:v>2474</x:v>
      </x:c>
      <x:c r="K854">
        <x:v>61</x:v>
      </x:c>
      <x:c r="L854">
        <x:v>31</x:v>
      </x:c>
      <x:c r="M854">
        <x:v>90</x:v>
      </x:c>
      <x:c r="N854">
        <x:v>38</x:v>
      </x:c>
      <x:c r="O854">
        <x:v>79</x:v>
      </x:c>
      <x:c r="P854">
        <x:v>77</x:v>
      </x:c>
      <x:c r="Q854">
        <x:v>79</x:v>
      </x:c>
      <x:c r="R854">
        <x:v>39</x:v>
      </x:c>
      <x:c r="S854">
        <x:v>63</x:v>
      </x:c>
      <x:c r="T854" s="63" t="n">
        <x:f>MAX(30,MIN(AB854-VLOOKUP(AE854,'AHL_PA_SC_BALANCE'!$A$8:$E$18,2,FALSE),VLOOKUP(AE854,'AHL_PA_SC_BALANCE'!$A$8:$E$18,4,FALSE)))</x:f>
        <x:v>40</x:v>
      </x:c>
      <x:c r="U854" s="63" t="n">
        <x:f>MAX(30,MIN(AC854-VLOOKUP(AE854,'AHL_PA_SC_BALANCE'!$A$8:$E$18,3,FALSE),VLOOKUP(AE854,'AHL_PA_SC_BALANCE'!$A$8:$E$18,5,FALSE)))</x:f>
        <x:v>42</x:v>
      </x:c>
      <x:c r="V854">
        <x:v>60</x:v>
      </x:c>
      <x:c r="W854">
        <x:v>60</x:v>
      </x:c>
      <x:c r="X854">
        <x:v>67</x:v>
      </x:c>
      <x:c r="Y854">
        <x:v>67</x:v>
      </x:c>
      <x:c r="Z854">
        <x:v>51</x:v>
      </x:c>
      <x:c r="AA854">
        <x:v>46</x:v>
      </x:c>
      <x:c r="AB854" s="57" t="n">
        <x:v>40</x:v>
      </x:c>
      <x:c r="AC854" s="57" t="n">
        <x:v>42</x:v>
      </x:c>
      <x:c r="AD854" s="59"/>
      <x:c r="AE854" s="61" t="str">
        <x:f>IF(N(F854)&gt;=10,"NHL_LATEST_10",IF(AND(N(F854)&gt;0,N(G854)&gt;0),"NHL_BOTH_SEASONS",IF(N(G854)&gt;=10,"NHL_PREVIOUS_10",IF(AND(ISNUMBER(AD854),AD854=0,SUM(F854:G854)=0),"FARM_CAREER_0",IF(COUNT(F854:G854)&lt;2,"UNKNOWN_GP",IF(AND(F854=0,G854=0),IF(AD854&gt;=10,"FARM_LEGACY_10",IF(AND(ISNUMBER(AD854),AD854&gt;0),"FARM_CAREER_1_9","FARM_0_0")),IF(F854&gt;=1,IF(F854&lt;=3,"FARM_RECENT_1_3","FARM_RECENT_4_9"),"FARM_PREV_1_9_ONLY")))))))</x:f>
        <x:v>UNKNOWN_GP</x:v>
      </x:c>
      <x:c r="AF854" s="57" t="n">
        <x:f>AB854-T854</x:f>
        <x:v>0</x:v>
      </x:c>
      <x:c r="AG854" s="57" t="n">
        <x:f>AC854-U854</x:f>
        <x:v>0</x:v>
      </x:c>
    </x:row>
    <x:row r="855">
      <x:c r="A855" t="s">
        <x:v>1878</x:v>
      </x:c>
      <x:c r="C855" t="s">
        <x:v>358</x:v>
      </x:c>
      <x:c r="D855">
        <x:v>8482865</x:v>
      </x:c>
      <x:c r="E855" t="s">
        <x:v>267</x:v>
      </x:c>
      <x:c r="J855" t="s">
        <x:v>2474</x:v>
      </x:c>
      <x:c r="K855">
        <x:v>64</x:v>
      </x:c>
      <x:c r="L855">
        <x:v>37</x:v>
      </x:c>
      <x:c r="M855">
        <x:v>94</x:v>
      </x:c>
      <x:c r="N855">
        <x:v>37</x:v>
      </x:c>
      <x:c r="O855">
        <x:v>79</x:v>
      </x:c>
      <x:c r="P855">
        <x:v>73</x:v>
      </x:c>
      <x:c r="Q855">
        <x:v>76</x:v>
      </x:c>
      <x:c r="R855">
        <x:v>37</x:v>
      </x:c>
      <x:c r="S855">
        <x:v>63</x:v>
      </x:c>
      <x:c r="T855" s="63" t="n">
        <x:f>MAX(30,MIN(AB855-VLOOKUP(AE855,'AHL_PA_SC_BALANCE'!$A$8:$E$18,2,FALSE),VLOOKUP(AE855,'AHL_PA_SC_BALANCE'!$A$8:$E$18,4,FALSE)))</x:f>
        <x:v>40</x:v>
      </x:c>
      <x:c r="U855" s="63" t="n">
        <x:f>MAX(30,MIN(AC855-VLOOKUP(AE855,'AHL_PA_SC_BALANCE'!$A$8:$E$18,3,FALSE),VLOOKUP(AE855,'AHL_PA_SC_BALANCE'!$A$8:$E$18,5,FALSE)))</x:f>
        <x:v>41</x:v>
      </x:c>
      <x:c r="V855">
        <x:v>60</x:v>
      </x:c>
      <x:c r="W855">
        <x:v>58</x:v>
      </x:c>
      <x:c r="X855">
        <x:v>65</x:v>
      </x:c>
      <x:c r="Y855">
        <x:v>65</x:v>
      </x:c>
      <x:c r="Z855">
        <x:v>51</x:v>
      </x:c>
      <x:c r="AA855">
        <x:v>46</x:v>
      </x:c>
      <x:c r="AB855" s="57" t="n">
        <x:v>40</x:v>
      </x:c>
      <x:c r="AC855" s="57" t="n">
        <x:v>41</x:v>
      </x:c>
      <x:c r="AD855" s="59"/>
      <x:c r="AE855" s="61" t="str">
        <x:f>IF(N(F855)&gt;=10,"NHL_LATEST_10",IF(AND(N(F855)&gt;0,N(G855)&gt;0),"NHL_BOTH_SEASONS",IF(N(G855)&gt;=10,"NHL_PREVIOUS_10",IF(AND(ISNUMBER(AD855),AD855=0,SUM(F855:G855)=0),"FARM_CAREER_0",IF(COUNT(F855:G855)&lt;2,"UNKNOWN_GP",IF(AND(F855=0,G855=0),IF(AD855&gt;=10,"FARM_LEGACY_10",IF(AND(ISNUMBER(AD855),AD855&gt;0),"FARM_CAREER_1_9","FARM_0_0")),IF(F855&gt;=1,IF(F855&lt;=3,"FARM_RECENT_1_3","FARM_RECENT_4_9"),"FARM_PREV_1_9_ONLY")))))))</x:f>
        <x:v>UNKNOWN_GP</x:v>
      </x:c>
      <x:c r="AF855" s="57" t="n">
        <x:f>AB855-T855</x:f>
        <x:v>0</x:v>
      </x:c>
      <x:c r="AG855" s="57" t="n">
        <x:f>AC855-U855</x:f>
        <x:v>0</x:v>
      </x:c>
    </x:row>
    <x:row r="856">
      <x:c r="A856" t="s">
        <x:v>1879</x:v>
      </x:c>
      <x:c r="C856" t="s">
        <x:v>319</x:v>
      </x:c>
      <x:c r="D856">
        <x:v>8484415</x:v>
      </x:c>
      <x:c r="E856" t="s">
        <x:v>267</x:v>
      </x:c>
      <x:c r="J856" t="s">
        <x:v>2474</x:v>
      </x:c>
      <x:c r="K856">
        <x:v>59</x:v>
      </x:c>
      <x:c r="L856">
        <x:v>38</x:v>
      </x:c>
      <x:c r="M856">
        <x:v>88</x:v>
      </x:c>
      <x:c r="N856">
        <x:v>39</x:v>
      </x:c>
      <x:c r="O856">
        <x:v>80</x:v>
      </x:c>
      <x:c r="P856">
        <x:v>79</x:v>
      </x:c>
      <x:c r="Q856">
        <x:v>83</x:v>
      </x:c>
      <x:c r="R856">
        <x:v>39</x:v>
      </x:c>
      <x:c r="S856">
        <x:v>60</x:v>
      </x:c>
      <x:c r="T856" s="63" t="n">
        <x:f>MAX(30,MIN(AB856-VLOOKUP(AE856,'AHL_PA_SC_BALANCE'!$A$8:$E$18,2,FALSE),VLOOKUP(AE856,'AHL_PA_SC_BALANCE'!$A$8:$E$18,4,FALSE)))</x:f>
        <x:v>42</x:v>
      </x:c>
      <x:c r="U856" s="63" t="n">
        <x:f>MAX(30,MIN(AC856-VLOOKUP(AE856,'AHL_PA_SC_BALANCE'!$A$8:$E$18,3,FALSE),VLOOKUP(AE856,'AHL_PA_SC_BALANCE'!$A$8:$E$18,5,FALSE)))</x:f>
        <x:v>41</x:v>
      </x:c>
      <x:c r="V856">
        <x:v>59</x:v>
      </x:c>
      <x:c r="W856">
        <x:v>60</x:v>
      </x:c>
      <x:c r="X856">
        <x:v>66</x:v>
      </x:c>
      <x:c r="Y856">
        <x:v>65</x:v>
      </x:c>
      <x:c r="Z856">
        <x:v>51</x:v>
      </x:c>
      <x:c r="AA856">
        <x:v>46</x:v>
      </x:c>
      <x:c r="AB856" s="57" t="n">
        <x:v>42</x:v>
      </x:c>
      <x:c r="AC856" s="57" t="n">
        <x:v>41</x:v>
      </x:c>
      <x:c r="AD856" s="59"/>
      <x:c r="AE856" s="61" t="str">
        <x:f>IF(N(F856)&gt;=10,"NHL_LATEST_10",IF(AND(N(F856)&gt;0,N(G856)&gt;0),"NHL_BOTH_SEASONS",IF(N(G856)&gt;=10,"NHL_PREVIOUS_10",IF(AND(ISNUMBER(AD856),AD856=0,SUM(F856:G856)=0),"FARM_CAREER_0",IF(COUNT(F856:G856)&lt;2,"UNKNOWN_GP",IF(AND(F856=0,G856=0),IF(AD856&gt;=10,"FARM_LEGACY_10",IF(AND(ISNUMBER(AD856),AD856&gt;0),"FARM_CAREER_1_9","FARM_0_0")),IF(F856&gt;=1,IF(F856&lt;=3,"FARM_RECENT_1_3","FARM_RECENT_4_9"),"FARM_PREV_1_9_ONLY")))))))</x:f>
        <x:v>UNKNOWN_GP</x:v>
      </x:c>
      <x:c r="AF856" s="57" t="n">
        <x:f>AB856-T856</x:f>
        <x:v>0</x:v>
      </x:c>
      <x:c r="AG856" s="57" t="n">
        <x:f>AC856-U856</x:f>
        <x:v>0</x:v>
      </x:c>
    </x:row>
    <x:row r="857">
      <x:c r="A857" t="s">
        <x:v>1880</x:v>
      </x:c>
      <x:c r="B857" t="s">
        <x:v>584</x:v>
      </x:c>
      <x:c r="C857" t="s">
        <x:v>358</x:v>
      </x:c>
      <x:c r="D857">
        <x:v>8481817</x:v>
      </x:c>
      <x:c r="E857" t="s">
        <x:v>267</x:v>
      </x:c>
      <x:c r="J857" t="s">
        <x:v>2476</x:v>
      </x:c>
      <x:c r="K857">
        <x:v>66</x:v>
      </x:c>
      <x:c r="L857">
        <x:v>33</x:v>
      </x:c>
      <x:c r="M857">
        <x:v>71</x:v>
      </x:c>
      <x:c r="N857">
        <x:v>37</x:v>
      </x:c>
      <x:c r="O857">
        <x:v>82</x:v>
      </x:c>
      <x:c r="P857">
        <x:v>78</x:v>
      </x:c>
      <x:c r="Q857">
        <x:v>81</x:v>
      </x:c>
      <x:c r="R857">
        <x:v>38</x:v>
      </x:c>
      <x:c r="S857">
        <x:v>69</x:v>
      </x:c>
      <x:c r="T857" s="63" t="n">
        <x:f>MAX(30,MIN(AB857-VLOOKUP(AE857,'AHL_PA_SC_BALANCE'!$A$8:$E$18,2,FALSE),VLOOKUP(AE857,'AHL_PA_SC_BALANCE'!$A$8:$E$18,4,FALSE)))</x:f>
        <x:v>39</x:v>
      </x:c>
      <x:c r="U857" s="63" t="n">
        <x:f>MAX(30,MIN(AC857-VLOOKUP(AE857,'AHL_PA_SC_BALANCE'!$A$8:$E$18,3,FALSE),VLOOKUP(AE857,'AHL_PA_SC_BALANCE'!$A$8:$E$18,5,FALSE)))</x:f>
        <x:v>40</x:v>
      </x:c>
      <x:c r="V857">
        <x:v>58</x:v>
      </x:c>
      <x:c r="W857">
        <x:v>58</x:v>
      </x:c>
      <x:c r="X857">
        <x:v>68</x:v>
      </x:c>
      <x:c r="Y857">
        <x:v>67</x:v>
      </x:c>
      <x:c r="Z857">
        <x:v>51</x:v>
      </x:c>
      <x:c r="AA857">
        <x:v>46</x:v>
      </x:c>
      <x:c r="AB857" s="57" t="n">
        <x:v>39</x:v>
      </x:c>
      <x:c r="AC857" s="57" t="n">
        <x:v>40</x:v>
      </x:c>
      <x:c r="AD857" s="59"/>
      <x:c r="AE857" s="61" t="str">
        <x:f>IF(N(F857)&gt;=10,"NHL_LATEST_10",IF(AND(N(F857)&gt;0,N(G857)&gt;0),"NHL_BOTH_SEASONS",IF(N(G857)&gt;=10,"NHL_PREVIOUS_10",IF(AND(ISNUMBER(AD857),AD857=0,SUM(F857:G857)=0),"FARM_CAREER_0",IF(COUNT(F857:G857)&lt;2,"UNKNOWN_GP",IF(AND(F857=0,G857=0),IF(AD857&gt;=10,"FARM_LEGACY_10",IF(AND(ISNUMBER(AD857),AD857&gt;0),"FARM_CAREER_1_9","FARM_0_0")),IF(F857&gt;=1,IF(F857&lt;=3,"FARM_RECENT_1_3","FARM_RECENT_4_9"),"FARM_PREV_1_9_ONLY")))))))</x:f>
        <x:v>UNKNOWN_GP</x:v>
      </x:c>
      <x:c r="AF857" s="57" t="n">
        <x:f>AB857-T857</x:f>
        <x:v>0</x:v>
      </x:c>
      <x:c r="AG857" s="57" t="n">
        <x:f>AC857-U857</x:f>
        <x:v>0</x:v>
      </x:c>
    </x:row>
    <x:row r="858">
      <x:c r="A858" t="s">
        <x:v>1881</x:v>
      </x:c>
      <x:c r="C858" t="s">
        <x:v>339</x:v>
      </x:c>
      <x:c r="D858">
        <x:v>8486055</x:v>
      </x:c>
      <x:c r="E858" t="s">
        <x:v>267</x:v>
      </x:c>
      <x:c r="J858" t="s">
        <x:v>2474</x:v>
      </x:c>
      <x:c r="K858">
        <x:v>63</x:v>
      </x:c>
      <x:c r="L858">
        <x:v>40</x:v>
      </x:c>
      <x:c r="M858">
        <x:v>81</x:v>
      </x:c>
      <x:c r="N858">
        <x:v>38</x:v>
      </x:c>
      <x:c r="O858">
        <x:v>83</x:v>
      </x:c>
      <x:c r="P858">
        <x:v>71</x:v>
      </x:c>
      <x:c r="Q858">
        <x:v>74</x:v>
      </x:c>
      <x:c r="R858">
        <x:v>39</x:v>
      </x:c>
      <x:c r="S858">
        <x:v>64</x:v>
      </x:c>
      <x:c r="T858" s="63" t="n">
        <x:f>MAX(30,MIN(AB858-VLOOKUP(AE858,'AHL_PA_SC_BALANCE'!$A$8:$E$18,2,FALSE),VLOOKUP(AE858,'AHL_PA_SC_BALANCE'!$A$8:$E$18,4,FALSE)))</x:f>
        <x:v>38</x:v>
      </x:c>
      <x:c r="U858" s="63" t="n">
        <x:f>MAX(30,MIN(AC858-VLOOKUP(AE858,'AHL_PA_SC_BALANCE'!$A$8:$E$18,3,FALSE),VLOOKUP(AE858,'AHL_PA_SC_BALANCE'!$A$8:$E$18,5,FALSE)))</x:f>
        <x:v>42</x:v>
      </x:c>
      <x:c r="V858">
        <x:v>61</x:v>
      </x:c>
      <x:c r="W858">
        <x:v>58</x:v>
      </x:c>
      <x:c r="X858">
        <x:v>66</x:v>
      </x:c>
      <x:c r="Y858">
        <x:v>67</x:v>
      </x:c>
      <x:c r="Z858">
        <x:v>51</x:v>
      </x:c>
      <x:c r="AA858">
        <x:v>46</x:v>
      </x:c>
      <x:c r="AB858" s="57" t="n">
        <x:v>38</x:v>
      </x:c>
      <x:c r="AC858" s="57" t="n">
        <x:v>42</x:v>
      </x:c>
      <x:c r="AD858" s="59"/>
      <x:c r="AE858" s="61" t="str">
        <x:f>IF(N(F858)&gt;=10,"NHL_LATEST_10",IF(AND(N(F858)&gt;0,N(G858)&gt;0),"NHL_BOTH_SEASONS",IF(N(G858)&gt;=10,"NHL_PREVIOUS_10",IF(AND(ISNUMBER(AD858),AD858=0,SUM(F858:G858)=0),"FARM_CAREER_0",IF(COUNT(F858:G858)&lt;2,"UNKNOWN_GP",IF(AND(F858=0,G858=0),IF(AD858&gt;=10,"FARM_LEGACY_10",IF(AND(ISNUMBER(AD858),AD858&gt;0),"FARM_CAREER_1_9","FARM_0_0")),IF(F858&gt;=1,IF(F858&lt;=3,"FARM_RECENT_1_3","FARM_RECENT_4_9"),"FARM_PREV_1_9_ONLY")))))))</x:f>
        <x:v>UNKNOWN_GP</x:v>
      </x:c>
      <x:c r="AF858" s="57" t="n">
        <x:f>AB858-T858</x:f>
        <x:v>0</x:v>
      </x:c>
      <x:c r="AG858" s="57" t="n">
        <x:f>AC858-U858</x:f>
        <x:v>0</x:v>
      </x:c>
    </x:row>
    <x:row r="859">
      <x:c r="A859" t="s">
        <x:v>1882</x:v>
      </x:c>
      <x:c r="C859" t="s">
        <x:v>319</x:v>
      </x:c>
      <x:c r="D859">
        <x:v>8480016</x:v>
      </x:c>
      <x:c r="E859" t="s">
        <x:v>267</x:v>
      </x:c>
      <x:c r="J859" t="s">
        <x:v>2474</x:v>
      </x:c>
      <x:c r="K859">
        <x:v>59</x:v>
      </x:c>
      <x:c r="L859">
        <x:v>42</x:v>
      </x:c>
      <x:c r="M859">
        <x:v>75</x:v>
      </x:c>
      <x:c r="N859">
        <x:v>38</x:v>
      </x:c>
      <x:c r="O859">
        <x:v>78</x:v>
      </x:c>
      <x:c r="P859">
        <x:v>76</x:v>
      </x:c>
      <x:c r="Q859">
        <x:v>80</x:v>
      </x:c>
      <x:c r="R859">
        <x:v>38</x:v>
      </x:c>
      <x:c r="S859">
        <x:v>77</x:v>
      </x:c>
      <x:c r="T859" s="63" t="n">
        <x:f>MAX(30,MIN(AB859-VLOOKUP(AE859,'AHL_PA_SC_BALANCE'!$A$8:$E$18,2,FALSE),VLOOKUP(AE859,'AHL_PA_SC_BALANCE'!$A$8:$E$18,4,FALSE)))</x:f>
        <x:v>41</x:v>
      </x:c>
      <x:c r="U859" s="63" t="n">
        <x:f>MAX(30,MIN(AC859-VLOOKUP(AE859,'AHL_PA_SC_BALANCE'!$A$8:$E$18,3,FALSE),VLOOKUP(AE859,'AHL_PA_SC_BALANCE'!$A$8:$E$18,5,FALSE)))</x:f>
        <x:v>40</x:v>
      </x:c>
      <x:c r="V859">
        <x:v>66</x:v>
      </x:c>
      <x:c r="W859">
        <x:v>59</x:v>
      </x:c>
      <x:c r="X859">
        <x:v>69</x:v>
      </x:c>
      <x:c r="Y859">
        <x:v>70</x:v>
      </x:c>
      <x:c r="Z859">
        <x:v>51</x:v>
      </x:c>
      <x:c r="AA859">
        <x:v>46</x:v>
      </x:c>
      <x:c r="AB859" s="57" t="n">
        <x:v>41</x:v>
      </x:c>
      <x:c r="AC859" s="57" t="n">
        <x:v>40</x:v>
      </x:c>
      <x:c r="AD859" s="59"/>
      <x:c r="AE859" s="61" t="str">
        <x:f>IF(N(F859)&gt;=10,"NHL_LATEST_10",IF(AND(N(F859)&gt;0,N(G859)&gt;0),"NHL_BOTH_SEASONS",IF(N(G859)&gt;=10,"NHL_PREVIOUS_10",IF(AND(ISNUMBER(AD859),AD859=0,SUM(F859:G859)=0),"FARM_CAREER_0",IF(COUNT(F859:G859)&lt;2,"UNKNOWN_GP",IF(AND(F859=0,G859=0),IF(AD859&gt;=10,"FARM_LEGACY_10",IF(AND(ISNUMBER(AD859),AD859&gt;0),"FARM_CAREER_1_9","FARM_0_0")),IF(F859&gt;=1,IF(F859&lt;=3,"FARM_RECENT_1_3","FARM_RECENT_4_9"),"FARM_PREV_1_9_ONLY")))))))</x:f>
        <x:v>UNKNOWN_GP</x:v>
      </x:c>
      <x:c r="AF859" s="57" t="n">
        <x:f>AB859-T859</x:f>
        <x:v>0</x:v>
      </x:c>
      <x:c r="AG859" s="57" t="n">
        <x:f>AC859-U859</x:f>
        <x:v>0</x:v>
      </x:c>
    </x:row>
    <x:row r="860">
      <x:c r="A860" t="s">
        <x:v>1883</x:v>
      </x:c>
      <x:c r="C860" t="s">
        <x:v>333</x:v>
      </x:c>
      <x:c r="D860">
        <x:v>8485455</x:v>
      </x:c>
      <x:c r="E860" t="s">
        <x:v>267</x:v>
      </x:c>
      <x:c r="J860" t="s">
        <x:v>2474</x:v>
      </x:c>
      <x:c r="K860">
        <x:v>65</x:v>
      </x:c>
      <x:c r="L860">
        <x:v>36</x:v>
      </x:c>
      <x:c r="M860">
        <x:v>78</x:v>
      </x:c>
      <x:c r="N860">
        <x:v>37</x:v>
      </x:c>
      <x:c r="O860">
        <x:v>80</x:v>
      </x:c>
      <x:c r="P860">
        <x:v>75</x:v>
      </x:c>
      <x:c r="Q860">
        <x:v>79</x:v>
      </x:c>
      <x:c r="R860">
        <x:v>36</x:v>
      </x:c>
      <x:c r="S860">
        <x:v>68</x:v>
      </x:c>
      <x:c r="T860" s="63" t="n">
        <x:f>MAX(30,MIN(AB860-VLOOKUP(AE860,'AHL_PA_SC_BALANCE'!$A$8:$E$18,2,FALSE),VLOOKUP(AE860,'AHL_PA_SC_BALANCE'!$A$8:$E$18,4,FALSE)))</x:f>
        <x:v>40</x:v>
      </x:c>
      <x:c r="U860" s="63" t="n">
        <x:f>MAX(30,MIN(AC860-VLOOKUP(AE860,'AHL_PA_SC_BALANCE'!$A$8:$E$18,3,FALSE),VLOOKUP(AE860,'AHL_PA_SC_BALANCE'!$A$8:$E$18,5,FALSE)))</x:f>
        <x:v>39</x:v>
      </x:c>
      <x:c r="V860">
        <x:v>63</x:v>
      </x:c>
      <x:c r="W860">
        <x:v>58</x:v>
      </x:c>
      <x:c r="X860">
        <x:v>69</x:v>
      </x:c>
      <x:c r="Y860">
        <x:v>69</x:v>
      </x:c>
      <x:c r="Z860">
        <x:v>51</x:v>
      </x:c>
      <x:c r="AA860">
        <x:v>46</x:v>
      </x:c>
      <x:c r="AB860" s="57" t="n">
        <x:v>40</x:v>
      </x:c>
      <x:c r="AC860" s="57" t="n">
        <x:v>39</x:v>
      </x:c>
      <x:c r="AD860" s="59"/>
      <x:c r="AE860" s="61" t="str">
        <x:f>IF(N(F860)&gt;=10,"NHL_LATEST_10",IF(AND(N(F860)&gt;0,N(G860)&gt;0),"NHL_BOTH_SEASONS",IF(N(G860)&gt;=10,"NHL_PREVIOUS_10",IF(AND(ISNUMBER(AD860),AD860=0,SUM(F860:G860)=0),"FARM_CAREER_0",IF(COUNT(F860:G860)&lt;2,"UNKNOWN_GP",IF(AND(F860=0,G860=0),IF(AD860&gt;=10,"FARM_LEGACY_10",IF(AND(ISNUMBER(AD860),AD860&gt;0),"FARM_CAREER_1_9","FARM_0_0")),IF(F860&gt;=1,IF(F860&lt;=3,"FARM_RECENT_1_3","FARM_RECENT_4_9"),"FARM_PREV_1_9_ONLY")))))))</x:f>
        <x:v>UNKNOWN_GP</x:v>
      </x:c>
      <x:c r="AF860" s="57" t="n">
        <x:f>AB860-T860</x:f>
        <x:v>0</x:v>
      </x:c>
      <x:c r="AG860" s="57" t="n">
        <x:f>AC860-U860</x:f>
        <x:v>0</x:v>
      </x:c>
    </x:row>
    <x:row r="861">
      <x:c r="A861" t="s">
        <x:v>1884</x:v>
      </x:c>
      <x:c r="B861" t="s">
        <x:v>584</x:v>
      </x:c>
      <x:c r="C861" t="s">
        <x:v>339</x:v>
      </x:c>
      <x:c r="D861">
        <x:v>8481172</x:v>
      </x:c>
      <x:c r="E861" t="s">
        <x:v>267</x:v>
      </x:c>
      <x:c r="J861" t="s">
        <x:v>2476</x:v>
      </x:c>
      <x:c r="K861">
        <x:v>60</x:v>
      </x:c>
      <x:c r="L861">
        <x:v>37</x:v>
      </x:c>
      <x:c r="M861">
        <x:v>67</x:v>
      </x:c>
      <x:c r="N861">
        <x:v>37</x:v>
      </x:c>
      <x:c r="O861">
        <x:v>83</x:v>
      </x:c>
      <x:c r="P861">
        <x:v>71</x:v>
      </x:c>
      <x:c r="Q861">
        <x:v>74</x:v>
      </x:c>
      <x:c r="R861">
        <x:v>38</x:v>
      </x:c>
      <x:c r="S861">
        <x:v>65</x:v>
      </x:c>
      <x:c r="T861" s="63" t="n">
        <x:f>MAX(30,MIN(AB861-VLOOKUP(AE861,'AHL_PA_SC_BALANCE'!$A$8:$E$18,2,FALSE),VLOOKUP(AE861,'AHL_PA_SC_BALANCE'!$A$8:$E$18,4,FALSE)))</x:f>
        <x:v>39</x:v>
      </x:c>
      <x:c r="U861" s="63" t="n">
        <x:f>MAX(30,MIN(AC861-VLOOKUP(AE861,'AHL_PA_SC_BALANCE'!$A$8:$E$18,3,FALSE),VLOOKUP(AE861,'AHL_PA_SC_BALANCE'!$A$8:$E$18,5,FALSE)))</x:f>
        <x:v>41</x:v>
      </x:c>
      <x:c r="V861">
        <x:v>58</x:v>
      </x:c>
      <x:c r="W861">
        <x:v>58</x:v>
      </x:c>
      <x:c r="X861">
        <x:v>68</x:v>
      </x:c>
      <x:c r="Y861">
        <x:v>67</x:v>
      </x:c>
      <x:c r="Z861">
        <x:v>51</x:v>
      </x:c>
      <x:c r="AA861">
        <x:v>46</x:v>
      </x:c>
      <x:c r="AB861" s="57" t="n">
        <x:v>39</x:v>
      </x:c>
      <x:c r="AC861" s="57" t="n">
        <x:v>41</x:v>
      </x:c>
      <x:c r="AD861" s="59"/>
      <x:c r="AE861" s="61" t="str">
        <x:f>IF(N(F861)&gt;=10,"NHL_LATEST_10",IF(AND(N(F861)&gt;0,N(G861)&gt;0),"NHL_BOTH_SEASONS",IF(N(G861)&gt;=10,"NHL_PREVIOUS_10",IF(AND(ISNUMBER(AD861),AD861=0,SUM(F861:G861)=0),"FARM_CAREER_0",IF(COUNT(F861:G861)&lt;2,"UNKNOWN_GP",IF(AND(F861=0,G861=0),IF(AD861&gt;=10,"FARM_LEGACY_10",IF(AND(ISNUMBER(AD861),AD861&gt;0),"FARM_CAREER_1_9","FARM_0_0")),IF(F861&gt;=1,IF(F861&lt;=3,"FARM_RECENT_1_3","FARM_RECENT_4_9"),"FARM_PREV_1_9_ONLY")))))))</x:f>
        <x:v>UNKNOWN_GP</x:v>
      </x:c>
      <x:c r="AF861" s="57" t="n">
        <x:f>AB861-T861</x:f>
        <x:v>0</x:v>
      </x:c>
      <x:c r="AG861" s="57" t="n">
        <x:f>AC861-U861</x:f>
        <x:v>0</x:v>
      </x:c>
    </x:row>
    <x:row r="862">
      <x:c r="A862" t="s">
        <x:v>1885</x:v>
      </x:c>
      <x:c r="C862" t="s">
        <x:v>333</x:v>
      </x:c>
      <x:c r="D862">
        <x:v>8485492</x:v>
      </x:c>
      <x:c r="E862" t="s">
        <x:v>267</x:v>
      </x:c>
      <x:c r="J862" t="s">
        <x:v>2474</x:v>
      </x:c>
      <x:c r="K862">
        <x:v>64</x:v>
      </x:c>
      <x:c r="L862">
        <x:v>37</x:v>
      </x:c>
      <x:c r="M862">
        <x:v>80</x:v>
      </x:c>
      <x:c r="N862">
        <x:v>38</x:v>
      </x:c>
      <x:c r="O862">
        <x:v>85</x:v>
      </x:c>
      <x:c r="P862">
        <x:v>76</x:v>
      </x:c>
      <x:c r="Q862">
        <x:v>80</x:v>
      </x:c>
      <x:c r="R862">
        <x:v>38</x:v>
      </x:c>
      <x:c r="S862">
        <x:v>69</x:v>
      </x:c>
      <x:c r="T862" s="63" t="n">
        <x:f>MAX(30,MIN(AB862-VLOOKUP(AE862,'AHL_PA_SC_BALANCE'!$A$8:$E$18,2,FALSE),VLOOKUP(AE862,'AHL_PA_SC_BALANCE'!$A$8:$E$18,4,FALSE)))</x:f>
        <x:v>40</x:v>
      </x:c>
      <x:c r="U862" s="63" t="n">
        <x:f>MAX(30,MIN(AC862-VLOOKUP(AE862,'AHL_PA_SC_BALANCE'!$A$8:$E$18,3,FALSE),VLOOKUP(AE862,'AHL_PA_SC_BALANCE'!$A$8:$E$18,5,FALSE)))</x:f>
        <x:v>40</x:v>
      </x:c>
      <x:c r="V862">
        <x:v>59</x:v>
      </x:c>
      <x:c r="W862">
        <x:v>59</x:v>
      </x:c>
      <x:c r="X862">
        <x:v>68</x:v>
      </x:c>
      <x:c r="Y862">
        <x:v>67</x:v>
      </x:c>
      <x:c r="Z862">
        <x:v>51</x:v>
      </x:c>
      <x:c r="AA862">
        <x:v>46</x:v>
      </x:c>
      <x:c r="AB862" s="57" t="n">
        <x:v>40</x:v>
      </x:c>
      <x:c r="AC862" s="57" t="n">
        <x:v>40</x:v>
      </x:c>
      <x:c r="AD862" s="59"/>
      <x:c r="AE862" s="61" t="str">
        <x:f>IF(N(F862)&gt;=10,"NHL_LATEST_10",IF(AND(N(F862)&gt;0,N(G862)&gt;0),"NHL_BOTH_SEASONS",IF(N(G862)&gt;=10,"NHL_PREVIOUS_10",IF(AND(ISNUMBER(AD862),AD862=0,SUM(F862:G862)=0),"FARM_CAREER_0",IF(COUNT(F862:G862)&lt;2,"UNKNOWN_GP",IF(AND(F862=0,G862=0),IF(AD862&gt;=10,"FARM_LEGACY_10",IF(AND(ISNUMBER(AD862),AD862&gt;0),"FARM_CAREER_1_9","FARM_0_0")),IF(F862&gt;=1,IF(F862&lt;=3,"FARM_RECENT_1_3","FARM_RECENT_4_9"),"FARM_PREV_1_9_ONLY")))))))</x:f>
        <x:v>UNKNOWN_GP</x:v>
      </x:c>
      <x:c r="AF862" s="57" t="n">
        <x:f>AB862-T862</x:f>
        <x:v>0</x:v>
      </x:c>
      <x:c r="AG862" s="57" t="n">
        <x:f>AC862-U862</x:f>
        <x:v>0</x:v>
      </x:c>
    </x:row>
    <x:row r="863">
      <x:c r="A863" t="s">
        <x:v>1886</x:v>
      </x:c>
      <x:c r="C863" t="s">
        <x:v>319</x:v>
      </x:c>
      <x:c r="D863">
        <x:v>8483480</x:v>
      </x:c>
      <x:c r="E863" t="s">
        <x:v>267</x:v>
      </x:c>
      <x:c r="J863" t="s">
        <x:v>2474</x:v>
      </x:c>
      <x:c r="K863">
        <x:v>59</x:v>
      </x:c>
      <x:c r="L863">
        <x:v>31</x:v>
      </x:c>
      <x:c r="M863">
        <x:v>80</x:v>
      </x:c>
      <x:c r="N863">
        <x:v>39</x:v>
      </x:c>
      <x:c r="O863">
        <x:v>77</x:v>
      </x:c>
      <x:c r="P863">
        <x:v>74</x:v>
      </x:c>
      <x:c r="Q863">
        <x:v>75</x:v>
      </x:c>
      <x:c r="R863">
        <x:v>39</x:v>
      </x:c>
      <x:c r="S863">
        <x:v>81</x:v>
      </x:c>
      <x:c r="T863" s="63" t="n">
        <x:f>MAX(30,MIN(AB863-VLOOKUP(AE863,'AHL_PA_SC_BALANCE'!$A$8:$E$18,2,FALSE),VLOOKUP(AE863,'AHL_PA_SC_BALANCE'!$A$8:$E$18,4,FALSE)))</x:f>
        <x:v>40</x:v>
      </x:c>
      <x:c r="U863" s="63" t="n">
        <x:f>MAX(30,MIN(AC863-VLOOKUP(AE863,'AHL_PA_SC_BALANCE'!$A$8:$E$18,3,FALSE),VLOOKUP(AE863,'AHL_PA_SC_BALANCE'!$A$8:$E$18,5,FALSE)))</x:f>
        <x:v>42</x:v>
      </x:c>
      <x:c r="V863">
        <x:v>62</x:v>
      </x:c>
      <x:c r="W863">
        <x:v>60</x:v>
      </x:c>
      <x:c r="X863">
        <x:v>65</x:v>
      </x:c>
      <x:c r="Y863">
        <x:v>65</x:v>
      </x:c>
      <x:c r="Z863">
        <x:v>51</x:v>
      </x:c>
      <x:c r="AA863">
        <x:v>46</x:v>
      </x:c>
      <x:c r="AB863" s="57" t="n">
        <x:v>40</x:v>
      </x:c>
      <x:c r="AC863" s="57" t="n">
        <x:v>42</x:v>
      </x:c>
      <x:c r="AD863" s="59"/>
      <x:c r="AE863" s="61" t="str">
        <x:f>IF(N(F863)&gt;=10,"NHL_LATEST_10",IF(AND(N(F863)&gt;0,N(G863)&gt;0),"NHL_BOTH_SEASONS",IF(N(G863)&gt;=10,"NHL_PREVIOUS_10",IF(AND(ISNUMBER(AD863),AD863=0,SUM(F863:G863)=0),"FARM_CAREER_0",IF(COUNT(F863:G863)&lt;2,"UNKNOWN_GP",IF(AND(F863=0,G863=0),IF(AD863&gt;=10,"FARM_LEGACY_10",IF(AND(ISNUMBER(AD863),AD863&gt;0),"FARM_CAREER_1_9","FARM_0_0")),IF(F863&gt;=1,IF(F863&lt;=3,"FARM_RECENT_1_3","FARM_RECENT_4_9"),"FARM_PREV_1_9_ONLY")))))))</x:f>
        <x:v>UNKNOWN_GP</x:v>
      </x:c>
      <x:c r="AF863" s="57" t="n">
        <x:f>AB863-T863</x:f>
        <x:v>0</x:v>
      </x:c>
      <x:c r="AG863" s="57" t="n">
        <x:f>AC863-U863</x:f>
        <x:v>0</x:v>
      </x:c>
    </x:row>
    <x:row r="864">
      <x:c r="A864" t="s">
        <x:v>1887</x:v>
      </x:c>
      <x:c r="C864" t="s">
        <x:v>339</x:v>
      </x:c>
      <x:c r="D864">
        <x:v>8484201</x:v>
      </x:c>
      <x:c r="E864" t="s">
        <x:v>267</x:v>
      </x:c>
      <x:c r="J864" t="s">
        <x:v>2474</x:v>
      </x:c>
      <x:c r="K864">
        <x:v>61</x:v>
      </x:c>
      <x:c r="L864">
        <x:v>35</x:v>
      </x:c>
      <x:c r="M864">
        <x:v>86</x:v>
      </x:c>
      <x:c r="N864">
        <x:v>39</x:v>
      </x:c>
      <x:c r="O864">
        <x:v>80</x:v>
      </x:c>
      <x:c r="P864">
        <x:v>89</x:v>
      </x:c>
      <x:c r="Q864">
        <x:v>94</x:v>
      </x:c>
      <x:c r="R864">
        <x:v>38</x:v>
      </x:c>
      <x:c r="S864">
        <x:v>56</x:v>
      </x:c>
      <x:c r="T864" s="63" t="n">
        <x:f>MAX(30,MIN(AB864-VLOOKUP(AE864,'AHL_PA_SC_BALANCE'!$A$8:$E$18,2,FALSE),VLOOKUP(AE864,'AHL_PA_SC_BALANCE'!$A$8:$E$18,4,FALSE)))</x:f>
        <x:v>42</x:v>
      </x:c>
      <x:c r="U864" s="63" t="n">
        <x:f>MAX(30,MIN(AC864-VLOOKUP(AE864,'AHL_PA_SC_BALANCE'!$A$8:$E$18,3,FALSE),VLOOKUP(AE864,'AHL_PA_SC_BALANCE'!$A$8:$E$18,5,FALSE)))</x:f>
        <x:v>41</x:v>
      </x:c>
      <x:c r="V864">
        <x:v>58</x:v>
      </x:c>
      <x:c r="W864">
        <x:v>61</x:v>
      </x:c>
      <x:c r="X864">
        <x:v>65</x:v>
      </x:c>
      <x:c r="Y864">
        <x:v>65</x:v>
      </x:c>
      <x:c r="Z864">
        <x:v>51</x:v>
      </x:c>
      <x:c r="AA864">
        <x:v>46</x:v>
      </x:c>
      <x:c r="AB864" s="57" t="n">
        <x:v>42</x:v>
      </x:c>
      <x:c r="AC864" s="57" t="n">
        <x:v>41</x:v>
      </x:c>
      <x:c r="AD864" s="59"/>
      <x:c r="AE864" s="61" t="str">
        <x:f>IF(N(F864)&gt;=10,"NHL_LATEST_10",IF(AND(N(F864)&gt;0,N(G864)&gt;0),"NHL_BOTH_SEASONS",IF(N(G864)&gt;=10,"NHL_PREVIOUS_10",IF(AND(ISNUMBER(AD864),AD864=0,SUM(F864:G864)=0),"FARM_CAREER_0",IF(COUNT(F864:G864)&lt;2,"UNKNOWN_GP",IF(AND(F864=0,G864=0),IF(AD864&gt;=10,"FARM_LEGACY_10",IF(AND(ISNUMBER(AD864),AD864&gt;0),"FARM_CAREER_1_9","FARM_0_0")),IF(F864&gt;=1,IF(F864&lt;=3,"FARM_RECENT_1_3","FARM_RECENT_4_9"),"FARM_PREV_1_9_ONLY")))))))</x:f>
        <x:v>UNKNOWN_GP</x:v>
      </x:c>
      <x:c r="AF864" s="57" t="n">
        <x:f>AB864-T864</x:f>
        <x:v>0</x:v>
      </x:c>
      <x:c r="AG864" s="57" t="n">
        <x:f>AC864-U864</x:f>
        <x:v>0</x:v>
      </x:c>
    </x:row>
    <x:row r="865">
      <x:c r="A865" t="s">
        <x:v>1888</x:v>
      </x:c>
      <x:c r="C865" t="s">
        <x:v>329</x:v>
      </x:c>
      <x:c r="D865">
        <x:v>8482828</x:v>
      </x:c>
      <x:c r="E865" t="s">
        <x:v>267</x:v>
      </x:c>
      <x:c r="J865" t="s">
        <x:v>2474</x:v>
      </x:c>
      <x:c r="K865">
        <x:v>57</x:v>
      </x:c>
      <x:c r="L865">
        <x:v>32</x:v>
      </x:c>
      <x:c r="M865">
        <x:v>82</x:v>
      </x:c>
      <x:c r="N865">
        <x:v>39</x:v>
      </x:c>
      <x:c r="O865">
        <x:v>76</x:v>
      </x:c>
      <x:c r="P865">
        <x:v>77</x:v>
      </x:c>
      <x:c r="Q865">
        <x:v>77</x:v>
      </x:c>
      <x:c r="R865">
        <x:v>40</x:v>
      </x:c>
      <x:c r="S865">
        <x:v>53</x:v>
      </x:c>
      <x:c r="T865" s="63" t="n">
        <x:f>MAX(30,MIN(AB865-VLOOKUP(AE865,'AHL_PA_SC_BALANCE'!$A$8:$E$18,2,FALSE),VLOOKUP(AE865,'AHL_PA_SC_BALANCE'!$A$8:$E$18,4,FALSE)))</x:f>
        <x:v>44</x:v>
      </x:c>
      <x:c r="U865" s="63" t="n">
        <x:f>MAX(30,MIN(AC865-VLOOKUP(AE865,'AHL_PA_SC_BALANCE'!$A$8:$E$18,3,FALSE),VLOOKUP(AE865,'AHL_PA_SC_BALANCE'!$A$8:$E$18,5,FALSE)))</x:f>
        <x:v>39</x:v>
      </x:c>
      <x:c r="V865">
        <x:v>61</x:v>
      </x:c>
      <x:c r="W865">
        <x:v>61</x:v>
      </x:c>
      <x:c r="X865">
        <x:v>66</x:v>
      </x:c>
      <x:c r="Y865">
        <x:v>65</x:v>
      </x:c>
      <x:c r="Z865">
        <x:v>51</x:v>
      </x:c>
      <x:c r="AA865">
        <x:v>46</x:v>
      </x:c>
      <x:c r="AB865" s="57" t="n">
        <x:v>44</x:v>
      </x:c>
      <x:c r="AC865" s="57" t="n">
        <x:v>39</x:v>
      </x:c>
      <x:c r="AD865" s="59"/>
      <x:c r="AE865" s="61" t="str">
        <x:f>IF(N(F865)&gt;=10,"NHL_LATEST_10",IF(AND(N(F865)&gt;0,N(G865)&gt;0),"NHL_BOTH_SEASONS",IF(N(G865)&gt;=10,"NHL_PREVIOUS_10",IF(AND(ISNUMBER(AD865),AD865=0,SUM(F865:G865)=0),"FARM_CAREER_0",IF(COUNT(F865:G865)&lt;2,"UNKNOWN_GP",IF(AND(F865=0,G865=0),IF(AD865&gt;=10,"FARM_LEGACY_10",IF(AND(ISNUMBER(AD865),AD865&gt;0),"FARM_CAREER_1_9","FARM_0_0")),IF(F865&gt;=1,IF(F865&lt;=3,"FARM_RECENT_1_3","FARM_RECENT_4_9"),"FARM_PREV_1_9_ONLY")))))))</x:f>
        <x:v>UNKNOWN_GP</x:v>
      </x:c>
      <x:c r="AF865" s="57" t="n">
        <x:f>AB865-T865</x:f>
        <x:v>0</x:v>
      </x:c>
      <x:c r="AG865" s="57" t="n">
        <x:f>AC865-U865</x:f>
        <x:v>0</x:v>
      </x:c>
    </x:row>
    <x:row r="866">
      <x:c r="A866" t="s">
        <x:v>1889</x:v>
      </x:c>
      <x:c r="C866" t="s">
        <x:v>326</x:v>
      </x:c>
      <x:c r="E866" t="s">
        <x:v>267</x:v>
      </x:c>
      <x:c r="J866" t="s">
        <x:v>2474</x:v>
      </x:c>
      <x:c r="K866">
        <x:v>60</x:v>
      </x:c>
      <x:c r="L866">
        <x:v>37</x:v>
      </x:c>
      <x:c r="M866">
        <x:v>87</x:v>
      </x:c>
      <x:c r="N866">
        <x:v>38</x:v>
      </x:c>
      <x:c r="O866">
        <x:v>78</x:v>
      </x:c>
      <x:c r="P866">
        <x:v>76</x:v>
      </x:c>
      <x:c r="Q866">
        <x:v>79</x:v>
      </x:c>
      <x:c r="R866">
        <x:v>39</x:v>
      </x:c>
      <x:c r="S866">
        <x:v>62</x:v>
      </x:c>
      <x:c r="T866" s="63" t="n">
        <x:f>MAX(30,MIN(AB866-VLOOKUP(AE866,'AHL_PA_SC_BALANCE'!$A$8:$E$18,2,FALSE),VLOOKUP(AE866,'AHL_PA_SC_BALANCE'!$A$8:$E$18,4,FALSE)))</x:f>
        <x:v>42</x:v>
      </x:c>
      <x:c r="U866" s="63" t="n">
        <x:f>MAX(30,MIN(AC866-VLOOKUP(AE866,'AHL_PA_SC_BALANCE'!$A$8:$E$18,3,FALSE),VLOOKUP(AE866,'AHL_PA_SC_BALANCE'!$A$8:$E$18,5,FALSE)))</x:f>
        <x:v>40</x:v>
      </x:c>
      <x:c r="V866">
        <x:v>60</x:v>
      </x:c>
      <x:c r="W866">
        <x:v>60</x:v>
      </x:c>
      <x:c r="X866">
        <x:v>65</x:v>
      </x:c>
      <x:c r="Y866">
        <x:v>65</x:v>
      </x:c>
      <x:c r="Z866">
        <x:v>51</x:v>
      </x:c>
      <x:c r="AA866">
        <x:v>46</x:v>
      </x:c>
      <x:c r="AB866" s="57" t="n">
        <x:v>42</x:v>
      </x:c>
      <x:c r="AC866" s="57" t="n">
        <x:v>40</x:v>
      </x:c>
      <x:c r="AD866" s="59"/>
      <x:c r="AE866" s="61" t="str">
        <x:f>IF(N(F866)&gt;=10,"NHL_LATEST_10",IF(AND(N(F866)&gt;0,N(G866)&gt;0),"NHL_BOTH_SEASONS",IF(N(G866)&gt;=10,"NHL_PREVIOUS_10",IF(AND(ISNUMBER(AD866),AD866=0,SUM(F866:G866)=0),"FARM_CAREER_0",IF(COUNT(F866:G866)&lt;2,"UNKNOWN_GP",IF(AND(F866=0,G866=0),IF(AD866&gt;=10,"FARM_LEGACY_10",IF(AND(ISNUMBER(AD866),AD866&gt;0),"FARM_CAREER_1_9","FARM_0_0")),IF(F866&gt;=1,IF(F866&lt;=3,"FARM_RECENT_1_3","FARM_RECENT_4_9"),"FARM_PREV_1_9_ONLY")))))))</x:f>
        <x:v>UNKNOWN_GP</x:v>
      </x:c>
      <x:c r="AF866" s="57" t="n">
        <x:f>AB866-T866</x:f>
        <x:v>0</x:v>
      </x:c>
      <x:c r="AG866" s="57" t="n">
        <x:f>AC866-U866</x:f>
        <x:v>0</x:v>
      </x:c>
    </x:row>
    <x:row r="867">
      <x:c r="A867" t="s">
        <x:v>1890</x:v>
      </x:c>
      <x:c r="B867" t="s">
        <x:v>584</x:v>
      </x:c>
      <x:c r="C867" t="s">
        <x:v>333</x:v>
      </x:c>
      <x:c r="D867">
        <x:v>8483065</x:v>
      </x:c>
      <x:c r="E867" t="s">
        <x:v>267</x:v>
      </x:c>
      <x:c r="J867" t="s">
        <x:v>2476</x:v>
      </x:c>
      <x:c r="K867">
        <x:v>62</x:v>
      </x:c>
      <x:c r="L867">
        <x:v>36</x:v>
      </x:c>
      <x:c r="M867">
        <x:v>91</x:v>
      </x:c>
      <x:c r="N867">
        <x:v>37</x:v>
      </x:c>
      <x:c r="O867">
        <x:v>79</x:v>
      </x:c>
      <x:c r="P867">
        <x:v>70</x:v>
      </x:c>
      <x:c r="Q867">
        <x:v>73</x:v>
      </x:c>
      <x:c r="R867">
        <x:v>37</x:v>
      </x:c>
      <x:c r="S867">
        <x:v>64</x:v>
      </x:c>
      <x:c r="T867" s="63" t="n">
        <x:f>MAX(30,MIN(AB867-VLOOKUP(AE867,'AHL_PA_SC_BALANCE'!$A$8:$E$18,2,FALSE),VLOOKUP(AE867,'AHL_PA_SC_BALANCE'!$A$8:$E$18,4,FALSE)))</x:f>
        <x:v>38</x:v>
      </x:c>
      <x:c r="U867" s="63" t="n">
        <x:f>MAX(30,MIN(AC867-VLOOKUP(AE867,'AHL_PA_SC_BALANCE'!$A$8:$E$18,3,FALSE),VLOOKUP(AE867,'AHL_PA_SC_BALANCE'!$A$8:$E$18,5,FALSE)))</x:f>
        <x:v>41</x:v>
      </x:c>
      <x:c r="V867">
        <x:v>61</x:v>
      </x:c>
      <x:c r="W867">
        <x:v>58</x:v>
      </x:c>
      <x:c r="X867">
        <x:v>68</x:v>
      </x:c>
      <x:c r="Y867">
        <x:v>67</x:v>
      </x:c>
      <x:c r="Z867">
        <x:v>51</x:v>
      </x:c>
      <x:c r="AA867">
        <x:v>46</x:v>
      </x:c>
      <x:c r="AB867" s="57" t="n">
        <x:v>38</x:v>
      </x:c>
      <x:c r="AC867" s="57" t="n">
        <x:v>41</x:v>
      </x:c>
      <x:c r="AD867" s="59"/>
      <x:c r="AE867" s="61" t="str">
        <x:f>IF(N(F867)&gt;=10,"NHL_LATEST_10",IF(AND(N(F867)&gt;0,N(G867)&gt;0),"NHL_BOTH_SEASONS",IF(N(G867)&gt;=10,"NHL_PREVIOUS_10",IF(AND(ISNUMBER(AD867),AD867=0,SUM(F867:G867)=0),"FARM_CAREER_0",IF(COUNT(F867:G867)&lt;2,"UNKNOWN_GP",IF(AND(F867=0,G867=0),IF(AD867&gt;=10,"FARM_LEGACY_10",IF(AND(ISNUMBER(AD867),AD867&gt;0),"FARM_CAREER_1_9","FARM_0_0")),IF(F867&gt;=1,IF(F867&lt;=3,"FARM_RECENT_1_3","FARM_RECENT_4_9"),"FARM_PREV_1_9_ONLY")))))))</x:f>
        <x:v>UNKNOWN_GP</x:v>
      </x:c>
      <x:c r="AF867" s="57" t="n">
        <x:f>AB867-T867</x:f>
        <x:v>0</x:v>
      </x:c>
      <x:c r="AG867" s="57" t="n">
        <x:f>AC867-U867</x:f>
        <x:v>0</x:v>
      </x:c>
    </x:row>
    <x:row r="868">
      <x:c r="A868" t="s">
        <x:v>1891</x:v>
      </x:c>
      <x:c r="C868" t="s">
        <x:v>319</x:v>
      </x:c>
      <x:c r="D868">
        <x:v>8484430</x:v>
      </x:c>
      <x:c r="E868" t="s">
        <x:v>267</x:v>
      </x:c>
      <x:c r="J868" t="s">
        <x:v>2474</x:v>
      </x:c>
      <x:c r="K868">
        <x:v>70</x:v>
      </x:c>
      <x:c r="L868">
        <x:v>39</x:v>
      </x:c>
      <x:c r="M868">
        <x:v>86</x:v>
      </x:c>
      <x:c r="N868">
        <x:v>38</x:v>
      </x:c>
      <x:c r="O868">
        <x:v>79</x:v>
      </x:c>
      <x:c r="P868">
        <x:v>75</x:v>
      </x:c>
      <x:c r="Q868">
        <x:v>78</x:v>
      </x:c>
      <x:c r="R868">
        <x:v>37</x:v>
      </x:c>
      <x:c r="S868">
        <x:v>62</x:v>
      </x:c>
      <x:c r="T868" s="63" t="n">
        <x:f>MAX(30,MIN(AB868-VLOOKUP(AE868,'AHL_PA_SC_BALANCE'!$A$8:$E$18,2,FALSE),VLOOKUP(AE868,'AHL_PA_SC_BALANCE'!$A$8:$E$18,4,FALSE)))</x:f>
        <x:v>41</x:v>
      </x:c>
      <x:c r="U868" s="63" t="n">
        <x:f>MAX(30,MIN(AC868-VLOOKUP(AE868,'AHL_PA_SC_BALANCE'!$A$8:$E$18,3,FALSE),VLOOKUP(AE868,'AHL_PA_SC_BALANCE'!$A$8:$E$18,5,FALSE)))</x:f>
        <x:v>41</x:v>
      </x:c>
      <x:c r="V868">
        <x:v>59</x:v>
      </x:c>
      <x:c r="W868">
        <x:v>60</x:v>
      </x:c>
      <x:c r="X868">
        <x:v>65</x:v>
      </x:c>
      <x:c r="Y868">
        <x:v>65</x:v>
      </x:c>
      <x:c r="Z868">
        <x:v>51</x:v>
      </x:c>
      <x:c r="AA868">
        <x:v>46</x:v>
      </x:c>
      <x:c r="AB868" s="57" t="n">
        <x:v>41</x:v>
      </x:c>
      <x:c r="AC868" s="57" t="n">
        <x:v>41</x:v>
      </x:c>
      <x:c r="AD868" s="59"/>
      <x:c r="AE868" s="61" t="str">
        <x:f>IF(N(F868)&gt;=10,"NHL_LATEST_10",IF(AND(N(F868)&gt;0,N(G868)&gt;0),"NHL_BOTH_SEASONS",IF(N(G868)&gt;=10,"NHL_PREVIOUS_10",IF(AND(ISNUMBER(AD868),AD868=0,SUM(F868:G868)=0),"FARM_CAREER_0",IF(COUNT(F868:G868)&lt;2,"UNKNOWN_GP",IF(AND(F868=0,G868=0),IF(AD868&gt;=10,"FARM_LEGACY_10",IF(AND(ISNUMBER(AD868),AD868&gt;0),"FARM_CAREER_1_9","FARM_0_0")),IF(F868&gt;=1,IF(F868&lt;=3,"FARM_RECENT_1_3","FARM_RECENT_4_9"),"FARM_PREV_1_9_ONLY")))))))</x:f>
        <x:v>UNKNOWN_GP</x:v>
      </x:c>
      <x:c r="AF868" s="57" t="n">
        <x:f>AB868-T868</x:f>
        <x:v>0</x:v>
      </x:c>
      <x:c r="AG868" s="57" t="n">
        <x:f>AC868-U868</x:f>
        <x:v>0</x:v>
      </x:c>
    </x:row>
    <x:row r="869">
      <x:c r="A869" t="s">
        <x:v>1892</x:v>
      </x:c>
      <x:c r="C869" t="s">
        <x:v>358</x:v>
      </x:c>
      <x:c r="D869">
        <x:v>8485732</x:v>
      </x:c>
      <x:c r="E869" t="s">
        <x:v>267</x:v>
      </x:c>
      <x:c r="J869" t="s">
        <x:v>2474</x:v>
      </x:c>
      <x:c r="K869">
        <x:v>64</x:v>
      </x:c>
      <x:c r="L869">
        <x:v>40</x:v>
      </x:c>
      <x:c r="M869">
        <x:v>80</x:v>
      </x:c>
      <x:c r="N869">
        <x:v>38</x:v>
      </x:c>
      <x:c r="O869">
        <x:v>79</x:v>
      </x:c>
      <x:c r="P869">
        <x:v>73</x:v>
      </x:c>
      <x:c r="Q869">
        <x:v>76</x:v>
      </x:c>
      <x:c r="R869">
        <x:v>37</x:v>
      </x:c>
      <x:c r="S869">
        <x:v>66</x:v>
      </x:c>
      <x:c r="T869" s="63" t="n">
        <x:f>MAX(30,MIN(AB869-VLOOKUP(AE869,'AHL_PA_SC_BALANCE'!$A$8:$E$18,2,FALSE),VLOOKUP(AE869,'AHL_PA_SC_BALANCE'!$A$8:$E$18,4,FALSE)))</x:f>
        <x:v>43</x:v>
      </x:c>
      <x:c r="U869" s="63" t="n">
        <x:f>MAX(30,MIN(AC869-VLOOKUP(AE869,'AHL_PA_SC_BALANCE'!$A$8:$E$18,3,FALSE),VLOOKUP(AE869,'AHL_PA_SC_BALANCE'!$A$8:$E$18,5,FALSE)))</x:f>
        <x:v>39</x:v>
      </x:c>
      <x:c r="V869">
        <x:v>62</x:v>
      </x:c>
      <x:c r="W869">
        <x:v>60</x:v>
      </x:c>
      <x:c r="X869">
        <x:v>68</x:v>
      </x:c>
      <x:c r="Y869">
        <x:v>68</x:v>
      </x:c>
      <x:c r="Z869">
        <x:v>51</x:v>
      </x:c>
      <x:c r="AA869">
        <x:v>46</x:v>
      </x:c>
      <x:c r="AB869" s="57" t="n">
        <x:v>43</x:v>
      </x:c>
      <x:c r="AC869" s="57" t="n">
        <x:v>39</x:v>
      </x:c>
      <x:c r="AD869" s="59"/>
      <x:c r="AE869" s="61" t="str">
        <x:f>IF(N(F869)&gt;=10,"NHL_LATEST_10",IF(AND(N(F869)&gt;0,N(G869)&gt;0),"NHL_BOTH_SEASONS",IF(N(G869)&gt;=10,"NHL_PREVIOUS_10",IF(AND(ISNUMBER(AD869),AD869=0,SUM(F869:G869)=0),"FARM_CAREER_0",IF(COUNT(F869:G869)&lt;2,"UNKNOWN_GP",IF(AND(F869=0,G869=0),IF(AD869&gt;=10,"FARM_LEGACY_10",IF(AND(ISNUMBER(AD869),AD869&gt;0),"FARM_CAREER_1_9","FARM_0_0")),IF(F869&gt;=1,IF(F869&lt;=3,"FARM_RECENT_1_3","FARM_RECENT_4_9"),"FARM_PREV_1_9_ONLY")))))))</x:f>
        <x:v>UNKNOWN_GP</x:v>
      </x:c>
      <x:c r="AF869" s="57" t="n">
        <x:f>AB869-T869</x:f>
        <x:v>0</x:v>
      </x:c>
      <x:c r="AG869" s="57" t="n">
        <x:f>AC869-U869</x:f>
        <x:v>0</x:v>
      </x:c>
    </x:row>
    <x:row r="870">
      <x:c r="A870" t="s">
        <x:v>1893</x:v>
      </x:c>
      <x:c r="B870" t="s">
        <x:v>584</x:v>
      </x:c>
      <x:c r="C870" t="s">
        <x:v>319</x:v>
      </x:c>
      <x:c r="D870">
        <x:v>8486162</x:v>
      </x:c>
      <x:c r="E870" t="s">
        <x:v>267</x:v>
      </x:c>
      <x:c r="J870" t="s">
        <x:v>2476</x:v>
      </x:c>
      <x:c r="K870">
        <x:v>63</x:v>
      </x:c>
      <x:c r="L870">
        <x:v>33</x:v>
      </x:c>
      <x:c r="M870">
        <x:v>90</x:v>
      </x:c>
      <x:c r="N870">
        <x:v>37</x:v>
      </x:c>
      <x:c r="O870">
        <x:v>80</x:v>
      </x:c>
      <x:c r="P870">
        <x:v>69</x:v>
      </x:c>
      <x:c r="Q870">
        <x:v>72</x:v>
      </x:c>
      <x:c r="R870">
        <x:v>38</x:v>
      </x:c>
      <x:c r="S870">
        <x:v>63</x:v>
      </x:c>
      <x:c r="T870" s="63" t="n">
        <x:f>MAX(30,MIN(AB870-VLOOKUP(AE870,'AHL_PA_SC_BALANCE'!$A$8:$E$18,2,FALSE),VLOOKUP(AE870,'AHL_PA_SC_BALANCE'!$A$8:$E$18,4,FALSE)))</x:f>
        <x:v>41</x:v>
      </x:c>
      <x:c r="U870" s="63" t="n">
        <x:f>MAX(30,MIN(AC870-VLOOKUP(AE870,'AHL_PA_SC_BALANCE'!$A$8:$E$18,3,FALSE),VLOOKUP(AE870,'AHL_PA_SC_BALANCE'!$A$8:$E$18,5,FALSE)))</x:f>
        <x:v>39</x:v>
      </x:c>
      <x:c r="V870">
        <x:v>61</x:v>
      </x:c>
      <x:c r="W870">
        <x:v>58</x:v>
      </x:c>
      <x:c r="X870">
        <x:v>67</x:v>
      </x:c>
      <x:c r="Y870">
        <x:v>67</x:v>
      </x:c>
      <x:c r="Z870">
        <x:v>51</x:v>
      </x:c>
      <x:c r="AA870">
        <x:v>46</x:v>
      </x:c>
      <x:c r="AB870" s="57" t="n">
        <x:v>41</x:v>
      </x:c>
      <x:c r="AC870" s="57" t="n">
        <x:v>39</x:v>
      </x:c>
      <x:c r="AD870" s="59"/>
      <x:c r="AE870" s="61" t="str">
        <x:f>IF(N(F870)&gt;=10,"NHL_LATEST_10",IF(AND(N(F870)&gt;0,N(G870)&gt;0),"NHL_BOTH_SEASONS",IF(N(G870)&gt;=10,"NHL_PREVIOUS_10",IF(AND(ISNUMBER(AD870),AD870=0,SUM(F870:G870)=0),"FARM_CAREER_0",IF(COUNT(F870:G870)&lt;2,"UNKNOWN_GP",IF(AND(F870=0,G870=0),IF(AD870&gt;=10,"FARM_LEGACY_10",IF(AND(ISNUMBER(AD870),AD870&gt;0),"FARM_CAREER_1_9","FARM_0_0")),IF(F870&gt;=1,IF(F870&lt;=3,"FARM_RECENT_1_3","FARM_RECENT_4_9"),"FARM_PREV_1_9_ONLY")))))))</x:f>
        <x:v>UNKNOWN_GP</x:v>
      </x:c>
      <x:c r="AF870" s="57" t="n">
        <x:f>AB870-T870</x:f>
        <x:v>0</x:v>
      </x:c>
      <x:c r="AG870" s="57" t="n">
        <x:f>AC870-U870</x:f>
        <x:v>0</x:v>
      </x:c>
    </x:row>
    <x:row r="871">
      <x:c r="A871" t="s">
        <x:v>1894</x:v>
      </x:c>
      <x:c r="C871" t="s">
        <x:v>358</x:v>
      </x:c>
      <x:c r="D871">
        <x:v>8483772</x:v>
      </x:c>
      <x:c r="E871" t="s">
        <x:v>267</x:v>
      </x:c>
      <x:c r="J871" t="s">
        <x:v>2474</x:v>
      </x:c>
      <x:c r="K871">
        <x:v>69</x:v>
      </x:c>
      <x:c r="L871">
        <x:v>38</x:v>
      </x:c>
      <x:c r="M871">
        <x:v>83</x:v>
      </x:c>
      <x:c r="N871">
        <x:v>37</x:v>
      </x:c>
      <x:c r="O871">
        <x:v>82</x:v>
      </x:c>
      <x:c r="P871">
        <x:v>83</x:v>
      </x:c>
      <x:c r="Q871">
        <x:v>85</x:v>
      </x:c>
      <x:c r="R871">
        <x:v>37</x:v>
      </x:c>
      <x:c r="S871">
        <x:v>67</x:v>
      </x:c>
      <x:c r="T871" s="63" t="n">
        <x:f>MAX(30,MIN(AB871-VLOOKUP(AE871,'AHL_PA_SC_BALANCE'!$A$8:$E$18,2,FALSE),VLOOKUP(AE871,'AHL_PA_SC_BALANCE'!$A$8:$E$18,4,FALSE)))</x:f>
        <x:v>40</x:v>
      </x:c>
      <x:c r="U871" s="63" t="n">
        <x:f>MAX(30,MIN(AC871-VLOOKUP(AE871,'AHL_PA_SC_BALANCE'!$A$8:$E$18,3,FALSE),VLOOKUP(AE871,'AHL_PA_SC_BALANCE'!$A$8:$E$18,5,FALSE)))</x:f>
        <x:v>40</x:v>
      </x:c>
      <x:c r="V871">
        <x:v>58</x:v>
      </x:c>
      <x:c r="W871">
        <x:v>59</x:v>
      </x:c>
      <x:c r="X871">
        <x:v>66</x:v>
      </x:c>
      <x:c r="Y871">
        <x:v>65</x:v>
      </x:c>
      <x:c r="Z871">
        <x:v>51</x:v>
      </x:c>
      <x:c r="AA871">
        <x:v>46</x:v>
      </x:c>
      <x:c r="AB871" s="57" t="n">
        <x:v>40</x:v>
      </x:c>
      <x:c r="AC871" s="57" t="n">
        <x:v>40</x:v>
      </x:c>
      <x:c r="AD871" s="59"/>
      <x:c r="AE871" s="61" t="str">
        <x:f>IF(N(F871)&gt;=10,"NHL_LATEST_10",IF(AND(N(F871)&gt;0,N(G871)&gt;0),"NHL_BOTH_SEASONS",IF(N(G871)&gt;=10,"NHL_PREVIOUS_10",IF(AND(ISNUMBER(AD871),AD871=0,SUM(F871:G871)=0),"FARM_CAREER_0",IF(COUNT(F871:G871)&lt;2,"UNKNOWN_GP",IF(AND(F871=0,G871=0),IF(AD871&gt;=10,"FARM_LEGACY_10",IF(AND(ISNUMBER(AD871),AD871&gt;0),"FARM_CAREER_1_9","FARM_0_0")),IF(F871&gt;=1,IF(F871&lt;=3,"FARM_RECENT_1_3","FARM_RECENT_4_9"),"FARM_PREV_1_9_ONLY")))))))</x:f>
        <x:v>UNKNOWN_GP</x:v>
      </x:c>
      <x:c r="AF871" s="57" t="n">
        <x:f>AB871-T871</x:f>
        <x:v>0</x:v>
      </x:c>
      <x:c r="AG871" s="57" t="n">
        <x:f>AC871-U871</x:f>
        <x:v>0</x:v>
      </x:c>
    </x:row>
    <x:row r="872">
      <x:c r="A872" t="s">
        <x:v>1895</x:v>
      </x:c>
      <x:c r="C872" t="s">
        <x:v>358</x:v>
      </x:c>
      <x:c r="D872">
        <x:v>8483110</x:v>
      </x:c>
      <x:c r="E872" t="s">
        <x:v>267</x:v>
      </x:c>
      <x:c r="J872" t="s">
        <x:v>2474</x:v>
      </x:c>
      <x:c r="K872">
        <x:v>63</x:v>
      </x:c>
      <x:c r="L872">
        <x:v>38</x:v>
      </x:c>
      <x:c r="M872">
        <x:v>88</x:v>
      </x:c>
      <x:c r="N872">
        <x:v>37</x:v>
      </x:c>
      <x:c r="O872">
        <x:v>80</x:v>
      </x:c>
      <x:c r="P872">
        <x:v>75</x:v>
      </x:c>
      <x:c r="Q872">
        <x:v>78</x:v>
      </x:c>
      <x:c r="R872">
        <x:v>36</x:v>
      </x:c>
      <x:c r="S872">
        <x:v>53</x:v>
      </x:c>
      <x:c r="T872" s="63" t="n">
        <x:f>MAX(30,MIN(AB872-VLOOKUP(AE872,'AHL_PA_SC_BALANCE'!$A$8:$E$18,2,FALSE),VLOOKUP(AE872,'AHL_PA_SC_BALANCE'!$A$8:$E$18,4,FALSE)))</x:f>
        <x:v>40</x:v>
      </x:c>
      <x:c r="U872" s="63" t="n">
        <x:f>MAX(30,MIN(AC872-VLOOKUP(AE872,'AHL_PA_SC_BALANCE'!$A$8:$E$18,3,FALSE),VLOOKUP(AE872,'AHL_PA_SC_BALANCE'!$A$8:$E$18,5,FALSE)))</x:f>
        <x:v>40</x:v>
      </x:c>
      <x:c r="V872">
        <x:v>59</x:v>
      </x:c>
      <x:c r="W872">
        <x:v>58</x:v>
      </x:c>
      <x:c r="X872">
        <x:v>65</x:v>
      </x:c>
      <x:c r="Y872">
        <x:v>66</x:v>
      </x:c>
      <x:c r="Z872">
        <x:v>51</x:v>
      </x:c>
      <x:c r="AA872">
        <x:v>46</x:v>
      </x:c>
      <x:c r="AB872" s="57" t="n">
        <x:v>40</x:v>
      </x:c>
      <x:c r="AC872" s="57" t="n">
        <x:v>40</x:v>
      </x:c>
      <x:c r="AD872" s="59"/>
      <x:c r="AE872" s="61" t="str">
        <x:f>IF(N(F872)&gt;=10,"NHL_LATEST_10",IF(AND(N(F872)&gt;0,N(G872)&gt;0),"NHL_BOTH_SEASONS",IF(N(G872)&gt;=10,"NHL_PREVIOUS_10",IF(AND(ISNUMBER(AD872),AD872=0,SUM(F872:G872)=0),"FARM_CAREER_0",IF(COUNT(F872:G872)&lt;2,"UNKNOWN_GP",IF(AND(F872=0,G872=0),IF(AD872&gt;=10,"FARM_LEGACY_10",IF(AND(ISNUMBER(AD872),AD872&gt;0),"FARM_CAREER_1_9","FARM_0_0")),IF(F872&gt;=1,IF(F872&lt;=3,"FARM_RECENT_1_3","FARM_RECENT_4_9"),"FARM_PREV_1_9_ONLY")))))))</x:f>
        <x:v>UNKNOWN_GP</x:v>
      </x:c>
      <x:c r="AF872" s="57" t="n">
        <x:f>AB872-T872</x:f>
        <x:v>0</x:v>
      </x:c>
      <x:c r="AG872" s="57" t="n">
        <x:f>AC872-U872</x:f>
        <x:v>0</x:v>
      </x:c>
    </x:row>
    <x:row r="873">
      <x:c r="A873" t="s">
        <x:v>1896</x:v>
      </x:c>
      <x:c r="C873" t="s">
        <x:v>319</x:v>
      </x:c>
      <x:c r="D873">
        <x:v>8482969</x:v>
      </x:c>
      <x:c r="E873" t="s">
        <x:v>267</x:v>
      </x:c>
      <x:c r="J873" t="s">
        <x:v>2474</x:v>
      </x:c>
      <x:c r="K873">
        <x:v>58</x:v>
      </x:c>
      <x:c r="L873">
        <x:v>35</x:v>
      </x:c>
      <x:c r="M873">
        <x:v>90</x:v>
      </x:c>
      <x:c r="N873">
        <x:v>39</x:v>
      </x:c>
      <x:c r="O873">
        <x:v>77</x:v>
      </x:c>
      <x:c r="P873">
        <x:v>77</x:v>
      </x:c>
      <x:c r="Q873">
        <x:v>80</x:v>
      </x:c>
      <x:c r="R873">
        <x:v>38</x:v>
      </x:c>
      <x:c r="S873">
        <x:v>82</x:v>
      </x:c>
      <x:c r="T873" s="63" t="n">
        <x:f>MAX(30,MIN(AB873-VLOOKUP(AE873,'AHL_PA_SC_BALANCE'!$A$8:$E$18,2,FALSE),VLOOKUP(AE873,'AHL_PA_SC_BALANCE'!$A$8:$E$18,4,FALSE)))</x:f>
        <x:v>41</x:v>
      </x:c>
      <x:c r="U873" s="63" t="n">
        <x:f>MAX(30,MIN(AC873-VLOOKUP(AE873,'AHL_PA_SC_BALANCE'!$A$8:$E$18,3,FALSE),VLOOKUP(AE873,'AHL_PA_SC_BALANCE'!$A$8:$E$18,5,FALSE)))</x:f>
        <x:v>41</x:v>
      </x:c>
      <x:c r="V873">
        <x:v>63</x:v>
      </x:c>
      <x:c r="W873">
        <x:v>60</x:v>
      </x:c>
      <x:c r="X873">
        <x:v>67</x:v>
      </x:c>
      <x:c r="Y873">
        <x:v>67</x:v>
      </x:c>
      <x:c r="Z873">
        <x:v>51</x:v>
      </x:c>
      <x:c r="AA873">
        <x:v>46</x:v>
      </x:c>
      <x:c r="AB873" s="57" t="n">
        <x:v>41</x:v>
      </x:c>
      <x:c r="AC873" s="57" t="n">
        <x:v>41</x:v>
      </x:c>
      <x:c r="AD873" s="59"/>
      <x:c r="AE873" s="61" t="str">
        <x:f>IF(N(F873)&gt;=10,"NHL_LATEST_10",IF(AND(N(F873)&gt;0,N(G873)&gt;0),"NHL_BOTH_SEASONS",IF(N(G873)&gt;=10,"NHL_PREVIOUS_10",IF(AND(ISNUMBER(AD873),AD873=0,SUM(F873:G873)=0),"FARM_CAREER_0",IF(COUNT(F873:G873)&lt;2,"UNKNOWN_GP",IF(AND(F873=0,G873=0),IF(AD873&gt;=10,"FARM_LEGACY_10",IF(AND(ISNUMBER(AD873),AD873&gt;0),"FARM_CAREER_1_9","FARM_0_0")),IF(F873&gt;=1,IF(F873&lt;=3,"FARM_RECENT_1_3","FARM_RECENT_4_9"),"FARM_PREV_1_9_ONLY")))))))</x:f>
        <x:v>UNKNOWN_GP</x:v>
      </x:c>
      <x:c r="AF873" s="57" t="n">
        <x:f>AB873-T873</x:f>
        <x:v>0</x:v>
      </x:c>
      <x:c r="AG873" s="57" t="n">
        <x:f>AC873-U873</x:f>
        <x:v>0</x:v>
      </x:c>
    </x:row>
    <x:row r="874">
      <x:c r="A874" t="s">
        <x:v>1897</x:v>
      </x:c>
      <x:c r="C874" t="s">
        <x:v>339</x:v>
      </x:c>
      <x:c r="D874">
        <x:v>8483740</x:v>
      </x:c>
      <x:c r="E874" t="s">
        <x:v>267</x:v>
      </x:c>
      <x:c r="J874" t="s">
        <x:v>2474</x:v>
      </x:c>
      <x:c r="K874">
        <x:v>69</x:v>
      </x:c>
      <x:c r="L874">
        <x:v>43</x:v>
      </x:c>
      <x:c r="M874">
        <x:v>74</x:v>
      </x:c>
      <x:c r="N874">
        <x:v>36</x:v>
      </x:c>
      <x:c r="O874">
        <x:v>77</x:v>
      </x:c>
      <x:c r="P874">
        <x:v>73</x:v>
      </x:c>
      <x:c r="Q874">
        <x:v>76</x:v>
      </x:c>
      <x:c r="R874">
        <x:v>37</x:v>
      </x:c>
      <x:c r="S874">
        <x:v>66</x:v>
      </x:c>
      <x:c r="T874" s="63" t="n">
        <x:f>MAX(30,MIN(AB874-VLOOKUP(AE874,'AHL_PA_SC_BALANCE'!$A$8:$E$18,2,FALSE),VLOOKUP(AE874,'AHL_PA_SC_BALANCE'!$A$8:$E$18,4,FALSE)))</x:f>
        <x:v>39</x:v>
      </x:c>
      <x:c r="U874" s="63" t="n">
        <x:f>MAX(30,MIN(AC874-VLOOKUP(AE874,'AHL_PA_SC_BALANCE'!$A$8:$E$18,3,FALSE),VLOOKUP(AE874,'AHL_PA_SC_BALANCE'!$A$8:$E$18,5,FALSE)))</x:f>
        <x:v>39</x:v>
      </x:c>
      <x:c r="V874">
        <x:v>64</x:v>
      </x:c>
      <x:c r="W874">
        <x:v>57</x:v>
      </x:c>
      <x:c r="X874">
        <x:v>65</x:v>
      </x:c>
      <x:c r="Y874">
        <x:v>65</x:v>
      </x:c>
      <x:c r="Z874">
        <x:v>51</x:v>
      </x:c>
      <x:c r="AA874">
        <x:v>46</x:v>
      </x:c>
      <x:c r="AB874" s="57" t="n">
        <x:v>39</x:v>
      </x:c>
      <x:c r="AC874" s="57" t="n">
        <x:v>39</x:v>
      </x:c>
      <x:c r="AD874" s="59"/>
      <x:c r="AE874" s="61" t="str">
        <x:f>IF(N(F874)&gt;=10,"NHL_LATEST_10",IF(AND(N(F874)&gt;0,N(G874)&gt;0),"NHL_BOTH_SEASONS",IF(N(G874)&gt;=10,"NHL_PREVIOUS_10",IF(AND(ISNUMBER(AD874),AD874=0,SUM(F874:G874)=0),"FARM_CAREER_0",IF(COUNT(F874:G874)&lt;2,"UNKNOWN_GP",IF(AND(F874=0,G874=0),IF(AD874&gt;=10,"FARM_LEGACY_10",IF(AND(ISNUMBER(AD874),AD874&gt;0),"FARM_CAREER_1_9","FARM_0_0")),IF(F874&gt;=1,IF(F874&lt;=3,"FARM_RECENT_1_3","FARM_RECENT_4_9"),"FARM_PREV_1_9_ONLY")))))))</x:f>
        <x:v>UNKNOWN_GP</x:v>
      </x:c>
      <x:c r="AF874" s="57" t="n">
        <x:f>AB874-T874</x:f>
        <x:v>0</x:v>
      </x:c>
      <x:c r="AG874" s="57" t="n">
        <x:f>AC874-U874</x:f>
        <x:v>0</x:v>
      </x:c>
    </x:row>
    <x:row r="875">
      <x:c r="A875" t="s">
        <x:v>1898</x:v>
      </x:c>
      <x:c r="C875" t="s">
        <x:v>326</x:v>
      </x:c>
      <x:c r="D875">
        <x:v>8482207</x:v>
      </x:c>
      <x:c r="E875" t="s">
        <x:v>267</x:v>
      </x:c>
      <x:c r="J875" t="s">
        <x:v>2474</x:v>
      </x:c>
      <x:c r="K875">
        <x:v>64</x:v>
      </x:c>
      <x:c r="L875">
        <x:v>35</x:v>
      </x:c>
      <x:c r="M875">
        <x:v>84</x:v>
      </x:c>
      <x:c r="N875">
        <x:v>37</x:v>
      </x:c>
      <x:c r="O875">
        <x:v>84</x:v>
      </x:c>
      <x:c r="P875">
        <x:v>78</x:v>
      </x:c>
      <x:c r="Q875">
        <x:v>78</x:v>
      </x:c>
      <x:c r="R875">
        <x:v>38</x:v>
      </x:c>
      <x:c r="S875">
        <x:v>68</x:v>
      </x:c>
      <x:c r="T875" s="63" t="n">
        <x:f>MAX(30,MIN(AB875-VLOOKUP(AE875,'AHL_PA_SC_BALANCE'!$A$8:$E$18,2,FALSE),VLOOKUP(AE875,'AHL_PA_SC_BALANCE'!$A$8:$E$18,4,FALSE)))</x:f>
        <x:v>39</x:v>
      </x:c>
      <x:c r="U875" s="63" t="n">
        <x:f>MAX(30,MIN(AC875-VLOOKUP(AE875,'AHL_PA_SC_BALANCE'!$A$8:$E$18,3,FALSE),VLOOKUP(AE875,'AHL_PA_SC_BALANCE'!$A$8:$E$18,5,FALSE)))</x:f>
        <x:v>41</x:v>
      </x:c>
      <x:c r="V875">
        <x:v>62</x:v>
      </x:c>
      <x:c r="W875">
        <x:v>59</x:v>
      </x:c>
      <x:c r="X875">
        <x:v>67</x:v>
      </x:c>
      <x:c r="Y875">
        <x:v>68</x:v>
      </x:c>
      <x:c r="Z875">
        <x:v>51</x:v>
      </x:c>
      <x:c r="AA875">
        <x:v>46</x:v>
      </x:c>
      <x:c r="AB875" s="57" t="n">
        <x:v>39</x:v>
      </x:c>
      <x:c r="AC875" s="57" t="n">
        <x:v>41</x:v>
      </x:c>
      <x:c r="AD875" s="59"/>
      <x:c r="AE875" s="61" t="str">
        <x:f>IF(N(F875)&gt;=10,"NHL_LATEST_10",IF(AND(N(F875)&gt;0,N(G875)&gt;0),"NHL_BOTH_SEASONS",IF(N(G875)&gt;=10,"NHL_PREVIOUS_10",IF(AND(ISNUMBER(AD875),AD875=0,SUM(F875:G875)=0),"FARM_CAREER_0",IF(COUNT(F875:G875)&lt;2,"UNKNOWN_GP",IF(AND(F875=0,G875=0),IF(AD875&gt;=10,"FARM_LEGACY_10",IF(AND(ISNUMBER(AD875),AD875&gt;0),"FARM_CAREER_1_9","FARM_0_0")),IF(F875&gt;=1,IF(F875&lt;=3,"FARM_RECENT_1_3","FARM_RECENT_4_9"),"FARM_PREV_1_9_ONLY")))))))</x:f>
        <x:v>UNKNOWN_GP</x:v>
      </x:c>
      <x:c r="AF875" s="57" t="n">
        <x:f>AB875-T875</x:f>
        <x:v>0</x:v>
      </x:c>
      <x:c r="AG875" s="57" t="n">
        <x:f>AC875-U875</x:f>
        <x:v>0</x:v>
      </x:c>
    </x:row>
    <x:row r="876">
      <x:c r="A876" t="s">
        <x:v>1899</x:v>
      </x:c>
      <x:c r="C876" t="s">
        <x:v>358</x:v>
      </x:c>
      <x:c r="D876">
        <x:v>8485215</x:v>
      </x:c>
      <x:c r="E876" t="s">
        <x:v>267</x:v>
      </x:c>
      <x:c r="J876" t="s">
        <x:v>2474</x:v>
      </x:c>
      <x:c r="K876">
        <x:v>61</x:v>
      </x:c>
      <x:c r="L876">
        <x:v>36</x:v>
      </x:c>
      <x:c r="M876">
        <x:v>92</x:v>
      </x:c>
      <x:c r="N876">
        <x:v>37</x:v>
      </x:c>
      <x:c r="O876">
        <x:v>79</x:v>
      </x:c>
      <x:c r="P876">
        <x:v>74</x:v>
      </x:c>
      <x:c r="Q876">
        <x:v>77</x:v>
      </x:c>
      <x:c r="R876">
        <x:v>36</x:v>
      </x:c>
      <x:c r="S876">
        <x:v>53</x:v>
      </x:c>
      <x:c r="T876" s="63" t="n">
        <x:f>MAX(30,MIN(AB876-VLOOKUP(AE876,'AHL_PA_SC_BALANCE'!$A$8:$E$18,2,FALSE),VLOOKUP(AE876,'AHL_PA_SC_BALANCE'!$A$8:$E$18,4,FALSE)))</x:f>
        <x:v>41</x:v>
      </x:c>
      <x:c r="U876" s="63" t="n">
        <x:f>MAX(30,MIN(AC876-VLOOKUP(AE876,'AHL_PA_SC_BALANCE'!$A$8:$E$18,3,FALSE),VLOOKUP(AE876,'AHL_PA_SC_BALANCE'!$A$8:$E$18,5,FALSE)))</x:f>
        <x:v>42</x:v>
      </x:c>
      <x:c r="V876">
        <x:v>62</x:v>
      </x:c>
      <x:c r="W876">
        <x:v>58</x:v>
      </x:c>
      <x:c r="X876">
        <x:v>68</x:v>
      </x:c>
      <x:c r="Y876">
        <x:v>66</x:v>
      </x:c>
      <x:c r="Z876">
        <x:v>51</x:v>
      </x:c>
      <x:c r="AA876">
        <x:v>46</x:v>
      </x:c>
      <x:c r="AB876" s="57" t="n">
        <x:v>41</x:v>
      </x:c>
      <x:c r="AC876" s="57" t="n">
        <x:v>42</x:v>
      </x:c>
      <x:c r="AD876" s="59"/>
      <x:c r="AE876" s="61" t="str">
        <x:f>IF(N(F876)&gt;=10,"NHL_LATEST_10",IF(AND(N(F876)&gt;0,N(G876)&gt;0),"NHL_BOTH_SEASONS",IF(N(G876)&gt;=10,"NHL_PREVIOUS_10",IF(AND(ISNUMBER(AD876),AD876=0,SUM(F876:G876)=0),"FARM_CAREER_0",IF(COUNT(F876:G876)&lt;2,"UNKNOWN_GP",IF(AND(F876=0,G876=0),IF(AD876&gt;=10,"FARM_LEGACY_10",IF(AND(ISNUMBER(AD876),AD876&gt;0),"FARM_CAREER_1_9","FARM_0_0")),IF(F876&gt;=1,IF(F876&lt;=3,"FARM_RECENT_1_3","FARM_RECENT_4_9"),"FARM_PREV_1_9_ONLY")))))))</x:f>
        <x:v>UNKNOWN_GP</x:v>
      </x:c>
      <x:c r="AF876" s="57" t="n">
        <x:f>AB876-T876</x:f>
        <x:v>0</x:v>
      </x:c>
      <x:c r="AG876" s="57" t="n">
        <x:f>AC876-U876</x:f>
        <x:v>0</x:v>
      </x:c>
    </x:row>
    <x:row r="877">
      <x:c r="A877" t="s">
        <x:v>1900</x:v>
      </x:c>
      <x:c r="B877" t="s">
        <x:v>584</x:v>
      </x:c>
      <x:c r="C877" t="s">
        <x:v>339</x:v>
      </x:c>
      <x:c r="D877">
        <x:v>8485477</x:v>
      </x:c>
      <x:c r="E877" t="s">
        <x:v>267</x:v>
      </x:c>
      <x:c r="J877" t="s">
        <x:v>2476</x:v>
      </x:c>
      <x:c r="K877">
        <x:v>67</x:v>
      </x:c>
      <x:c r="L877">
        <x:v>46</x:v>
      </x:c>
      <x:c r="M877">
        <x:v>78</x:v>
      </x:c>
      <x:c r="N877">
        <x:v>38</x:v>
      </x:c>
      <x:c r="O877">
        <x:v>78</x:v>
      </x:c>
      <x:c r="P877">
        <x:v>77</x:v>
      </x:c>
      <x:c r="Q877">
        <x:v>82</x:v>
      </x:c>
      <x:c r="R877">
        <x:v>39</x:v>
      </x:c>
      <x:c r="S877">
        <x:v>80</x:v>
      </x:c>
      <x:c r="T877" s="63" t="n">
        <x:f>MAX(30,MIN(AB877-VLOOKUP(AE877,'AHL_PA_SC_BALANCE'!$A$8:$E$18,2,FALSE),VLOOKUP(AE877,'AHL_PA_SC_BALANCE'!$A$8:$E$18,4,FALSE)))</x:f>
        <x:v>40</x:v>
      </x:c>
      <x:c r="U877" s="63" t="n">
        <x:f>MAX(30,MIN(AC877-VLOOKUP(AE877,'AHL_PA_SC_BALANCE'!$A$8:$E$18,3,FALSE),VLOOKUP(AE877,'AHL_PA_SC_BALANCE'!$A$8:$E$18,5,FALSE)))</x:f>
        <x:v>40</x:v>
      </x:c>
      <x:c r="V877">
        <x:v>61</x:v>
      </x:c>
      <x:c r="W877">
        <x:v>59</x:v>
      </x:c>
      <x:c r="X877">
        <x:v>68</x:v>
      </x:c>
      <x:c r="Y877">
        <x:v>68</x:v>
      </x:c>
      <x:c r="Z877">
        <x:v>51</x:v>
      </x:c>
      <x:c r="AA877">
        <x:v>46</x:v>
      </x:c>
      <x:c r="AB877" s="57" t="n">
        <x:v>40</x:v>
      </x:c>
      <x:c r="AC877" s="57" t="n">
        <x:v>40</x:v>
      </x:c>
      <x:c r="AD877" s="59"/>
      <x:c r="AE877" s="61" t="str">
        <x:f>IF(N(F877)&gt;=10,"NHL_LATEST_10",IF(AND(N(F877)&gt;0,N(G877)&gt;0),"NHL_BOTH_SEASONS",IF(N(G877)&gt;=10,"NHL_PREVIOUS_10",IF(AND(ISNUMBER(AD877),AD877=0,SUM(F877:G877)=0),"FARM_CAREER_0",IF(COUNT(F877:G877)&lt;2,"UNKNOWN_GP",IF(AND(F877=0,G877=0),IF(AD877&gt;=10,"FARM_LEGACY_10",IF(AND(ISNUMBER(AD877),AD877&gt;0),"FARM_CAREER_1_9","FARM_0_0")),IF(F877&gt;=1,IF(F877&lt;=3,"FARM_RECENT_1_3","FARM_RECENT_4_9"),"FARM_PREV_1_9_ONLY")))))))</x:f>
        <x:v>UNKNOWN_GP</x:v>
      </x:c>
      <x:c r="AF877" s="57" t="n">
        <x:f>AB877-T877</x:f>
        <x:v>0</x:v>
      </x:c>
      <x:c r="AG877" s="57" t="n">
        <x:f>AC877-U877</x:f>
        <x:v>0</x:v>
      </x:c>
    </x:row>
    <x:row r="878">
      <x:c r="A878" t="s">
        <x:v>1901</x:v>
      </x:c>
      <x:c r="C878" t="s">
        <x:v>323</x:v>
      </x:c>
      <x:c r="E878" t="s">
        <x:v>267</x:v>
      </x:c>
      <x:c r="J878" t="s">
        <x:v>2474</x:v>
      </x:c>
      <x:c r="K878">
        <x:v>63</x:v>
      </x:c>
      <x:c r="L878">
        <x:v>33</x:v>
      </x:c>
      <x:c r="M878">
        <x:v>75</x:v>
      </x:c>
      <x:c r="N878">
        <x:v>38</x:v>
      </x:c>
      <x:c r="O878">
        <x:v>80</x:v>
      </x:c>
      <x:c r="P878">
        <x:v>71</x:v>
      </x:c>
      <x:c r="Q878">
        <x:v>74</x:v>
      </x:c>
      <x:c r="R878">
        <x:v>39</x:v>
      </x:c>
      <x:c r="S878">
        <x:v>66</x:v>
      </x:c>
      <x:c r="T878" s="63" t="n">
        <x:f>MAX(30,MIN(AB878-VLOOKUP(AE878,'AHL_PA_SC_BALANCE'!$A$8:$E$18,2,FALSE),VLOOKUP(AE878,'AHL_PA_SC_BALANCE'!$A$8:$E$18,4,FALSE)))</x:f>
        <x:v>38</x:v>
      </x:c>
      <x:c r="U878" s="63" t="n">
        <x:f>MAX(30,MIN(AC878-VLOOKUP(AE878,'AHL_PA_SC_BALANCE'!$A$8:$E$18,3,FALSE),VLOOKUP(AE878,'AHL_PA_SC_BALANCE'!$A$8:$E$18,5,FALSE)))</x:f>
        <x:v>42</x:v>
      </x:c>
      <x:c r="V878">
        <x:v>58</x:v>
      </x:c>
      <x:c r="W878">
        <x:v>58</x:v>
      </x:c>
      <x:c r="X878">
        <x:v>68</x:v>
      </x:c>
      <x:c r="Y878">
        <x:v>69</x:v>
      </x:c>
      <x:c r="Z878">
        <x:v>51</x:v>
      </x:c>
      <x:c r="AA878">
        <x:v>46</x:v>
      </x:c>
      <x:c r="AB878" s="57" t="n">
        <x:v>38</x:v>
      </x:c>
      <x:c r="AC878" s="57" t="n">
        <x:v>42</x:v>
      </x:c>
      <x:c r="AD878" s="59"/>
      <x:c r="AE878" s="61" t="str">
        <x:f>IF(N(F878)&gt;=10,"NHL_LATEST_10",IF(AND(N(F878)&gt;0,N(G878)&gt;0),"NHL_BOTH_SEASONS",IF(N(G878)&gt;=10,"NHL_PREVIOUS_10",IF(AND(ISNUMBER(AD878),AD878=0,SUM(F878:G878)=0),"FARM_CAREER_0",IF(COUNT(F878:G878)&lt;2,"UNKNOWN_GP",IF(AND(F878=0,G878=0),IF(AD878&gt;=10,"FARM_LEGACY_10",IF(AND(ISNUMBER(AD878),AD878&gt;0),"FARM_CAREER_1_9","FARM_0_0")),IF(F878&gt;=1,IF(F878&lt;=3,"FARM_RECENT_1_3","FARM_RECENT_4_9"),"FARM_PREV_1_9_ONLY")))))))</x:f>
        <x:v>UNKNOWN_GP</x:v>
      </x:c>
      <x:c r="AF878" s="57" t="n">
        <x:f>AB878-T878</x:f>
        <x:v>0</x:v>
      </x:c>
      <x:c r="AG878" s="57" t="n">
        <x:f>AC878-U878</x:f>
        <x:v>0</x:v>
      </x:c>
    </x:row>
    <x:row r="879">
      <x:c r="A879" t="s">
        <x:v>1902</x:v>
      </x:c>
      <x:c r="C879" t="s">
        <x:v>339</x:v>
      </x:c>
      <x:c r="D879">
        <x:v>8483904</x:v>
      </x:c>
      <x:c r="E879" t="s">
        <x:v>267</x:v>
      </x:c>
      <x:c r="J879" t="s">
        <x:v>2474</x:v>
      </x:c>
      <x:c r="K879">
        <x:v>72</x:v>
      </x:c>
      <x:c r="L879">
        <x:v>33</x:v>
      </x:c>
      <x:c r="M879">
        <x:v>56</x:v>
      </x:c>
      <x:c r="N879">
        <x:v>38</x:v>
      </x:c>
      <x:c r="O879">
        <x:v>82</x:v>
      </x:c>
      <x:c r="P879">
        <x:v>79</x:v>
      </x:c>
      <x:c r="Q879">
        <x:v>82</x:v>
      </x:c>
      <x:c r="R879">
        <x:v>39</x:v>
      </x:c>
      <x:c r="S879">
        <x:v>80</x:v>
      </x:c>
      <x:c r="T879" s="63" t="n">
        <x:f>MAX(30,MIN(AB879-VLOOKUP(AE879,'AHL_PA_SC_BALANCE'!$A$8:$E$18,2,FALSE),VLOOKUP(AE879,'AHL_PA_SC_BALANCE'!$A$8:$E$18,4,FALSE)))</x:f>
        <x:v>39</x:v>
      </x:c>
      <x:c r="U879" s="63" t="n">
        <x:f>MAX(30,MIN(AC879-VLOOKUP(AE879,'AHL_PA_SC_BALANCE'!$A$8:$E$18,3,FALSE),VLOOKUP(AE879,'AHL_PA_SC_BALANCE'!$A$8:$E$18,5,FALSE)))</x:f>
        <x:v>41</x:v>
      </x:c>
      <x:c r="V879">
        <x:v>58</x:v>
      </x:c>
      <x:c r="W879">
        <x:v>59</x:v>
      </x:c>
      <x:c r="X879">
        <x:v>68</x:v>
      </x:c>
      <x:c r="Y879">
        <x:v>67</x:v>
      </x:c>
      <x:c r="Z879">
        <x:v>51</x:v>
      </x:c>
      <x:c r="AA879">
        <x:v>46</x:v>
      </x:c>
      <x:c r="AB879" s="57" t="n">
        <x:v>39</x:v>
      </x:c>
      <x:c r="AC879" s="57" t="n">
        <x:v>41</x:v>
      </x:c>
      <x:c r="AD879" s="59"/>
      <x:c r="AE879" s="61" t="str">
        <x:f>IF(N(F879)&gt;=10,"NHL_LATEST_10",IF(AND(N(F879)&gt;0,N(G879)&gt;0),"NHL_BOTH_SEASONS",IF(N(G879)&gt;=10,"NHL_PREVIOUS_10",IF(AND(ISNUMBER(AD879),AD879=0,SUM(F879:G879)=0),"FARM_CAREER_0",IF(COUNT(F879:G879)&lt;2,"UNKNOWN_GP",IF(AND(F879=0,G879=0),IF(AD879&gt;=10,"FARM_LEGACY_10",IF(AND(ISNUMBER(AD879),AD879&gt;0),"FARM_CAREER_1_9","FARM_0_0")),IF(F879&gt;=1,IF(F879&lt;=3,"FARM_RECENT_1_3","FARM_RECENT_4_9"),"FARM_PREV_1_9_ONLY")))))))</x:f>
        <x:v>UNKNOWN_GP</x:v>
      </x:c>
      <x:c r="AF879" s="57" t="n">
        <x:f>AB879-T879</x:f>
        <x:v>0</x:v>
      </x:c>
      <x:c r="AG879" s="57" t="n">
        <x:f>AC879-U879</x:f>
        <x:v>0</x:v>
      </x:c>
    </x:row>
    <x:row r="880">
      <x:c r="A880" t="s">
        <x:v>1903</x:v>
      </x:c>
      <x:c r="C880" t="s">
        <x:v>323</x:v>
      </x:c>
      <x:c r="D880">
        <x:v>8484253</x:v>
      </x:c>
      <x:c r="E880" t="s">
        <x:v>267</x:v>
      </x:c>
      <x:c r="J880" t="s">
        <x:v>2474</x:v>
      </x:c>
      <x:c r="K880">
        <x:v>63</x:v>
      </x:c>
      <x:c r="L880">
        <x:v>33</x:v>
      </x:c>
      <x:c r="M880">
        <x:v>88</x:v>
      </x:c>
      <x:c r="N880">
        <x:v>38</x:v>
      </x:c>
      <x:c r="O880">
        <x:v>77</x:v>
      </x:c>
      <x:c r="P880">
        <x:v>82</x:v>
      </x:c>
      <x:c r="Q880">
        <x:v>85</x:v>
      </x:c>
      <x:c r="R880">
        <x:v>38</x:v>
      </x:c>
      <x:c r="S880">
        <x:v>70</x:v>
      </x:c>
      <x:c r="T880" s="63" t="n">
        <x:f>MAX(30,MIN(AB880-VLOOKUP(AE880,'AHL_PA_SC_BALANCE'!$A$8:$E$18,2,FALSE),VLOOKUP(AE880,'AHL_PA_SC_BALANCE'!$A$8:$E$18,4,FALSE)))</x:f>
        <x:v>40</x:v>
      </x:c>
      <x:c r="U880" s="63" t="n">
        <x:f>MAX(30,MIN(AC880-VLOOKUP(AE880,'AHL_PA_SC_BALANCE'!$A$8:$E$18,3,FALSE),VLOOKUP(AE880,'AHL_PA_SC_BALANCE'!$A$8:$E$18,5,FALSE)))</x:f>
        <x:v>40</x:v>
      </x:c>
      <x:c r="V880">
        <x:v>60</x:v>
      </x:c>
      <x:c r="W880">
        <x:v>59</x:v>
      </x:c>
      <x:c r="X880">
        <x:v>69</x:v>
      </x:c>
      <x:c r="Y880">
        <x:v>68</x:v>
      </x:c>
      <x:c r="Z880">
        <x:v>51</x:v>
      </x:c>
      <x:c r="AA880">
        <x:v>46</x:v>
      </x:c>
      <x:c r="AB880" s="57" t="n">
        <x:v>40</x:v>
      </x:c>
      <x:c r="AC880" s="57" t="n">
        <x:v>40</x:v>
      </x:c>
      <x:c r="AD880" s="59"/>
      <x:c r="AE880" s="61" t="str">
        <x:f>IF(N(F880)&gt;=10,"NHL_LATEST_10",IF(AND(N(F880)&gt;0,N(G880)&gt;0),"NHL_BOTH_SEASONS",IF(N(G880)&gt;=10,"NHL_PREVIOUS_10",IF(AND(ISNUMBER(AD880),AD880=0,SUM(F880:G880)=0),"FARM_CAREER_0",IF(COUNT(F880:G880)&lt;2,"UNKNOWN_GP",IF(AND(F880=0,G880=0),IF(AD880&gt;=10,"FARM_LEGACY_10",IF(AND(ISNUMBER(AD880),AD880&gt;0),"FARM_CAREER_1_9","FARM_0_0")),IF(F880&gt;=1,IF(F880&lt;=3,"FARM_RECENT_1_3","FARM_RECENT_4_9"),"FARM_PREV_1_9_ONLY")))))))</x:f>
        <x:v>UNKNOWN_GP</x:v>
      </x:c>
      <x:c r="AF880" s="57" t="n">
        <x:f>AB880-T880</x:f>
        <x:v>0</x:v>
      </x:c>
      <x:c r="AG880" s="57" t="n">
        <x:f>AC880-U880</x:f>
        <x:v>0</x:v>
      </x:c>
    </x:row>
    <x:row r="881">
      <x:c r="A881" t="s">
        <x:v>1904</x:v>
      </x:c>
      <x:c r="C881" t="s">
        <x:v>333</x:v>
      </x:c>
      <x:c r="D881">
        <x:v>8482456</x:v>
      </x:c>
      <x:c r="E881" t="s">
        <x:v>267</x:v>
      </x:c>
      <x:c r="J881" t="s">
        <x:v>2474</x:v>
      </x:c>
      <x:c r="K881">
        <x:v>65</x:v>
      </x:c>
      <x:c r="L881">
        <x:v>35</x:v>
      </x:c>
      <x:c r="M881">
        <x:v>83</x:v>
      </x:c>
      <x:c r="N881">
        <x:v>38</x:v>
      </x:c>
      <x:c r="O881">
        <x:v>79</x:v>
      </x:c>
      <x:c r="P881">
        <x:v>76</x:v>
      </x:c>
      <x:c r="Q881">
        <x:v>78</x:v>
      </x:c>
      <x:c r="R881">
        <x:v>38</x:v>
      </x:c>
      <x:c r="S881">
        <x:v>67</x:v>
      </x:c>
      <x:c r="T881" s="63" t="n">
        <x:f>MAX(30,MIN(AB881-VLOOKUP(AE881,'AHL_PA_SC_BALANCE'!$A$8:$E$18,2,FALSE),VLOOKUP(AE881,'AHL_PA_SC_BALANCE'!$A$8:$E$18,4,FALSE)))</x:f>
        <x:v>40</x:v>
      </x:c>
      <x:c r="U881" s="63" t="n">
        <x:f>MAX(30,MIN(AC881-VLOOKUP(AE881,'AHL_PA_SC_BALANCE'!$A$8:$E$18,3,FALSE),VLOOKUP(AE881,'AHL_PA_SC_BALANCE'!$A$8:$E$18,5,FALSE)))</x:f>
        <x:v>40</x:v>
      </x:c>
      <x:c r="V881">
        <x:v>60</x:v>
      </x:c>
      <x:c r="W881">
        <x:v>59</x:v>
      </x:c>
      <x:c r="X881">
        <x:v>67</x:v>
      </x:c>
      <x:c r="Y881">
        <x:v>67</x:v>
      </x:c>
      <x:c r="Z881">
        <x:v>51</x:v>
      </x:c>
      <x:c r="AA881">
        <x:v>46</x:v>
      </x:c>
      <x:c r="AB881" s="57" t="n">
        <x:v>40</x:v>
      </x:c>
      <x:c r="AC881" s="57" t="n">
        <x:v>40</x:v>
      </x:c>
      <x:c r="AD881" s="59"/>
      <x:c r="AE881" s="61" t="str">
        <x:f>IF(N(F881)&gt;=10,"NHL_LATEST_10",IF(AND(N(F881)&gt;0,N(G881)&gt;0),"NHL_BOTH_SEASONS",IF(N(G881)&gt;=10,"NHL_PREVIOUS_10",IF(AND(ISNUMBER(AD881),AD881=0,SUM(F881:G881)=0),"FARM_CAREER_0",IF(COUNT(F881:G881)&lt;2,"UNKNOWN_GP",IF(AND(F881=0,G881=0),IF(AD881&gt;=10,"FARM_LEGACY_10",IF(AND(ISNUMBER(AD881),AD881&gt;0),"FARM_CAREER_1_9","FARM_0_0")),IF(F881&gt;=1,IF(F881&lt;=3,"FARM_RECENT_1_3","FARM_RECENT_4_9"),"FARM_PREV_1_9_ONLY")))))))</x:f>
        <x:v>UNKNOWN_GP</x:v>
      </x:c>
      <x:c r="AF881" s="57" t="n">
        <x:f>AB881-T881</x:f>
        <x:v>0</x:v>
      </x:c>
      <x:c r="AG881" s="57" t="n">
        <x:f>AC881-U881</x:f>
        <x:v>0</x:v>
      </x:c>
    </x:row>
    <x:row r="882">
      <x:c r="A882" t="s">
        <x:v>1905</x:v>
      </x:c>
      <x:c r="C882" t="s">
        <x:v>326</x:v>
      </x:c>
      <x:c r="D882">
        <x:v>8482933</x:v>
      </x:c>
      <x:c r="E882" t="s">
        <x:v>267</x:v>
      </x:c>
      <x:c r="J882" t="s">
        <x:v>2474</x:v>
      </x:c>
      <x:c r="K882">
        <x:v>64</x:v>
      </x:c>
      <x:c r="L882">
        <x:v>31</x:v>
      </x:c>
      <x:c r="M882">
        <x:v>91</x:v>
      </x:c>
      <x:c r="N882">
        <x:v>38</x:v>
      </x:c>
      <x:c r="O882">
        <x:v>85</x:v>
      </x:c>
      <x:c r="P882">
        <x:v>73</x:v>
      </x:c>
      <x:c r="Q882">
        <x:v>74</x:v>
      </x:c>
      <x:c r="R882">
        <x:v>39</x:v>
      </x:c>
      <x:c r="S882">
        <x:v>51</x:v>
      </x:c>
      <x:c r="T882" s="63" t="n">
        <x:f>MAX(30,MIN(AB882-VLOOKUP(AE882,'AHL_PA_SC_BALANCE'!$A$8:$E$18,2,FALSE),VLOOKUP(AE882,'AHL_PA_SC_BALANCE'!$A$8:$E$18,4,FALSE)))</x:f>
        <x:v>41</x:v>
      </x:c>
      <x:c r="U882" s="63" t="n">
        <x:f>MAX(30,MIN(AC882-VLOOKUP(AE882,'AHL_PA_SC_BALANCE'!$A$8:$E$18,3,FALSE),VLOOKUP(AE882,'AHL_PA_SC_BALANCE'!$A$8:$E$18,5,FALSE)))</x:f>
        <x:v>40</x:v>
      </x:c>
      <x:c r="V882">
        <x:v>59</x:v>
      </x:c>
      <x:c r="W882">
        <x:v>60</x:v>
      </x:c>
      <x:c r="X882">
        <x:v>66</x:v>
      </x:c>
      <x:c r="Y882">
        <x:v>65</x:v>
      </x:c>
      <x:c r="Z882">
        <x:v>51</x:v>
      </x:c>
      <x:c r="AA882">
        <x:v>46</x:v>
      </x:c>
      <x:c r="AB882" s="57" t="n">
        <x:v>41</x:v>
      </x:c>
      <x:c r="AC882" s="57" t="n">
        <x:v>40</x:v>
      </x:c>
      <x:c r="AD882" s="59"/>
      <x:c r="AE882" s="61" t="str">
        <x:f>IF(N(F882)&gt;=10,"NHL_LATEST_10",IF(AND(N(F882)&gt;0,N(G882)&gt;0),"NHL_BOTH_SEASONS",IF(N(G882)&gt;=10,"NHL_PREVIOUS_10",IF(AND(ISNUMBER(AD882),AD882=0,SUM(F882:G882)=0),"FARM_CAREER_0",IF(COUNT(F882:G882)&lt;2,"UNKNOWN_GP",IF(AND(F882=0,G882=0),IF(AD882&gt;=10,"FARM_LEGACY_10",IF(AND(ISNUMBER(AD882),AD882&gt;0),"FARM_CAREER_1_9","FARM_0_0")),IF(F882&gt;=1,IF(F882&lt;=3,"FARM_RECENT_1_3","FARM_RECENT_4_9"),"FARM_PREV_1_9_ONLY")))))))</x:f>
        <x:v>UNKNOWN_GP</x:v>
      </x:c>
      <x:c r="AF882" s="57" t="n">
        <x:f>AB882-T882</x:f>
        <x:v>0</x:v>
      </x:c>
      <x:c r="AG882" s="57" t="n">
        <x:f>AC882-U882</x:f>
        <x:v>0</x:v>
      </x:c>
    </x:row>
    <x:row r="883">
      <x:c r="A883" t="s">
        <x:v>1906</x:v>
      </x:c>
      <x:c r="C883" t="s">
        <x:v>358</x:v>
      </x:c>
      <x:c r="D883">
        <x:v>8486134</x:v>
      </x:c>
      <x:c r="E883" t="s">
        <x:v>267</x:v>
      </x:c>
      <x:c r="J883" t="s">
        <x:v>2474</x:v>
      </x:c>
      <x:c r="K883">
        <x:v>64</x:v>
      </x:c>
      <x:c r="L883">
        <x:v>36</x:v>
      </x:c>
      <x:c r="M883">
        <x:v>86</x:v>
      </x:c>
      <x:c r="N883">
        <x:v>38</x:v>
      </x:c>
      <x:c r="O883">
        <x:v>80</x:v>
      </x:c>
      <x:c r="P883">
        <x:v>71</x:v>
      </x:c>
      <x:c r="Q883">
        <x:v>74</x:v>
      </x:c>
      <x:c r="R883">
        <x:v>39</x:v>
      </x:c>
      <x:c r="S883">
        <x:v>55</x:v>
      </x:c>
      <x:c r="T883" s="63" t="n">
        <x:f>MAX(30,MIN(AB883-VLOOKUP(AE883,'AHL_PA_SC_BALANCE'!$A$8:$E$18,2,FALSE),VLOOKUP(AE883,'AHL_PA_SC_BALANCE'!$A$8:$E$18,4,FALSE)))</x:f>
        <x:v>39</x:v>
      </x:c>
      <x:c r="U883" s="63" t="n">
        <x:f>MAX(30,MIN(AC883-VLOOKUP(AE883,'AHL_PA_SC_BALANCE'!$A$8:$E$18,3,FALSE),VLOOKUP(AE883,'AHL_PA_SC_BALANCE'!$A$8:$E$18,5,FALSE)))</x:f>
        <x:v>41</x:v>
      </x:c>
      <x:c r="V883">
        <x:v>59</x:v>
      </x:c>
      <x:c r="W883">
        <x:v>58</x:v>
      </x:c>
      <x:c r="X883">
        <x:v>66</x:v>
      </x:c>
      <x:c r="Y883">
        <x:v>67</x:v>
      </x:c>
      <x:c r="Z883">
        <x:v>51</x:v>
      </x:c>
      <x:c r="AA883">
        <x:v>46</x:v>
      </x:c>
      <x:c r="AB883" s="57" t="n">
        <x:v>39</x:v>
      </x:c>
      <x:c r="AC883" s="57" t="n">
        <x:v>41</x:v>
      </x:c>
      <x:c r="AD883" s="59"/>
      <x:c r="AE883" s="61" t="str">
        <x:f>IF(N(F883)&gt;=10,"NHL_LATEST_10",IF(AND(N(F883)&gt;0,N(G883)&gt;0),"NHL_BOTH_SEASONS",IF(N(G883)&gt;=10,"NHL_PREVIOUS_10",IF(AND(ISNUMBER(AD883),AD883=0,SUM(F883:G883)=0),"FARM_CAREER_0",IF(COUNT(F883:G883)&lt;2,"UNKNOWN_GP",IF(AND(F883=0,G883=0),IF(AD883&gt;=10,"FARM_LEGACY_10",IF(AND(ISNUMBER(AD883),AD883&gt;0),"FARM_CAREER_1_9","FARM_0_0")),IF(F883&gt;=1,IF(F883&lt;=3,"FARM_RECENT_1_3","FARM_RECENT_4_9"),"FARM_PREV_1_9_ONLY")))))))</x:f>
        <x:v>UNKNOWN_GP</x:v>
      </x:c>
      <x:c r="AF883" s="57" t="n">
        <x:f>AB883-T883</x:f>
        <x:v>0</x:v>
      </x:c>
      <x:c r="AG883" s="57" t="n">
        <x:f>AC883-U883</x:f>
        <x:v>0</x:v>
      </x:c>
    </x:row>
    <x:row r="884">
      <x:c r="A884" t="s">
        <x:v>1907</x:v>
      </x:c>
      <x:c r="C884" t="s">
        <x:v>319</x:v>
      </x:c>
      <x:c r="D884">
        <x:v>8484919</x:v>
      </x:c>
      <x:c r="E884" t="s">
        <x:v>267</x:v>
      </x:c>
      <x:c r="J884" t="s">
        <x:v>2474</x:v>
      </x:c>
      <x:c r="K884">
        <x:v>59</x:v>
      </x:c>
      <x:c r="L884">
        <x:v>31</x:v>
      </x:c>
      <x:c r="M884">
        <x:v>84</x:v>
      </x:c>
      <x:c r="N884">
        <x:v>38</x:v>
      </x:c>
      <x:c r="O884">
        <x:v>77</x:v>
      </x:c>
      <x:c r="P884">
        <x:v>82</x:v>
      </x:c>
      <x:c r="Q884">
        <x:v>85</x:v>
      </x:c>
      <x:c r="R884">
        <x:v>38</x:v>
      </x:c>
      <x:c r="S884">
        <x:v>79</x:v>
      </x:c>
      <x:c r="T884" s="63" t="n">
        <x:f>MAX(30,MIN(AB884-VLOOKUP(AE884,'AHL_PA_SC_BALANCE'!$A$8:$E$18,2,FALSE),VLOOKUP(AE884,'AHL_PA_SC_BALANCE'!$A$8:$E$18,4,FALSE)))</x:f>
        <x:v>41</x:v>
      </x:c>
      <x:c r="U884" s="63" t="n">
        <x:f>MAX(30,MIN(AC884-VLOOKUP(AE884,'AHL_PA_SC_BALANCE'!$A$8:$E$18,3,FALSE),VLOOKUP(AE884,'AHL_PA_SC_BALANCE'!$A$8:$E$18,5,FALSE)))</x:f>
        <x:v>40</x:v>
      </x:c>
      <x:c r="V884">
        <x:v>61</x:v>
      </x:c>
      <x:c r="W884">
        <x:v>59</x:v>
      </x:c>
      <x:c r="X884">
        <x:v>69</x:v>
      </x:c>
      <x:c r="Y884">
        <x:v>68</x:v>
      </x:c>
      <x:c r="Z884">
        <x:v>51</x:v>
      </x:c>
      <x:c r="AA884">
        <x:v>46</x:v>
      </x:c>
      <x:c r="AB884" s="57" t="n">
        <x:v>41</x:v>
      </x:c>
      <x:c r="AC884" s="57" t="n">
        <x:v>40</x:v>
      </x:c>
      <x:c r="AD884" s="59"/>
      <x:c r="AE884" s="61" t="str">
        <x:f>IF(N(F884)&gt;=10,"NHL_LATEST_10",IF(AND(N(F884)&gt;0,N(G884)&gt;0),"NHL_BOTH_SEASONS",IF(N(G884)&gt;=10,"NHL_PREVIOUS_10",IF(AND(ISNUMBER(AD884),AD884=0,SUM(F884:G884)=0),"FARM_CAREER_0",IF(COUNT(F884:G884)&lt;2,"UNKNOWN_GP",IF(AND(F884=0,G884=0),IF(AD884&gt;=10,"FARM_LEGACY_10",IF(AND(ISNUMBER(AD884),AD884&gt;0),"FARM_CAREER_1_9","FARM_0_0")),IF(F884&gt;=1,IF(F884&lt;=3,"FARM_RECENT_1_3","FARM_RECENT_4_9"),"FARM_PREV_1_9_ONLY")))))))</x:f>
        <x:v>UNKNOWN_GP</x:v>
      </x:c>
      <x:c r="AF884" s="57" t="n">
        <x:f>AB884-T884</x:f>
        <x:v>0</x:v>
      </x:c>
      <x:c r="AG884" s="57" t="n">
        <x:f>AC884-U884</x:f>
        <x:v>0</x:v>
      </x:c>
    </x:row>
    <x:row r="885">
      <x:c r="A885" t="s">
        <x:v>1908</x:v>
      </x:c>
      <x:c r="B885" t="s">
        <x:v>584</x:v>
      </x:c>
      <x:c r="C885" t="s">
        <x:v>326</x:v>
      </x:c>
      <x:c r="D885">
        <x:v>8485505</x:v>
      </x:c>
      <x:c r="E885" t="s">
        <x:v>267</x:v>
      </x:c>
      <x:c r="J885" t="s">
        <x:v>2476</x:v>
      </x:c>
      <x:c r="K885">
        <x:v>64</x:v>
      </x:c>
      <x:c r="L885">
        <x:v>37</x:v>
      </x:c>
      <x:c r="M885">
        <x:v>81</x:v>
      </x:c>
      <x:c r="N885">
        <x:v>38</x:v>
      </x:c>
      <x:c r="O885">
        <x:v>77</x:v>
      </x:c>
      <x:c r="P885">
        <x:v>71</x:v>
      </x:c>
      <x:c r="Q885">
        <x:v>74</x:v>
      </x:c>
      <x:c r="R885">
        <x:v>39</x:v>
      </x:c>
      <x:c r="S885">
        <x:v>71</x:v>
      </x:c>
      <x:c r="T885" s="63" t="n">
        <x:f>MAX(30,MIN(AB885-VLOOKUP(AE885,'AHL_PA_SC_BALANCE'!$A$8:$E$18,2,FALSE),VLOOKUP(AE885,'AHL_PA_SC_BALANCE'!$A$8:$E$18,4,FALSE)))</x:f>
        <x:v>39</x:v>
      </x:c>
      <x:c r="U885" s="63" t="n">
        <x:f>MAX(30,MIN(AC885-VLOOKUP(AE885,'AHL_PA_SC_BALANCE'!$A$8:$E$18,3,FALSE),VLOOKUP(AE885,'AHL_PA_SC_BALANCE'!$A$8:$E$18,5,FALSE)))</x:f>
        <x:v>41</x:v>
      </x:c>
      <x:c r="V885">
        <x:v>59</x:v>
      </x:c>
      <x:c r="W885">
        <x:v>58</x:v>
      </x:c>
      <x:c r="X885">
        <x:v>69</x:v>
      </x:c>
      <x:c r="Y885">
        <x:v>70</x:v>
      </x:c>
      <x:c r="Z885">
        <x:v>51</x:v>
      </x:c>
      <x:c r="AA885">
        <x:v>46</x:v>
      </x:c>
      <x:c r="AB885" s="57" t="n">
        <x:v>39</x:v>
      </x:c>
      <x:c r="AC885" s="57" t="n">
        <x:v>41</x:v>
      </x:c>
      <x:c r="AD885" s="59"/>
      <x:c r="AE885" s="61" t="str">
        <x:f>IF(N(F885)&gt;=10,"NHL_LATEST_10",IF(AND(N(F885)&gt;0,N(G885)&gt;0),"NHL_BOTH_SEASONS",IF(N(G885)&gt;=10,"NHL_PREVIOUS_10",IF(AND(ISNUMBER(AD885),AD885=0,SUM(F885:G885)=0),"FARM_CAREER_0",IF(COUNT(F885:G885)&lt;2,"UNKNOWN_GP",IF(AND(F885=0,G885=0),IF(AD885&gt;=10,"FARM_LEGACY_10",IF(AND(ISNUMBER(AD885),AD885&gt;0),"FARM_CAREER_1_9","FARM_0_0")),IF(F885&gt;=1,IF(F885&lt;=3,"FARM_RECENT_1_3","FARM_RECENT_4_9"),"FARM_PREV_1_9_ONLY")))))))</x:f>
        <x:v>UNKNOWN_GP</x:v>
      </x:c>
      <x:c r="AF885" s="57" t="n">
        <x:f>AB885-T885</x:f>
        <x:v>0</x:v>
      </x:c>
      <x:c r="AG885" s="57" t="n">
        <x:f>AC885-U885</x:f>
        <x:v>0</x:v>
      </x:c>
    </x:row>
    <x:row r="886">
      <x:c r="A886" t="s">
        <x:v>1909</x:v>
      </x:c>
      <x:c r="C886" t="s">
        <x:v>326</x:v>
      </x:c>
      <x:c r="D886">
        <x:v>8485474</x:v>
      </x:c>
      <x:c r="E886" t="s">
        <x:v>267</x:v>
      </x:c>
      <x:c r="J886" t="s">
        <x:v>2474</x:v>
      </x:c>
      <x:c r="K886">
        <x:v>70</x:v>
      </x:c>
      <x:c r="L886">
        <x:v>44</x:v>
      </x:c>
      <x:c r="M886">
        <x:v>82</x:v>
      </x:c>
      <x:c r="N886">
        <x:v>37</x:v>
      </x:c>
      <x:c r="O886">
        <x:v>86</x:v>
      </x:c>
      <x:c r="P886">
        <x:v>71</x:v>
      </x:c>
      <x:c r="Q886">
        <x:v>74</x:v>
      </x:c>
      <x:c r="R886">
        <x:v>37</x:v>
      </x:c>
      <x:c r="S886">
        <x:v>68</x:v>
      </x:c>
      <x:c r="T886" s="63" t="n">
        <x:f>MAX(30,MIN(AB886-VLOOKUP(AE886,'AHL_PA_SC_BALANCE'!$A$8:$E$18,2,FALSE),VLOOKUP(AE886,'AHL_PA_SC_BALANCE'!$A$8:$E$18,4,FALSE)))</x:f>
        <x:v>40</x:v>
      </x:c>
      <x:c r="U886" s="63" t="n">
        <x:f>MAX(30,MIN(AC886-VLOOKUP(AE886,'AHL_PA_SC_BALANCE'!$A$8:$E$18,3,FALSE),VLOOKUP(AE886,'AHL_PA_SC_BALANCE'!$A$8:$E$18,5,FALSE)))</x:f>
        <x:v>41</x:v>
      </x:c>
      <x:c r="V886">
        <x:v>57</x:v>
      </x:c>
      <x:c r="W886">
        <x:v>58</x:v>
      </x:c>
      <x:c r="X886">
        <x:v>67</x:v>
      </x:c>
      <x:c r="Y886">
        <x:v>66</x:v>
      </x:c>
      <x:c r="Z886">
        <x:v>51</x:v>
      </x:c>
      <x:c r="AA886">
        <x:v>46</x:v>
      </x:c>
      <x:c r="AB886" s="57" t="n">
        <x:v>40</x:v>
      </x:c>
      <x:c r="AC886" s="57" t="n">
        <x:v>41</x:v>
      </x:c>
      <x:c r="AD886" s="59"/>
      <x:c r="AE886" s="61" t="str">
        <x:f>IF(N(F886)&gt;=10,"NHL_LATEST_10",IF(AND(N(F886)&gt;0,N(G886)&gt;0),"NHL_BOTH_SEASONS",IF(N(G886)&gt;=10,"NHL_PREVIOUS_10",IF(AND(ISNUMBER(AD886),AD886=0,SUM(F886:G886)=0),"FARM_CAREER_0",IF(COUNT(F886:G886)&lt;2,"UNKNOWN_GP",IF(AND(F886=0,G886=0),IF(AD886&gt;=10,"FARM_LEGACY_10",IF(AND(ISNUMBER(AD886),AD886&gt;0),"FARM_CAREER_1_9","FARM_0_0")),IF(F886&gt;=1,IF(F886&lt;=3,"FARM_RECENT_1_3","FARM_RECENT_4_9"),"FARM_PREV_1_9_ONLY")))))))</x:f>
        <x:v>UNKNOWN_GP</x:v>
      </x:c>
      <x:c r="AF886" s="57" t="n">
        <x:f>AB886-T886</x:f>
        <x:v>0</x:v>
      </x:c>
      <x:c r="AG886" s="57" t="n">
        <x:f>AC886-U886</x:f>
        <x:v>0</x:v>
      </x:c>
    </x:row>
    <x:row r="887">
      <x:c r="A887" t="s">
        <x:v>1910</x:v>
      </x:c>
      <x:c r="C887" t="s">
        <x:v>326</x:v>
      </x:c>
      <x:c r="D887">
        <x:v>8486021</x:v>
      </x:c>
      <x:c r="E887" t="s">
        <x:v>267</x:v>
      </x:c>
      <x:c r="J887" t="s">
        <x:v>2474</x:v>
      </x:c>
      <x:c r="K887">
        <x:v>79</x:v>
      </x:c>
      <x:c r="L887">
        <x:v>45</x:v>
      </x:c>
      <x:c r="M887">
        <x:v>77</x:v>
      </x:c>
      <x:c r="N887">
        <x:v>36</x:v>
      </x:c>
      <x:c r="O887">
        <x:v>86</x:v>
      </x:c>
      <x:c r="P887">
        <x:v>72</x:v>
      </x:c>
      <x:c r="Q887">
        <x:v>75</x:v>
      </x:c>
      <x:c r="R887">
        <x:v>37</x:v>
      </x:c>
      <x:c r="S887">
        <x:v>69</x:v>
      </x:c>
      <x:c r="T887" s="63" t="n">
        <x:f>MAX(30,MIN(AB887-VLOOKUP(AE887,'AHL_PA_SC_BALANCE'!$A$8:$E$18,2,FALSE),VLOOKUP(AE887,'AHL_PA_SC_BALANCE'!$A$8:$E$18,4,FALSE)))</x:f>
        <x:v>40</x:v>
      </x:c>
      <x:c r="U887" s="63" t="n">
        <x:f>MAX(30,MIN(AC887-VLOOKUP(AE887,'AHL_PA_SC_BALANCE'!$A$8:$E$18,3,FALSE),VLOOKUP(AE887,'AHL_PA_SC_BALANCE'!$A$8:$E$18,5,FALSE)))</x:f>
        <x:v>39</x:v>
      </x:c>
      <x:c r="V887">
        <x:v>60</x:v>
      </x:c>
      <x:c r="W887">
        <x:v>58</x:v>
      </x:c>
      <x:c r="X887">
        <x:v>67</x:v>
      </x:c>
      <x:c r="Y887">
        <x:v>68</x:v>
      </x:c>
      <x:c r="Z887">
        <x:v>51</x:v>
      </x:c>
      <x:c r="AA887">
        <x:v>46</x:v>
      </x:c>
      <x:c r="AB887" s="57" t="n">
        <x:v>40</x:v>
      </x:c>
      <x:c r="AC887" s="57" t="n">
        <x:v>39</x:v>
      </x:c>
      <x:c r="AD887" s="59"/>
      <x:c r="AE887" s="61" t="str">
        <x:f>IF(N(F887)&gt;=10,"NHL_LATEST_10",IF(AND(N(F887)&gt;0,N(G887)&gt;0),"NHL_BOTH_SEASONS",IF(N(G887)&gt;=10,"NHL_PREVIOUS_10",IF(AND(ISNUMBER(AD887),AD887=0,SUM(F887:G887)=0),"FARM_CAREER_0",IF(COUNT(F887:G887)&lt;2,"UNKNOWN_GP",IF(AND(F887=0,G887=0),IF(AD887&gt;=10,"FARM_LEGACY_10",IF(AND(ISNUMBER(AD887),AD887&gt;0),"FARM_CAREER_1_9","FARM_0_0")),IF(F887&gt;=1,IF(F887&lt;=3,"FARM_RECENT_1_3","FARM_RECENT_4_9"),"FARM_PREV_1_9_ONLY")))))))</x:f>
        <x:v>UNKNOWN_GP</x:v>
      </x:c>
      <x:c r="AF887" s="57" t="n">
        <x:f>AB887-T887</x:f>
        <x:v>0</x:v>
      </x:c>
      <x:c r="AG887" s="57" t="n">
        <x:f>AC887-U887</x:f>
        <x:v>0</x:v>
      </x:c>
    </x:row>
    <x:row r="888">
      <x:c r="A888" t="s">
        <x:v>1911</x:v>
      </x:c>
      <x:c r="B888" t="s">
        <x:v>584</x:v>
      </x:c>
      <x:c r="C888" t="s">
        <x:v>358</x:v>
      </x:c>
      <x:c r="D888">
        <x:v>8480484</x:v>
      </x:c>
      <x:c r="E888" t="s">
        <x:v>267</x:v>
      </x:c>
      <x:c r="J888" t="s">
        <x:v>2476</x:v>
      </x:c>
      <x:c r="K888">
        <x:v>58</x:v>
      </x:c>
      <x:c r="L888">
        <x:v>67</x:v>
      </x:c>
      <x:c r="M888">
        <x:v>67</x:v>
      </x:c>
      <x:c r="N888">
        <x:v>36</x:v>
      </x:c>
      <x:c r="O888">
        <x:v>82</x:v>
      </x:c>
      <x:c r="P888">
        <x:v>76</x:v>
      </x:c>
      <x:c r="Q888">
        <x:v>79</x:v>
      </x:c>
      <x:c r="R888">
        <x:v>37</x:v>
      </x:c>
      <x:c r="S888">
        <x:v>67</x:v>
      </x:c>
      <x:c r="T888" s="63" t="n">
        <x:f>MAX(30,MIN(AB888-VLOOKUP(AE888,'AHL_PA_SC_BALANCE'!$A$8:$E$18,2,FALSE),VLOOKUP(AE888,'AHL_PA_SC_BALANCE'!$A$8:$E$18,4,FALSE)))</x:f>
        <x:v>40</x:v>
      </x:c>
      <x:c r="U888" s="63" t="n">
        <x:f>MAX(30,MIN(AC888-VLOOKUP(AE888,'AHL_PA_SC_BALANCE'!$A$8:$E$18,3,FALSE),VLOOKUP(AE888,'AHL_PA_SC_BALANCE'!$A$8:$E$18,5,FALSE)))</x:f>
        <x:v>39</x:v>
      </x:c>
      <x:c r="V888">
        <x:v>59</x:v>
      </x:c>
      <x:c r="W888">
        <x:v>58</x:v>
      </x:c>
      <x:c r="X888">
        <x:v>72</x:v>
      </x:c>
      <x:c r="Y888">
        <x:v>71</x:v>
      </x:c>
      <x:c r="Z888">
        <x:v>51</x:v>
      </x:c>
      <x:c r="AA888">
        <x:v>46</x:v>
      </x:c>
      <x:c r="AB888" s="57" t="n">
        <x:v>40</x:v>
      </x:c>
      <x:c r="AC888" s="57" t="n">
        <x:v>39</x:v>
      </x:c>
      <x:c r="AD888" s="59"/>
      <x:c r="AE888" s="61" t="str">
        <x:f>IF(N(F888)&gt;=10,"NHL_LATEST_10",IF(AND(N(F888)&gt;0,N(G888)&gt;0),"NHL_BOTH_SEASONS",IF(N(G888)&gt;=10,"NHL_PREVIOUS_10",IF(AND(ISNUMBER(AD888),AD888=0,SUM(F888:G888)=0),"FARM_CAREER_0",IF(COUNT(F888:G888)&lt;2,"UNKNOWN_GP",IF(AND(F888=0,G888=0),IF(AD888&gt;=10,"FARM_LEGACY_10",IF(AND(ISNUMBER(AD888),AD888&gt;0),"FARM_CAREER_1_9","FARM_0_0")),IF(F888&gt;=1,IF(F888&lt;=3,"FARM_RECENT_1_3","FARM_RECENT_4_9"),"FARM_PREV_1_9_ONLY")))))))</x:f>
        <x:v>UNKNOWN_GP</x:v>
      </x:c>
      <x:c r="AF888" s="57" t="n">
        <x:f>AB888-T888</x:f>
        <x:v>0</x:v>
      </x:c>
      <x:c r="AG888" s="57" t="n">
        <x:f>AC888-U888</x:f>
        <x:v>0</x:v>
      </x:c>
    </x:row>
    <x:row r="889">
      <x:c r="A889" t="s">
        <x:v>1912</x:v>
      </x:c>
      <x:c r="C889" t="s">
        <x:v>319</x:v>
      </x:c>
      <x:c r="D889">
        <x:v>8484178</x:v>
      </x:c>
      <x:c r="E889" t="s">
        <x:v>267</x:v>
      </x:c>
      <x:c r="J889" t="s">
        <x:v>2474</x:v>
      </x:c>
      <x:c r="K889">
        <x:v>58</x:v>
      </x:c>
      <x:c r="L889">
        <x:v>38</x:v>
      </x:c>
      <x:c r="M889">
        <x:v>83</x:v>
      </x:c>
      <x:c r="N889">
        <x:v>38</x:v>
      </x:c>
      <x:c r="O889">
        <x:v>79</x:v>
      </x:c>
      <x:c r="P889">
        <x:v>91</x:v>
      </x:c>
      <x:c r="Q889">
        <x:v>95</x:v>
      </x:c>
      <x:c r="R889">
        <x:v>37</x:v>
      </x:c>
      <x:c r="S889">
        <x:v>82</x:v>
      </x:c>
      <x:c r="T889" s="63" t="n">
        <x:f>MAX(30,MIN(AB889-VLOOKUP(AE889,'AHL_PA_SC_BALANCE'!$A$8:$E$18,2,FALSE),VLOOKUP(AE889,'AHL_PA_SC_BALANCE'!$A$8:$E$18,4,FALSE)))</x:f>
        <x:v>43</x:v>
      </x:c>
      <x:c r="U889" s="63" t="n">
        <x:f>MAX(30,MIN(AC889-VLOOKUP(AE889,'AHL_PA_SC_BALANCE'!$A$8:$E$18,3,FALSE),VLOOKUP(AE889,'AHL_PA_SC_BALANCE'!$A$8:$E$18,5,FALSE)))</x:f>
        <x:v>42</x:v>
      </x:c>
      <x:c r="V889">
        <x:v>59</x:v>
      </x:c>
      <x:c r="W889">
        <x:v>60</x:v>
      </x:c>
      <x:c r="X889">
        <x:v>65</x:v>
      </x:c>
      <x:c r="Y889">
        <x:v>65</x:v>
      </x:c>
      <x:c r="Z889">
        <x:v>51</x:v>
      </x:c>
      <x:c r="AA889">
        <x:v>46</x:v>
      </x:c>
      <x:c r="AB889" s="57" t="n">
        <x:v>43</x:v>
      </x:c>
      <x:c r="AC889" s="57" t="n">
        <x:v>42</x:v>
      </x:c>
      <x:c r="AD889" s="59"/>
      <x:c r="AE889" s="61" t="str">
        <x:f>IF(N(F889)&gt;=10,"NHL_LATEST_10",IF(AND(N(F889)&gt;0,N(G889)&gt;0),"NHL_BOTH_SEASONS",IF(N(G889)&gt;=10,"NHL_PREVIOUS_10",IF(AND(ISNUMBER(AD889),AD889=0,SUM(F889:G889)=0),"FARM_CAREER_0",IF(COUNT(F889:G889)&lt;2,"UNKNOWN_GP",IF(AND(F889=0,G889=0),IF(AD889&gt;=10,"FARM_LEGACY_10",IF(AND(ISNUMBER(AD889),AD889&gt;0),"FARM_CAREER_1_9","FARM_0_0")),IF(F889&gt;=1,IF(F889&lt;=3,"FARM_RECENT_1_3","FARM_RECENT_4_9"),"FARM_PREV_1_9_ONLY")))))))</x:f>
        <x:v>UNKNOWN_GP</x:v>
      </x:c>
      <x:c r="AF889" s="57" t="n">
        <x:f>AB889-T889</x:f>
        <x:v>0</x:v>
      </x:c>
      <x:c r="AG889" s="57" t="n">
        <x:f>AC889-U889</x:f>
        <x:v>0</x:v>
      </x:c>
    </x:row>
    <x:row r="890">
      <x:c r="A890" t="s">
        <x:v>1913</x:v>
      </x:c>
      <x:c r="C890" t="s">
        <x:v>319</x:v>
      </x:c>
      <x:c r="D890">
        <x:v>8482662</x:v>
      </x:c>
      <x:c r="E890" t="s">
        <x:v>267</x:v>
      </x:c>
      <x:c r="J890" t="s">
        <x:v>2474</x:v>
      </x:c>
      <x:c r="K890">
        <x:v>64</x:v>
      </x:c>
      <x:c r="L890">
        <x:v>38</x:v>
      </x:c>
      <x:c r="M890">
        <x:v>83</x:v>
      </x:c>
      <x:c r="N890">
        <x:v>38</x:v>
      </x:c>
      <x:c r="O890">
        <x:v>79</x:v>
      </x:c>
      <x:c r="P890">
        <x:v>75</x:v>
      </x:c>
      <x:c r="Q890">
        <x:v>78</x:v>
      </x:c>
      <x:c r="R890">
        <x:v>39</x:v>
      </x:c>
      <x:c r="S890">
        <x:v>67</x:v>
      </x:c>
      <x:c r="T890" s="63" t="n">
        <x:f>MAX(30,MIN(AB890-VLOOKUP(AE890,'AHL_PA_SC_BALANCE'!$A$8:$E$18,2,FALSE),VLOOKUP(AE890,'AHL_PA_SC_BALANCE'!$A$8:$E$18,4,FALSE)))</x:f>
        <x:v>41</x:v>
      </x:c>
      <x:c r="U890" s="63" t="n">
        <x:f>MAX(30,MIN(AC890-VLOOKUP(AE890,'AHL_PA_SC_BALANCE'!$A$8:$E$18,3,FALSE),VLOOKUP(AE890,'AHL_PA_SC_BALANCE'!$A$8:$E$18,5,FALSE)))</x:f>
        <x:v>41</x:v>
      </x:c>
      <x:c r="V890">
        <x:v>59</x:v>
      </x:c>
      <x:c r="W890">
        <x:v>60</x:v>
      </x:c>
      <x:c r="X890">
        <x:v>65</x:v>
      </x:c>
      <x:c r="Y890">
        <x:v>65</x:v>
      </x:c>
      <x:c r="Z890">
        <x:v>51</x:v>
      </x:c>
      <x:c r="AA890">
        <x:v>46</x:v>
      </x:c>
      <x:c r="AB890" s="57" t="n">
        <x:v>41</x:v>
      </x:c>
      <x:c r="AC890" s="57" t="n">
        <x:v>41</x:v>
      </x:c>
      <x:c r="AD890" s="59"/>
      <x:c r="AE890" s="61" t="str">
        <x:f>IF(N(F890)&gt;=10,"NHL_LATEST_10",IF(AND(N(F890)&gt;0,N(G890)&gt;0),"NHL_BOTH_SEASONS",IF(N(G890)&gt;=10,"NHL_PREVIOUS_10",IF(AND(ISNUMBER(AD890),AD890=0,SUM(F890:G890)=0),"FARM_CAREER_0",IF(COUNT(F890:G890)&lt;2,"UNKNOWN_GP",IF(AND(F890=0,G890=0),IF(AD890&gt;=10,"FARM_LEGACY_10",IF(AND(ISNUMBER(AD890),AD890&gt;0),"FARM_CAREER_1_9","FARM_0_0")),IF(F890&gt;=1,IF(F890&lt;=3,"FARM_RECENT_1_3","FARM_RECENT_4_9"),"FARM_PREV_1_9_ONLY")))))))</x:f>
        <x:v>UNKNOWN_GP</x:v>
      </x:c>
      <x:c r="AF890" s="57" t="n">
        <x:f>AB890-T890</x:f>
        <x:v>0</x:v>
      </x:c>
      <x:c r="AG890" s="57" t="n">
        <x:f>AC890-U890</x:f>
        <x:v>0</x:v>
      </x:c>
    </x:row>
    <x:row r="891">
      <x:c r="A891" t="s">
        <x:v>1914</x:v>
      </x:c>
      <x:c r="C891" t="s">
        <x:v>358</x:v>
      </x:c>
      <x:c r="D891">
        <x:v>8484782</x:v>
      </x:c>
      <x:c r="E891" t="s">
        <x:v>267</x:v>
      </x:c>
      <x:c r="J891" t="s">
        <x:v>2474</x:v>
      </x:c>
      <x:c r="K891">
        <x:v>62</x:v>
      </x:c>
      <x:c r="L891">
        <x:v>41</x:v>
      </x:c>
      <x:c r="M891">
        <x:v>74</x:v>
      </x:c>
      <x:c r="N891">
        <x:v>38</x:v>
      </x:c>
      <x:c r="O891">
        <x:v>79</x:v>
      </x:c>
      <x:c r="P891">
        <x:v>74</x:v>
      </x:c>
      <x:c r="Q891">
        <x:v>77</x:v>
      </x:c>
      <x:c r="R891">
        <x:v>39</x:v>
      </x:c>
      <x:c r="S891">
        <x:v>62</x:v>
      </x:c>
      <x:c r="T891" s="63" t="n">
        <x:f>MAX(30,MIN(AB891-VLOOKUP(AE891,'AHL_PA_SC_BALANCE'!$A$8:$E$18,2,FALSE),VLOOKUP(AE891,'AHL_PA_SC_BALANCE'!$A$8:$E$18,4,FALSE)))</x:f>
        <x:v>42</x:v>
      </x:c>
      <x:c r="U891" s="63" t="n">
        <x:f>MAX(30,MIN(AC891-VLOOKUP(AE891,'AHL_PA_SC_BALANCE'!$A$8:$E$18,3,FALSE),VLOOKUP(AE891,'AHL_PA_SC_BALANCE'!$A$8:$E$18,5,FALSE)))</x:f>
        <x:v>40</x:v>
      </x:c>
      <x:c r="V891">
        <x:v>60</x:v>
      </x:c>
      <x:c r="W891">
        <x:v>60</x:v>
      </x:c>
      <x:c r="X891">
        <x:v>64</x:v>
      </x:c>
      <x:c r="Y891">
        <x:v>65</x:v>
      </x:c>
      <x:c r="Z891">
        <x:v>51</x:v>
      </x:c>
      <x:c r="AA891">
        <x:v>46</x:v>
      </x:c>
      <x:c r="AB891" s="57" t="n">
        <x:v>42</x:v>
      </x:c>
      <x:c r="AC891" s="57" t="n">
        <x:v>40</x:v>
      </x:c>
      <x:c r="AD891" s="59"/>
      <x:c r="AE891" s="61" t="str">
        <x:f>IF(N(F891)&gt;=10,"NHL_LATEST_10",IF(AND(N(F891)&gt;0,N(G891)&gt;0),"NHL_BOTH_SEASONS",IF(N(G891)&gt;=10,"NHL_PREVIOUS_10",IF(AND(ISNUMBER(AD891),AD891=0,SUM(F891:G891)=0),"FARM_CAREER_0",IF(COUNT(F891:G891)&lt;2,"UNKNOWN_GP",IF(AND(F891=0,G891=0),IF(AD891&gt;=10,"FARM_LEGACY_10",IF(AND(ISNUMBER(AD891),AD891&gt;0),"FARM_CAREER_1_9","FARM_0_0")),IF(F891&gt;=1,IF(F891&lt;=3,"FARM_RECENT_1_3","FARM_RECENT_4_9"),"FARM_PREV_1_9_ONLY")))))))</x:f>
        <x:v>UNKNOWN_GP</x:v>
      </x:c>
      <x:c r="AF891" s="57" t="n">
        <x:f>AB891-T891</x:f>
        <x:v>0</x:v>
      </x:c>
      <x:c r="AG891" s="57" t="n">
        <x:f>AC891-U891</x:f>
        <x:v>0</x:v>
      </x:c>
    </x:row>
    <x:row r="892">
      <x:c r="A892" t="s">
        <x:v>1915</x:v>
      </x:c>
      <x:c r="C892" t="s">
        <x:v>358</x:v>
      </x:c>
      <x:c r="D892">
        <x:v>8482690</x:v>
      </x:c>
      <x:c r="E892" t="s">
        <x:v>267</x:v>
      </x:c>
      <x:c r="J892" t="s">
        <x:v>2474</x:v>
      </x:c>
      <x:c r="K892">
        <x:v>59</x:v>
      </x:c>
      <x:c r="L892">
        <x:v>36</x:v>
      </x:c>
      <x:c r="M892">
        <x:v>92</x:v>
      </x:c>
      <x:c r="N892">
        <x:v>39</x:v>
      </x:c>
      <x:c r="O892">
        <x:v>76</x:v>
      </x:c>
      <x:c r="P892">
        <x:v>77</x:v>
      </x:c>
      <x:c r="Q892">
        <x:v>80</x:v>
      </x:c>
      <x:c r="R892">
        <x:v>40</x:v>
      </x:c>
      <x:c r="S892">
        <x:v>65</x:v>
      </x:c>
      <x:c r="T892" s="63" t="n">
        <x:f>MAX(30,MIN(AB892-VLOOKUP(AE892,'AHL_PA_SC_BALANCE'!$A$8:$E$18,2,FALSE),VLOOKUP(AE892,'AHL_PA_SC_BALANCE'!$A$8:$E$18,4,FALSE)))</x:f>
        <x:v>43</x:v>
      </x:c>
      <x:c r="U892" s="63" t="n">
        <x:f>MAX(30,MIN(AC892-VLOOKUP(AE892,'AHL_PA_SC_BALANCE'!$A$8:$E$18,3,FALSE),VLOOKUP(AE892,'AHL_PA_SC_BALANCE'!$A$8:$E$18,5,FALSE)))</x:f>
        <x:v>40</x:v>
      </x:c>
      <x:c r="V892">
        <x:v>59</x:v>
      </x:c>
      <x:c r="W892">
        <x:v>60</x:v>
      </x:c>
      <x:c r="X892">
        <x:v>66</x:v>
      </x:c>
      <x:c r="Y892">
        <x:v>67</x:v>
      </x:c>
      <x:c r="Z892">
        <x:v>47</x:v>
      </x:c>
      <x:c r="AA892">
        <x:v>46</x:v>
      </x:c>
      <x:c r="AB892" s="57" t="n">
        <x:v>43</x:v>
      </x:c>
      <x:c r="AC892" s="57" t="n">
        <x:v>40</x:v>
      </x:c>
      <x:c r="AD892" s="59"/>
      <x:c r="AE892" s="61" t="str">
        <x:f>IF(N(F892)&gt;=10,"NHL_LATEST_10",IF(AND(N(F892)&gt;0,N(G892)&gt;0),"NHL_BOTH_SEASONS",IF(N(G892)&gt;=10,"NHL_PREVIOUS_10",IF(AND(ISNUMBER(AD892),AD892=0,SUM(F892:G892)=0),"FARM_CAREER_0",IF(COUNT(F892:G892)&lt;2,"UNKNOWN_GP",IF(AND(F892=0,G892=0),IF(AD892&gt;=10,"FARM_LEGACY_10",IF(AND(ISNUMBER(AD892),AD892&gt;0),"FARM_CAREER_1_9","FARM_0_0")),IF(F892&gt;=1,IF(F892&lt;=3,"FARM_RECENT_1_3","FARM_RECENT_4_9"),"FARM_PREV_1_9_ONLY")))))))</x:f>
        <x:v>UNKNOWN_GP</x:v>
      </x:c>
      <x:c r="AF892" s="57" t="n">
        <x:f>AB892-T892</x:f>
        <x:v>0</x:v>
      </x:c>
      <x:c r="AG892" s="57" t="n">
        <x:f>AC892-U892</x:f>
        <x:v>0</x:v>
      </x:c>
    </x:row>
    <x:row r="893">
      <x:c r="A893" t="s">
        <x:v>1916</x:v>
      </x:c>
      <x:c r="C893" t="s">
        <x:v>323</x:v>
      </x:c>
      <x:c r="D893">
        <x:v>8486119</x:v>
      </x:c>
      <x:c r="E893" t="s">
        <x:v>267</x:v>
      </x:c>
      <x:c r="J893" t="s">
        <x:v>2474</x:v>
      </x:c>
      <x:c r="K893">
        <x:v>59</x:v>
      </x:c>
      <x:c r="L893">
        <x:v>32</x:v>
      </x:c>
      <x:c r="M893">
        <x:v>76</x:v>
      </x:c>
      <x:c r="N893">
        <x:v>36</x:v>
      </x:c>
      <x:c r="O893">
        <x:v>81</x:v>
      </x:c>
      <x:c r="P893">
        <x:v>70</x:v>
      </x:c>
      <x:c r="Q893">
        <x:v>73</x:v>
      </x:c>
      <x:c r="R893">
        <x:v>36</x:v>
      </x:c>
      <x:c r="S893">
        <x:v>66</x:v>
      </x:c>
      <x:c r="T893" s="63" t="n">
        <x:f>MAX(30,MIN(AB893-VLOOKUP(AE893,'AHL_PA_SC_BALANCE'!$A$8:$E$18,2,FALSE),VLOOKUP(AE893,'AHL_PA_SC_BALANCE'!$A$8:$E$18,4,FALSE)))</x:f>
        <x:v>38</x:v>
      </x:c>
      <x:c r="U893" s="63" t="n">
        <x:f>MAX(30,MIN(AC893-VLOOKUP(AE893,'AHL_PA_SC_BALANCE'!$A$8:$E$18,3,FALSE),VLOOKUP(AE893,'AHL_PA_SC_BALANCE'!$A$8:$E$18,5,FALSE)))</x:f>
        <x:v>39</x:v>
      </x:c>
      <x:c r="V893">
        <x:v>60</x:v>
      </x:c>
      <x:c r="W893">
        <x:v>56</x:v>
      </x:c>
      <x:c r="X893">
        <x:v>67</x:v>
      </x:c>
      <x:c r="Y893">
        <x:v>68</x:v>
      </x:c>
      <x:c r="Z893">
        <x:v>51</x:v>
      </x:c>
      <x:c r="AA893">
        <x:v>45</x:v>
      </x:c>
      <x:c r="AB893" s="57" t="n">
        <x:v>38</x:v>
      </x:c>
      <x:c r="AC893" s="57" t="n">
        <x:v>39</x:v>
      </x:c>
      <x:c r="AD893" s="59"/>
      <x:c r="AE893" s="61" t="str">
        <x:f>IF(N(F893)&gt;=10,"NHL_LATEST_10",IF(AND(N(F893)&gt;0,N(G893)&gt;0),"NHL_BOTH_SEASONS",IF(N(G893)&gt;=10,"NHL_PREVIOUS_10",IF(AND(ISNUMBER(AD893),AD893=0,SUM(F893:G893)=0),"FARM_CAREER_0",IF(COUNT(F893:G893)&lt;2,"UNKNOWN_GP",IF(AND(F893=0,G893=0),IF(AD893&gt;=10,"FARM_LEGACY_10",IF(AND(ISNUMBER(AD893),AD893&gt;0),"FARM_CAREER_1_9","FARM_0_0")),IF(F893&gt;=1,IF(F893&lt;=3,"FARM_RECENT_1_3","FARM_RECENT_4_9"),"FARM_PREV_1_9_ONLY")))))))</x:f>
        <x:v>UNKNOWN_GP</x:v>
      </x:c>
      <x:c r="AF893" s="57" t="n">
        <x:f>AB893-T893</x:f>
        <x:v>0</x:v>
      </x:c>
      <x:c r="AG893" s="57" t="n">
        <x:f>AC893-U893</x:f>
        <x:v>0</x:v>
      </x:c>
    </x:row>
    <x:row r="894">
      <x:c r="A894" t="s">
        <x:v>1917</x:v>
      </x:c>
      <x:c r="B894" t="s">
        <x:v>584</x:v>
      </x:c>
      <x:c r="C894" t="s">
        <x:v>323</x:v>
      </x:c>
      <x:c r="D894">
        <x:v>8482957</x:v>
      </x:c>
      <x:c r="E894" t="s">
        <x:v>267</x:v>
      </x:c>
      <x:c r="J894" t="s">
        <x:v>2476</x:v>
      </x:c>
      <x:c r="K894">
        <x:v>69</x:v>
      </x:c>
      <x:c r="L894">
        <x:v>33</x:v>
      </x:c>
      <x:c r="M894">
        <x:v>90</x:v>
      </x:c>
      <x:c r="N894">
        <x:v>36</x:v>
      </x:c>
      <x:c r="O894">
        <x:v>76</x:v>
      </x:c>
      <x:c r="P894">
        <x:v>72</x:v>
      </x:c>
      <x:c r="Q894">
        <x:v>73</x:v>
      </x:c>
      <x:c r="R894">
        <x:v>35</x:v>
      </x:c>
      <x:c r="S894">
        <x:v>78</x:v>
      </x:c>
      <x:c r="T894" s="63" t="n">
        <x:f>MAX(30,MIN(AB894-VLOOKUP(AE894,'AHL_PA_SC_BALANCE'!$A$8:$E$18,2,FALSE),VLOOKUP(AE894,'AHL_PA_SC_BALANCE'!$A$8:$E$18,4,FALSE)))</x:f>
        <x:v>38</x:v>
      </x:c>
      <x:c r="U894" s="63" t="n">
        <x:f>MAX(30,MIN(AC894-VLOOKUP(AE894,'AHL_PA_SC_BALANCE'!$A$8:$E$18,3,FALSE),VLOOKUP(AE894,'AHL_PA_SC_BALANCE'!$A$8:$E$18,5,FALSE)))</x:f>
        <x:v>39</x:v>
      </x:c>
      <x:c r="V894">
        <x:v>62</x:v>
      </x:c>
      <x:c r="W894">
        <x:v>57</x:v>
      </x:c>
      <x:c r="X894">
        <x:v>68</x:v>
      </x:c>
      <x:c r="Y894">
        <x:v>69</x:v>
      </x:c>
      <x:c r="Z894">
        <x:v>51</x:v>
      </x:c>
      <x:c r="AA894">
        <x:v>45</x:v>
      </x:c>
      <x:c r="AB894" s="57" t="n">
        <x:v>38</x:v>
      </x:c>
      <x:c r="AC894" s="57" t="n">
        <x:v>39</x:v>
      </x:c>
      <x:c r="AD894" s="59"/>
      <x:c r="AE894" s="61" t="str">
        <x:f>IF(N(F894)&gt;=10,"NHL_LATEST_10",IF(AND(N(F894)&gt;0,N(G894)&gt;0),"NHL_BOTH_SEASONS",IF(N(G894)&gt;=10,"NHL_PREVIOUS_10",IF(AND(ISNUMBER(AD894),AD894=0,SUM(F894:G894)=0),"FARM_CAREER_0",IF(COUNT(F894:G894)&lt;2,"UNKNOWN_GP",IF(AND(F894=0,G894=0),IF(AD894&gt;=10,"FARM_LEGACY_10",IF(AND(ISNUMBER(AD894),AD894&gt;0),"FARM_CAREER_1_9","FARM_0_0")),IF(F894&gt;=1,IF(F894&lt;=3,"FARM_RECENT_1_3","FARM_RECENT_4_9"),"FARM_PREV_1_9_ONLY")))))))</x:f>
        <x:v>UNKNOWN_GP</x:v>
      </x:c>
      <x:c r="AF894" s="57" t="n">
        <x:f>AB894-T894</x:f>
        <x:v>0</x:v>
      </x:c>
      <x:c r="AG894" s="57" t="n">
        <x:f>AC894-U894</x:f>
        <x:v>0</x:v>
      </x:c>
    </x:row>
    <x:row r="895">
      <x:c r="A895" t="s">
        <x:v>1918</x:v>
      </x:c>
      <x:c r="B895" t="s">
        <x:v>584</x:v>
      </x:c>
      <x:c r="C895" t="s">
        <x:v>358</x:v>
      </x:c>
      <x:c r="E895" t="s">
        <x:v>267</x:v>
      </x:c>
      <x:c r="J895" t="s">
        <x:v>2474</x:v>
      </x:c>
      <x:c r="K895">
        <x:v>60</x:v>
      </x:c>
      <x:c r="L895">
        <x:v>32</x:v>
      </x:c>
      <x:c r="M895">
        <x:v>89</x:v>
      </x:c>
      <x:c r="N895">
        <x:v>36</x:v>
      </x:c>
      <x:c r="O895">
        <x:v>76</x:v>
      </x:c>
      <x:c r="P895">
        <x:v>73</x:v>
      </x:c>
      <x:c r="Q895">
        <x:v>76</x:v>
      </x:c>
      <x:c r="R895">
        <x:v>35</x:v>
      </x:c>
      <x:c r="S895">
        <x:v>59</x:v>
      </x:c>
      <x:c r="T895" s="63" t="n">
        <x:f>MAX(30,MIN(AB895-VLOOKUP(AE895,'AHL_PA_SC_BALANCE'!$A$8:$E$18,2,FALSE),VLOOKUP(AE895,'AHL_PA_SC_BALANCE'!$A$8:$E$18,4,FALSE)))</x:f>
        <x:v>39</x:v>
      </x:c>
      <x:c r="U895" s="63" t="n">
        <x:f>MAX(30,MIN(AC895-VLOOKUP(AE895,'AHL_PA_SC_BALANCE'!$A$8:$E$18,3,FALSE),VLOOKUP(AE895,'AHL_PA_SC_BALANCE'!$A$8:$E$18,5,FALSE)))</x:f>
        <x:v>39</x:v>
      </x:c>
      <x:c r="V895">
        <x:v>59</x:v>
      </x:c>
      <x:c r="W895">
        <x:v>57</x:v>
      </x:c>
      <x:c r="X895">
        <x:v>69</x:v>
      </x:c>
      <x:c r="Y895">
        <x:v>70</x:v>
      </x:c>
      <x:c r="Z895">
        <x:v>51</x:v>
      </x:c>
      <x:c r="AA895">
        <x:v>45</x:v>
      </x:c>
      <x:c r="AB895" s="57" t="n">
        <x:v>39</x:v>
      </x:c>
      <x:c r="AC895" s="57" t="n">
        <x:v>39</x:v>
      </x:c>
      <x:c r="AD895" s="59"/>
      <x:c r="AE895" s="61" t="str">
        <x:f>IF(N(F895)&gt;=10,"NHL_LATEST_10",IF(AND(N(F895)&gt;0,N(G895)&gt;0),"NHL_BOTH_SEASONS",IF(N(G895)&gt;=10,"NHL_PREVIOUS_10",IF(AND(ISNUMBER(AD895),AD895=0,SUM(F895:G895)=0),"FARM_CAREER_0",IF(COUNT(F895:G895)&lt;2,"UNKNOWN_GP",IF(AND(F895=0,G895=0),IF(AD895&gt;=10,"FARM_LEGACY_10",IF(AND(ISNUMBER(AD895),AD895&gt;0),"FARM_CAREER_1_9","FARM_0_0")),IF(F895&gt;=1,IF(F895&lt;=3,"FARM_RECENT_1_3","FARM_RECENT_4_9"),"FARM_PREV_1_9_ONLY")))))))</x:f>
        <x:v>UNKNOWN_GP</x:v>
      </x:c>
      <x:c r="AF895" s="57" t="n">
        <x:f>AB895-T895</x:f>
        <x:v>0</x:v>
      </x:c>
      <x:c r="AG895" s="57" t="n">
        <x:f>AC895-U895</x:f>
        <x:v>0</x:v>
      </x:c>
    </x:row>
    <x:row r="896">
      <x:c r="A896" t="s">
        <x:v>1919</x:v>
      </x:c>
      <x:c r="C896" t="s">
        <x:v>326</x:v>
      </x:c>
      <x:c r="D896">
        <x:v>8482521</x:v>
      </x:c>
      <x:c r="E896" t="s">
        <x:v>267</x:v>
      </x:c>
      <x:c r="J896" t="s">
        <x:v>2474</x:v>
      </x:c>
      <x:c r="K896">
        <x:v>64</x:v>
      </x:c>
      <x:c r="L896">
        <x:v>40</x:v>
      </x:c>
      <x:c r="M896">
        <x:v>90</x:v>
      </x:c>
      <x:c r="N896">
        <x:v>36</x:v>
      </x:c>
      <x:c r="O896">
        <x:v>83</x:v>
      </x:c>
      <x:c r="P896">
        <x:v>68</x:v>
      </x:c>
      <x:c r="Q896">
        <x:v>71</x:v>
      </x:c>
      <x:c r="R896">
        <x:v>37</x:v>
      </x:c>
      <x:c r="S896">
        <x:v>59</x:v>
      </x:c>
      <x:c r="T896" s="63" t="n">
        <x:f>MAX(30,MIN(AB896-VLOOKUP(AE896,'AHL_PA_SC_BALANCE'!$A$8:$E$18,2,FALSE),VLOOKUP(AE896,'AHL_PA_SC_BALANCE'!$A$8:$E$18,4,FALSE)))</x:f>
        <x:v>38</x:v>
      </x:c>
      <x:c r="U896" s="63" t="n">
        <x:f>MAX(30,MIN(AC896-VLOOKUP(AE896,'AHL_PA_SC_BALANCE'!$A$8:$E$18,3,FALSE),VLOOKUP(AE896,'AHL_PA_SC_BALANCE'!$A$8:$E$18,5,FALSE)))</x:f>
        <x:v>39</x:v>
      </x:c>
      <x:c r="V896">
        <x:v>64</x:v>
      </x:c>
      <x:c r="W896">
        <x:v>56</x:v>
      </x:c>
      <x:c r="X896">
        <x:v>66</x:v>
      </x:c>
      <x:c r="Y896">
        <x:v>65</x:v>
      </x:c>
      <x:c r="Z896">
        <x:v>51</x:v>
      </x:c>
      <x:c r="AA896">
        <x:v>45</x:v>
      </x:c>
      <x:c r="AB896" s="57" t="n">
        <x:v>38</x:v>
      </x:c>
      <x:c r="AC896" s="57" t="n">
        <x:v>39</x:v>
      </x:c>
      <x:c r="AD896" s="59"/>
      <x:c r="AE896" s="61" t="str">
        <x:f>IF(N(F896)&gt;=10,"NHL_LATEST_10",IF(AND(N(F896)&gt;0,N(G896)&gt;0),"NHL_BOTH_SEASONS",IF(N(G896)&gt;=10,"NHL_PREVIOUS_10",IF(AND(ISNUMBER(AD896),AD896=0,SUM(F896:G896)=0),"FARM_CAREER_0",IF(COUNT(F896:G896)&lt;2,"UNKNOWN_GP",IF(AND(F896=0,G896=0),IF(AD896&gt;=10,"FARM_LEGACY_10",IF(AND(ISNUMBER(AD896),AD896&gt;0),"FARM_CAREER_1_9","FARM_0_0")),IF(F896&gt;=1,IF(F896&lt;=3,"FARM_RECENT_1_3","FARM_RECENT_4_9"),"FARM_PREV_1_9_ONLY")))))))</x:f>
        <x:v>UNKNOWN_GP</x:v>
      </x:c>
      <x:c r="AF896" s="57" t="n">
        <x:f>AB896-T896</x:f>
        <x:v>0</x:v>
      </x:c>
      <x:c r="AG896" s="57" t="n">
        <x:f>AC896-U896</x:f>
        <x:v>0</x:v>
      </x:c>
    </x:row>
    <x:row r="897">
      <x:c r="A897" t="s">
        <x:v>1920</x:v>
      </x:c>
      <x:c r="B897" t="s">
        <x:v>584</x:v>
      </x:c>
      <x:c r="C897" t="s">
        <x:v>333</x:v>
      </x:c>
      <x:c r="E897" t="s">
        <x:v>267</x:v>
      </x:c>
      <x:c r="J897" t="s">
        <x:v>2474</x:v>
      </x:c>
      <x:c r="K897">
        <x:v>62</x:v>
      </x:c>
      <x:c r="L897">
        <x:v>33</x:v>
      </x:c>
      <x:c r="M897">
        <x:v>84</x:v>
      </x:c>
      <x:c r="N897">
        <x:v>36</x:v>
      </x:c>
      <x:c r="O897">
        <x:v>80</x:v>
      </x:c>
      <x:c r="P897">
        <x:v>70</x:v>
      </x:c>
      <x:c r="Q897">
        <x:v>73</x:v>
      </x:c>
      <x:c r="R897">
        <x:v>37</x:v>
      </x:c>
      <x:c r="S897">
        <x:v>62</x:v>
      </x:c>
      <x:c r="T897" s="63" t="n">
        <x:f>MAX(30,MIN(AB897-VLOOKUP(AE897,'AHL_PA_SC_BALANCE'!$A$8:$E$18,2,FALSE),VLOOKUP(AE897,'AHL_PA_SC_BALANCE'!$A$8:$E$18,4,FALSE)))</x:f>
        <x:v>38</x:v>
      </x:c>
      <x:c r="U897" s="63" t="n">
        <x:f>MAX(30,MIN(AC897-VLOOKUP(AE897,'AHL_PA_SC_BALANCE'!$A$8:$E$18,3,FALSE),VLOOKUP(AE897,'AHL_PA_SC_BALANCE'!$A$8:$E$18,5,FALSE)))</x:f>
        <x:v>39</x:v>
      </x:c>
      <x:c r="V897">
        <x:v>59</x:v>
      </x:c>
      <x:c r="W897">
        <x:v>56</x:v>
      </x:c>
      <x:c r="X897">
        <x:v>69</x:v>
      </x:c>
      <x:c r="Y897">
        <x:v>68</x:v>
      </x:c>
      <x:c r="Z897">
        <x:v>51</x:v>
      </x:c>
      <x:c r="AA897">
        <x:v>45</x:v>
      </x:c>
      <x:c r="AB897" s="57" t="n">
        <x:v>38</x:v>
      </x:c>
      <x:c r="AC897" s="57" t="n">
        <x:v>39</x:v>
      </x:c>
      <x:c r="AD897" s="59"/>
      <x:c r="AE897" s="61" t="str">
        <x:f>IF(N(F897)&gt;=10,"NHL_LATEST_10",IF(AND(N(F897)&gt;0,N(G897)&gt;0),"NHL_BOTH_SEASONS",IF(N(G897)&gt;=10,"NHL_PREVIOUS_10",IF(AND(ISNUMBER(AD897),AD897=0,SUM(F897:G897)=0),"FARM_CAREER_0",IF(COUNT(F897:G897)&lt;2,"UNKNOWN_GP",IF(AND(F897=0,G897=0),IF(AD897&gt;=10,"FARM_LEGACY_10",IF(AND(ISNUMBER(AD897),AD897&gt;0),"FARM_CAREER_1_9","FARM_0_0")),IF(F897&gt;=1,IF(F897&lt;=3,"FARM_RECENT_1_3","FARM_RECENT_4_9"),"FARM_PREV_1_9_ONLY")))))))</x:f>
        <x:v>UNKNOWN_GP</x:v>
      </x:c>
      <x:c r="AF897" s="57" t="n">
        <x:f>AB897-T897</x:f>
        <x:v>0</x:v>
      </x:c>
      <x:c r="AG897" s="57" t="n">
        <x:f>AC897-U897</x:f>
        <x:v>0</x:v>
      </x:c>
    </x:row>
    <x:row r="898">
      <x:c r="A898" t="s">
        <x:v>1921</x:v>
      </x:c>
      <x:c r="C898" t="s">
        <x:v>323</x:v>
      </x:c>
      <x:c r="D898">
        <x:v>8483707</x:v>
      </x:c>
      <x:c r="E898" t="s">
        <x:v>267</x:v>
      </x:c>
      <x:c r="J898" t="s">
        <x:v>2474</x:v>
      </x:c>
      <x:c r="K898">
        <x:v>62</x:v>
      </x:c>
      <x:c r="L898">
        <x:v>38</x:v>
      </x:c>
      <x:c r="M898">
        <x:v>88</x:v>
      </x:c>
      <x:c r="N898">
        <x:v>36</x:v>
      </x:c>
      <x:c r="O898">
        <x:v>83</x:v>
      </x:c>
      <x:c r="P898">
        <x:v>68</x:v>
      </x:c>
      <x:c r="Q898">
        <x:v>71</x:v>
      </x:c>
      <x:c r="R898">
        <x:v>36</x:v>
      </x:c>
      <x:c r="S898">
        <x:v>59</x:v>
      </x:c>
      <x:c r="T898" s="63" t="n">
        <x:f>MAX(30,MIN(AB898-VLOOKUP(AE898,'AHL_PA_SC_BALANCE'!$A$8:$E$18,2,FALSE),VLOOKUP(AE898,'AHL_PA_SC_BALANCE'!$A$8:$E$18,4,FALSE)))</x:f>
        <x:v>38</x:v>
      </x:c>
      <x:c r="U898" s="63" t="n">
        <x:f>MAX(30,MIN(AC898-VLOOKUP(AE898,'AHL_PA_SC_BALANCE'!$A$8:$E$18,3,FALSE),VLOOKUP(AE898,'AHL_PA_SC_BALANCE'!$A$8:$E$18,5,FALSE)))</x:f>
        <x:v>39</x:v>
      </x:c>
      <x:c r="V898">
        <x:v>62</x:v>
      </x:c>
      <x:c r="W898">
        <x:v>56</x:v>
      </x:c>
      <x:c r="X898">
        <x:v>66</x:v>
      </x:c>
      <x:c r="Y898">
        <x:v>65</x:v>
      </x:c>
      <x:c r="Z898">
        <x:v>51</x:v>
      </x:c>
      <x:c r="AA898">
        <x:v>45</x:v>
      </x:c>
      <x:c r="AB898" s="57" t="n">
        <x:v>38</x:v>
      </x:c>
      <x:c r="AC898" s="57" t="n">
        <x:v>39</x:v>
      </x:c>
      <x:c r="AD898" s="59"/>
      <x:c r="AE898" s="61" t="str">
        <x:f>IF(N(F898)&gt;=10,"NHL_LATEST_10",IF(AND(N(F898)&gt;0,N(G898)&gt;0),"NHL_BOTH_SEASONS",IF(N(G898)&gt;=10,"NHL_PREVIOUS_10",IF(AND(ISNUMBER(AD898),AD898=0,SUM(F898:G898)=0),"FARM_CAREER_0",IF(COUNT(F898:G898)&lt;2,"UNKNOWN_GP",IF(AND(F898=0,G898=0),IF(AD898&gt;=10,"FARM_LEGACY_10",IF(AND(ISNUMBER(AD898),AD898&gt;0),"FARM_CAREER_1_9","FARM_0_0")),IF(F898&gt;=1,IF(F898&lt;=3,"FARM_RECENT_1_3","FARM_RECENT_4_9"),"FARM_PREV_1_9_ONLY")))))))</x:f>
        <x:v>UNKNOWN_GP</x:v>
      </x:c>
      <x:c r="AF898" s="57" t="n">
        <x:f>AB898-T898</x:f>
        <x:v>0</x:v>
      </x:c>
      <x:c r="AG898" s="57" t="n">
        <x:f>AC898-U898</x:f>
        <x:v>0</x:v>
      </x:c>
    </x:row>
    <x:row r="899">
      <x:c r="A899" t="s">
        <x:v>1922</x:v>
      </x:c>
      <x:c r="C899" t="s">
        <x:v>339</x:v>
      </x:c>
      <x:c r="D899">
        <x:v>8485905</x:v>
      </x:c>
      <x:c r="E899" t="s">
        <x:v>267</x:v>
      </x:c>
      <x:c r="J899" t="s">
        <x:v>2474</x:v>
      </x:c>
      <x:c r="K899">
        <x:v>61</x:v>
      </x:c>
      <x:c r="L899">
        <x:v>31</x:v>
      </x:c>
      <x:c r="M899">
        <x:v>90</x:v>
      </x:c>
      <x:c r="N899">
        <x:v>36</x:v>
      </x:c>
      <x:c r="O899">
        <x:v>81</x:v>
      </x:c>
      <x:c r="P899">
        <x:v>68</x:v>
      </x:c>
      <x:c r="Q899">
        <x:v>71</x:v>
      </x:c>
      <x:c r="R899">
        <x:v>37</x:v>
      </x:c>
      <x:c r="S899">
        <x:v>70</x:v>
      </x:c>
      <x:c r="T899" s="63" t="n">
        <x:f>MAX(30,MIN(AB899-VLOOKUP(AE899,'AHL_PA_SC_BALANCE'!$A$8:$E$18,2,FALSE),VLOOKUP(AE899,'AHL_PA_SC_BALANCE'!$A$8:$E$18,4,FALSE)))</x:f>
        <x:v>38</x:v>
      </x:c>
      <x:c r="U899" s="63" t="n">
        <x:f>MAX(30,MIN(AC899-VLOOKUP(AE899,'AHL_PA_SC_BALANCE'!$A$8:$E$18,3,FALSE),VLOOKUP(AE899,'AHL_PA_SC_BALANCE'!$A$8:$E$18,5,FALSE)))</x:f>
        <x:v>39</x:v>
      </x:c>
      <x:c r="V899">
        <x:v>60</x:v>
      </x:c>
      <x:c r="W899">
        <x:v>56</x:v>
      </x:c>
      <x:c r="X899">
        <x:v>67</x:v>
      </x:c>
      <x:c r="Y899">
        <x:v>68</x:v>
      </x:c>
      <x:c r="Z899">
        <x:v>51</x:v>
      </x:c>
      <x:c r="AA899">
        <x:v>45</x:v>
      </x:c>
      <x:c r="AB899" s="57" t="n">
        <x:v>38</x:v>
      </x:c>
      <x:c r="AC899" s="57" t="n">
        <x:v>39</x:v>
      </x:c>
      <x:c r="AD899" s="59"/>
      <x:c r="AE899" s="61" t="str">
        <x:f>IF(N(F899)&gt;=10,"NHL_LATEST_10",IF(AND(N(F899)&gt;0,N(G899)&gt;0),"NHL_BOTH_SEASONS",IF(N(G899)&gt;=10,"NHL_PREVIOUS_10",IF(AND(ISNUMBER(AD899),AD899=0,SUM(F899:G899)=0),"FARM_CAREER_0",IF(COUNT(F899:G899)&lt;2,"UNKNOWN_GP",IF(AND(F899=0,G899=0),IF(AD899&gt;=10,"FARM_LEGACY_10",IF(AND(ISNUMBER(AD899),AD899&gt;0),"FARM_CAREER_1_9","FARM_0_0")),IF(F899&gt;=1,IF(F899&lt;=3,"FARM_RECENT_1_3","FARM_RECENT_4_9"),"FARM_PREV_1_9_ONLY")))))))</x:f>
        <x:v>UNKNOWN_GP</x:v>
      </x:c>
      <x:c r="AF899" s="57" t="n">
        <x:f>AB899-T899</x:f>
        <x:v>0</x:v>
      </x:c>
      <x:c r="AG899" s="57" t="n">
        <x:f>AC899-U899</x:f>
        <x:v>0</x:v>
      </x:c>
    </x:row>
    <x:row r="900">
      <x:c r="A900" t="s">
        <x:v>1923</x:v>
      </x:c>
      <x:c r="C900" t="s">
        <x:v>323</x:v>
      </x:c>
      <x:c r="D900">
        <x:v>8481531</x:v>
      </x:c>
      <x:c r="E900" t="s">
        <x:v>267</x:v>
      </x:c>
      <x:c r="J900" t="s">
        <x:v>2474</x:v>
      </x:c>
      <x:c r="K900">
        <x:v>64</x:v>
      </x:c>
      <x:c r="L900">
        <x:v>45</x:v>
      </x:c>
      <x:c r="M900">
        <x:v>92</x:v>
      </x:c>
      <x:c r="N900">
        <x:v>36</x:v>
      </x:c>
      <x:c r="O900">
        <x:v>78</x:v>
      </x:c>
      <x:c r="P900">
        <x:v>70</x:v>
      </x:c>
      <x:c r="Q900">
        <x:v>72</x:v>
      </x:c>
      <x:c r="R900">
        <x:v>37</x:v>
      </x:c>
      <x:c r="S900">
        <x:v>70</x:v>
      </x:c>
      <x:c r="T900" s="63" t="n">
        <x:f>MAX(30,MIN(AB900-VLOOKUP(AE900,'AHL_PA_SC_BALANCE'!$A$8:$E$18,2,FALSE),VLOOKUP(AE900,'AHL_PA_SC_BALANCE'!$A$8:$E$18,4,FALSE)))</x:f>
        <x:v>38</x:v>
      </x:c>
      <x:c r="U900" s="63" t="n">
        <x:f>MAX(30,MIN(AC900-VLOOKUP(AE900,'AHL_PA_SC_BALANCE'!$A$8:$E$18,3,FALSE),VLOOKUP(AE900,'AHL_PA_SC_BALANCE'!$A$8:$E$18,5,FALSE)))</x:f>
        <x:v>39</x:v>
      </x:c>
      <x:c r="V900">
        <x:v>60</x:v>
      </x:c>
      <x:c r="W900">
        <x:v>56</x:v>
      </x:c>
      <x:c r="X900">
        <x:v>68</x:v>
      </x:c>
      <x:c r="Y900">
        <x:v>68</x:v>
      </x:c>
      <x:c r="Z900">
        <x:v>51</x:v>
      </x:c>
      <x:c r="AA900">
        <x:v>45</x:v>
      </x:c>
      <x:c r="AB900" s="57" t="n">
        <x:v>38</x:v>
      </x:c>
      <x:c r="AC900" s="57" t="n">
        <x:v>39</x:v>
      </x:c>
      <x:c r="AD900" s="59"/>
      <x:c r="AE900" s="61" t="str">
        <x:f>IF(N(F900)&gt;=10,"NHL_LATEST_10",IF(AND(N(F900)&gt;0,N(G900)&gt;0),"NHL_BOTH_SEASONS",IF(N(G900)&gt;=10,"NHL_PREVIOUS_10",IF(AND(ISNUMBER(AD900),AD900=0,SUM(F900:G900)=0),"FARM_CAREER_0",IF(COUNT(F900:G900)&lt;2,"UNKNOWN_GP",IF(AND(F900=0,G900=0),IF(AD900&gt;=10,"FARM_LEGACY_10",IF(AND(ISNUMBER(AD900),AD900&gt;0),"FARM_CAREER_1_9","FARM_0_0")),IF(F900&gt;=1,IF(F900&lt;=3,"FARM_RECENT_1_3","FARM_RECENT_4_9"),"FARM_PREV_1_9_ONLY")))))))</x:f>
        <x:v>UNKNOWN_GP</x:v>
      </x:c>
      <x:c r="AF900" s="57" t="n">
        <x:f>AB900-T900</x:f>
        <x:v>0</x:v>
      </x:c>
      <x:c r="AG900" s="57" t="n">
        <x:f>AC900-U900</x:f>
        <x:v>0</x:v>
      </x:c>
    </x:row>
    <x:row r="901">
      <x:c r="A901" t="s">
        <x:v>1924</x:v>
      </x:c>
      <x:c r="C901" t="s">
        <x:v>319</x:v>
      </x:c>
      <x:c r="D901">
        <x:v>8486137</x:v>
      </x:c>
      <x:c r="E901" t="s">
        <x:v>267</x:v>
      </x:c>
      <x:c r="J901" t="s">
        <x:v>2474</x:v>
      </x:c>
      <x:c r="K901">
        <x:v>59</x:v>
      </x:c>
      <x:c r="L901">
        <x:v>35</x:v>
      </x:c>
      <x:c r="M901">
        <x:v>88</x:v>
      </x:c>
      <x:c r="N901">
        <x:v>36</x:v>
      </x:c>
      <x:c r="O901">
        <x:v>79</x:v>
      </x:c>
      <x:c r="P901">
        <x:v>68</x:v>
      </x:c>
      <x:c r="Q901">
        <x:v>71</x:v>
      </x:c>
      <x:c r="R901">
        <x:v>36</x:v>
      </x:c>
      <x:c r="S901">
        <x:v>65</x:v>
      </x:c>
      <x:c r="T901" s="63" t="n">
        <x:f>MAX(30,MIN(AB901-VLOOKUP(AE901,'AHL_PA_SC_BALANCE'!$A$8:$E$18,2,FALSE),VLOOKUP(AE901,'AHL_PA_SC_BALANCE'!$A$8:$E$18,4,FALSE)))</x:f>
        <x:v>38</x:v>
      </x:c>
      <x:c r="U901" s="63" t="n">
        <x:f>MAX(30,MIN(AC901-VLOOKUP(AE901,'AHL_PA_SC_BALANCE'!$A$8:$E$18,3,FALSE),VLOOKUP(AE901,'AHL_PA_SC_BALANCE'!$A$8:$E$18,5,FALSE)))</x:f>
        <x:v>39</x:v>
      </x:c>
      <x:c r="V901">
        <x:v>58</x:v>
      </x:c>
      <x:c r="W901">
        <x:v>56</x:v>
      </x:c>
      <x:c r="X901">
        <x:v>66</x:v>
      </x:c>
      <x:c r="Y901">
        <x:v>65</x:v>
      </x:c>
      <x:c r="Z901">
        <x:v>51</x:v>
      </x:c>
      <x:c r="AA901">
        <x:v>45</x:v>
      </x:c>
      <x:c r="AB901" s="57" t="n">
        <x:v>38</x:v>
      </x:c>
      <x:c r="AC901" s="57" t="n">
        <x:v>39</x:v>
      </x:c>
      <x:c r="AD901" s="59"/>
      <x:c r="AE901" s="61" t="str">
        <x:f>IF(N(F901)&gt;=10,"NHL_LATEST_10",IF(AND(N(F901)&gt;0,N(G901)&gt;0),"NHL_BOTH_SEASONS",IF(N(G901)&gt;=10,"NHL_PREVIOUS_10",IF(AND(ISNUMBER(AD901),AD901=0,SUM(F901:G901)=0),"FARM_CAREER_0",IF(COUNT(F901:G901)&lt;2,"UNKNOWN_GP",IF(AND(F901=0,G901=0),IF(AD901&gt;=10,"FARM_LEGACY_10",IF(AND(ISNUMBER(AD901),AD901&gt;0),"FARM_CAREER_1_9","FARM_0_0")),IF(F901&gt;=1,IF(F901&lt;=3,"FARM_RECENT_1_3","FARM_RECENT_4_9"),"FARM_PREV_1_9_ONLY")))))))</x:f>
        <x:v>UNKNOWN_GP</x:v>
      </x:c>
      <x:c r="AF901" s="57" t="n">
        <x:f>AB901-T901</x:f>
        <x:v>0</x:v>
      </x:c>
      <x:c r="AG901" s="57" t="n">
        <x:f>AC901-U901</x:f>
        <x:v>0</x:v>
      </x:c>
    </x:row>
    <x:row r="902">
      <x:c r="A902" t="s">
        <x:v>1925</x:v>
      </x:c>
      <x:c r="C902" t="s">
        <x:v>326</x:v>
      </x:c>
      <x:c r="D902">
        <x:v>8485495</x:v>
      </x:c>
      <x:c r="E902" t="s">
        <x:v>267</x:v>
      </x:c>
      <x:c r="J902" t="s">
        <x:v>2474</x:v>
      </x:c>
      <x:c r="K902">
        <x:v>63</x:v>
      </x:c>
      <x:c r="L902">
        <x:v>32</x:v>
      </x:c>
      <x:c r="M902">
        <x:v>80</x:v>
      </x:c>
      <x:c r="N902">
        <x:v>36</x:v>
      </x:c>
      <x:c r="O902">
        <x:v>81</x:v>
      </x:c>
      <x:c r="P902">
        <x:v>71</x:v>
      </x:c>
      <x:c r="Q902">
        <x:v>74</x:v>
      </x:c>
      <x:c r="R902">
        <x:v>36</x:v>
      </x:c>
      <x:c r="S902">
        <x:v>57</x:v>
      </x:c>
      <x:c r="T902" s="63" t="n">
        <x:f>MAX(30,MIN(AB902-VLOOKUP(AE902,'AHL_PA_SC_BALANCE'!$A$8:$E$18,2,FALSE),VLOOKUP(AE902,'AHL_PA_SC_BALANCE'!$A$8:$E$18,4,FALSE)))</x:f>
        <x:v>38</x:v>
      </x:c>
      <x:c r="U902" s="63" t="n">
        <x:f>MAX(30,MIN(AC902-VLOOKUP(AE902,'AHL_PA_SC_BALANCE'!$A$8:$E$18,3,FALSE),VLOOKUP(AE902,'AHL_PA_SC_BALANCE'!$A$8:$E$18,5,FALSE)))</x:f>
        <x:v>39</x:v>
      </x:c>
      <x:c r="V902">
        <x:v>62</x:v>
      </x:c>
      <x:c r="W902">
        <x:v>56</x:v>
      </x:c>
      <x:c r="X902">
        <x:v>67</x:v>
      </x:c>
      <x:c r="Y902">
        <x:v>66</x:v>
      </x:c>
      <x:c r="Z902">
        <x:v>51</x:v>
      </x:c>
      <x:c r="AA902">
        <x:v>45</x:v>
      </x:c>
      <x:c r="AB902" s="57" t="n">
        <x:v>38</x:v>
      </x:c>
      <x:c r="AC902" s="57" t="n">
        <x:v>39</x:v>
      </x:c>
      <x:c r="AD902" s="59"/>
      <x:c r="AE902" s="61" t="str">
        <x:f>IF(N(F902)&gt;=10,"NHL_LATEST_10",IF(AND(N(F902)&gt;0,N(G902)&gt;0),"NHL_BOTH_SEASONS",IF(N(G902)&gt;=10,"NHL_PREVIOUS_10",IF(AND(ISNUMBER(AD902),AD902=0,SUM(F902:G902)=0),"FARM_CAREER_0",IF(COUNT(F902:G902)&lt;2,"UNKNOWN_GP",IF(AND(F902=0,G902=0),IF(AD902&gt;=10,"FARM_LEGACY_10",IF(AND(ISNUMBER(AD902),AD902&gt;0),"FARM_CAREER_1_9","FARM_0_0")),IF(F902&gt;=1,IF(F902&lt;=3,"FARM_RECENT_1_3","FARM_RECENT_4_9"),"FARM_PREV_1_9_ONLY")))))))</x:f>
        <x:v>UNKNOWN_GP</x:v>
      </x:c>
      <x:c r="AF902" s="57" t="n">
        <x:f>AB902-T902</x:f>
        <x:v>0</x:v>
      </x:c>
      <x:c r="AG902" s="57" t="n">
        <x:f>AC902-U902</x:f>
        <x:v>0</x:v>
      </x:c>
    </x:row>
    <x:row r="903">
      <x:c r="A903" t="s">
        <x:v>1926</x:v>
      </x:c>
      <x:c r="C903" t="s">
        <x:v>339</x:v>
      </x:c>
      <x:c r="D903">
        <x:v>8486133</x:v>
      </x:c>
      <x:c r="E903" t="s">
        <x:v>267</x:v>
      </x:c>
      <x:c r="J903" t="s">
        <x:v>2474</x:v>
      </x:c>
      <x:c r="K903">
        <x:v>63</x:v>
      </x:c>
      <x:c r="L903">
        <x:v>35</x:v>
      </x:c>
      <x:c r="M903">
        <x:v>90</x:v>
      </x:c>
      <x:c r="N903">
        <x:v>36</x:v>
      </x:c>
      <x:c r="O903">
        <x:v>83</x:v>
      </x:c>
      <x:c r="P903">
        <x:v>68</x:v>
      </x:c>
      <x:c r="Q903">
        <x:v>71</x:v>
      </x:c>
      <x:c r="R903">
        <x:v>35</x:v>
      </x:c>
      <x:c r="S903">
        <x:v>67</x:v>
      </x:c>
      <x:c r="T903" s="63" t="n">
        <x:f>MAX(30,MIN(AB903-VLOOKUP(AE903,'AHL_PA_SC_BALANCE'!$A$8:$E$18,2,FALSE),VLOOKUP(AE903,'AHL_PA_SC_BALANCE'!$A$8:$E$18,4,FALSE)))</x:f>
        <x:v>38</x:v>
      </x:c>
      <x:c r="U903" s="63" t="n">
        <x:f>MAX(30,MIN(AC903-VLOOKUP(AE903,'AHL_PA_SC_BALANCE'!$A$8:$E$18,3,FALSE),VLOOKUP(AE903,'AHL_PA_SC_BALANCE'!$A$8:$E$18,5,FALSE)))</x:f>
        <x:v>39</x:v>
      </x:c>
      <x:c r="V903">
        <x:v>61</x:v>
      </x:c>
      <x:c r="W903">
        <x:v>56</x:v>
      </x:c>
      <x:c r="X903">
        <x:v>67</x:v>
      </x:c>
      <x:c r="Y903">
        <x:v>67</x:v>
      </x:c>
      <x:c r="Z903">
        <x:v>51</x:v>
      </x:c>
      <x:c r="AA903">
        <x:v>45</x:v>
      </x:c>
      <x:c r="AB903" s="57" t="n">
        <x:v>38</x:v>
      </x:c>
      <x:c r="AC903" s="57" t="n">
        <x:v>39</x:v>
      </x:c>
      <x:c r="AD903" s="59"/>
      <x:c r="AE903" s="61" t="str">
        <x:f>IF(N(F903)&gt;=10,"NHL_LATEST_10",IF(AND(N(F903)&gt;0,N(G903)&gt;0),"NHL_BOTH_SEASONS",IF(N(G903)&gt;=10,"NHL_PREVIOUS_10",IF(AND(ISNUMBER(AD903),AD903=0,SUM(F903:G903)=0),"FARM_CAREER_0",IF(COUNT(F903:G903)&lt;2,"UNKNOWN_GP",IF(AND(F903=0,G903=0),IF(AD903&gt;=10,"FARM_LEGACY_10",IF(AND(ISNUMBER(AD903),AD903&gt;0),"FARM_CAREER_1_9","FARM_0_0")),IF(F903&gt;=1,IF(F903&lt;=3,"FARM_RECENT_1_3","FARM_RECENT_4_9"),"FARM_PREV_1_9_ONLY")))))))</x:f>
        <x:v>UNKNOWN_GP</x:v>
      </x:c>
      <x:c r="AF903" s="57" t="n">
        <x:f>AB903-T903</x:f>
        <x:v>0</x:v>
      </x:c>
      <x:c r="AG903" s="57" t="n">
        <x:f>AC903-U903</x:f>
        <x:v>0</x:v>
      </x:c>
    </x:row>
    <x:row r="904">
      <x:c r="A904" t="s">
        <x:v>1927</x:v>
      </x:c>
      <x:c r="B904" t="s">
        <x:v>584</x:v>
      </x:c>
      <x:c r="C904" t="s">
        <x:v>323</x:v>
      </x:c>
      <x:c r="D904">
        <x:v>8481729</x:v>
      </x:c>
      <x:c r="E904" t="s">
        <x:v>267</x:v>
      </x:c>
      <x:c r="J904" t="s">
        <x:v>2476</x:v>
      </x:c>
      <x:c r="K904">
        <x:v>59</x:v>
      </x:c>
      <x:c r="L904">
        <x:v>32</x:v>
      </x:c>
      <x:c r="M904">
        <x:v>76</x:v>
      </x:c>
      <x:c r="N904">
        <x:v>36</x:v>
      </x:c>
      <x:c r="O904">
        <x:v>77</x:v>
      </x:c>
      <x:c r="P904">
        <x:v>72</x:v>
      </x:c>
      <x:c r="Q904">
        <x:v>73</x:v>
      </x:c>
      <x:c r="R904">
        <x:v>36</x:v>
      </x:c>
      <x:c r="S904">
        <x:v>75</x:v>
      </x:c>
      <x:c r="T904" s="63" t="n">
        <x:f>MAX(30,MIN(AB904-VLOOKUP(AE904,'AHL_PA_SC_BALANCE'!$A$8:$E$18,2,FALSE),VLOOKUP(AE904,'AHL_PA_SC_BALANCE'!$A$8:$E$18,4,FALSE)))</x:f>
        <x:v>39</x:v>
      </x:c>
      <x:c r="U904" s="63" t="n">
        <x:f>MAX(30,MIN(AC904-VLOOKUP(AE904,'AHL_PA_SC_BALANCE'!$A$8:$E$18,3,FALSE),VLOOKUP(AE904,'AHL_PA_SC_BALANCE'!$A$8:$E$18,5,FALSE)))</x:f>
        <x:v>39</x:v>
      </x:c>
      <x:c r="V904">
        <x:v>59</x:v>
      </x:c>
      <x:c r="W904">
        <x:v>57</x:v>
      </x:c>
      <x:c r="X904">
        <x:v>69</x:v>
      </x:c>
      <x:c r="Y904">
        <x:v>70</x:v>
      </x:c>
      <x:c r="Z904">
        <x:v>51</x:v>
      </x:c>
      <x:c r="AA904">
        <x:v>45</x:v>
      </x:c>
      <x:c r="AB904" s="57" t="n">
        <x:v>39</x:v>
      </x:c>
      <x:c r="AC904" s="57" t="n">
        <x:v>39</x:v>
      </x:c>
      <x:c r="AD904" s="59"/>
      <x:c r="AE904" s="61" t="str">
        <x:f>IF(N(F904)&gt;=10,"NHL_LATEST_10",IF(AND(N(F904)&gt;0,N(G904)&gt;0),"NHL_BOTH_SEASONS",IF(N(G904)&gt;=10,"NHL_PREVIOUS_10",IF(AND(ISNUMBER(AD904),AD904=0,SUM(F904:G904)=0),"FARM_CAREER_0",IF(COUNT(F904:G904)&lt;2,"UNKNOWN_GP",IF(AND(F904=0,G904=0),IF(AD904&gt;=10,"FARM_LEGACY_10",IF(AND(ISNUMBER(AD904),AD904&gt;0),"FARM_CAREER_1_9","FARM_0_0")),IF(F904&gt;=1,IF(F904&lt;=3,"FARM_RECENT_1_3","FARM_RECENT_4_9"),"FARM_PREV_1_9_ONLY")))))))</x:f>
        <x:v>UNKNOWN_GP</x:v>
      </x:c>
      <x:c r="AF904" s="57" t="n">
        <x:f>AB904-T904</x:f>
        <x:v>0</x:v>
      </x:c>
      <x:c r="AG904" s="57" t="n">
        <x:f>AC904-U904</x:f>
        <x:v>0</x:v>
      </x:c>
    </x:row>
    <x:row r="905">
      <x:c r="A905" t="s">
        <x:v>1928</x:v>
      </x:c>
      <x:c r="B905" t="s">
        <x:v>584</x:v>
      </x:c>
      <x:c r="C905" t="s">
        <x:v>329</x:v>
      </x:c>
      <x:c r="D905">
        <x:v>8486150</x:v>
      </x:c>
      <x:c r="E905" t="s">
        <x:v>267</x:v>
      </x:c>
      <x:c r="J905" t="s">
        <x:v>2476</x:v>
      </x:c>
      <x:c r="K905">
        <x:v>60</x:v>
      </x:c>
      <x:c r="L905">
        <x:v>31</x:v>
      </x:c>
      <x:c r="M905">
        <x:v>82</x:v>
      </x:c>
      <x:c r="N905">
        <x:v>36</x:v>
      </x:c>
      <x:c r="O905">
        <x:v>82</x:v>
      </x:c>
      <x:c r="P905">
        <x:v>70</x:v>
      </x:c>
      <x:c r="Q905">
        <x:v>73</x:v>
      </x:c>
      <x:c r="R905">
        <x:v>35</x:v>
      </x:c>
      <x:c r="S905">
        <x:v>58</x:v>
      </x:c>
      <x:c r="T905" s="63" t="n">
        <x:f>MAX(30,MIN(AB905-VLOOKUP(AE905,'AHL_PA_SC_BALANCE'!$A$8:$E$18,2,FALSE),VLOOKUP(AE905,'AHL_PA_SC_BALANCE'!$A$8:$E$18,4,FALSE)))</x:f>
        <x:v>38</x:v>
      </x:c>
      <x:c r="U905" s="63" t="n">
        <x:f>MAX(30,MIN(AC905-VLOOKUP(AE905,'AHL_PA_SC_BALANCE'!$A$8:$E$18,3,FALSE),VLOOKUP(AE905,'AHL_PA_SC_BALANCE'!$A$8:$E$18,5,FALSE)))</x:f>
        <x:v>39</x:v>
      </x:c>
      <x:c r="V905">
        <x:v>61</x:v>
      </x:c>
      <x:c r="W905">
        <x:v>56</x:v>
      </x:c>
      <x:c r="X905">
        <x:v>67</x:v>
      </x:c>
      <x:c r="Y905">
        <x:v>66</x:v>
      </x:c>
      <x:c r="Z905">
        <x:v>51</x:v>
      </x:c>
      <x:c r="AA905">
        <x:v>45</x:v>
      </x:c>
      <x:c r="AB905" s="57" t="n">
        <x:v>38</x:v>
      </x:c>
      <x:c r="AC905" s="57" t="n">
        <x:v>39</x:v>
      </x:c>
      <x:c r="AD905" s="59"/>
      <x:c r="AE905" s="61" t="str">
        <x:f>IF(N(F905)&gt;=10,"NHL_LATEST_10",IF(AND(N(F905)&gt;0,N(G905)&gt;0),"NHL_BOTH_SEASONS",IF(N(G905)&gt;=10,"NHL_PREVIOUS_10",IF(AND(ISNUMBER(AD905),AD905=0,SUM(F905:G905)=0),"FARM_CAREER_0",IF(COUNT(F905:G905)&lt;2,"UNKNOWN_GP",IF(AND(F905=0,G905=0),IF(AD905&gt;=10,"FARM_LEGACY_10",IF(AND(ISNUMBER(AD905),AD905&gt;0),"FARM_CAREER_1_9","FARM_0_0")),IF(F905&gt;=1,IF(F905&lt;=3,"FARM_RECENT_1_3","FARM_RECENT_4_9"),"FARM_PREV_1_9_ONLY")))))))</x:f>
        <x:v>UNKNOWN_GP</x:v>
      </x:c>
      <x:c r="AF905" s="57" t="n">
        <x:f>AB905-T905</x:f>
        <x:v>0</x:v>
      </x:c>
      <x:c r="AG905" s="57" t="n">
        <x:f>AC905-U905</x:f>
        <x:v>0</x:v>
      </x:c>
    </x:row>
    <x:row r="906">
      <x:c r="A906" t="s">
        <x:v>1929</x:v>
      </x:c>
      <x:c r="C906" t="s">
        <x:v>339</x:v>
      </x:c>
      <x:c r="D906">
        <x:v>8485504</x:v>
      </x:c>
      <x:c r="E906" t="s">
        <x:v>267</x:v>
      </x:c>
      <x:c r="J906" t="s">
        <x:v>2474</x:v>
      </x:c>
      <x:c r="K906">
        <x:v>70</x:v>
      </x:c>
      <x:c r="L906">
        <x:v>35</x:v>
      </x:c>
      <x:c r="M906">
        <x:v>78</x:v>
      </x:c>
      <x:c r="N906">
        <x:v>36</x:v>
      </x:c>
      <x:c r="O906">
        <x:v>78</x:v>
      </x:c>
      <x:c r="P906">
        <x:v>69</x:v>
      </x:c>
      <x:c r="Q906">
        <x:v>72</x:v>
      </x:c>
      <x:c r="R906">
        <x:v>35</x:v>
      </x:c>
      <x:c r="S906">
        <x:v>68</x:v>
      </x:c>
      <x:c r="T906" s="63" t="n">
        <x:f>MAX(30,MIN(AB906-VLOOKUP(AE906,'AHL_PA_SC_BALANCE'!$A$8:$E$18,2,FALSE),VLOOKUP(AE906,'AHL_PA_SC_BALANCE'!$A$8:$E$18,4,FALSE)))</x:f>
        <x:v>38</x:v>
      </x:c>
      <x:c r="U906" s="63" t="n">
        <x:f>MAX(30,MIN(AC906-VLOOKUP(AE906,'AHL_PA_SC_BALANCE'!$A$8:$E$18,3,FALSE),VLOOKUP(AE906,'AHL_PA_SC_BALANCE'!$A$8:$E$18,5,FALSE)))</x:f>
        <x:v>39</x:v>
      </x:c>
      <x:c r="V906">
        <x:v>59</x:v>
      </x:c>
      <x:c r="W906">
        <x:v>56</x:v>
      </x:c>
      <x:c r="X906">
        <x:v>69</x:v>
      </x:c>
      <x:c r="Y906">
        <x:v>70</x:v>
      </x:c>
      <x:c r="Z906">
        <x:v>51</x:v>
      </x:c>
      <x:c r="AA906">
        <x:v>45</x:v>
      </x:c>
      <x:c r="AB906" s="57" t="n">
        <x:v>38</x:v>
      </x:c>
      <x:c r="AC906" s="57" t="n">
        <x:v>39</x:v>
      </x:c>
      <x:c r="AD906" s="59"/>
      <x:c r="AE906" s="61" t="str">
        <x:f>IF(N(F906)&gt;=10,"NHL_LATEST_10",IF(AND(N(F906)&gt;0,N(G906)&gt;0),"NHL_BOTH_SEASONS",IF(N(G906)&gt;=10,"NHL_PREVIOUS_10",IF(AND(ISNUMBER(AD906),AD906=0,SUM(F906:G906)=0),"FARM_CAREER_0",IF(COUNT(F906:G906)&lt;2,"UNKNOWN_GP",IF(AND(F906=0,G906=0),IF(AD906&gt;=10,"FARM_LEGACY_10",IF(AND(ISNUMBER(AD906),AD906&gt;0),"FARM_CAREER_1_9","FARM_0_0")),IF(F906&gt;=1,IF(F906&lt;=3,"FARM_RECENT_1_3","FARM_RECENT_4_9"),"FARM_PREV_1_9_ONLY")))))))</x:f>
        <x:v>UNKNOWN_GP</x:v>
      </x:c>
      <x:c r="AF906" s="57" t="n">
        <x:f>AB906-T906</x:f>
        <x:v>0</x:v>
      </x:c>
      <x:c r="AG906" s="57" t="n">
        <x:f>AC906-U906</x:f>
        <x:v>0</x:v>
      </x:c>
    </x:row>
    <x:row r="907">
      <x:c r="A907" t="s">
        <x:v>1930</x:v>
      </x:c>
      <x:c r="B907" t="s">
        <x:v>584</x:v>
      </x:c>
      <x:c r="C907" t="s">
        <x:v>358</x:v>
      </x:c>
      <x:c r="D907">
        <x:v>8485558</x:v>
      </x:c>
      <x:c r="E907" t="s">
        <x:v>267</x:v>
      </x:c>
      <x:c r="J907" t="s">
        <x:v>2476</x:v>
      </x:c>
      <x:c r="K907">
        <x:v>62</x:v>
      </x:c>
      <x:c r="L907">
        <x:v>37</x:v>
      </x:c>
      <x:c r="M907">
        <x:v>91</x:v>
      </x:c>
      <x:c r="N907">
        <x:v>36</x:v>
      </x:c>
      <x:c r="O907">
        <x:v>82</x:v>
      </x:c>
      <x:c r="P907">
        <x:v>72</x:v>
      </x:c>
      <x:c r="Q907">
        <x:v>75</x:v>
      </x:c>
      <x:c r="R907">
        <x:v>35</x:v>
      </x:c>
      <x:c r="S907">
        <x:v>56</x:v>
      </x:c>
      <x:c r="T907" s="63" t="n">
        <x:f>MAX(30,MIN(AB907-VLOOKUP(AE907,'AHL_PA_SC_BALANCE'!$A$8:$E$18,2,FALSE),VLOOKUP(AE907,'AHL_PA_SC_BALANCE'!$A$8:$E$18,4,FALSE)))</x:f>
        <x:v>40</x:v>
      </x:c>
      <x:c r="U907" s="63" t="n">
        <x:f>MAX(30,MIN(AC907-VLOOKUP(AE907,'AHL_PA_SC_BALANCE'!$A$8:$E$18,3,FALSE),VLOOKUP(AE907,'AHL_PA_SC_BALANCE'!$A$8:$E$18,5,FALSE)))</x:f>
        <x:v>39</x:v>
      </x:c>
      <x:c r="V907">
        <x:v>59</x:v>
      </x:c>
      <x:c r="W907">
        <x:v>58</x:v>
      </x:c>
      <x:c r="X907">
        <x:v>67</x:v>
      </x:c>
      <x:c r="Y907">
        <x:v>67</x:v>
      </x:c>
      <x:c r="Z907">
        <x:v>51</x:v>
      </x:c>
      <x:c r="AA907">
        <x:v>45</x:v>
      </x:c>
      <x:c r="AB907" s="57" t="n">
        <x:v>40</x:v>
      </x:c>
      <x:c r="AC907" s="57" t="n">
        <x:v>39</x:v>
      </x:c>
      <x:c r="AD907" s="59"/>
      <x:c r="AE907" s="61" t="str">
        <x:f>IF(N(F907)&gt;=10,"NHL_LATEST_10",IF(AND(N(F907)&gt;0,N(G907)&gt;0),"NHL_BOTH_SEASONS",IF(N(G907)&gt;=10,"NHL_PREVIOUS_10",IF(AND(ISNUMBER(AD907),AD907=0,SUM(F907:G907)=0),"FARM_CAREER_0",IF(COUNT(F907:G907)&lt;2,"UNKNOWN_GP",IF(AND(F907=0,G907=0),IF(AD907&gt;=10,"FARM_LEGACY_10",IF(AND(ISNUMBER(AD907),AD907&gt;0),"FARM_CAREER_1_9","FARM_0_0")),IF(F907&gt;=1,IF(F907&lt;=3,"FARM_RECENT_1_3","FARM_RECENT_4_9"),"FARM_PREV_1_9_ONLY")))))))</x:f>
        <x:v>UNKNOWN_GP</x:v>
      </x:c>
      <x:c r="AF907" s="57" t="n">
        <x:f>AB907-T907</x:f>
        <x:v>0</x:v>
      </x:c>
      <x:c r="AG907" s="57" t="n">
        <x:f>AC907-U907</x:f>
        <x:v>0</x:v>
      </x:c>
    </x:row>
    <x:row r="908">
      <x:c r="A908" t="s">
        <x:v>1931</x:v>
      </x:c>
      <x:c r="B908" t="s">
        <x:v>584</x:v>
      </x:c>
      <x:c r="C908" t="s">
        <x:v>323</x:v>
      </x:c>
      <x:c r="D908">
        <x:v>8486173</x:v>
      </x:c>
      <x:c r="E908" t="s">
        <x:v>267</x:v>
      </x:c>
      <x:c r="J908" t="s">
        <x:v>2476</x:v>
      </x:c>
      <x:c r="K908">
        <x:v>58</x:v>
      </x:c>
      <x:c r="L908">
        <x:v>44</x:v>
      </x:c>
      <x:c r="M908">
        <x:v>91</x:v>
      </x:c>
      <x:c r="N908">
        <x:v>36</x:v>
      </x:c>
      <x:c r="O908">
        <x:v>85</x:v>
      </x:c>
      <x:c r="P908">
        <x:v>67</x:v>
      </x:c>
      <x:c r="Q908">
        <x:v>70</x:v>
      </x:c>
      <x:c r="R908">
        <x:v>37</x:v>
      </x:c>
      <x:c r="S908">
        <x:v>63</x:v>
      </x:c>
      <x:c r="T908" s="63" t="n">
        <x:f>MAX(30,MIN(AB908-VLOOKUP(AE908,'AHL_PA_SC_BALANCE'!$A$8:$E$18,2,FALSE),VLOOKUP(AE908,'AHL_PA_SC_BALANCE'!$A$8:$E$18,4,FALSE)))</x:f>
        <x:v>38</x:v>
      </x:c>
      <x:c r="U908" s="63" t="n">
        <x:f>MAX(30,MIN(AC908-VLOOKUP(AE908,'AHL_PA_SC_BALANCE'!$A$8:$E$18,3,FALSE),VLOOKUP(AE908,'AHL_PA_SC_BALANCE'!$A$8:$E$18,5,FALSE)))</x:f>
        <x:v>39</x:v>
      </x:c>
      <x:c r="V908">
        <x:v>61</x:v>
      </x:c>
      <x:c r="W908">
        <x:v>56</x:v>
      </x:c>
      <x:c r="X908">
        <x:v>67</x:v>
      </x:c>
      <x:c r="Y908">
        <x:v>68</x:v>
      </x:c>
      <x:c r="Z908">
        <x:v>51</x:v>
      </x:c>
      <x:c r="AA908">
        <x:v>45</x:v>
      </x:c>
      <x:c r="AB908" s="57" t="n">
        <x:v>38</x:v>
      </x:c>
      <x:c r="AC908" s="57" t="n">
        <x:v>39</x:v>
      </x:c>
      <x:c r="AD908" s="59"/>
      <x:c r="AE908" s="61" t="str">
        <x:f>IF(N(F908)&gt;=10,"NHL_LATEST_10",IF(AND(N(F908)&gt;0,N(G908)&gt;0),"NHL_BOTH_SEASONS",IF(N(G908)&gt;=10,"NHL_PREVIOUS_10",IF(AND(ISNUMBER(AD908),AD908=0,SUM(F908:G908)=0),"FARM_CAREER_0",IF(COUNT(F908:G908)&lt;2,"UNKNOWN_GP",IF(AND(F908=0,G908=0),IF(AD908&gt;=10,"FARM_LEGACY_10",IF(AND(ISNUMBER(AD908),AD908&gt;0),"FARM_CAREER_1_9","FARM_0_0")),IF(F908&gt;=1,IF(F908&lt;=3,"FARM_RECENT_1_3","FARM_RECENT_4_9"),"FARM_PREV_1_9_ONLY")))))))</x:f>
        <x:v>UNKNOWN_GP</x:v>
      </x:c>
      <x:c r="AF908" s="57" t="n">
        <x:f>AB908-T908</x:f>
        <x:v>0</x:v>
      </x:c>
      <x:c r="AG908" s="57" t="n">
        <x:f>AC908-U908</x:f>
        <x:v>0</x:v>
      </x:c>
    </x:row>
    <x:row r="909">
      <x:c r="A909" t="s">
        <x:v>1932</x:v>
      </x:c>
      <x:c r="C909" t="s">
        <x:v>358</x:v>
      </x:c>
      <x:c r="D909">
        <x:v>8483018</x:v>
      </x:c>
      <x:c r="E909" t="s">
        <x:v>267</x:v>
      </x:c>
      <x:c r="J909" t="s">
        <x:v>2474</x:v>
      </x:c>
      <x:c r="K909">
        <x:v>61</x:v>
      </x:c>
      <x:c r="L909">
        <x:v>35</x:v>
      </x:c>
      <x:c r="M909">
        <x:v>88</x:v>
      </x:c>
      <x:c r="N909">
        <x:v>36</x:v>
      </x:c>
      <x:c r="O909">
        <x:v>77</x:v>
      </x:c>
      <x:c r="P909">
        <x:v>70</x:v>
      </x:c>
      <x:c r="Q909">
        <x:v>72</x:v>
      </x:c>
      <x:c r="R909">
        <x:v>37</x:v>
      </x:c>
      <x:c r="S909">
        <x:v>71</x:v>
      </x:c>
      <x:c r="T909" s="63" t="n">
        <x:f>MAX(30,MIN(AB909-VLOOKUP(AE909,'AHL_PA_SC_BALANCE'!$A$8:$E$18,2,FALSE),VLOOKUP(AE909,'AHL_PA_SC_BALANCE'!$A$8:$E$18,4,FALSE)))</x:f>
        <x:v>39</x:v>
      </x:c>
      <x:c r="U909" s="63" t="n">
        <x:f>MAX(30,MIN(AC909-VLOOKUP(AE909,'AHL_PA_SC_BALANCE'!$A$8:$E$18,3,FALSE),VLOOKUP(AE909,'AHL_PA_SC_BALANCE'!$A$8:$E$18,5,FALSE)))</x:f>
        <x:v>39</x:v>
      </x:c>
      <x:c r="V909">
        <x:v>59</x:v>
      </x:c>
      <x:c r="W909">
        <x:v>57</x:v>
      </x:c>
      <x:c r="X909">
        <x:v>68</x:v>
      </x:c>
      <x:c r="Y909">
        <x:v>68</x:v>
      </x:c>
      <x:c r="Z909">
        <x:v>51</x:v>
      </x:c>
      <x:c r="AA909">
        <x:v>45</x:v>
      </x:c>
      <x:c r="AB909" s="57" t="n">
        <x:v>39</x:v>
      </x:c>
      <x:c r="AC909" s="57" t="n">
        <x:v>39</x:v>
      </x:c>
      <x:c r="AD909" s="59"/>
      <x:c r="AE909" s="61" t="str">
        <x:f>IF(N(F909)&gt;=10,"NHL_LATEST_10",IF(AND(N(F909)&gt;0,N(G909)&gt;0),"NHL_BOTH_SEASONS",IF(N(G909)&gt;=10,"NHL_PREVIOUS_10",IF(AND(ISNUMBER(AD909),AD909=0,SUM(F909:G909)=0),"FARM_CAREER_0",IF(COUNT(F909:G909)&lt;2,"UNKNOWN_GP",IF(AND(F909=0,G909=0),IF(AD909&gt;=10,"FARM_LEGACY_10",IF(AND(ISNUMBER(AD909),AD909&gt;0),"FARM_CAREER_1_9","FARM_0_0")),IF(F909&gt;=1,IF(F909&lt;=3,"FARM_RECENT_1_3","FARM_RECENT_4_9"),"FARM_PREV_1_9_ONLY")))))))</x:f>
        <x:v>UNKNOWN_GP</x:v>
      </x:c>
      <x:c r="AF909" s="57" t="n">
        <x:f>AB909-T909</x:f>
        <x:v>0</x:v>
      </x:c>
      <x:c r="AG909" s="57" t="n">
        <x:f>AC909-U909</x:f>
        <x:v>0</x:v>
      </x:c>
    </x:row>
    <x:row r="910">
      <x:c r="A910" t="s">
        <x:v>1933</x:v>
      </x:c>
      <x:c r="B910" t="s">
        <x:v>584</x:v>
      </x:c>
      <x:c r="C910" t="s">
        <x:v>333</x:v>
      </x:c>
      <x:c r="D910">
        <x:v>8483658</x:v>
      </x:c>
      <x:c r="E910" t="s">
        <x:v>267</x:v>
      </x:c>
      <x:c r="J910" t="s">
        <x:v>2476</x:v>
      </x:c>
      <x:c r="K910">
        <x:v>62</x:v>
      </x:c>
      <x:c r="L910">
        <x:v>34</x:v>
      </x:c>
      <x:c r="M910">
        <x:v>82</x:v>
      </x:c>
      <x:c r="N910">
        <x:v>36</x:v>
      </x:c>
      <x:c r="O910">
        <x:v>79</x:v>
      </x:c>
      <x:c r="P910">
        <x:v>70</x:v>
      </x:c>
      <x:c r="Q910">
        <x:v>73</x:v>
      </x:c>
      <x:c r="R910">
        <x:v>37</x:v>
      </x:c>
      <x:c r="S910">
        <x:v>69</x:v>
      </x:c>
      <x:c r="T910" s="63" t="n">
        <x:f>MAX(30,MIN(AB910-VLOOKUP(AE910,'AHL_PA_SC_BALANCE'!$A$8:$E$18,2,FALSE),VLOOKUP(AE910,'AHL_PA_SC_BALANCE'!$A$8:$E$18,4,FALSE)))</x:f>
        <x:v>38</x:v>
      </x:c>
      <x:c r="U910" s="63" t="n">
        <x:f>MAX(30,MIN(AC910-VLOOKUP(AE910,'AHL_PA_SC_BALANCE'!$A$8:$E$18,3,FALSE),VLOOKUP(AE910,'AHL_PA_SC_BALANCE'!$A$8:$E$18,5,FALSE)))</x:f>
        <x:v>39</x:v>
      </x:c>
      <x:c r="V910">
        <x:v>59</x:v>
      </x:c>
      <x:c r="W910">
        <x:v>56</x:v>
      </x:c>
      <x:c r="X910">
        <x:v>67</x:v>
      </x:c>
      <x:c r="Y910">
        <x:v>68</x:v>
      </x:c>
      <x:c r="Z910">
        <x:v>51</x:v>
      </x:c>
      <x:c r="AA910">
        <x:v>45</x:v>
      </x:c>
      <x:c r="AB910" s="57" t="n">
        <x:v>38</x:v>
      </x:c>
      <x:c r="AC910" s="57" t="n">
        <x:v>39</x:v>
      </x:c>
      <x:c r="AD910" s="59"/>
      <x:c r="AE910" s="61" t="str">
        <x:f>IF(N(F910)&gt;=10,"NHL_LATEST_10",IF(AND(N(F910)&gt;0,N(G910)&gt;0),"NHL_BOTH_SEASONS",IF(N(G910)&gt;=10,"NHL_PREVIOUS_10",IF(AND(ISNUMBER(AD910),AD910=0,SUM(F910:G910)=0),"FARM_CAREER_0",IF(COUNT(F910:G910)&lt;2,"UNKNOWN_GP",IF(AND(F910=0,G910=0),IF(AD910&gt;=10,"FARM_LEGACY_10",IF(AND(ISNUMBER(AD910),AD910&gt;0),"FARM_CAREER_1_9","FARM_0_0")),IF(F910&gt;=1,IF(F910&lt;=3,"FARM_RECENT_1_3","FARM_RECENT_4_9"),"FARM_PREV_1_9_ONLY")))))))</x:f>
        <x:v>UNKNOWN_GP</x:v>
      </x:c>
      <x:c r="AF910" s="57" t="n">
        <x:f>AB910-T910</x:f>
        <x:v>0</x:v>
      </x:c>
      <x:c r="AG910" s="57" t="n">
        <x:f>AC910-U910</x:f>
        <x:v>0</x:v>
      </x:c>
    </x:row>
    <x:row r="911">
      <x:c r="A911" t="s">
        <x:v>1934</x:v>
      </x:c>
      <x:c r="C911" t="s">
        <x:v>329</x:v>
      </x:c>
      <x:c r="D911">
        <x:v>8484942</x:v>
      </x:c>
      <x:c r="E911" t="s">
        <x:v>267</x:v>
      </x:c>
      <x:c r="J911" t="s">
        <x:v>2474</x:v>
      </x:c>
      <x:c r="K911">
        <x:v>60</x:v>
      </x:c>
      <x:c r="L911">
        <x:v>33</x:v>
      </x:c>
      <x:c r="M911">
        <x:v>82</x:v>
      </x:c>
      <x:c r="N911">
        <x:v>36</x:v>
      </x:c>
      <x:c r="O911">
        <x:v>78</x:v>
      </x:c>
      <x:c r="P911">
        <x:v>72</x:v>
      </x:c>
      <x:c r="Q911">
        <x:v>74</x:v>
      </x:c>
      <x:c r="R911">
        <x:v>36</x:v>
      </x:c>
      <x:c r="S911">
        <x:v>59</x:v>
      </x:c>
      <x:c r="T911" s="63" t="n">
        <x:f>MAX(30,MIN(AB911-VLOOKUP(AE911,'AHL_PA_SC_BALANCE'!$A$8:$E$18,2,FALSE),VLOOKUP(AE911,'AHL_PA_SC_BALANCE'!$A$8:$E$18,4,FALSE)))</x:f>
        <x:v>39</x:v>
      </x:c>
      <x:c r="U911" s="63" t="n">
        <x:f>MAX(30,MIN(AC911-VLOOKUP(AE911,'AHL_PA_SC_BALANCE'!$A$8:$E$18,3,FALSE),VLOOKUP(AE911,'AHL_PA_SC_BALANCE'!$A$8:$E$18,5,FALSE)))</x:f>
        <x:v>39</x:v>
      </x:c>
      <x:c r="V911">
        <x:v>58</x:v>
      </x:c>
      <x:c r="W911">
        <x:v>57</x:v>
      </x:c>
      <x:c r="X911">
        <x:v>69</x:v>
      </x:c>
      <x:c r="Y911">
        <x:v>70</x:v>
      </x:c>
      <x:c r="Z911">
        <x:v>51</x:v>
      </x:c>
      <x:c r="AA911">
        <x:v>45</x:v>
      </x:c>
      <x:c r="AB911" s="57" t="n">
        <x:v>39</x:v>
      </x:c>
      <x:c r="AC911" s="57" t="n">
        <x:v>39</x:v>
      </x:c>
      <x:c r="AD911" s="59"/>
      <x:c r="AE911" s="61" t="str">
        <x:f>IF(N(F911)&gt;=10,"NHL_LATEST_10",IF(AND(N(F911)&gt;0,N(G911)&gt;0),"NHL_BOTH_SEASONS",IF(N(G911)&gt;=10,"NHL_PREVIOUS_10",IF(AND(ISNUMBER(AD911),AD911=0,SUM(F911:G911)=0),"FARM_CAREER_0",IF(COUNT(F911:G911)&lt;2,"UNKNOWN_GP",IF(AND(F911=0,G911=0),IF(AD911&gt;=10,"FARM_LEGACY_10",IF(AND(ISNUMBER(AD911),AD911&gt;0),"FARM_CAREER_1_9","FARM_0_0")),IF(F911&gt;=1,IF(F911&lt;=3,"FARM_RECENT_1_3","FARM_RECENT_4_9"),"FARM_PREV_1_9_ONLY")))))))</x:f>
        <x:v>UNKNOWN_GP</x:v>
      </x:c>
      <x:c r="AF911" s="57" t="n">
        <x:f>AB911-T911</x:f>
        <x:v>0</x:v>
      </x:c>
      <x:c r="AG911" s="57" t="n">
        <x:f>AC911-U911</x:f>
        <x:v>0</x:v>
      </x:c>
    </x:row>
    <x:row r="912">
      <x:c r="A912" t="s">
        <x:v>1935</x:v>
      </x:c>
      <x:c r="C912" t="s">
        <x:v>319</x:v>
      </x:c>
      <x:c r="D912">
        <x:v>8484184</x:v>
      </x:c>
      <x:c r="E912" t="s">
        <x:v>267</x:v>
      </x:c>
      <x:c r="J912" t="s">
        <x:v>2474</x:v>
      </x:c>
      <x:c r="K912">
        <x:v>61</x:v>
      </x:c>
      <x:c r="L912">
        <x:v>39</x:v>
      </x:c>
      <x:c r="M912">
        <x:v>84</x:v>
      </x:c>
      <x:c r="N912">
        <x:v>36</x:v>
      </x:c>
      <x:c r="O912">
        <x:v>81</x:v>
      </x:c>
      <x:c r="P912">
        <x:v>78</x:v>
      </x:c>
      <x:c r="Q912">
        <x:v>82</x:v>
      </x:c>
      <x:c r="R912">
        <x:v>36</x:v>
      </x:c>
      <x:c r="S912">
        <x:v>69</x:v>
      </x:c>
      <x:c r="T912" s="63" t="n">
        <x:f>MAX(30,MIN(AB912-VLOOKUP(AE912,'AHL_PA_SC_BALANCE'!$A$8:$E$18,2,FALSE),VLOOKUP(AE912,'AHL_PA_SC_BALANCE'!$A$8:$E$18,4,FALSE)))</x:f>
        <x:v>40</x:v>
      </x:c>
      <x:c r="U912" s="63" t="n">
        <x:f>MAX(30,MIN(AC912-VLOOKUP(AE912,'AHL_PA_SC_BALANCE'!$A$8:$E$18,3,FALSE),VLOOKUP(AE912,'AHL_PA_SC_BALANCE'!$A$8:$E$18,5,FALSE)))</x:f>
        <x:v>40</x:v>
      </x:c>
      <x:c r="V912">
        <x:v>58</x:v>
      </x:c>
      <x:c r="W912">
        <x:v>58</x:v>
      </x:c>
      <x:c r="X912">
        <x:v>64</x:v>
      </x:c>
      <x:c r="Y912">
        <x:v>69</x:v>
      </x:c>
      <x:c r="Z912">
        <x:v>51</x:v>
      </x:c>
      <x:c r="AA912">
        <x:v>45</x:v>
      </x:c>
      <x:c r="AB912" s="57" t="n">
        <x:v>40</x:v>
      </x:c>
      <x:c r="AC912" s="57" t="n">
        <x:v>40</x:v>
      </x:c>
      <x:c r="AD912" s="59"/>
      <x:c r="AE912" s="61" t="str">
        <x:f>IF(N(F912)&gt;=10,"NHL_LATEST_10",IF(AND(N(F912)&gt;0,N(G912)&gt;0),"NHL_BOTH_SEASONS",IF(N(G912)&gt;=10,"NHL_PREVIOUS_10",IF(AND(ISNUMBER(AD912),AD912=0,SUM(F912:G912)=0),"FARM_CAREER_0",IF(COUNT(F912:G912)&lt;2,"UNKNOWN_GP",IF(AND(F912=0,G912=0),IF(AD912&gt;=10,"FARM_LEGACY_10",IF(AND(ISNUMBER(AD912),AD912&gt;0),"FARM_CAREER_1_9","FARM_0_0")),IF(F912&gt;=1,IF(F912&lt;=3,"FARM_RECENT_1_3","FARM_RECENT_4_9"),"FARM_PREV_1_9_ONLY")))))))</x:f>
        <x:v>UNKNOWN_GP</x:v>
      </x:c>
      <x:c r="AF912" s="57" t="n">
        <x:f>AB912-T912</x:f>
        <x:v>0</x:v>
      </x:c>
      <x:c r="AG912" s="57" t="n">
        <x:f>AC912-U912</x:f>
        <x:v>0</x:v>
      </x:c>
    </x:row>
    <x:row r="913">
      <x:c r="A913" t="s">
        <x:v>1936</x:v>
      </x:c>
      <x:c r="C913" t="s">
        <x:v>319</x:v>
      </x:c>
      <x:c r="D913">
        <x:v>8482960</x:v>
      </x:c>
      <x:c r="E913" t="s">
        <x:v>267</x:v>
      </x:c>
      <x:c r="J913" t="s">
        <x:v>2474</x:v>
      </x:c>
      <x:c r="K913">
        <x:v>59</x:v>
      </x:c>
      <x:c r="L913">
        <x:v>32</x:v>
      </x:c>
      <x:c r="M913">
        <x:v>88</x:v>
      </x:c>
      <x:c r="N913">
        <x:v>36</x:v>
      </x:c>
      <x:c r="O913">
        <x:v>82</x:v>
      </x:c>
      <x:c r="P913">
        <x:v>73</x:v>
      </x:c>
      <x:c r="Q913">
        <x:v>75</x:v>
      </x:c>
      <x:c r="R913">
        <x:v>35</x:v>
      </x:c>
      <x:c r="S913">
        <x:v>82</x:v>
      </x:c>
      <x:c r="T913" s="63" t="n">
        <x:f>MAX(30,MIN(AB913-VLOOKUP(AE913,'AHL_PA_SC_BALANCE'!$A$8:$E$18,2,FALSE),VLOOKUP(AE913,'AHL_PA_SC_BALANCE'!$A$8:$E$18,4,FALSE)))</x:f>
        <x:v>39</x:v>
      </x:c>
      <x:c r="U913" s="63" t="n">
        <x:f>MAX(30,MIN(AC913-VLOOKUP(AE913,'AHL_PA_SC_BALANCE'!$A$8:$E$18,3,FALSE),VLOOKUP(AE913,'AHL_PA_SC_BALANCE'!$A$8:$E$18,5,FALSE)))</x:f>
        <x:v>39</x:v>
      </x:c>
      <x:c r="V913">
        <x:v>59</x:v>
      </x:c>
      <x:c r="W913">
        <x:v>57</x:v>
      </x:c>
      <x:c r="X913">
        <x:v>67</x:v>
      </x:c>
      <x:c r="Y913">
        <x:v>68</x:v>
      </x:c>
      <x:c r="Z913">
        <x:v>51</x:v>
      </x:c>
      <x:c r="AA913">
        <x:v>45</x:v>
      </x:c>
      <x:c r="AB913" s="57" t="n">
        <x:v>39</x:v>
      </x:c>
      <x:c r="AC913" s="57" t="n">
        <x:v>39</x:v>
      </x:c>
      <x:c r="AD913" s="59"/>
      <x:c r="AE913" s="61" t="str">
        <x:f>IF(N(F913)&gt;=10,"NHL_LATEST_10",IF(AND(N(F913)&gt;0,N(G913)&gt;0),"NHL_BOTH_SEASONS",IF(N(G913)&gt;=10,"NHL_PREVIOUS_10",IF(AND(ISNUMBER(AD913),AD913=0,SUM(F913:G913)=0),"FARM_CAREER_0",IF(COUNT(F913:G913)&lt;2,"UNKNOWN_GP",IF(AND(F913=0,G913=0),IF(AD913&gt;=10,"FARM_LEGACY_10",IF(AND(ISNUMBER(AD913),AD913&gt;0),"FARM_CAREER_1_9","FARM_0_0")),IF(F913&gt;=1,IF(F913&lt;=3,"FARM_RECENT_1_3","FARM_RECENT_4_9"),"FARM_PREV_1_9_ONLY")))))))</x:f>
        <x:v>UNKNOWN_GP</x:v>
      </x:c>
      <x:c r="AF913" s="57" t="n">
        <x:f>AB913-T913</x:f>
        <x:v>0</x:v>
      </x:c>
      <x:c r="AG913" s="57" t="n">
        <x:f>AC913-U913</x:f>
        <x:v>0</x:v>
      </x:c>
    </x:row>
    <x:row r="914">
      <x:c r="A914" t="s">
        <x:v>1937</x:v>
      </x:c>
      <x:c r="B914" t="s">
        <x:v>584</x:v>
      </x:c>
      <x:c r="C914" t="s">
        <x:v>326</x:v>
      </x:c>
      <x:c r="D914">
        <x:v>8481756</x:v>
      </x:c>
      <x:c r="E914" t="s">
        <x:v>267</x:v>
      </x:c>
      <x:c r="J914" t="s">
        <x:v>2476</x:v>
      </x:c>
      <x:c r="K914">
        <x:v>60</x:v>
      </x:c>
      <x:c r="L914">
        <x:v>35</x:v>
      </x:c>
      <x:c r="M914">
        <x:v>85</x:v>
      </x:c>
      <x:c r="N914">
        <x:v>36</x:v>
      </x:c>
      <x:c r="O914">
        <x:v>78</x:v>
      </x:c>
      <x:c r="P914">
        <x:v>75</x:v>
      </x:c>
      <x:c r="Q914">
        <x:v>76</x:v>
      </x:c>
      <x:c r="R914">
        <x:v>37</x:v>
      </x:c>
      <x:c r="S914">
        <x:v>55</x:v>
      </x:c>
      <x:c r="T914" s="63" t="n">
        <x:f>MAX(30,MIN(AB914-VLOOKUP(AE914,'AHL_PA_SC_BALANCE'!$A$8:$E$18,2,FALSE),VLOOKUP(AE914,'AHL_PA_SC_BALANCE'!$A$8:$E$18,4,FALSE)))</x:f>
        <x:v>39</x:v>
      </x:c>
      <x:c r="U914" s="63" t="n">
        <x:f>MAX(30,MIN(AC914-VLOOKUP(AE914,'AHL_PA_SC_BALANCE'!$A$8:$E$18,3,FALSE),VLOOKUP(AE914,'AHL_PA_SC_BALANCE'!$A$8:$E$18,5,FALSE)))</x:f>
        <x:v>39</x:v>
      </x:c>
      <x:c r="V914">
        <x:v>57</x:v>
      </x:c>
      <x:c r="W914">
        <x:v>57</x:v>
      </x:c>
      <x:c r="X914">
        <x:v>69</x:v>
      </x:c>
      <x:c r="Y914">
        <x:v>69</x:v>
      </x:c>
      <x:c r="Z914">
        <x:v>51</x:v>
      </x:c>
      <x:c r="AA914">
        <x:v>45</x:v>
      </x:c>
      <x:c r="AB914" s="57" t="n">
        <x:v>39</x:v>
      </x:c>
      <x:c r="AC914" s="57" t="n">
        <x:v>39</x:v>
      </x:c>
      <x:c r="AD914" s="59"/>
      <x:c r="AE914" s="61" t="str">
        <x:f>IF(N(F914)&gt;=10,"NHL_LATEST_10",IF(AND(N(F914)&gt;0,N(G914)&gt;0),"NHL_BOTH_SEASONS",IF(N(G914)&gt;=10,"NHL_PREVIOUS_10",IF(AND(ISNUMBER(AD914),AD914=0,SUM(F914:G914)=0),"FARM_CAREER_0",IF(COUNT(F914:G914)&lt;2,"UNKNOWN_GP",IF(AND(F914=0,G914=0),IF(AD914&gt;=10,"FARM_LEGACY_10",IF(AND(ISNUMBER(AD914),AD914&gt;0),"FARM_CAREER_1_9","FARM_0_0")),IF(F914&gt;=1,IF(F914&lt;=3,"FARM_RECENT_1_3","FARM_RECENT_4_9"),"FARM_PREV_1_9_ONLY")))))))</x:f>
        <x:v>UNKNOWN_GP</x:v>
      </x:c>
      <x:c r="AF914" s="57" t="n">
        <x:f>AB914-T914</x:f>
        <x:v>0</x:v>
      </x:c>
      <x:c r="AG914" s="57" t="n">
        <x:f>AC914-U914</x:f>
        <x:v>0</x:v>
      </x:c>
    </x:row>
    <x:row r="915">
      <x:c r="A915" t="s">
        <x:v>1938</x:v>
      </x:c>
      <x:c r="C915" t="s">
        <x:v>326</x:v>
      </x:c>
      <x:c r="D915">
        <x:v>8485906</x:v>
      </x:c>
      <x:c r="E915" t="s">
        <x:v>267</x:v>
      </x:c>
      <x:c r="J915" t="s">
        <x:v>2474</x:v>
      </x:c>
      <x:c r="K915">
        <x:v>58</x:v>
      </x:c>
      <x:c r="L915">
        <x:v>40</x:v>
      </x:c>
      <x:c r="M915">
        <x:v>89</x:v>
      </x:c>
      <x:c r="N915">
        <x:v>36</x:v>
      </x:c>
      <x:c r="O915">
        <x:v>83</x:v>
      </x:c>
      <x:c r="P915">
        <x:v>67</x:v>
      </x:c>
      <x:c r="Q915">
        <x:v>70</x:v>
      </x:c>
      <x:c r="R915">
        <x:v>36</x:v>
      </x:c>
      <x:c r="S915">
        <x:v>58</x:v>
      </x:c>
      <x:c r="T915" s="63" t="n">
        <x:f>MAX(30,MIN(AB915-VLOOKUP(AE915,'AHL_PA_SC_BALANCE'!$A$8:$E$18,2,FALSE),VLOOKUP(AE915,'AHL_PA_SC_BALANCE'!$A$8:$E$18,4,FALSE)))</x:f>
        <x:v>38</x:v>
      </x:c>
      <x:c r="U915" s="63" t="n">
        <x:f>MAX(30,MIN(AC915-VLOOKUP(AE915,'AHL_PA_SC_BALANCE'!$A$8:$E$18,3,FALSE),VLOOKUP(AE915,'AHL_PA_SC_BALANCE'!$A$8:$E$18,5,FALSE)))</x:f>
        <x:v>39</x:v>
      </x:c>
      <x:c r="V915">
        <x:v>58</x:v>
      </x:c>
      <x:c r="W915">
        <x:v>56</x:v>
      </x:c>
      <x:c r="X915">
        <x:v>68</x:v>
      </x:c>
      <x:c r="Y915">
        <x:v>68</x:v>
      </x:c>
      <x:c r="Z915">
        <x:v>51</x:v>
      </x:c>
      <x:c r="AA915">
        <x:v>45</x:v>
      </x:c>
      <x:c r="AB915" s="57" t="n">
        <x:v>38</x:v>
      </x:c>
      <x:c r="AC915" s="57" t="n">
        <x:v>39</x:v>
      </x:c>
      <x:c r="AD915" s="59"/>
      <x:c r="AE915" s="61" t="str">
        <x:f>IF(N(F915)&gt;=10,"NHL_LATEST_10",IF(AND(N(F915)&gt;0,N(G915)&gt;0),"NHL_BOTH_SEASONS",IF(N(G915)&gt;=10,"NHL_PREVIOUS_10",IF(AND(ISNUMBER(AD915),AD915=0,SUM(F915:G915)=0),"FARM_CAREER_0",IF(COUNT(F915:G915)&lt;2,"UNKNOWN_GP",IF(AND(F915=0,G915=0),IF(AD915&gt;=10,"FARM_LEGACY_10",IF(AND(ISNUMBER(AD915),AD915&gt;0),"FARM_CAREER_1_9","FARM_0_0")),IF(F915&gt;=1,IF(F915&lt;=3,"FARM_RECENT_1_3","FARM_RECENT_4_9"),"FARM_PREV_1_9_ONLY")))))))</x:f>
        <x:v>UNKNOWN_GP</x:v>
      </x:c>
      <x:c r="AF915" s="57" t="n">
        <x:f>AB915-T915</x:f>
        <x:v>0</x:v>
      </x:c>
      <x:c r="AG915" s="57" t="n">
        <x:f>AC915-U915</x:f>
        <x:v>0</x:v>
      </x:c>
    </x:row>
    <x:row r="916">
      <x:c r="A916" t="s">
        <x:v>1939</x:v>
      </x:c>
      <x:c r="C916" t="s">
        <x:v>319</x:v>
      </x:c>
      <x:c r="D916">
        <x:v>8484491</x:v>
      </x:c>
      <x:c r="E916" t="s">
        <x:v>267</x:v>
      </x:c>
      <x:c r="J916" t="s">
        <x:v>2474</x:v>
      </x:c>
      <x:c r="K916">
        <x:v>59</x:v>
      </x:c>
      <x:c r="L916">
        <x:v>37</x:v>
      </x:c>
      <x:c r="M916">
        <x:v>83</x:v>
      </x:c>
      <x:c r="N916">
        <x:v>36</x:v>
      </x:c>
      <x:c r="O916">
        <x:v>79</x:v>
      </x:c>
      <x:c r="P916">
        <x:v>75</x:v>
      </x:c>
      <x:c r="Q916">
        <x:v>78</x:v>
      </x:c>
      <x:c r="R916">
        <x:v>36</x:v>
      </x:c>
      <x:c r="S916">
        <x:v>65</x:v>
      </x:c>
      <x:c r="T916" s="63" t="n">
        <x:f>MAX(30,MIN(AB916-VLOOKUP(AE916,'AHL_PA_SC_BALANCE'!$A$8:$E$18,2,FALSE),VLOOKUP(AE916,'AHL_PA_SC_BALANCE'!$A$8:$E$18,4,FALSE)))</x:f>
        <x:v>39</x:v>
      </x:c>
      <x:c r="U916" s="63" t="n">
        <x:f>MAX(30,MIN(AC916-VLOOKUP(AE916,'AHL_PA_SC_BALANCE'!$A$8:$E$18,3,FALSE),VLOOKUP(AE916,'AHL_PA_SC_BALANCE'!$A$8:$E$18,5,FALSE)))</x:f>
        <x:v>39</x:v>
      </x:c>
      <x:c r="V916">
        <x:v>58</x:v>
      </x:c>
      <x:c r="W916">
        <x:v>57</x:v>
      </x:c>
      <x:c r="X916">
        <x:v>65</x:v>
      </x:c>
      <x:c r="Y916">
        <x:v>65</x:v>
      </x:c>
      <x:c r="Z916">
        <x:v>51</x:v>
      </x:c>
      <x:c r="AA916">
        <x:v>45</x:v>
      </x:c>
      <x:c r="AB916" s="57" t="n">
        <x:v>39</x:v>
      </x:c>
      <x:c r="AC916" s="57" t="n">
        <x:v>39</x:v>
      </x:c>
      <x:c r="AD916" s="59"/>
      <x:c r="AE916" s="61" t="str">
        <x:f>IF(N(F916)&gt;=10,"NHL_LATEST_10",IF(AND(N(F916)&gt;0,N(G916)&gt;0),"NHL_BOTH_SEASONS",IF(N(G916)&gt;=10,"NHL_PREVIOUS_10",IF(AND(ISNUMBER(AD916),AD916=0,SUM(F916:G916)=0),"FARM_CAREER_0",IF(COUNT(F916:G916)&lt;2,"UNKNOWN_GP",IF(AND(F916=0,G916=0),IF(AD916&gt;=10,"FARM_LEGACY_10",IF(AND(ISNUMBER(AD916),AD916&gt;0),"FARM_CAREER_1_9","FARM_0_0")),IF(F916&gt;=1,IF(F916&lt;=3,"FARM_RECENT_1_3","FARM_RECENT_4_9"),"FARM_PREV_1_9_ONLY")))))))</x:f>
        <x:v>UNKNOWN_GP</x:v>
      </x:c>
      <x:c r="AF916" s="57" t="n">
        <x:f>AB916-T916</x:f>
        <x:v>0</x:v>
      </x:c>
      <x:c r="AG916" s="57" t="n">
        <x:f>AC916-U916</x:f>
        <x:v>0</x:v>
      </x:c>
    </x:row>
    <x:row r="917">
      <x:c r="A917" t="s">
        <x:v>1940</x:v>
      </x:c>
      <x:c r="B917" t="s">
        <x:v>584</x:v>
      </x:c>
      <x:c r="C917" t="s">
        <x:v>329</x:v>
      </x:c>
      <x:c r="D917">
        <x:v>8486140</x:v>
      </x:c>
      <x:c r="E917" t="s">
        <x:v>267</x:v>
      </x:c>
      <x:c r="J917" t="s">
        <x:v>2476</x:v>
      </x:c>
      <x:c r="K917">
        <x:v>62</x:v>
      </x:c>
      <x:c r="L917">
        <x:v>34</x:v>
      </x:c>
      <x:c r="M917">
        <x:v>89</x:v>
      </x:c>
      <x:c r="N917">
        <x:v>36</x:v>
      </x:c>
      <x:c r="O917">
        <x:v>81</x:v>
      </x:c>
      <x:c r="P917">
        <x:v>68</x:v>
      </x:c>
      <x:c r="Q917">
        <x:v>71</x:v>
      </x:c>
      <x:c r="R917">
        <x:v>37</x:v>
      </x:c>
      <x:c r="S917">
        <x:v>62</x:v>
      </x:c>
      <x:c r="T917" s="63" t="n">
        <x:f>MAX(30,MIN(AB917-VLOOKUP(AE917,'AHL_PA_SC_BALANCE'!$A$8:$E$18,2,FALSE),VLOOKUP(AE917,'AHL_PA_SC_BALANCE'!$A$8:$E$18,4,FALSE)))</x:f>
        <x:v>38</x:v>
      </x:c>
      <x:c r="U917" s="63" t="n">
        <x:f>MAX(30,MIN(AC917-VLOOKUP(AE917,'AHL_PA_SC_BALANCE'!$A$8:$E$18,3,FALSE),VLOOKUP(AE917,'AHL_PA_SC_BALANCE'!$A$8:$E$18,5,FALSE)))</x:f>
        <x:v>39</x:v>
      </x:c>
      <x:c r="V917">
        <x:v>59</x:v>
      </x:c>
      <x:c r="W917">
        <x:v>56</x:v>
      </x:c>
      <x:c r="X917">
        <x:v>67</x:v>
      </x:c>
      <x:c r="Y917">
        <x:v>67</x:v>
      </x:c>
      <x:c r="Z917">
        <x:v>51</x:v>
      </x:c>
      <x:c r="AA917">
        <x:v>45</x:v>
      </x:c>
      <x:c r="AB917" s="57" t="n">
        <x:v>38</x:v>
      </x:c>
      <x:c r="AC917" s="57" t="n">
        <x:v>39</x:v>
      </x:c>
      <x:c r="AD917" s="59"/>
      <x:c r="AE917" s="61" t="str">
        <x:f>IF(N(F917)&gt;=10,"NHL_LATEST_10",IF(AND(N(F917)&gt;0,N(G917)&gt;0),"NHL_BOTH_SEASONS",IF(N(G917)&gt;=10,"NHL_PREVIOUS_10",IF(AND(ISNUMBER(AD917),AD917=0,SUM(F917:G917)=0),"FARM_CAREER_0",IF(COUNT(F917:G917)&lt;2,"UNKNOWN_GP",IF(AND(F917=0,G917=0),IF(AD917&gt;=10,"FARM_LEGACY_10",IF(AND(ISNUMBER(AD917),AD917&gt;0),"FARM_CAREER_1_9","FARM_0_0")),IF(F917&gt;=1,IF(F917&lt;=3,"FARM_RECENT_1_3","FARM_RECENT_4_9"),"FARM_PREV_1_9_ONLY")))))))</x:f>
        <x:v>UNKNOWN_GP</x:v>
      </x:c>
      <x:c r="AF917" s="57" t="n">
        <x:f>AB917-T917</x:f>
        <x:v>0</x:v>
      </x:c>
      <x:c r="AG917" s="57" t="n">
        <x:f>AC917-U917</x:f>
        <x:v>0</x:v>
      </x:c>
    </x:row>
    <x:row r="918">
      <x:c r="A918" t="s">
        <x:v>1941</x:v>
      </x:c>
      <x:c r="C918" t="s">
        <x:v>326</x:v>
      </x:c>
      <x:c r="D918">
        <x:v>8485487</x:v>
      </x:c>
      <x:c r="E918" t="s">
        <x:v>267</x:v>
      </x:c>
      <x:c r="J918" t="s">
        <x:v>2474</x:v>
      </x:c>
      <x:c r="K918">
        <x:v>77</x:v>
      </x:c>
      <x:c r="L918">
        <x:v>41</x:v>
      </x:c>
      <x:c r="M918">
        <x:v>82</x:v>
      </x:c>
      <x:c r="N918">
        <x:v>31</x:v>
      </x:c>
      <x:c r="O918">
        <x:v>81</x:v>
      </x:c>
      <x:c r="P918">
        <x:v>74</x:v>
      </x:c>
      <x:c r="Q918">
        <x:v>77</x:v>
      </x:c>
      <x:c r="R918">
        <x:v>31</x:v>
      </x:c>
      <x:c r="S918">
        <x:v>30</x:v>
      </x:c>
      <x:c r="T918" s="63" t="n">
        <x:f>MAX(30,MIN(AB918-VLOOKUP(AE918,'AHL_PA_SC_BALANCE'!$A$8:$E$18,2,FALSE),VLOOKUP(AE918,'AHL_PA_SC_BALANCE'!$A$8:$E$18,4,FALSE)))</x:f>
        <x:v>40</x:v>
      </x:c>
      <x:c r="U918" s="63" t="n">
        <x:f>MAX(30,MIN(AC918-VLOOKUP(AE918,'AHL_PA_SC_BALANCE'!$A$8:$E$18,3,FALSE),VLOOKUP(AE918,'AHL_PA_SC_BALANCE'!$A$8:$E$18,5,FALSE)))</x:f>
        <x:v>39</x:v>
      </x:c>
      <x:c r="V918">
        <x:v>63</x:v>
      </x:c>
      <x:c r="W918">
        <x:v>45</x:v>
      </x:c>
      <x:c r="X918">
        <x:v>69</x:v>
      </x:c>
      <x:c r="Y918">
        <x:v>68</x:v>
      </x:c>
      <x:c r="Z918">
        <x:v>51</x:v>
      </x:c>
      <x:c r="AA918">
        <x:v>45</x:v>
      </x:c>
      <x:c r="AB918" s="57" t="n">
        <x:v>40</x:v>
      </x:c>
      <x:c r="AC918" s="57" t="n">
        <x:v>39</x:v>
      </x:c>
      <x:c r="AD918" s="59"/>
      <x:c r="AE918" s="61" t="str">
        <x:f>IF(N(F918)&gt;=10,"NHL_LATEST_10",IF(AND(N(F918)&gt;0,N(G918)&gt;0),"NHL_BOTH_SEASONS",IF(N(G918)&gt;=10,"NHL_PREVIOUS_10",IF(AND(ISNUMBER(AD918),AD918=0,SUM(F918:G918)=0),"FARM_CAREER_0",IF(COUNT(F918:G918)&lt;2,"UNKNOWN_GP",IF(AND(F918=0,G918=0),IF(AD918&gt;=10,"FARM_LEGACY_10",IF(AND(ISNUMBER(AD918),AD918&gt;0),"FARM_CAREER_1_9","FARM_0_0")),IF(F918&gt;=1,IF(F918&lt;=3,"FARM_RECENT_1_3","FARM_RECENT_4_9"),"FARM_PREV_1_9_ONLY")))))))</x:f>
        <x:v>UNKNOWN_GP</x:v>
      </x:c>
      <x:c r="AF918" s="57" t="n">
        <x:f>AB918-T918</x:f>
        <x:v>0</x:v>
      </x:c>
      <x:c r="AG918" s="57" t="n">
        <x:f>AC918-U918</x:f>
        <x:v>0</x:v>
      </x:c>
    </x:row>
    <x:row r="919">
      <x:c r="A919" t="s">
        <x:v>1942</x:v>
      </x:c>
      <x:c r="C919" t="s">
        <x:v>333</x:v>
      </x:c>
      <x:c r="D919">
        <x:v>8486139</x:v>
      </x:c>
      <x:c r="E919" t="s">
        <x:v>267</x:v>
      </x:c>
      <x:c r="J919" t="s">
        <x:v>2474</x:v>
      </x:c>
      <x:c r="K919">
        <x:v>62</x:v>
      </x:c>
      <x:c r="L919">
        <x:v>42</x:v>
      </x:c>
      <x:c r="M919">
        <x:v>77</x:v>
      </x:c>
      <x:c r="N919">
        <x:v>36</x:v>
      </x:c>
      <x:c r="O919">
        <x:v>87</x:v>
      </x:c>
      <x:c r="P919">
        <x:v>70</x:v>
      </x:c>
      <x:c r="Q919">
        <x:v>73</x:v>
      </x:c>
      <x:c r="R919">
        <x:v>37</x:v>
      </x:c>
      <x:c r="S919">
        <x:v>69</x:v>
      </x:c>
      <x:c r="T919" s="63" t="n">
        <x:f>MAX(30,MIN(AB919-VLOOKUP(AE919,'AHL_PA_SC_BALANCE'!$A$8:$E$18,2,FALSE),VLOOKUP(AE919,'AHL_PA_SC_BALANCE'!$A$8:$E$18,4,FALSE)))</x:f>
        <x:v>38</x:v>
      </x:c>
      <x:c r="U919" s="63" t="n">
        <x:f>MAX(30,MIN(AC919-VLOOKUP(AE919,'AHL_PA_SC_BALANCE'!$A$8:$E$18,3,FALSE),VLOOKUP(AE919,'AHL_PA_SC_BALANCE'!$A$8:$E$18,5,FALSE)))</x:f>
        <x:v>39</x:v>
      </x:c>
      <x:c r="V919">
        <x:v>61</x:v>
      </x:c>
      <x:c r="W919">
        <x:v>56</x:v>
      </x:c>
      <x:c r="X919">
        <x:v>68</x:v>
      </x:c>
      <x:c r="Y919">
        <x:v>67</x:v>
      </x:c>
      <x:c r="Z919">
        <x:v>51</x:v>
      </x:c>
      <x:c r="AA919">
        <x:v>45</x:v>
      </x:c>
      <x:c r="AB919" s="57" t="n">
        <x:v>38</x:v>
      </x:c>
      <x:c r="AC919" s="57" t="n">
        <x:v>39</x:v>
      </x:c>
      <x:c r="AD919" s="59"/>
      <x:c r="AE919" s="61" t="str">
        <x:f>IF(N(F919)&gt;=10,"NHL_LATEST_10",IF(AND(N(F919)&gt;0,N(G919)&gt;0),"NHL_BOTH_SEASONS",IF(N(G919)&gt;=10,"NHL_PREVIOUS_10",IF(AND(ISNUMBER(AD919),AD919=0,SUM(F919:G919)=0),"FARM_CAREER_0",IF(COUNT(F919:G919)&lt;2,"UNKNOWN_GP",IF(AND(F919=0,G919=0),IF(AD919&gt;=10,"FARM_LEGACY_10",IF(AND(ISNUMBER(AD919),AD919&gt;0),"FARM_CAREER_1_9","FARM_0_0")),IF(F919&gt;=1,IF(F919&lt;=3,"FARM_RECENT_1_3","FARM_RECENT_4_9"),"FARM_PREV_1_9_ONLY")))))))</x:f>
        <x:v>UNKNOWN_GP</x:v>
      </x:c>
      <x:c r="AF919" s="57" t="n">
        <x:f>AB919-T919</x:f>
        <x:v>0</x:v>
      </x:c>
      <x:c r="AG919" s="57" t="n">
        <x:f>AC919-U919</x:f>
        <x:v>0</x:v>
      </x:c>
    </x:row>
    <x:row r="920">
      <x:c r="A920" t="s">
        <x:v>1943</x:v>
      </x:c>
      <x:c r="C920" t="s">
        <x:v>329</x:v>
      </x:c>
      <x:c r="D920">
        <x:v>8484124</x:v>
      </x:c>
      <x:c r="E920" t="s">
        <x:v>267</x:v>
      </x:c>
      <x:c r="J920" t="s">
        <x:v>2474</x:v>
      </x:c>
      <x:c r="K920">
        <x:v>60</x:v>
      </x:c>
      <x:c r="L920">
        <x:v>35</x:v>
      </x:c>
      <x:c r="M920">
        <x:v>82</x:v>
      </x:c>
      <x:c r="N920">
        <x:v>36</x:v>
      </x:c>
      <x:c r="O920">
        <x:v>78</x:v>
      </x:c>
      <x:c r="P920">
        <x:v>78</x:v>
      </x:c>
      <x:c r="Q920">
        <x:v>78</x:v>
      </x:c>
      <x:c r="R920">
        <x:v>36</x:v>
      </x:c>
      <x:c r="S920">
        <x:v>58</x:v>
      </x:c>
      <x:c r="T920" s="63" t="n">
        <x:f>MAX(30,MIN(AB920-VLOOKUP(AE920,'AHL_PA_SC_BALANCE'!$A$8:$E$18,2,FALSE),VLOOKUP(AE920,'AHL_PA_SC_BALANCE'!$A$8:$E$18,4,FALSE)))</x:f>
        <x:v>39</x:v>
      </x:c>
      <x:c r="U920" s="63" t="n">
        <x:f>MAX(30,MIN(AC920-VLOOKUP(AE920,'AHL_PA_SC_BALANCE'!$A$8:$E$18,3,FALSE),VLOOKUP(AE920,'AHL_PA_SC_BALANCE'!$A$8:$E$18,5,FALSE)))</x:f>
        <x:v>40</x:v>
      </x:c>
      <x:c r="V920">
        <x:v>59</x:v>
      </x:c>
      <x:c r="W920">
        <x:v>58</x:v>
      </x:c>
      <x:c r="X920">
        <x:v>67</x:v>
      </x:c>
      <x:c r="Y920">
        <x:v>66</x:v>
      </x:c>
      <x:c r="Z920">
        <x:v>51</x:v>
      </x:c>
      <x:c r="AA920">
        <x:v>45</x:v>
      </x:c>
      <x:c r="AB920" s="57" t="n">
        <x:v>39</x:v>
      </x:c>
      <x:c r="AC920" s="57" t="n">
        <x:v>40</x:v>
      </x:c>
      <x:c r="AD920" s="59"/>
      <x:c r="AE920" s="61" t="str">
        <x:f>IF(N(F920)&gt;=10,"NHL_LATEST_10",IF(AND(N(F920)&gt;0,N(G920)&gt;0),"NHL_BOTH_SEASONS",IF(N(G920)&gt;=10,"NHL_PREVIOUS_10",IF(AND(ISNUMBER(AD920),AD920=0,SUM(F920:G920)=0),"FARM_CAREER_0",IF(COUNT(F920:G920)&lt;2,"UNKNOWN_GP",IF(AND(F920=0,G920=0),IF(AD920&gt;=10,"FARM_LEGACY_10",IF(AND(ISNUMBER(AD920),AD920&gt;0),"FARM_CAREER_1_9","FARM_0_0")),IF(F920&gt;=1,IF(F920&lt;=3,"FARM_RECENT_1_3","FARM_RECENT_4_9"),"FARM_PREV_1_9_ONLY")))))))</x:f>
        <x:v>UNKNOWN_GP</x:v>
      </x:c>
      <x:c r="AF920" s="57" t="n">
        <x:f>AB920-T920</x:f>
        <x:v>0</x:v>
      </x:c>
      <x:c r="AG920" s="57" t="n">
        <x:f>AC920-U920</x:f>
        <x:v>0</x:v>
      </x:c>
    </x:row>
    <x:row r="921">
      <x:c r="A921" t="s">
        <x:v>1944</x:v>
      </x:c>
      <x:c r="C921" t="s">
        <x:v>319</x:v>
      </x:c>
      <x:c r="D921">
        <x:v>8481057</x:v>
      </x:c>
      <x:c r="E921" t="s">
        <x:v>267</x:v>
      </x:c>
      <x:c r="J921" t="s">
        <x:v>2474</x:v>
      </x:c>
      <x:c r="K921">
        <x:v>63</x:v>
      </x:c>
      <x:c r="L921">
        <x:v>32</x:v>
      </x:c>
      <x:c r="M921">
        <x:v>84</x:v>
      </x:c>
      <x:c r="N921">
        <x:v>36</x:v>
      </x:c>
      <x:c r="O921">
        <x:v>78</x:v>
      </x:c>
      <x:c r="P921">
        <x:v>73</x:v>
      </x:c>
      <x:c r="Q921">
        <x:v>75</x:v>
      </x:c>
      <x:c r="R921">
        <x:v>36</x:v>
      </x:c>
      <x:c r="S921">
        <x:v>70</x:v>
      </x:c>
      <x:c r="T921" s="63" t="n">
        <x:f>MAX(30,MIN(AB921-VLOOKUP(AE921,'AHL_PA_SC_BALANCE'!$A$8:$E$18,2,FALSE),VLOOKUP(AE921,'AHL_PA_SC_BALANCE'!$A$8:$E$18,4,FALSE)))</x:f>
        <x:v>38</x:v>
      </x:c>
      <x:c r="U921" s="63" t="n">
        <x:f>MAX(30,MIN(AC921-VLOOKUP(AE921,'AHL_PA_SC_BALANCE'!$A$8:$E$18,3,FALSE),VLOOKUP(AE921,'AHL_PA_SC_BALANCE'!$A$8:$E$18,5,FALSE)))</x:f>
        <x:v>40</x:v>
      </x:c>
      <x:c r="V921">
        <x:v>58</x:v>
      </x:c>
      <x:c r="W921">
        <x:v>57</x:v>
      </x:c>
      <x:c r="X921">
        <x:v>69</x:v>
      </x:c>
      <x:c r="Y921">
        <x:v>69</x:v>
      </x:c>
      <x:c r="Z921">
        <x:v>51</x:v>
      </x:c>
      <x:c r="AA921">
        <x:v>45</x:v>
      </x:c>
      <x:c r="AB921" s="57" t="n">
        <x:v>38</x:v>
      </x:c>
      <x:c r="AC921" s="57" t="n">
        <x:v>40</x:v>
      </x:c>
      <x:c r="AD921" s="59"/>
      <x:c r="AE921" s="61" t="str">
        <x:f>IF(N(F921)&gt;=10,"NHL_LATEST_10",IF(AND(N(F921)&gt;0,N(G921)&gt;0),"NHL_BOTH_SEASONS",IF(N(G921)&gt;=10,"NHL_PREVIOUS_10",IF(AND(ISNUMBER(AD921),AD921=0,SUM(F921:G921)=0),"FARM_CAREER_0",IF(COUNT(F921:G921)&lt;2,"UNKNOWN_GP",IF(AND(F921=0,G921=0),IF(AD921&gt;=10,"FARM_LEGACY_10",IF(AND(ISNUMBER(AD921),AD921&gt;0),"FARM_CAREER_1_9","FARM_0_0")),IF(F921&gt;=1,IF(F921&lt;=3,"FARM_RECENT_1_3","FARM_RECENT_4_9"),"FARM_PREV_1_9_ONLY")))))))</x:f>
        <x:v>UNKNOWN_GP</x:v>
      </x:c>
      <x:c r="AF921" s="57" t="n">
        <x:f>AB921-T921</x:f>
        <x:v>0</x:v>
      </x:c>
      <x:c r="AG921" s="57" t="n">
        <x:f>AC921-U921</x:f>
        <x:v>0</x:v>
      </x:c>
    </x:row>
    <x:row r="922">
      <x:c r="A922" t="s">
        <x:v>1945</x:v>
      </x:c>
      <x:c r="C922" t="s">
        <x:v>339</x:v>
      </x:c>
      <x:c r="D922">
        <x:v>8486174</x:v>
      </x:c>
      <x:c r="E922" t="s">
        <x:v>267</x:v>
      </x:c>
      <x:c r="J922" t="s">
        <x:v>2474</x:v>
      </x:c>
      <x:c r="K922">
        <x:v>61</x:v>
      </x:c>
      <x:c r="L922">
        <x:v>34</x:v>
      </x:c>
      <x:c r="M922">
        <x:v>91</x:v>
      </x:c>
      <x:c r="N922">
        <x:v>36</x:v>
      </x:c>
      <x:c r="O922">
        <x:v>80</x:v>
      </x:c>
      <x:c r="P922">
        <x:v>68</x:v>
      </x:c>
      <x:c r="Q922">
        <x:v>71</x:v>
      </x:c>
      <x:c r="R922">
        <x:v>36</x:v>
      </x:c>
      <x:c r="S922">
        <x:v>67</x:v>
      </x:c>
      <x:c r="T922" s="63" t="n">
        <x:f>MAX(30,MIN(AB922-VLOOKUP(AE922,'AHL_PA_SC_BALANCE'!$A$8:$E$18,2,FALSE),VLOOKUP(AE922,'AHL_PA_SC_BALANCE'!$A$8:$E$18,4,FALSE)))</x:f>
        <x:v>38</x:v>
      </x:c>
      <x:c r="U922" s="63" t="n">
        <x:f>MAX(30,MIN(AC922-VLOOKUP(AE922,'AHL_PA_SC_BALANCE'!$A$8:$E$18,3,FALSE),VLOOKUP(AE922,'AHL_PA_SC_BALANCE'!$A$8:$E$18,5,FALSE)))</x:f>
        <x:v>39</x:v>
      </x:c>
      <x:c r="V922">
        <x:v>58</x:v>
      </x:c>
      <x:c r="W922">
        <x:v>56</x:v>
      </x:c>
      <x:c r="X922">
        <x:v>66</x:v>
      </x:c>
      <x:c r="Y922">
        <x:v>66</x:v>
      </x:c>
      <x:c r="Z922">
        <x:v>51</x:v>
      </x:c>
      <x:c r="AA922">
        <x:v>45</x:v>
      </x:c>
      <x:c r="AB922" s="57" t="n">
        <x:v>38</x:v>
      </x:c>
      <x:c r="AC922" s="57" t="n">
        <x:v>39</x:v>
      </x:c>
      <x:c r="AD922" s="59"/>
      <x:c r="AE922" s="61" t="str">
        <x:f>IF(N(F922)&gt;=10,"NHL_LATEST_10",IF(AND(N(F922)&gt;0,N(G922)&gt;0),"NHL_BOTH_SEASONS",IF(N(G922)&gt;=10,"NHL_PREVIOUS_10",IF(AND(ISNUMBER(AD922),AD922=0,SUM(F922:G922)=0),"FARM_CAREER_0",IF(COUNT(F922:G922)&lt;2,"UNKNOWN_GP",IF(AND(F922=0,G922=0),IF(AD922&gt;=10,"FARM_LEGACY_10",IF(AND(ISNUMBER(AD922),AD922&gt;0),"FARM_CAREER_1_9","FARM_0_0")),IF(F922&gt;=1,IF(F922&lt;=3,"FARM_RECENT_1_3","FARM_RECENT_4_9"),"FARM_PREV_1_9_ONLY")))))))</x:f>
        <x:v>UNKNOWN_GP</x:v>
      </x:c>
      <x:c r="AF922" s="57" t="n">
        <x:f>AB922-T922</x:f>
        <x:v>0</x:v>
      </x:c>
      <x:c r="AG922" s="57" t="n">
        <x:f>AC922-U922</x:f>
        <x:v>0</x:v>
      </x:c>
    </x:row>
    <x:row r="923">
      <x:c r="A923" t="s">
        <x:v>1946</x:v>
      </x:c>
      <x:c r="C923" t="s">
        <x:v>323</x:v>
      </x:c>
      <x:c r="D923">
        <x:v>8482218</x:v>
      </x:c>
      <x:c r="E923" t="s">
        <x:v>267</x:v>
      </x:c>
      <x:c r="J923" t="s">
        <x:v>2474</x:v>
      </x:c>
      <x:c r="K923">
        <x:v>64</x:v>
      </x:c>
      <x:c r="L923">
        <x:v>33</x:v>
      </x:c>
      <x:c r="M923">
        <x:v>77</x:v>
      </x:c>
      <x:c r="N923">
        <x:v>36</x:v>
      </x:c>
      <x:c r="O923">
        <x:v>81</x:v>
      </x:c>
      <x:c r="P923">
        <x:v>68</x:v>
      </x:c>
      <x:c r="Q923">
        <x:v>71</x:v>
      </x:c>
      <x:c r="R923">
        <x:v>37</x:v>
      </x:c>
      <x:c r="S923">
        <x:v>65</x:v>
      </x:c>
      <x:c r="T923" s="63" t="n">
        <x:f>MAX(30,MIN(AB923-VLOOKUP(AE923,'AHL_PA_SC_BALANCE'!$A$8:$E$18,2,FALSE),VLOOKUP(AE923,'AHL_PA_SC_BALANCE'!$A$8:$E$18,4,FALSE)))</x:f>
        <x:v>38</x:v>
      </x:c>
      <x:c r="U923" s="63" t="n">
        <x:f>MAX(30,MIN(AC923-VLOOKUP(AE923,'AHL_PA_SC_BALANCE'!$A$8:$E$18,3,FALSE),VLOOKUP(AE923,'AHL_PA_SC_BALANCE'!$A$8:$E$18,5,FALSE)))</x:f>
        <x:v>39</x:v>
      </x:c>
      <x:c r="V923">
        <x:v>59</x:v>
      </x:c>
      <x:c r="W923">
        <x:v>56</x:v>
      </x:c>
      <x:c r="X923">
        <x:v>66</x:v>
      </x:c>
      <x:c r="Y923">
        <x:v>65</x:v>
      </x:c>
      <x:c r="Z923">
        <x:v>51</x:v>
      </x:c>
      <x:c r="AA923">
        <x:v>45</x:v>
      </x:c>
      <x:c r="AB923" s="57" t="n">
        <x:v>38</x:v>
      </x:c>
      <x:c r="AC923" s="57" t="n">
        <x:v>39</x:v>
      </x:c>
      <x:c r="AD923" s="59"/>
      <x:c r="AE923" s="61" t="str">
        <x:f>IF(N(F923)&gt;=10,"NHL_LATEST_10",IF(AND(N(F923)&gt;0,N(G923)&gt;0),"NHL_BOTH_SEASONS",IF(N(G923)&gt;=10,"NHL_PREVIOUS_10",IF(AND(ISNUMBER(AD923),AD923=0,SUM(F923:G923)=0),"FARM_CAREER_0",IF(COUNT(F923:G923)&lt;2,"UNKNOWN_GP",IF(AND(F923=0,G923=0),IF(AD923&gt;=10,"FARM_LEGACY_10",IF(AND(ISNUMBER(AD923),AD923&gt;0),"FARM_CAREER_1_9","FARM_0_0")),IF(F923&gt;=1,IF(F923&lt;=3,"FARM_RECENT_1_3","FARM_RECENT_4_9"),"FARM_PREV_1_9_ONLY")))))))</x:f>
        <x:v>UNKNOWN_GP</x:v>
      </x:c>
      <x:c r="AF923" s="57" t="n">
        <x:f>AB923-T923</x:f>
        <x:v>0</x:v>
      </x:c>
      <x:c r="AG923" s="57" t="n">
        <x:f>AC923-U923</x:f>
        <x:v>0</x:v>
      </x:c>
    </x:row>
    <x:row r="924">
      <x:c r="A924" t="s">
        <x:v>1947</x:v>
      </x:c>
      <x:c r="B924" t="s">
        <x:v>584</x:v>
      </x:c>
      <x:c r="C924" t="s">
        <x:v>339</x:v>
      </x:c>
      <x:c r="D924">
        <x:v>8484276</x:v>
      </x:c>
      <x:c r="E924" t="s">
        <x:v>267</x:v>
      </x:c>
      <x:c r="J924" t="s">
        <x:v>2476</x:v>
      </x:c>
      <x:c r="K924">
        <x:v>57</x:v>
      </x:c>
      <x:c r="L924">
        <x:v>35</x:v>
      </x:c>
      <x:c r="M924">
        <x:v>90</x:v>
      </x:c>
      <x:c r="N924">
        <x:v>36</x:v>
      </x:c>
      <x:c r="O924">
        <x:v>82</x:v>
      </x:c>
      <x:c r="P924">
        <x:v>72</x:v>
      </x:c>
      <x:c r="Q924">
        <x:v>74</x:v>
      </x:c>
      <x:c r="R924">
        <x:v>36</x:v>
      </x:c>
      <x:c r="S924">
        <x:v>71</x:v>
      </x:c>
      <x:c r="T924" s="63" t="n">
        <x:f>MAX(30,MIN(AB924-VLOOKUP(AE924,'AHL_PA_SC_BALANCE'!$A$8:$E$18,2,FALSE),VLOOKUP(AE924,'AHL_PA_SC_BALANCE'!$A$8:$E$18,4,FALSE)))</x:f>
        <x:v>39</x:v>
      </x:c>
      <x:c r="U924" s="63" t="n">
        <x:f>MAX(30,MIN(AC924-VLOOKUP(AE924,'AHL_PA_SC_BALANCE'!$A$8:$E$18,3,FALSE),VLOOKUP(AE924,'AHL_PA_SC_BALANCE'!$A$8:$E$18,5,FALSE)))</x:f>
        <x:v>39</x:v>
      </x:c>
      <x:c r="V924">
        <x:v>57</x:v>
      </x:c>
      <x:c r="W924">
        <x:v>57</x:v>
      </x:c>
      <x:c r="X924">
        <x:v>69</x:v>
      </x:c>
      <x:c r="Y924">
        <x:v>68</x:v>
      </x:c>
      <x:c r="Z924">
        <x:v>51</x:v>
      </x:c>
      <x:c r="AA924">
        <x:v>45</x:v>
      </x:c>
      <x:c r="AB924" s="57" t="n">
        <x:v>39</x:v>
      </x:c>
      <x:c r="AC924" s="57" t="n">
        <x:v>39</x:v>
      </x:c>
      <x:c r="AD924" s="59"/>
      <x:c r="AE924" s="61" t="str">
        <x:f>IF(N(F924)&gt;=10,"NHL_LATEST_10",IF(AND(N(F924)&gt;0,N(G924)&gt;0),"NHL_BOTH_SEASONS",IF(N(G924)&gt;=10,"NHL_PREVIOUS_10",IF(AND(ISNUMBER(AD924),AD924=0,SUM(F924:G924)=0),"FARM_CAREER_0",IF(COUNT(F924:G924)&lt;2,"UNKNOWN_GP",IF(AND(F924=0,G924=0),IF(AD924&gt;=10,"FARM_LEGACY_10",IF(AND(ISNUMBER(AD924),AD924&gt;0),"FARM_CAREER_1_9","FARM_0_0")),IF(F924&gt;=1,IF(F924&lt;=3,"FARM_RECENT_1_3","FARM_RECENT_4_9"),"FARM_PREV_1_9_ONLY")))))))</x:f>
        <x:v>UNKNOWN_GP</x:v>
      </x:c>
      <x:c r="AF924" s="57" t="n">
        <x:f>AB924-T924</x:f>
        <x:v>0</x:v>
      </x:c>
      <x:c r="AG924" s="57" t="n">
        <x:f>AC924-U924</x:f>
        <x:v>0</x:v>
      </x:c>
    </x:row>
    <x:row r="925">
      <x:c r="A925" t="s">
        <x:v>1948</x:v>
      </x:c>
      <x:c r="C925" t="s">
        <x:v>358</x:v>
      </x:c>
      <x:c r="D925">
        <x:v>8482868</x:v>
      </x:c>
      <x:c r="E925" t="s">
        <x:v>267</x:v>
      </x:c>
      <x:c r="J925" t="s">
        <x:v>2474</x:v>
      </x:c>
      <x:c r="K925">
        <x:v>63</x:v>
      </x:c>
      <x:c r="L925">
        <x:v>37</x:v>
      </x:c>
      <x:c r="M925">
        <x:v>94</x:v>
      </x:c>
      <x:c r="N925">
        <x:v>36</x:v>
      </x:c>
      <x:c r="O925">
        <x:v>79</x:v>
      </x:c>
      <x:c r="P925">
        <x:v>79</x:v>
      </x:c>
      <x:c r="Q925">
        <x:v>83</x:v>
      </x:c>
      <x:c r="R925">
        <x:v>36</x:v>
      </x:c>
      <x:c r="S925">
        <x:v>60</x:v>
      </x:c>
      <x:c r="T925" s="63" t="n">
        <x:f>MAX(30,MIN(AB925-VLOOKUP(AE925,'AHL_PA_SC_BALANCE'!$A$8:$E$18,2,FALSE),VLOOKUP(AE925,'AHL_PA_SC_BALANCE'!$A$8:$E$18,4,FALSE)))</x:f>
        <x:v>39</x:v>
      </x:c>
      <x:c r="U925" s="63" t="n">
        <x:f>MAX(30,MIN(AC925-VLOOKUP(AE925,'AHL_PA_SC_BALANCE'!$A$8:$E$18,3,FALSE),VLOOKUP(AE925,'AHL_PA_SC_BALANCE'!$A$8:$E$18,5,FALSE)))</x:f>
        <x:v>40</x:v>
      </x:c>
      <x:c r="V925">
        <x:v>61</x:v>
      </x:c>
      <x:c r="W925">
        <x:v>58</x:v>
      </x:c>
      <x:c r="X925">
        <x:v>65</x:v>
      </x:c>
      <x:c r="Y925">
        <x:v>64</x:v>
      </x:c>
      <x:c r="Z925">
        <x:v>51</x:v>
      </x:c>
      <x:c r="AA925">
        <x:v>45</x:v>
      </x:c>
      <x:c r="AB925" s="57" t="n">
        <x:v>39</x:v>
      </x:c>
      <x:c r="AC925" s="57" t="n">
        <x:v>40</x:v>
      </x:c>
      <x:c r="AD925" s="59"/>
      <x:c r="AE925" s="61" t="str">
        <x:f>IF(N(F925)&gt;=10,"NHL_LATEST_10",IF(AND(N(F925)&gt;0,N(G925)&gt;0),"NHL_BOTH_SEASONS",IF(N(G925)&gt;=10,"NHL_PREVIOUS_10",IF(AND(ISNUMBER(AD925),AD925=0,SUM(F925:G925)=0),"FARM_CAREER_0",IF(COUNT(F925:G925)&lt;2,"UNKNOWN_GP",IF(AND(F925=0,G925=0),IF(AD925&gt;=10,"FARM_LEGACY_10",IF(AND(ISNUMBER(AD925),AD925&gt;0),"FARM_CAREER_1_9","FARM_0_0")),IF(F925&gt;=1,IF(F925&lt;=3,"FARM_RECENT_1_3","FARM_RECENT_4_9"),"FARM_PREV_1_9_ONLY")))))))</x:f>
        <x:v>UNKNOWN_GP</x:v>
      </x:c>
      <x:c r="AF925" s="57" t="n">
        <x:f>AB925-T925</x:f>
        <x:v>0</x:v>
      </x:c>
      <x:c r="AG925" s="57" t="n">
        <x:f>AC925-U925</x:f>
        <x:v>0</x:v>
      </x:c>
    </x:row>
    <x:row r="926">
      <x:c r="A926" t="s">
        <x:v>1949</x:v>
      </x:c>
      <x:c r="C926" t="s">
        <x:v>329</x:v>
      </x:c>
      <x:c r="D926">
        <x:v>8486144</x:v>
      </x:c>
      <x:c r="E926" t="s">
        <x:v>267</x:v>
      </x:c>
      <x:c r="J926" t="s">
        <x:v>2474</x:v>
      </x:c>
      <x:c r="K926">
        <x:v>64</x:v>
      </x:c>
      <x:c r="L926">
        <x:v>34</x:v>
      </x:c>
      <x:c r="M926">
        <x:v>82</x:v>
      </x:c>
      <x:c r="N926">
        <x:v>36</x:v>
      </x:c>
      <x:c r="O926">
        <x:v>80</x:v>
      </x:c>
      <x:c r="P926">
        <x:v>70</x:v>
      </x:c>
      <x:c r="Q926">
        <x:v>73</x:v>
      </x:c>
      <x:c r="R926">
        <x:v>37</x:v>
      </x:c>
      <x:c r="S926">
        <x:v>64</x:v>
      </x:c>
      <x:c r="T926" s="63" t="n">
        <x:f>MAX(30,MIN(AB926-VLOOKUP(AE926,'AHL_PA_SC_BALANCE'!$A$8:$E$18,2,FALSE),VLOOKUP(AE926,'AHL_PA_SC_BALANCE'!$A$8:$E$18,4,FALSE)))</x:f>
        <x:v>38</x:v>
      </x:c>
      <x:c r="U926" s="63" t="n">
        <x:f>MAX(30,MIN(AC926-VLOOKUP(AE926,'AHL_PA_SC_BALANCE'!$A$8:$E$18,3,FALSE),VLOOKUP(AE926,'AHL_PA_SC_BALANCE'!$A$8:$E$18,5,FALSE)))</x:f>
        <x:v>39</x:v>
      </x:c>
      <x:c r="V926">
        <x:v>62</x:v>
      </x:c>
      <x:c r="W926">
        <x:v>56</x:v>
      </x:c>
      <x:c r="X926">
        <x:v>66</x:v>
      </x:c>
      <x:c r="Y926">
        <x:v>66</x:v>
      </x:c>
      <x:c r="Z926">
        <x:v>51</x:v>
      </x:c>
      <x:c r="AA926">
        <x:v>45</x:v>
      </x:c>
      <x:c r="AB926" s="57" t="n">
        <x:v>38</x:v>
      </x:c>
      <x:c r="AC926" s="57" t="n">
        <x:v>39</x:v>
      </x:c>
      <x:c r="AD926" s="59"/>
      <x:c r="AE926" s="61" t="str">
        <x:f>IF(N(F926)&gt;=10,"NHL_LATEST_10",IF(AND(N(F926)&gt;0,N(G926)&gt;0),"NHL_BOTH_SEASONS",IF(N(G926)&gt;=10,"NHL_PREVIOUS_10",IF(AND(ISNUMBER(AD926),AD926=0,SUM(F926:G926)=0),"FARM_CAREER_0",IF(COUNT(F926:G926)&lt;2,"UNKNOWN_GP",IF(AND(F926=0,G926=0),IF(AD926&gt;=10,"FARM_LEGACY_10",IF(AND(ISNUMBER(AD926),AD926&gt;0),"FARM_CAREER_1_9","FARM_0_0")),IF(F926&gt;=1,IF(F926&lt;=3,"FARM_RECENT_1_3","FARM_RECENT_4_9"),"FARM_PREV_1_9_ONLY")))))))</x:f>
        <x:v>UNKNOWN_GP</x:v>
      </x:c>
      <x:c r="AF926" s="57" t="n">
        <x:f>AB926-T926</x:f>
        <x:v>0</x:v>
      </x:c>
      <x:c r="AG926" s="57" t="n">
        <x:f>AC926-U926</x:f>
        <x:v>0</x:v>
      </x:c>
    </x:row>
    <x:row r="927">
      <x:c r="A927" t="s">
        <x:v>1950</x:v>
      </x:c>
      <x:c r="C927" t="s">
        <x:v>323</x:v>
      </x:c>
      <x:c r="D927">
        <x:v>8483825</x:v>
      </x:c>
      <x:c r="E927" t="s">
        <x:v>267</x:v>
      </x:c>
      <x:c r="J927" t="s">
        <x:v>2474</x:v>
      </x:c>
      <x:c r="K927">
        <x:v>60</x:v>
      </x:c>
      <x:c r="L927">
        <x:v>33</x:v>
      </x:c>
      <x:c r="M927">
        <x:v>87</x:v>
      </x:c>
      <x:c r="N927">
        <x:v>36</x:v>
      </x:c>
      <x:c r="O927">
        <x:v>79</x:v>
      </x:c>
      <x:c r="P927">
        <x:v>71</x:v>
      </x:c>
      <x:c r="Q927">
        <x:v>74</x:v>
      </x:c>
      <x:c r="R927">
        <x:v>37</x:v>
      </x:c>
      <x:c r="S927">
        <x:v>67</x:v>
      </x:c>
      <x:c r="T927" s="63" t="n">
        <x:f>MAX(30,MIN(AB927-VLOOKUP(AE927,'AHL_PA_SC_BALANCE'!$A$8:$E$18,2,FALSE),VLOOKUP(AE927,'AHL_PA_SC_BALANCE'!$A$8:$E$18,4,FALSE)))</x:f>
        <x:v>39</x:v>
      </x:c>
      <x:c r="U927" s="63" t="n">
        <x:f>MAX(30,MIN(AC927-VLOOKUP(AE927,'AHL_PA_SC_BALANCE'!$A$8:$E$18,3,FALSE),VLOOKUP(AE927,'AHL_PA_SC_BALANCE'!$A$8:$E$18,5,FALSE)))</x:f>
        <x:v>39</x:v>
      </x:c>
      <x:c r="V927">
        <x:v>58</x:v>
      </x:c>
      <x:c r="W927">
        <x:v>57</x:v>
      </x:c>
      <x:c r="X927">
        <x:v>66</x:v>
      </x:c>
      <x:c r="Y927">
        <x:v>67</x:v>
      </x:c>
      <x:c r="Z927">
        <x:v>51</x:v>
      </x:c>
      <x:c r="AA927">
        <x:v>45</x:v>
      </x:c>
      <x:c r="AB927" s="57" t="n">
        <x:v>39</x:v>
      </x:c>
      <x:c r="AC927" s="57" t="n">
        <x:v>39</x:v>
      </x:c>
      <x:c r="AD927" s="59"/>
      <x:c r="AE927" s="61" t="str">
        <x:f>IF(N(F927)&gt;=10,"NHL_LATEST_10",IF(AND(N(F927)&gt;0,N(G927)&gt;0),"NHL_BOTH_SEASONS",IF(N(G927)&gt;=10,"NHL_PREVIOUS_10",IF(AND(ISNUMBER(AD927),AD927=0,SUM(F927:G927)=0),"FARM_CAREER_0",IF(COUNT(F927:G927)&lt;2,"UNKNOWN_GP",IF(AND(F927=0,G927=0),IF(AD927&gt;=10,"FARM_LEGACY_10",IF(AND(ISNUMBER(AD927),AD927&gt;0),"FARM_CAREER_1_9","FARM_0_0")),IF(F927&gt;=1,IF(F927&lt;=3,"FARM_RECENT_1_3","FARM_RECENT_4_9"),"FARM_PREV_1_9_ONLY")))))))</x:f>
        <x:v>UNKNOWN_GP</x:v>
      </x:c>
      <x:c r="AF927" s="57" t="n">
        <x:f>AB927-T927</x:f>
        <x:v>0</x:v>
      </x:c>
      <x:c r="AG927" s="57" t="n">
        <x:f>AC927-U927</x:f>
        <x:v>0</x:v>
      </x:c>
    </x:row>
    <x:row r="928">
      <x:c r="A928" t="s">
        <x:v>1951</x:v>
      </x:c>
      <x:c r="C928" t="s">
        <x:v>358</x:v>
      </x:c>
      <x:c r="D928">
        <x:v>8484299</x:v>
      </x:c>
      <x:c r="E928" t="s">
        <x:v>267</x:v>
      </x:c>
      <x:c r="J928" t="s">
        <x:v>2474</x:v>
      </x:c>
      <x:c r="K928">
        <x:v>64</x:v>
      </x:c>
      <x:c r="L928">
        <x:v>37</x:v>
      </x:c>
      <x:c r="M928">
        <x:v>80</x:v>
      </x:c>
      <x:c r="N928">
        <x:v>30</x:v>
      </x:c>
      <x:c r="O928">
        <x:v>79</x:v>
      </x:c>
      <x:c r="P928">
        <x:v>72</x:v>
      </x:c>
      <x:c r="Q928">
        <x:v>75</x:v>
      </x:c>
      <x:c r="R928">
        <x:v>31</x:v>
      </x:c>
      <x:c r="S928">
        <x:v>30</x:v>
      </x:c>
      <x:c r="T928" s="63" t="n">
        <x:f>MAX(30,MIN(AB928-VLOOKUP(AE928,'AHL_PA_SC_BALANCE'!$A$8:$E$18,2,FALSE),VLOOKUP(AE928,'AHL_PA_SC_BALANCE'!$A$8:$E$18,4,FALSE)))</x:f>
        <x:v>40</x:v>
      </x:c>
      <x:c r="U928" s="63" t="n">
        <x:f>MAX(30,MIN(AC928-VLOOKUP(AE928,'AHL_PA_SC_BALANCE'!$A$8:$E$18,3,FALSE),VLOOKUP(AE928,'AHL_PA_SC_BALANCE'!$A$8:$E$18,5,FALSE)))</x:f>
        <x:v>38</x:v>
      </x:c>
      <x:c r="V928">
        <x:v>57</x:v>
      </x:c>
      <x:c r="W928">
        <x:v>44</x:v>
      </x:c>
      <x:c r="X928">
        <x:v>67</x:v>
      </x:c>
      <x:c r="Y928">
        <x:v>68</x:v>
      </x:c>
      <x:c r="Z928">
        <x:v>51</x:v>
      </x:c>
      <x:c r="AA928">
        <x:v>44</x:v>
      </x:c>
      <x:c r="AB928" s="57" t="n">
        <x:v>40</x:v>
      </x:c>
      <x:c r="AC928" s="57" t="n">
        <x:v>38</x:v>
      </x:c>
      <x:c r="AD928" s="59"/>
      <x:c r="AE928" s="61" t="str">
        <x:f>IF(N(F928)&gt;=10,"NHL_LATEST_10",IF(AND(N(F928)&gt;0,N(G928)&gt;0),"NHL_BOTH_SEASONS",IF(N(G928)&gt;=10,"NHL_PREVIOUS_10",IF(AND(ISNUMBER(AD928),AD928=0,SUM(F928:G928)=0),"FARM_CAREER_0",IF(COUNT(F928:G928)&lt;2,"UNKNOWN_GP",IF(AND(F928=0,G928=0),IF(AD928&gt;=10,"FARM_LEGACY_10",IF(AND(ISNUMBER(AD928),AD928&gt;0),"FARM_CAREER_1_9","FARM_0_0")),IF(F928&gt;=1,IF(F928&lt;=3,"FARM_RECENT_1_3","FARM_RECENT_4_9"),"FARM_PREV_1_9_ONLY")))))))</x:f>
        <x:v>UNKNOWN_GP</x:v>
      </x:c>
      <x:c r="AF928" s="57" t="n">
        <x:f>AB928-T928</x:f>
        <x:v>0</x:v>
      </x:c>
      <x:c r="AG928" s="57" t="n">
        <x:f>AC928-U928</x:f>
        <x:v>0</x:v>
      </x:c>
    </x:row>
    <x:row r="929">
      <x:c r="A929" t="s">
        <x:v>1952</x:v>
      </x:c>
      <x:c r="C929" t="s">
        <x:v>358</x:v>
      </x:c>
      <x:c r="D929">
        <x:v>8482951</x:v>
      </x:c>
      <x:c r="E929" t="s">
        <x:v>267</x:v>
      </x:c>
      <x:c r="J929" t="s">
        <x:v>2474</x:v>
      </x:c>
      <x:c r="K929">
        <x:v>40</x:v>
      </x:c>
      <x:c r="L929">
        <x:v>41</x:v>
      </x:c>
      <x:c r="M929">
        <x:v>84</x:v>
      </x:c>
      <x:c r="N929">
        <x:v>39</x:v>
      </x:c>
      <x:c r="O929">
        <x:v>80</x:v>
      </x:c>
      <x:c r="P929">
        <x:v>81</x:v>
      </x:c>
      <x:c r="Q929">
        <x:v>83</x:v>
      </x:c>
      <x:c r="R929">
        <x:v>39</x:v>
      </x:c>
      <x:c r="S929">
        <x:v>25</x:v>
      </x:c>
      <x:c r="T929" s="63" t="n">
        <x:f>MAX(30,MIN(AB929-VLOOKUP(AE929,'AHL_PA_SC_BALANCE'!$A$8:$E$18,2,FALSE),VLOOKUP(AE929,'AHL_PA_SC_BALANCE'!$A$8:$E$18,4,FALSE)))</x:f>
        <x:v>40</x:v>
      </x:c>
      <x:c r="U929" s="63" t="n">
        <x:f>MAX(30,MIN(AC929-VLOOKUP(AE929,'AHL_PA_SC_BALANCE'!$A$8:$E$18,3,FALSE),VLOOKUP(AE929,'AHL_PA_SC_BALANCE'!$A$8:$E$18,5,FALSE)))</x:f>
        <x:v>40</x:v>
      </x:c>
      <x:c r="V929">
        <x:v>40</x:v>
      </x:c>
      <x:c r="W929">
        <x:v>57</x:v>
      </x:c>
      <x:c r="X929">
        <x:v>69</x:v>
      </x:c>
      <x:c r="Y929">
        <x:v>68</x:v>
      </x:c>
      <x:c r="Z929">
        <x:v>51</x:v>
      </x:c>
      <x:c r="AA929">
        <x:v>42</x:v>
      </x:c>
      <x:c r="AB929" s="57" t="n">
        <x:v>40</x:v>
      </x:c>
      <x:c r="AC929" s="57" t="n">
        <x:v>40</x:v>
      </x:c>
      <x:c r="AD929" s="59"/>
      <x:c r="AE929" s="61" t="str">
        <x:f>IF(N(F929)&gt;=10,"NHL_LATEST_10",IF(AND(N(F929)&gt;0,N(G929)&gt;0),"NHL_BOTH_SEASONS",IF(N(G929)&gt;=10,"NHL_PREVIOUS_10",IF(AND(ISNUMBER(AD929),AD929=0,SUM(F929:G929)=0),"FARM_CAREER_0",IF(COUNT(F929:G929)&lt;2,"UNKNOWN_GP",IF(AND(F929=0,G929=0),IF(AD929&gt;=10,"FARM_LEGACY_10",IF(AND(ISNUMBER(AD929),AD929&gt;0),"FARM_CAREER_1_9","FARM_0_0")),IF(F929&gt;=1,IF(F929&lt;=3,"FARM_RECENT_1_3","FARM_RECENT_4_9"),"FARM_PREV_1_9_ONLY")))))))</x:f>
        <x:v>UNKNOWN_GP</x:v>
      </x:c>
      <x:c r="AF929" s="57" t="n">
        <x:f>AB929-T929</x:f>
        <x:v>0</x:v>
      </x:c>
      <x:c r="AG929" s="57" t="n">
        <x:f>AC929-U929</x:f>
        <x:v>0</x:v>
      </x:c>
    </x:row>
    <x:row r="930">
      <x:c r="A930" t="s">
        <x:v>1953</x:v>
      </x:c>
      <x:c r="C930" t="s">
        <x:v>331</x:v>
      </x:c>
      <x:c r="D930">
        <x:v>8484525</x:v>
      </x:c>
      <x:c r="E930" t="s">
        <x:v>267</x:v>
      </x:c>
      <x:c r="J930" t="s">
        <x:v>2474</x:v>
      </x:c>
      <x:c r="K930">
        <x:v>40</x:v>
      </x:c>
      <x:c r="L930">
        <x:v>41</x:v>
      </x:c>
      <x:c r="M930">
        <x:v>84</x:v>
      </x:c>
      <x:c r="N930">
        <x:v>39</x:v>
      </x:c>
      <x:c r="O930">
        <x:v>80</x:v>
      </x:c>
      <x:c r="P930">
        <x:v>81</x:v>
      </x:c>
      <x:c r="Q930">
        <x:v>83</x:v>
      </x:c>
      <x:c r="R930">
        <x:v>39</x:v>
      </x:c>
      <x:c r="S930">
        <x:v>25</x:v>
      </x:c>
      <x:c r="T930" s="63" t="n">
        <x:f>MAX(30,MIN(AB930-VLOOKUP(AE930,'AHL_PA_SC_BALANCE'!$A$8:$E$18,2,FALSE),VLOOKUP(AE930,'AHL_PA_SC_BALANCE'!$A$8:$E$18,4,FALSE)))</x:f>
        <x:v>40</x:v>
      </x:c>
      <x:c r="U930" s="63" t="n">
        <x:f>MAX(30,MIN(AC930-VLOOKUP(AE930,'AHL_PA_SC_BALANCE'!$A$8:$E$18,3,FALSE),VLOOKUP(AE930,'AHL_PA_SC_BALANCE'!$A$8:$E$18,5,FALSE)))</x:f>
        <x:v>40</x:v>
      </x:c>
      <x:c r="V930">
        <x:v>40</x:v>
      </x:c>
      <x:c r="W930">
        <x:v>57</x:v>
      </x:c>
      <x:c r="X930">
        <x:v>69</x:v>
      </x:c>
      <x:c r="Y930">
        <x:v>68</x:v>
      </x:c>
      <x:c r="Z930">
        <x:v>51</x:v>
      </x:c>
      <x:c r="AA930">
        <x:v>42</x:v>
      </x:c>
      <x:c r="AB930" s="57" t="n">
        <x:v>40</x:v>
      </x:c>
      <x:c r="AC930" s="57" t="n">
        <x:v>40</x:v>
      </x:c>
      <x:c r="AD930" s="59"/>
      <x:c r="AE930" s="61" t="str">
        <x:f>IF(N(F930)&gt;=10,"NHL_LATEST_10",IF(AND(N(F930)&gt;0,N(G930)&gt;0),"NHL_BOTH_SEASONS",IF(N(G930)&gt;=10,"NHL_PREVIOUS_10",IF(AND(ISNUMBER(AD930),AD930=0,SUM(F930:G930)=0),"FARM_CAREER_0",IF(COUNT(F930:G930)&lt;2,"UNKNOWN_GP",IF(AND(F930=0,G930=0),IF(AD930&gt;=10,"FARM_LEGACY_10",IF(AND(ISNUMBER(AD930),AD930&gt;0),"FARM_CAREER_1_9","FARM_0_0")),IF(F930&gt;=1,IF(F930&lt;=3,"FARM_RECENT_1_3","FARM_RECENT_4_9"),"FARM_PREV_1_9_ONLY")))))))</x:f>
        <x:v>UNKNOWN_GP</x:v>
      </x:c>
      <x:c r="AF930" s="57" t="n">
        <x:f>AB930-T930</x:f>
        <x:v>0</x:v>
      </x:c>
      <x:c r="AG930" s="57" t="n">
        <x:f>AC930-U930</x:f>
        <x:v>0</x:v>
      </x:c>
    </x:row>
    <x:row r="931">
      <x:c r="A931" t="s">
        <x:v>1954</x:v>
      </x:c>
      <x:c r="C931" t="s">
        <x:v>358</x:v>
      </x:c>
      <x:c r="D931">
        <x:v>8483104</x:v>
      </x:c>
      <x:c r="E931" t="s">
        <x:v>267</x:v>
      </x:c>
      <x:c r="J931" t="s">
        <x:v>2474</x:v>
      </x:c>
      <x:c r="K931">
        <x:v>40</x:v>
      </x:c>
      <x:c r="L931">
        <x:v>41</x:v>
      </x:c>
      <x:c r="M931">
        <x:v>84</x:v>
      </x:c>
      <x:c r="N931">
        <x:v>39</x:v>
      </x:c>
      <x:c r="O931">
        <x:v>80</x:v>
      </x:c>
      <x:c r="P931">
        <x:v>81</x:v>
      </x:c>
      <x:c r="Q931">
        <x:v>83</x:v>
      </x:c>
      <x:c r="R931">
        <x:v>39</x:v>
      </x:c>
      <x:c r="S931">
        <x:v>25</x:v>
      </x:c>
      <x:c r="T931" s="63" t="n">
        <x:f>MAX(30,MIN(AB931-VLOOKUP(AE931,'AHL_PA_SC_BALANCE'!$A$8:$E$18,2,FALSE),VLOOKUP(AE931,'AHL_PA_SC_BALANCE'!$A$8:$E$18,4,FALSE)))</x:f>
        <x:v>40</x:v>
      </x:c>
      <x:c r="U931" s="63" t="n">
        <x:f>MAX(30,MIN(AC931-VLOOKUP(AE931,'AHL_PA_SC_BALANCE'!$A$8:$E$18,3,FALSE),VLOOKUP(AE931,'AHL_PA_SC_BALANCE'!$A$8:$E$18,5,FALSE)))</x:f>
        <x:v>40</x:v>
      </x:c>
      <x:c r="V931">
        <x:v>40</x:v>
      </x:c>
      <x:c r="W931">
        <x:v>57</x:v>
      </x:c>
      <x:c r="X931">
        <x:v>69</x:v>
      </x:c>
      <x:c r="Y931">
        <x:v>68</x:v>
      </x:c>
      <x:c r="Z931">
        <x:v>51</x:v>
      </x:c>
      <x:c r="AA931">
        <x:v>42</x:v>
      </x:c>
      <x:c r="AB931" s="57" t="n">
        <x:v>40</x:v>
      </x:c>
      <x:c r="AC931" s="57" t="n">
        <x:v>40</x:v>
      </x:c>
      <x:c r="AD931" s="59"/>
      <x:c r="AE931" s="61" t="str">
        <x:f>IF(N(F931)&gt;=10,"NHL_LATEST_10",IF(AND(N(F931)&gt;0,N(G931)&gt;0),"NHL_BOTH_SEASONS",IF(N(G931)&gt;=10,"NHL_PREVIOUS_10",IF(AND(ISNUMBER(AD931),AD931=0,SUM(F931:G931)=0),"FARM_CAREER_0",IF(COUNT(F931:G931)&lt;2,"UNKNOWN_GP",IF(AND(F931=0,G931=0),IF(AD931&gt;=10,"FARM_LEGACY_10",IF(AND(ISNUMBER(AD931),AD931&gt;0),"FARM_CAREER_1_9","FARM_0_0")),IF(F931&gt;=1,IF(F931&lt;=3,"FARM_RECENT_1_3","FARM_RECENT_4_9"),"FARM_PREV_1_9_ONLY")))))))</x:f>
        <x:v>UNKNOWN_GP</x:v>
      </x:c>
      <x:c r="AF931" s="57" t="n">
        <x:f>AB931-T931</x:f>
        <x:v>0</x:v>
      </x:c>
      <x:c r="AG931" s="57" t="n">
        <x:f>AC931-U931</x:f>
        <x:v>0</x:v>
      </x:c>
    </x:row>
    <x:row r="932">
      <x:c r="A932" t="s">
        <x:v>1955</x:v>
      </x:c>
      <x:c r="C932" t="s">
        <x:v>319</x:v>
      </x:c>
      <x:c r="D932">
        <x:v>8483833</x:v>
      </x:c>
      <x:c r="E932" t="s">
        <x:v>267</x:v>
      </x:c>
      <x:c r="J932" t="s">
        <x:v>2474</x:v>
      </x:c>
      <x:c r="K932">
        <x:v>40</x:v>
      </x:c>
      <x:c r="L932">
        <x:v>41</x:v>
      </x:c>
      <x:c r="M932">
        <x:v>84</x:v>
      </x:c>
      <x:c r="N932">
        <x:v>39</x:v>
      </x:c>
      <x:c r="O932">
        <x:v>80</x:v>
      </x:c>
      <x:c r="P932">
        <x:v>81</x:v>
      </x:c>
      <x:c r="Q932">
        <x:v>83</x:v>
      </x:c>
      <x:c r="R932">
        <x:v>39</x:v>
      </x:c>
      <x:c r="S932">
        <x:v>51</x:v>
      </x:c>
      <x:c r="T932" s="63" t="n">
        <x:f>MAX(30,MIN(AB932-VLOOKUP(AE932,'AHL_PA_SC_BALANCE'!$A$8:$E$18,2,FALSE),VLOOKUP(AE932,'AHL_PA_SC_BALANCE'!$A$8:$E$18,4,FALSE)))</x:f>
        <x:v>40</x:v>
      </x:c>
      <x:c r="U932" s="63" t="n">
        <x:f>MAX(30,MIN(AC932-VLOOKUP(AE932,'AHL_PA_SC_BALANCE'!$A$8:$E$18,3,FALSE),VLOOKUP(AE932,'AHL_PA_SC_BALANCE'!$A$8:$E$18,5,FALSE)))</x:f>
        <x:v>40</x:v>
      </x:c>
      <x:c r="V932">
        <x:v>40</x:v>
      </x:c>
      <x:c r="W932">
        <x:v>57</x:v>
      </x:c>
      <x:c r="X932">
        <x:v>69</x:v>
      </x:c>
      <x:c r="Y932">
        <x:v>68</x:v>
      </x:c>
      <x:c r="Z932">
        <x:v>51</x:v>
      </x:c>
      <x:c r="AA932">
        <x:v>42</x:v>
      </x:c>
      <x:c r="AB932" s="57" t="n">
        <x:v>40</x:v>
      </x:c>
      <x:c r="AC932" s="57" t="n">
        <x:v>40</x:v>
      </x:c>
      <x:c r="AD932" s="59"/>
      <x:c r="AE932" s="61" t="str">
        <x:f>IF(N(F932)&gt;=10,"NHL_LATEST_10",IF(AND(N(F932)&gt;0,N(G932)&gt;0),"NHL_BOTH_SEASONS",IF(N(G932)&gt;=10,"NHL_PREVIOUS_10",IF(AND(ISNUMBER(AD932),AD932=0,SUM(F932:G932)=0),"FARM_CAREER_0",IF(COUNT(F932:G932)&lt;2,"UNKNOWN_GP",IF(AND(F932=0,G932=0),IF(AD932&gt;=10,"FARM_LEGACY_10",IF(AND(ISNUMBER(AD932),AD932&gt;0),"FARM_CAREER_1_9","FARM_0_0")),IF(F932&gt;=1,IF(F932&lt;=3,"FARM_RECENT_1_3","FARM_RECENT_4_9"),"FARM_PREV_1_9_ONLY")))))))</x:f>
        <x:v>UNKNOWN_GP</x:v>
      </x:c>
      <x:c r="AF932" s="57" t="n">
        <x:f>AB932-T932</x:f>
        <x:v>0</x:v>
      </x:c>
      <x:c r="AG932" s="57" t="n">
        <x:f>AC932-U932</x:f>
        <x:v>0</x:v>
      </x:c>
    </x:row>
    <x:row r="933">
      <x:c r="A933" t="s">
        <x:v>1956</x:v>
      </x:c>
      <x:c r="C933" t="s">
        <x:v>331</x:v>
      </x:c>
      <x:c r="D933">
        <x:v>8483750</x:v>
      </x:c>
      <x:c r="E933" t="s">
        <x:v>267</x:v>
      </x:c>
      <x:c r="J933" t="s">
        <x:v>2474</x:v>
      </x:c>
      <x:c r="K933">
        <x:v>40</x:v>
      </x:c>
      <x:c r="L933">
        <x:v>41</x:v>
      </x:c>
      <x:c r="M933">
        <x:v>84</x:v>
      </x:c>
      <x:c r="N933">
        <x:v>39</x:v>
      </x:c>
      <x:c r="O933">
        <x:v>80</x:v>
      </x:c>
      <x:c r="P933">
        <x:v>81</x:v>
      </x:c>
      <x:c r="Q933">
        <x:v>83</x:v>
      </x:c>
      <x:c r="R933">
        <x:v>39</x:v>
      </x:c>
      <x:c r="S933">
        <x:v>25</x:v>
      </x:c>
      <x:c r="T933" s="63" t="n">
        <x:f>MAX(30,MIN(AB933-VLOOKUP(AE933,'AHL_PA_SC_BALANCE'!$A$8:$E$18,2,FALSE),VLOOKUP(AE933,'AHL_PA_SC_BALANCE'!$A$8:$E$18,4,FALSE)))</x:f>
        <x:v>40</x:v>
      </x:c>
      <x:c r="U933" s="63" t="n">
        <x:f>MAX(30,MIN(AC933-VLOOKUP(AE933,'AHL_PA_SC_BALANCE'!$A$8:$E$18,3,FALSE),VLOOKUP(AE933,'AHL_PA_SC_BALANCE'!$A$8:$E$18,5,FALSE)))</x:f>
        <x:v>40</x:v>
      </x:c>
      <x:c r="V933">
        <x:v>40</x:v>
      </x:c>
      <x:c r="W933">
        <x:v>57</x:v>
      </x:c>
      <x:c r="X933">
        <x:v>69</x:v>
      </x:c>
      <x:c r="Y933">
        <x:v>68</x:v>
      </x:c>
      <x:c r="Z933">
        <x:v>51</x:v>
      </x:c>
      <x:c r="AA933">
        <x:v>42</x:v>
      </x:c>
      <x:c r="AB933" s="57" t="n">
        <x:v>40</x:v>
      </x:c>
      <x:c r="AC933" s="57" t="n">
        <x:v>40</x:v>
      </x:c>
      <x:c r="AD933" s="59"/>
      <x:c r="AE933" s="61" t="str">
        <x:f>IF(N(F933)&gt;=10,"NHL_LATEST_10",IF(AND(N(F933)&gt;0,N(G933)&gt;0),"NHL_BOTH_SEASONS",IF(N(G933)&gt;=10,"NHL_PREVIOUS_10",IF(AND(ISNUMBER(AD933),AD933=0,SUM(F933:G933)=0),"FARM_CAREER_0",IF(COUNT(F933:G933)&lt;2,"UNKNOWN_GP",IF(AND(F933=0,G933=0),IF(AD933&gt;=10,"FARM_LEGACY_10",IF(AND(ISNUMBER(AD933),AD933&gt;0),"FARM_CAREER_1_9","FARM_0_0")),IF(F933&gt;=1,IF(F933&lt;=3,"FARM_RECENT_1_3","FARM_RECENT_4_9"),"FARM_PREV_1_9_ONLY")))))))</x:f>
        <x:v>UNKNOWN_GP</x:v>
      </x:c>
      <x:c r="AF933" s="57" t="n">
        <x:f>AB933-T933</x:f>
        <x:v>0</x:v>
      </x:c>
      <x:c r="AG933" s="57" t="n">
        <x:f>AC933-U933</x:f>
        <x:v>0</x:v>
      </x:c>
    </x:row>
    <x:row r="934">
      <x:c r="A934" t="s">
        <x:v>1957</x:v>
      </x:c>
      <x:c r="B934" t="s">
        <x:v>584</x:v>
      </x:c>
      <x:c r="C934" t="s">
        <x:v>331</x:v>
      </x:c>
      <x:c r="D934">
        <x:v>8484540</x:v>
      </x:c>
      <x:c r="E934" t="s">
        <x:v>267</x:v>
      </x:c>
      <x:c r="J934" t="s">
        <x:v>2476</x:v>
      </x:c>
      <x:c r="K934">
        <x:v>40</x:v>
      </x:c>
      <x:c r="L934">
        <x:v>41</x:v>
      </x:c>
      <x:c r="M934">
        <x:v>84</x:v>
      </x:c>
      <x:c r="N934">
        <x:v>39</x:v>
      </x:c>
      <x:c r="O934">
        <x:v>80</x:v>
      </x:c>
      <x:c r="P934">
        <x:v>81</x:v>
      </x:c>
      <x:c r="Q934">
        <x:v>83</x:v>
      </x:c>
      <x:c r="R934">
        <x:v>39</x:v>
      </x:c>
      <x:c r="S934">
        <x:v>25</x:v>
      </x:c>
      <x:c r="T934" s="63" t="n">
        <x:f>MAX(30,MIN(AB934-VLOOKUP(AE934,'AHL_PA_SC_BALANCE'!$A$8:$E$18,2,FALSE),VLOOKUP(AE934,'AHL_PA_SC_BALANCE'!$A$8:$E$18,4,FALSE)))</x:f>
        <x:v>40</x:v>
      </x:c>
      <x:c r="U934" s="63" t="n">
        <x:f>MAX(30,MIN(AC934-VLOOKUP(AE934,'AHL_PA_SC_BALANCE'!$A$8:$E$18,3,FALSE),VLOOKUP(AE934,'AHL_PA_SC_BALANCE'!$A$8:$E$18,5,FALSE)))</x:f>
        <x:v>40</x:v>
      </x:c>
      <x:c r="V934">
        <x:v>40</x:v>
      </x:c>
      <x:c r="W934">
        <x:v>57</x:v>
      </x:c>
      <x:c r="X934">
        <x:v>69</x:v>
      </x:c>
      <x:c r="Y934">
        <x:v>68</x:v>
      </x:c>
      <x:c r="Z934">
        <x:v>51</x:v>
      </x:c>
      <x:c r="AA934">
        <x:v>42</x:v>
      </x:c>
      <x:c r="AB934" s="57" t="n">
        <x:v>40</x:v>
      </x:c>
      <x:c r="AC934" s="57" t="n">
        <x:v>40</x:v>
      </x:c>
      <x:c r="AD934" s="59"/>
      <x:c r="AE934" s="61" t="str">
        <x:f>IF(N(F934)&gt;=10,"NHL_LATEST_10",IF(AND(N(F934)&gt;0,N(G934)&gt;0),"NHL_BOTH_SEASONS",IF(N(G934)&gt;=10,"NHL_PREVIOUS_10",IF(AND(ISNUMBER(AD934),AD934=0,SUM(F934:G934)=0),"FARM_CAREER_0",IF(COUNT(F934:G934)&lt;2,"UNKNOWN_GP",IF(AND(F934=0,G934=0),IF(AD934&gt;=10,"FARM_LEGACY_10",IF(AND(ISNUMBER(AD934),AD934&gt;0),"FARM_CAREER_1_9","FARM_0_0")),IF(F934&gt;=1,IF(F934&lt;=3,"FARM_RECENT_1_3","FARM_RECENT_4_9"),"FARM_PREV_1_9_ONLY")))))))</x:f>
        <x:v>UNKNOWN_GP</x:v>
      </x:c>
      <x:c r="AF934" s="57" t="n">
        <x:f>AB934-T934</x:f>
        <x:v>0</x:v>
      </x:c>
      <x:c r="AG934" s="57" t="n">
        <x:f>AC934-U934</x:f>
        <x:v>0</x:v>
      </x:c>
    </x:row>
    <x:row r="935">
      <x:c r="A935" t="s">
        <x:v>1958</x:v>
      </x:c>
      <x:c r="B935" t="s">
        <x:v>584</x:v>
      </x:c>
      <x:c r="C935" t="s">
        <x:v>326</x:v>
      </x:c>
      <x:c r="D935">
        <x:v>8485115</x:v>
      </x:c>
      <x:c r="E935" t="s">
        <x:v>267</x:v>
      </x:c>
      <x:c r="J935" t="s">
        <x:v>2476</x:v>
      </x:c>
      <x:c r="K935">
        <x:v>40</x:v>
      </x:c>
      <x:c r="L935">
        <x:v>41</x:v>
      </x:c>
      <x:c r="M935">
        <x:v>84</x:v>
      </x:c>
      <x:c r="N935">
        <x:v>39</x:v>
      </x:c>
      <x:c r="O935">
        <x:v>80</x:v>
      </x:c>
      <x:c r="P935">
        <x:v>81</x:v>
      </x:c>
      <x:c r="Q935">
        <x:v>83</x:v>
      </x:c>
      <x:c r="R935">
        <x:v>39</x:v>
      </x:c>
      <x:c r="S935">
        <x:v>25</x:v>
      </x:c>
      <x:c r="T935" s="63" t="n">
        <x:f>MAX(30,MIN(AB935-VLOOKUP(AE935,'AHL_PA_SC_BALANCE'!$A$8:$E$18,2,FALSE),VLOOKUP(AE935,'AHL_PA_SC_BALANCE'!$A$8:$E$18,4,FALSE)))</x:f>
        <x:v>40</x:v>
      </x:c>
      <x:c r="U935" s="63" t="n">
        <x:f>MAX(30,MIN(AC935-VLOOKUP(AE935,'AHL_PA_SC_BALANCE'!$A$8:$E$18,3,FALSE),VLOOKUP(AE935,'AHL_PA_SC_BALANCE'!$A$8:$E$18,5,FALSE)))</x:f>
        <x:v>40</x:v>
      </x:c>
      <x:c r="V935">
        <x:v>40</x:v>
      </x:c>
      <x:c r="W935">
        <x:v>57</x:v>
      </x:c>
      <x:c r="X935">
        <x:v>69</x:v>
      </x:c>
      <x:c r="Y935">
        <x:v>68</x:v>
      </x:c>
      <x:c r="Z935">
        <x:v>51</x:v>
      </x:c>
      <x:c r="AA935">
        <x:v>42</x:v>
      </x:c>
      <x:c r="AB935" s="57" t="n">
        <x:v>40</x:v>
      </x:c>
      <x:c r="AC935" s="57" t="n">
        <x:v>40</x:v>
      </x:c>
      <x:c r="AD935" s="59"/>
      <x:c r="AE935" s="61" t="str">
        <x:f>IF(N(F935)&gt;=10,"NHL_LATEST_10",IF(AND(N(F935)&gt;0,N(G935)&gt;0),"NHL_BOTH_SEASONS",IF(N(G935)&gt;=10,"NHL_PREVIOUS_10",IF(AND(ISNUMBER(AD935),AD935=0,SUM(F935:G935)=0),"FARM_CAREER_0",IF(COUNT(F935:G935)&lt;2,"UNKNOWN_GP",IF(AND(F935=0,G935=0),IF(AD935&gt;=10,"FARM_LEGACY_10",IF(AND(ISNUMBER(AD935),AD935&gt;0),"FARM_CAREER_1_9","FARM_0_0")),IF(F935&gt;=1,IF(F935&lt;=3,"FARM_RECENT_1_3","FARM_RECENT_4_9"),"FARM_PREV_1_9_ONLY")))))))</x:f>
        <x:v>UNKNOWN_GP</x:v>
      </x:c>
      <x:c r="AF935" s="57" t="n">
        <x:f>AB935-T935</x:f>
        <x:v>0</x:v>
      </x:c>
      <x:c r="AG935" s="57" t="n">
        <x:f>AC935-U935</x:f>
        <x:v>0</x:v>
      </x:c>
    </x:row>
    <x:row r="936">
      <x:c r="A936" t="s">
        <x:v>1959</x:v>
      </x:c>
      <x:c r="C936" t="s">
        <x:v>319</x:v>
      </x:c>
      <x:c r="D936">
        <x:v>8483052</x:v>
      </x:c>
      <x:c r="E936" t="s">
        <x:v>267</x:v>
      </x:c>
      <x:c r="J936" t="s">
        <x:v>2474</x:v>
      </x:c>
      <x:c r="K936">
        <x:v>40</x:v>
      </x:c>
      <x:c r="L936">
        <x:v>41</x:v>
      </x:c>
      <x:c r="M936">
        <x:v>84</x:v>
      </x:c>
      <x:c r="N936">
        <x:v>39</x:v>
      </x:c>
      <x:c r="O936">
        <x:v>80</x:v>
      </x:c>
      <x:c r="P936">
        <x:v>81</x:v>
      </x:c>
      <x:c r="Q936">
        <x:v>83</x:v>
      </x:c>
      <x:c r="R936">
        <x:v>39</x:v>
      </x:c>
      <x:c r="S936">
        <x:v>51</x:v>
      </x:c>
      <x:c r="T936" s="63" t="n">
        <x:f>MAX(30,MIN(AB936-VLOOKUP(AE936,'AHL_PA_SC_BALANCE'!$A$8:$E$18,2,FALSE),VLOOKUP(AE936,'AHL_PA_SC_BALANCE'!$A$8:$E$18,4,FALSE)))</x:f>
        <x:v>40</x:v>
      </x:c>
      <x:c r="U936" s="63" t="n">
        <x:f>MAX(30,MIN(AC936-VLOOKUP(AE936,'AHL_PA_SC_BALANCE'!$A$8:$E$18,3,FALSE),VLOOKUP(AE936,'AHL_PA_SC_BALANCE'!$A$8:$E$18,5,FALSE)))</x:f>
        <x:v>40</x:v>
      </x:c>
      <x:c r="V936">
        <x:v>40</x:v>
      </x:c>
      <x:c r="W936">
        <x:v>57</x:v>
      </x:c>
      <x:c r="X936">
        <x:v>69</x:v>
      </x:c>
      <x:c r="Y936">
        <x:v>68</x:v>
      </x:c>
      <x:c r="Z936">
        <x:v>51</x:v>
      </x:c>
      <x:c r="AA936">
        <x:v>42</x:v>
      </x:c>
      <x:c r="AB936" s="57" t="n">
        <x:v>40</x:v>
      </x:c>
      <x:c r="AC936" s="57" t="n">
        <x:v>40</x:v>
      </x:c>
      <x:c r="AD936" s="59"/>
      <x:c r="AE936" s="61" t="str">
        <x:f>IF(N(F936)&gt;=10,"NHL_LATEST_10",IF(AND(N(F936)&gt;0,N(G936)&gt;0),"NHL_BOTH_SEASONS",IF(N(G936)&gt;=10,"NHL_PREVIOUS_10",IF(AND(ISNUMBER(AD936),AD936=0,SUM(F936:G936)=0),"FARM_CAREER_0",IF(COUNT(F936:G936)&lt;2,"UNKNOWN_GP",IF(AND(F936=0,G936=0),IF(AD936&gt;=10,"FARM_LEGACY_10",IF(AND(ISNUMBER(AD936),AD936&gt;0),"FARM_CAREER_1_9","FARM_0_0")),IF(F936&gt;=1,IF(F936&lt;=3,"FARM_RECENT_1_3","FARM_RECENT_4_9"),"FARM_PREV_1_9_ONLY")))))))</x:f>
        <x:v>UNKNOWN_GP</x:v>
      </x:c>
      <x:c r="AF936" s="57" t="n">
        <x:f>AB936-T936</x:f>
        <x:v>0</x:v>
      </x:c>
      <x:c r="AG936" s="57" t="n">
        <x:f>AC936-U936</x:f>
        <x:v>0</x:v>
      </x:c>
    </x:row>
    <x:row r="937">
      <x:c r="A937" t="s">
        <x:v>1960</x:v>
      </x:c>
      <x:c r="B937" t="s">
        <x:v>584</x:v>
      </x:c>
      <x:c r="C937" t="s">
        <x:v>326</x:v>
      </x:c>
      <x:c r="D937">
        <x:v>8481662</x:v>
      </x:c>
      <x:c r="E937" t="s">
        <x:v>267</x:v>
      </x:c>
      <x:c r="J937" t="s">
        <x:v>2476</x:v>
      </x:c>
      <x:c r="K937">
        <x:v>40</x:v>
      </x:c>
      <x:c r="L937">
        <x:v>41</x:v>
      </x:c>
      <x:c r="M937">
        <x:v>84</x:v>
      </x:c>
      <x:c r="N937">
        <x:v>39</x:v>
      </x:c>
      <x:c r="O937">
        <x:v>80</x:v>
      </x:c>
      <x:c r="P937">
        <x:v>81</x:v>
      </x:c>
      <x:c r="Q937">
        <x:v>83</x:v>
      </x:c>
      <x:c r="R937">
        <x:v>39</x:v>
      </x:c>
      <x:c r="S937">
        <x:v>25</x:v>
      </x:c>
      <x:c r="T937" s="63" t="n">
        <x:f>MAX(30,MIN(AB937-VLOOKUP(AE937,'AHL_PA_SC_BALANCE'!$A$8:$E$18,2,FALSE),VLOOKUP(AE937,'AHL_PA_SC_BALANCE'!$A$8:$E$18,4,FALSE)))</x:f>
        <x:v>40</x:v>
      </x:c>
      <x:c r="U937" s="63" t="n">
        <x:f>MAX(30,MIN(AC937-VLOOKUP(AE937,'AHL_PA_SC_BALANCE'!$A$8:$E$18,3,FALSE),VLOOKUP(AE937,'AHL_PA_SC_BALANCE'!$A$8:$E$18,5,FALSE)))</x:f>
        <x:v>40</x:v>
      </x:c>
      <x:c r="V937">
        <x:v>40</x:v>
      </x:c>
      <x:c r="W937">
        <x:v>57</x:v>
      </x:c>
      <x:c r="X937">
        <x:v>69</x:v>
      </x:c>
      <x:c r="Y937">
        <x:v>68</x:v>
      </x:c>
      <x:c r="Z937">
        <x:v>51</x:v>
      </x:c>
      <x:c r="AA937">
        <x:v>42</x:v>
      </x:c>
      <x:c r="AB937" s="57" t="n">
        <x:v>40</x:v>
      </x:c>
      <x:c r="AC937" s="57" t="n">
        <x:v>40</x:v>
      </x:c>
      <x:c r="AD937" s="59"/>
      <x:c r="AE937" s="61" t="str">
        <x:f>IF(N(F937)&gt;=10,"NHL_LATEST_10",IF(AND(N(F937)&gt;0,N(G937)&gt;0),"NHL_BOTH_SEASONS",IF(N(G937)&gt;=10,"NHL_PREVIOUS_10",IF(AND(ISNUMBER(AD937),AD937=0,SUM(F937:G937)=0),"FARM_CAREER_0",IF(COUNT(F937:G937)&lt;2,"UNKNOWN_GP",IF(AND(F937=0,G937=0),IF(AD937&gt;=10,"FARM_LEGACY_10",IF(AND(ISNUMBER(AD937),AD937&gt;0),"FARM_CAREER_1_9","FARM_0_0")),IF(F937&gt;=1,IF(F937&lt;=3,"FARM_RECENT_1_3","FARM_RECENT_4_9"),"FARM_PREV_1_9_ONLY")))))))</x:f>
        <x:v>UNKNOWN_GP</x:v>
      </x:c>
      <x:c r="AF937" s="57" t="n">
        <x:f>AB937-T937</x:f>
        <x:v>0</x:v>
      </x:c>
      <x:c r="AG937" s="57" t="n">
        <x:f>AC937-U937</x:f>
        <x:v>0</x:v>
      </x:c>
    </x:row>
    <x:row r="938">
      <x:c r="A938" t="s">
        <x:v>1961</x:v>
      </x:c>
      <x:c r="B938" t="s">
        <x:v>584</x:v>
      </x:c>
      <x:c r="C938" t="s">
        <x:v>319</x:v>
      </x:c>
      <x:c r="D938">
        <x:v>8482741</x:v>
      </x:c>
      <x:c r="E938" t="s">
        <x:v>267</x:v>
      </x:c>
      <x:c r="J938" t="s">
        <x:v>2476</x:v>
      </x:c>
      <x:c r="K938">
        <x:v>39</x:v>
      </x:c>
      <x:c r="L938">
        <x:v>41</x:v>
      </x:c>
      <x:c r="M938">
        <x:v>51</x:v>
      </x:c>
      <x:c r="N938">
        <x:v>42</x:v>
      </x:c>
      <x:c r="O938">
        <x:v>41</x:v>
      </x:c>
      <x:c r="P938">
        <x:v>56</x:v>
      </x:c>
      <x:c r="Q938">
        <x:v>57</x:v>
      </x:c>
      <x:c r="R938">
        <x:v>57</x:v>
      </x:c>
      <x:c r="S938">
        <x:v>57</x:v>
      </x:c>
      <x:c r="T938" s="63" t="n">
        <x:f>MAX(30,MIN(AB938-VLOOKUP(AE938,'AHL_PA_SC_BALANCE'!$A$8:$E$18,2,FALSE),VLOOKUP(AE938,'AHL_PA_SC_BALANCE'!$A$8:$E$18,4,FALSE)))</x:f>
        <x:v>43</x:v>
      </x:c>
      <x:c r="U938" s="63" t="n">
        <x:f>MAX(30,MIN(AC938-VLOOKUP(AE938,'AHL_PA_SC_BALANCE'!$A$8:$E$18,3,FALSE),VLOOKUP(AE938,'AHL_PA_SC_BALANCE'!$A$8:$E$18,5,FALSE)))</x:f>
        <x:v>44</x:v>
      </x:c>
      <x:c r="V938">
        <x:v>38</x:v>
      </x:c>
      <x:c r="W938">
        <x:v>57</x:v>
      </x:c>
      <x:c r="X938">
        <x:v>55</x:v>
      </x:c>
      <x:c r="Y938">
        <x:v>53</x:v>
      </x:c>
      <x:c r="Z938">
        <x:v>51</x:v>
      </x:c>
      <x:c r="AA938">
        <x:v>42</x:v>
      </x:c>
      <x:c r="AB938" s="57" t="n">
        <x:v>43</x:v>
      </x:c>
      <x:c r="AC938" s="57" t="n">
        <x:v>44</x:v>
      </x:c>
      <x:c r="AD938" s="59"/>
      <x:c r="AE938" s="61" t="str">
        <x:f>IF(N(F938)&gt;=10,"NHL_LATEST_10",IF(AND(N(F938)&gt;0,N(G938)&gt;0),"NHL_BOTH_SEASONS",IF(N(G938)&gt;=10,"NHL_PREVIOUS_10",IF(AND(ISNUMBER(AD938),AD938=0,SUM(F938:G938)=0),"FARM_CAREER_0",IF(COUNT(F938:G938)&lt;2,"UNKNOWN_GP",IF(AND(F938=0,G938=0),IF(AD938&gt;=10,"FARM_LEGACY_10",IF(AND(ISNUMBER(AD938),AD938&gt;0),"FARM_CAREER_1_9","FARM_0_0")),IF(F938&gt;=1,IF(F938&lt;=3,"FARM_RECENT_1_3","FARM_RECENT_4_9"),"FARM_PREV_1_9_ONLY")))))))</x:f>
        <x:v>UNKNOWN_GP</x:v>
      </x:c>
      <x:c r="AF938" s="57" t="n">
        <x:f>AB938-T938</x:f>
        <x:v>0</x:v>
      </x:c>
      <x:c r="AG938" s="57" t="n">
        <x:f>AC938-U938</x:f>
        <x:v>0</x:v>
      </x:c>
    </x:row>
    <x:row r="939">
      <x:c r="A939" t="s">
        <x:v>1962</x:v>
      </x:c>
      <x:c r="C939" t="s">
        <x:v>326</x:v>
      </x:c>
      <x:c r="D939">
        <x:v>8482928</x:v>
      </x:c>
      <x:c r="E939" t="s">
        <x:v>267</x:v>
      </x:c>
      <x:c r="J939" t="s">
        <x:v>2474</x:v>
      </x:c>
      <x:c r="K939">
        <x:v>40</x:v>
      </x:c>
      <x:c r="L939">
        <x:v>41</x:v>
      </x:c>
      <x:c r="M939">
        <x:v>84</x:v>
      </x:c>
      <x:c r="N939">
        <x:v>39</x:v>
      </x:c>
      <x:c r="O939">
        <x:v>80</x:v>
      </x:c>
      <x:c r="P939">
        <x:v>81</x:v>
      </x:c>
      <x:c r="Q939">
        <x:v>83</x:v>
      </x:c>
      <x:c r="R939">
        <x:v>39</x:v>
      </x:c>
      <x:c r="S939">
        <x:v>25</x:v>
      </x:c>
      <x:c r="T939" s="63" t="n">
        <x:f>MAX(30,MIN(AB939-VLOOKUP(AE939,'AHL_PA_SC_BALANCE'!$A$8:$E$18,2,FALSE),VLOOKUP(AE939,'AHL_PA_SC_BALANCE'!$A$8:$E$18,4,FALSE)))</x:f>
        <x:v>40</x:v>
      </x:c>
      <x:c r="U939" s="63" t="n">
        <x:f>MAX(30,MIN(AC939-VLOOKUP(AE939,'AHL_PA_SC_BALANCE'!$A$8:$E$18,3,FALSE),VLOOKUP(AE939,'AHL_PA_SC_BALANCE'!$A$8:$E$18,5,FALSE)))</x:f>
        <x:v>40</x:v>
      </x:c>
      <x:c r="V939">
        <x:v>40</x:v>
      </x:c>
      <x:c r="W939">
        <x:v>57</x:v>
      </x:c>
      <x:c r="X939">
        <x:v>69</x:v>
      </x:c>
      <x:c r="Y939">
        <x:v>68</x:v>
      </x:c>
      <x:c r="Z939">
        <x:v>51</x:v>
      </x:c>
      <x:c r="AA939">
        <x:v>42</x:v>
      </x:c>
      <x:c r="AB939" s="57" t="n">
        <x:v>40</x:v>
      </x:c>
      <x:c r="AC939" s="57" t="n">
        <x:v>40</x:v>
      </x:c>
      <x:c r="AD939" s="59"/>
      <x:c r="AE939" s="61" t="str">
        <x:f>IF(N(F939)&gt;=10,"NHL_LATEST_10",IF(AND(N(F939)&gt;0,N(G939)&gt;0),"NHL_BOTH_SEASONS",IF(N(G939)&gt;=10,"NHL_PREVIOUS_10",IF(AND(ISNUMBER(AD939),AD939=0,SUM(F939:G939)=0),"FARM_CAREER_0",IF(COUNT(F939:G939)&lt;2,"UNKNOWN_GP",IF(AND(F939=0,G939=0),IF(AD939&gt;=10,"FARM_LEGACY_10",IF(AND(ISNUMBER(AD939),AD939&gt;0),"FARM_CAREER_1_9","FARM_0_0")),IF(F939&gt;=1,IF(F939&lt;=3,"FARM_RECENT_1_3","FARM_RECENT_4_9"),"FARM_PREV_1_9_ONLY")))))))</x:f>
        <x:v>UNKNOWN_GP</x:v>
      </x:c>
      <x:c r="AF939" s="57" t="n">
        <x:f>AB939-T939</x:f>
        <x:v>0</x:v>
      </x:c>
      <x:c r="AG939" s="57" t="n">
        <x:f>AC939-U939</x:f>
        <x:v>0</x:v>
      </x:c>
    </x:row>
    <x:row r="940">
      <x:c r="A940" t="s">
        <x:v>1963</x:v>
      </x:c>
      <x:c r="B940" t="s">
        <x:v>584</x:v>
      </x:c>
      <x:c r="C940" t="s">
        <x:v>331</x:v>
      </x:c>
      <x:c r="D940">
        <x:v>8482934</x:v>
      </x:c>
      <x:c r="E940" t="s">
        <x:v>267</x:v>
      </x:c>
      <x:c r="J940" t="s">
        <x:v>2476</x:v>
      </x:c>
      <x:c r="K940">
        <x:v>44</x:v>
      </x:c>
      <x:c r="L940">
        <x:v>41</x:v>
      </x:c>
      <x:c r="M940">
        <x:v>59</x:v>
      </x:c>
      <x:c r="N940">
        <x:v>42</x:v>
      </x:c>
      <x:c r="O940">
        <x:v>41</x:v>
      </x:c>
      <x:c r="P940">
        <x:v>56</x:v>
      </x:c>
      <x:c r="Q940">
        <x:v>57</x:v>
      </x:c>
      <x:c r="R940">
        <x:v>51</x:v>
      </x:c>
      <x:c r="S940">
        <x:v>45</x:v>
      </x:c>
      <x:c r="T940" s="63" t="n">
        <x:f>MAX(30,MIN(AB940-VLOOKUP(AE940,'AHL_PA_SC_BALANCE'!$A$8:$E$18,2,FALSE),VLOOKUP(AE940,'AHL_PA_SC_BALANCE'!$A$8:$E$18,4,FALSE)))</x:f>
        <x:v>40</x:v>
      </x:c>
      <x:c r="U940" s="63" t="n">
        <x:f>MAX(30,MIN(AC940-VLOOKUP(AE940,'AHL_PA_SC_BALANCE'!$A$8:$E$18,3,FALSE),VLOOKUP(AE940,'AHL_PA_SC_BALANCE'!$A$8:$E$18,5,FALSE)))</x:f>
        <x:v>36</x:v>
      </x:c>
      <x:c r="V940">
        <x:v>44</x:v>
      </x:c>
      <x:c r="W940">
        <x:v>51</x:v>
      </x:c>
      <x:c r="X940">
        <x:v>55</x:v>
      </x:c>
      <x:c r="Y940">
        <x:v>53</x:v>
      </x:c>
      <x:c r="Z940">
        <x:v>51</x:v>
      </x:c>
      <x:c r="AA940">
        <x:v>42</x:v>
      </x:c>
      <x:c r="AB940" s="57" t="n">
        <x:v>40</x:v>
      </x:c>
      <x:c r="AC940" s="57" t="n">
        <x:v>36</x:v>
      </x:c>
      <x:c r="AD940" s="59"/>
      <x:c r="AE940" s="61" t="str">
        <x:f>IF(N(F940)&gt;=10,"NHL_LATEST_10",IF(AND(N(F940)&gt;0,N(G940)&gt;0),"NHL_BOTH_SEASONS",IF(N(G940)&gt;=10,"NHL_PREVIOUS_10",IF(AND(ISNUMBER(AD940),AD940=0,SUM(F940:G940)=0),"FARM_CAREER_0",IF(COUNT(F940:G940)&lt;2,"UNKNOWN_GP",IF(AND(F940=0,G940=0),IF(AD940&gt;=10,"FARM_LEGACY_10",IF(AND(ISNUMBER(AD940),AD940&gt;0),"FARM_CAREER_1_9","FARM_0_0")),IF(F940&gt;=1,IF(F940&lt;=3,"FARM_RECENT_1_3","FARM_RECENT_4_9"),"FARM_PREV_1_9_ONLY")))))))</x:f>
        <x:v>UNKNOWN_GP</x:v>
      </x:c>
      <x:c r="AF940" s="57" t="n">
        <x:f>AB940-T940</x:f>
        <x:v>0</x:v>
      </x:c>
      <x:c r="AG940" s="57" t="n">
        <x:f>AC940-U940</x:f>
        <x:v>0</x:v>
      </x:c>
    </x:row>
    <x:row r="941">
      <x:c r="A941" t="s">
        <x:v>1964</x:v>
      </x:c>
      <x:c r="B941" t="s">
        <x:v>584</x:v>
      </x:c>
      <x:c r="C941" t="s">
        <x:v>326</x:v>
      </x:c>
      <x:c r="D941">
        <x:v>8484110</x:v>
      </x:c>
      <x:c r="E941" t="s">
        <x:v>267</x:v>
      </x:c>
      <x:c r="J941" t="s">
        <x:v>2476</x:v>
      </x:c>
      <x:c r="K941">
        <x:v>39</x:v>
      </x:c>
      <x:c r="L941">
        <x:v>41</x:v>
      </x:c>
      <x:c r="M941">
        <x:v>51</x:v>
      </x:c>
      <x:c r="N941">
        <x:v>42</x:v>
      </x:c>
      <x:c r="O941">
        <x:v>41</x:v>
      </x:c>
      <x:c r="P941">
        <x:v>56</x:v>
      </x:c>
      <x:c r="Q941">
        <x:v>57</x:v>
      </x:c>
      <x:c r="R941">
        <x:v>57</x:v>
      </x:c>
      <x:c r="S941">
        <x:v>45</x:v>
      </x:c>
      <x:c r="T941" s="63" t="n">
        <x:f>MAX(30,MIN(AB941-VLOOKUP(AE941,'AHL_PA_SC_BALANCE'!$A$8:$E$18,2,FALSE),VLOOKUP(AE941,'AHL_PA_SC_BALANCE'!$A$8:$E$18,4,FALSE)))</x:f>
        <x:v>43</x:v>
      </x:c>
      <x:c r="U941" s="63" t="n">
        <x:f>MAX(30,MIN(AC941-VLOOKUP(AE941,'AHL_PA_SC_BALANCE'!$A$8:$E$18,3,FALSE),VLOOKUP(AE941,'AHL_PA_SC_BALANCE'!$A$8:$E$18,5,FALSE)))</x:f>
        <x:v>44</x:v>
      </x:c>
      <x:c r="V941">
        <x:v>38</x:v>
      </x:c>
      <x:c r="W941">
        <x:v>57</x:v>
      </x:c>
      <x:c r="X941">
        <x:v>55</x:v>
      </x:c>
      <x:c r="Y941">
        <x:v>53</x:v>
      </x:c>
      <x:c r="Z941">
        <x:v>51</x:v>
      </x:c>
      <x:c r="AA941">
        <x:v>42</x:v>
      </x:c>
      <x:c r="AB941" s="57" t="n">
        <x:v>43</x:v>
      </x:c>
      <x:c r="AC941" s="57" t="n">
        <x:v>44</x:v>
      </x:c>
      <x:c r="AD941" s="59"/>
      <x:c r="AE941" s="61" t="str">
        <x:f>IF(N(F941)&gt;=10,"NHL_LATEST_10",IF(AND(N(F941)&gt;0,N(G941)&gt;0),"NHL_BOTH_SEASONS",IF(N(G941)&gt;=10,"NHL_PREVIOUS_10",IF(AND(ISNUMBER(AD941),AD941=0,SUM(F941:G941)=0),"FARM_CAREER_0",IF(COUNT(F941:G941)&lt;2,"UNKNOWN_GP",IF(AND(F941=0,G941=0),IF(AD941&gt;=10,"FARM_LEGACY_10",IF(AND(ISNUMBER(AD941),AD941&gt;0),"FARM_CAREER_1_9","FARM_0_0")),IF(F941&gt;=1,IF(F941&lt;=3,"FARM_RECENT_1_3","FARM_RECENT_4_9"),"FARM_PREV_1_9_ONLY")))))))</x:f>
        <x:v>UNKNOWN_GP</x:v>
      </x:c>
      <x:c r="AF941" s="57" t="n">
        <x:f>AB941-T941</x:f>
        <x:v>0</x:v>
      </x:c>
      <x:c r="AG941" s="57" t="n">
        <x:f>AC941-U941</x:f>
        <x:v>0</x:v>
      </x:c>
    </x:row>
    <x:row r="942">
      <x:c r="A942" t="s">
        <x:v>1965</x:v>
      </x:c>
      <x:c r="B942" t="s">
        <x:v>584</x:v>
      </x:c>
      <x:c r="C942" t="s">
        <x:v>319</x:v>
      </x:c>
      <x:c r="D942">
        <x:v>8479366</x:v>
      </x:c>
      <x:c r="E942" t="s">
        <x:v>267</x:v>
      </x:c>
      <x:c r="J942" t="s">
        <x:v>2476</x:v>
      </x:c>
      <x:c r="K942">
        <x:v>39</x:v>
      </x:c>
      <x:c r="L942">
        <x:v>41</x:v>
      </x:c>
      <x:c r="M942">
        <x:v>51</x:v>
      </x:c>
      <x:c r="N942">
        <x:v>42</x:v>
      </x:c>
      <x:c r="O942">
        <x:v>41</x:v>
      </x:c>
      <x:c r="P942">
        <x:v>56</x:v>
      </x:c>
      <x:c r="Q942">
        <x:v>57</x:v>
      </x:c>
      <x:c r="R942">
        <x:v>57</x:v>
      </x:c>
      <x:c r="S942">
        <x:v>57</x:v>
      </x:c>
      <x:c r="T942" s="63" t="n">
        <x:f>MAX(30,MIN(AB942-VLOOKUP(AE942,'AHL_PA_SC_BALANCE'!$A$8:$E$18,2,FALSE),VLOOKUP(AE942,'AHL_PA_SC_BALANCE'!$A$8:$E$18,4,FALSE)))</x:f>
        <x:v>43</x:v>
      </x:c>
      <x:c r="U942" s="63" t="n">
        <x:f>MAX(30,MIN(AC942-VLOOKUP(AE942,'AHL_PA_SC_BALANCE'!$A$8:$E$18,3,FALSE),VLOOKUP(AE942,'AHL_PA_SC_BALANCE'!$A$8:$E$18,5,FALSE)))</x:f>
        <x:v>44</x:v>
      </x:c>
      <x:c r="V942">
        <x:v>38</x:v>
      </x:c>
      <x:c r="W942">
        <x:v>57</x:v>
      </x:c>
      <x:c r="X942">
        <x:v>55</x:v>
      </x:c>
      <x:c r="Y942">
        <x:v>53</x:v>
      </x:c>
      <x:c r="Z942">
        <x:v>51</x:v>
      </x:c>
      <x:c r="AA942">
        <x:v>42</x:v>
      </x:c>
      <x:c r="AB942" s="57" t="n">
        <x:v>43</x:v>
      </x:c>
      <x:c r="AC942" s="57" t="n">
        <x:v>44</x:v>
      </x:c>
      <x:c r="AD942" s="59"/>
      <x:c r="AE942" s="61" t="str">
        <x:f>IF(N(F942)&gt;=10,"NHL_LATEST_10",IF(AND(N(F942)&gt;0,N(G942)&gt;0),"NHL_BOTH_SEASONS",IF(N(G942)&gt;=10,"NHL_PREVIOUS_10",IF(AND(ISNUMBER(AD942),AD942=0,SUM(F942:G942)=0),"FARM_CAREER_0",IF(COUNT(F942:G942)&lt;2,"UNKNOWN_GP",IF(AND(F942=0,G942=0),IF(AD942&gt;=10,"FARM_LEGACY_10",IF(AND(ISNUMBER(AD942),AD942&gt;0),"FARM_CAREER_1_9","FARM_0_0")),IF(F942&gt;=1,IF(F942&lt;=3,"FARM_RECENT_1_3","FARM_RECENT_4_9"),"FARM_PREV_1_9_ONLY")))))))</x:f>
        <x:v>UNKNOWN_GP</x:v>
      </x:c>
      <x:c r="AF942" s="57" t="n">
        <x:f>AB942-T942</x:f>
        <x:v>0</x:v>
      </x:c>
      <x:c r="AG942" s="57" t="n">
        <x:f>AC942-U942</x:f>
        <x:v>0</x:v>
      </x:c>
    </x:row>
    <x:row r="943">
      <x:c r="A943" t="s">
        <x:v>1966</x:v>
      </x:c>
      <x:c r="B943" t="s">
        <x:v>584</x:v>
      </x:c>
      <x:c r="C943" t="s">
        <x:v>326</x:v>
      </x:c>
      <x:c r="D943">
        <x:v>8480776</x:v>
      </x:c>
      <x:c r="E943" t="s">
        <x:v>267</x:v>
      </x:c>
      <x:c r="J943" t="s">
        <x:v>2476</x:v>
      </x:c>
      <x:c r="K943">
        <x:v>39</x:v>
      </x:c>
      <x:c r="L943">
        <x:v>41</x:v>
      </x:c>
      <x:c r="M943">
        <x:v>51</x:v>
      </x:c>
      <x:c r="N943">
        <x:v>42</x:v>
      </x:c>
      <x:c r="O943">
        <x:v>41</x:v>
      </x:c>
      <x:c r="P943">
        <x:v>56</x:v>
      </x:c>
      <x:c r="Q943">
        <x:v>57</x:v>
      </x:c>
      <x:c r="R943">
        <x:v>57</x:v>
      </x:c>
      <x:c r="S943">
        <x:v>45</x:v>
      </x:c>
      <x:c r="T943" s="63" t="n">
        <x:f>MAX(30,MIN(AB943-VLOOKUP(AE943,'AHL_PA_SC_BALANCE'!$A$8:$E$18,2,FALSE),VLOOKUP(AE943,'AHL_PA_SC_BALANCE'!$A$8:$E$18,4,FALSE)))</x:f>
        <x:v>43</x:v>
      </x:c>
      <x:c r="U943" s="63" t="n">
        <x:f>MAX(30,MIN(AC943-VLOOKUP(AE943,'AHL_PA_SC_BALANCE'!$A$8:$E$18,3,FALSE),VLOOKUP(AE943,'AHL_PA_SC_BALANCE'!$A$8:$E$18,5,FALSE)))</x:f>
        <x:v>44</x:v>
      </x:c>
      <x:c r="V943">
        <x:v>38</x:v>
      </x:c>
      <x:c r="W943">
        <x:v>57</x:v>
      </x:c>
      <x:c r="X943">
        <x:v>55</x:v>
      </x:c>
      <x:c r="Y943">
        <x:v>53</x:v>
      </x:c>
      <x:c r="Z943">
        <x:v>51</x:v>
      </x:c>
      <x:c r="AA943">
        <x:v>42</x:v>
      </x:c>
      <x:c r="AB943" s="57" t="n">
        <x:v>43</x:v>
      </x:c>
      <x:c r="AC943" s="57" t="n">
        <x:v>44</x:v>
      </x:c>
      <x:c r="AD943" s="59"/>
      <x:c r="AE943" s="61" t="str">
        <x:f>IF(N(F943)&gt;=10,"NHL_LATEST_10",IF(AND(N(F943)&gt;0,N(G943)&gt;0),"NHL_BOTH_SEASONS",IF(N(G943)&gt;=10,"NHL_PREVIOUS_10",IF(AND(ISNUMBER(AD943),AD943=0,SUM(F943:G943)=0),"FARM_CAREER_0",IF(COUNT(F943:G943)&lt;2,"UNKNOWN_GP",IF(AND(F943=0,G943=0),IF(AD943&gt;=10,"FARM_LEGACY_10",IF(AND(ISNUMBER(AD943),AD943&gt;0),"FARM_CAREER_1_9","FARM_0_0")),IF(F943&gt;=1,IF(F943&lt;=3,"FARM_RECENT_1_3","FARM_RECENT_4_9"),"FARM_PREV_1_9_ONLY")))))))</x:f>
        <x:v>UNKNOWN_GP</x:v>
      </x:c>
      <x:c r="AF943" s="57" t="n">
        <x:f>AB943-T943</x:f>
        <x:v>0</x:v>
      </x:c>
      <x:c r="AG943" s="57" t="n">
        <x:f>AC943-U943</x:f>
        <x:v>0</x:v>
      </x:c>
    </x:row>
    <x:row r="944">
      <x:c r="A944" t="s">
        <x:v>1967</x:v>
      </x:c>
      <x:c r="B944" t="s">
        <x:v>584</x:v>
      </x:c>
      <x:c r="C944" t="s">
        <x:v>319</x:v>
      </x:c>
      <x:c r="D944">
        <x:v>8479545</x:v>
      </x:c>
      <x:c r="E944" t="s">
        <x:v>267</x:v>
      </x:c>
      <x:c r="J944" t="s">
        <x:v>2476</x:v>
      </x:c>
      <x:c r="K944">
        <x:v>39</x:v>
      </x:c>
      <x:c r="L944">
        <x:v>41</x:v>
      </x:c>
      <x:c r="M944">
        <x:v>51</x:v>
      </x:c>
      <x:c r="N944">
        <x:v>42</x:v>
      </x:c>
      <x:c r="O944">
        <x:v>41</x:v>
      </x:c>
      <x:c r="P944">
        <x:v>56</x:v>
      </x:c>
      <x:c r="Q944">
        <x:v>57</x:v>
      </x:c>
      <x:c r="R944">
        <x:v>57</x:v>
      </x:c>
      <x:c r="S944">
        <x:v>57</x:v>
      </x:c>
      <x:c r="T944" s="63" t="n">
        <x:f>MAX(30,MIN(AB944-VLOOKUP(AE944,'AHL_PA_SC_BALANCE'!$A$8:$E$18,2,FALSE),VLOOKUP(AE944,'AHL_PA_SC_BALANCE'!$A$8:$E$18,4,FALSE)))</x:f>
        <x:v>43</x:v>
      </x:c>
      <x:c r="U944" s="63" t="n">
        <x:f>MAX(30,MIN(AC944-VLOOKUP(AE944,'AHL_PA_SC_BALANCE'!$A$8:$E$18,3,FALSE),VLOOKUP(AE944,'AHL_PA_SC_BALANCE'!$A$8:$E$18,5,FALSE)))</x:f>
        <x:v>44</x:v>
      </x:c>
      <x:c r="V944">
        <x:v>38</x:v>
      </x:c>
      <x:c r="W944">
        <x:v>57</x:v>
      </x:c>
      <x:c r="X944">
        <x:v>55</x:v>
      </x:c>
      <x:c r="Y944">
        <x:v>53</x:v>
      </x:c>
      <x:c r="Z944">
        <x:v>51</x:v>
      </x:c>
      <x:c r="AA944">
        <x:v>42</x:v>
      </x:c>
      <x:c r="AB944" s="57" t="n">
        <x:v>43</x:v>
      </x:c>
      <x:c r="AC944" s="57" t="n">
        <x:v>44</x:v>
      </x:c>
      <x:c r="AD944" s="59"/>
      <x:c r="AE944" s="61" t="str">
        <x:f>IF(N(F944)&gt;=10,"NHL_LATEST_10",IF(AND(N(F944)&gt;0,N(G944)&gt;0),"NHL_BOTH_SEASONS",IF(N(G944)&gt;=10,"NHL_PREVIOUS_10",IF(AND(ISNUMBER(AD944),AD944=0,SUM(F944:G944)=0),"FARM_CAREER_0",IF(COUNT(F944:G944)&lt;2,"UNKNOWN_GP",IF(AND(F944=0,G944=0),IF(AD944&gt;=10,"FARM_LEGACY_10",IF(AND(ISNUMBER(AD944),AD944&gt;0),"FARM_CAREER_1_9","FARM_0_0")),IF(F944&gt;=1,IF(F944&lt;=3,"FARM_RECENT_1_3","FARM_RECENT_4_9"),"FARM_PREV_1_9_ONLY")))))))</x:f>
        <x:v>UNKNOWN_GP</x:v>
      </x:c>
      <x:c r="AF944" s="57" t="n">
        <x:f>AB944-T944</x:f>
        <x:v>0</x:v>
      </x:c>
      <x:c r="AG944" s="57" t="n">
        <x:f>AC944-U944</x:f>
        <x:v>0</x:v>
      </x:c>
    </x:row>
    <x:row r="945">
      <x:c r="A945" t="s">
        <x:v>1968</x:v>
      </x:c>
      <x:c r="C945" t="s">
        <x:v>331</x:v>
      </x:c>
      <x:c r="D945">
        <x:v>8482734</x:v>
      </x:c>
      <x:c r="E945" t="s">
        <x:v>267</x:v>
      </x:c>
      <x:c r="J945" t="s">
        <x:v>2474</x:v>
      </x:c>
      <x:c r="K945">
        <x:v>44</x:v>
      </x:c>
      <x:c r="L945">
        <x:v>41</x:v>
      </x:c>
      <x:c r="M945">
        <x:v>59</x:v>
      </x:c>
      <x:c r="N945">
        <x:v>42</x:v>
      </x:c>
      <x:c r="O945">
        <x:v>41</x:v>
      </x:c>
      <x:c r="P945">
        <x:v>56</x:v>
      </x:c>
      <x:c r="Q945">
        <x:v>57</x:v>
      </x:c>
      <x:c r="R945">
        <x:v>51</x:v>
      </x:c>
      <x:c r="S945">
        <x:v>45</x:v>
      </x:c>
      <x:c r="T945" s="63" t="n">
        <x:f>MAX(30,MIN(AB945-VLOOKUP(AE945,'AHL_PA_SC_BALANCE'!$A$8:$E$18,2,FALSE),VLOOKUP(AE945,'AHL_PA_SC_BALANCE'!$A$8:$E$18,4,FALSE)))</x:f>
        <x:v>40</x:v>
      </x:c>
      <x:c r="U945" s="63" t="n">
        <x:f>MAX(30,MIN(AC945-VLOOKUP(AE945,'AHL_PA_SC_BALANCE'!$A$8:$E$18,3,FALSE),VLOOKUP(AE945,'AHL_PA_SC_BALANCE'!$A$8:$E$18,5,FALSE)))</x:f>
        <x:v>36</x:v>
      </x:c>
      <x:c r="V945">
        <x:v>44</x:v>
      </x:c>
      <x:c r="W945">
        <x:v>51</x:v>
      </x:c>
      <x:c r="X945">
        <x:v>55</x:v>
      </x:c>
      <x:c r="Y945">
        <x:v>53</x:v>
      </x:c>
      <x:c r="Z945">
        <x:v>51</x:v>
      </x:c>
      <x:c r="AA945">
        <x:v>42</x:v>
      </x:c>
      <x:c r="AB945" s="57" t="n">
        <x:v>40</x:v>
      </x:c>
      <x:c r="AC945" s="57" t="n">
        <x:v>36</x:v>
      </x:c>
      <x:c r="AD945" s="59"/>
      <x:c r="AE945" s="61" t="str">
        <x:f>IF(N(F945)&gt;=10,"NHL_LATEST_10",IF(AND(N(F945)&gt;0,N(G945)&gt;0),"NHL_BOTH_SEASONS",IF(N(G945)&gt;=10,"NHL_PREVIOUS_10",IF(AND(ISNUMBER(AD945),AD945=0,SUM(F945:G945)=0),"FARM_CAREER_0",IF(COUNT(F945:G945)&lt;2,"UNKNOWN_GP",IF(AND(F945=0,G945=0),IF(AD945&gt;=10,"FARM_LEGACY_10",IF(AND(ISNUMBER(AD945),AD945&gt;0),"FARM_CAREER_1_9","FARM_0_0")),IF(F945&gt;=1,IF(F945&lt;=3,"FARM_RECENT_1_3","FARM_RECENT_4_9"),"FARM_PREV_1_9_ONLY")))))))</x:f>
        <x:v>UNKNOWN_GP</x:v>
      </x:c>
      <x:c r="AF945" s="57" t="n">
        <x:f>AB945-T945</x:f>
        <x:v>0</x:v>
      </x:c>
      <x:c r="AG945" s="57" t="n">
        <x:f>AC945-U945</x:f>
        <x:v>0</x:v>
      </x:c>
    </x:row>
    <x:row r="946">
      <x:c r="A946" t="s">
        <x:v>1969</x:v>
      </x:c>
      <x:c r="C946" t="s">
        <x:v>358</x:v>
      </x:c>
      <x:c r="D946">
        <x:v>8483878</x:v>
      </x:c>
      <x:c r="E946" t="s">
        <x:v>267</x:v>
      </x:c>
      <x:c r="F946" t="n">
        <x:v>0</x:v>
      </x:c>
      <x:c r="G946" t="n">
        <x:v>0</x:v>
      </x:c>
      <x:c r="J946" t="str">
        <x:v>V10 NHL GP overené: 2025/26=0, 2024/25=0; PA/SC podľa skupiny AE. Externý V8 updater má vlastnú klasifikáciu.</x:v>
      </x:c>
      <x:c r="K946">
        <x:v>40</x:v>
      </x:c>
      <x:c r="L946">
        <x:v>41</x:v>
      </x:c>
      <x:c r="M946">
        <x:v>84</x:v>
      </x:c>
      <x:c r="N946">
        <x:v>39</x:v>
      </x:c>
      <x:c r="O946">
        <x:v>80</x:v>
      </x:c>
      <x:c r="P946">
        <x:v>81</x:v>
      </x:c>
      <x:c r="Q946">
        <x:v>83</x:v>
      </x:c>
      <x:c r="R946">
        <x:v>39</x:v>
      </x:c>
      <x:c r="S946">
        <x:v>25</x:v>
      </x:c>
      <x:c r="T946" s="63" t="n">
        <x:f>MAX(30,MIN(AB946-VLOOKUP(AE946,'AHL_PA_SC_BALANCE'!$A$8:$E$18,2,FALSE),VLOOKUP(AE946,'AHL_PA_SC_BALANCE'!$A$8:$E$18,4,FALSE)))</x:f>
        <x:v>33</x:v>
      </x:c>
      <x:c r="U946" s="63" t="n">
        <x:f>MAX(30,MIN(AC946-VLOOKUP(AE946,'AHL_PA_SC_BALANCE'!$A$8:$E$18,3,FALSE),VLOOKUP(AE946,'AHL_PA_SC_BALANCE'!$A$8:$E$18,5,FALSE)))</x:f>
        <x:v>32</x:v>
      </x:c>
      <x:c r="V946">
        <x:v>40</x:v>
      </x:c>
      <x:c r="W946">
        <x:v>57</x:v>
      </x:c>
      <x:c r="X946">
        <x:v>69</x:v>
      </x:c>
      <x:c r="Y946">
        <x:v>68</x:v>
      </x:c>
      <x:c r="Z946">
        <x:v>51</x:v>
      </x:c>
      <x:c r="AA946">
        <x:v>42</x:v>
      </x:c>
      <x:c r="AB946" s="57" t="n">
        <x:v>40</x:v>
      </x:c>
      <x:c r="AC946" s="57" t="n">
        <x:v>40</x:v>
      </x:c>
      <x:c r="AD946" s="59" t="n">
        <x:v>0</x:v>
      </x:c>
      <x:c r="AE946" s="61" t="str">
        <x:f>IF(N(F946)&gt;=10,"NHL_LATEST_10",IF(AND(N(F946)&gt;0,N(G946)&gt;0),"NHL_BOTH_SEASONS",IF(N(G946)&gt;=10,"NHL_PREVIOUS_10",IF(AND(ISNUMBER(AD946),AD946=0,SUM(F946:G946)=0),"FARM_CAREER_0",IF(COUNT(F946:G946)&lt;2,"UNKNOWN_GP",IF(AND(F946=0,G946=0),IF(AD946&gt;=10,"FARM_LEGACY_10",IF(AND(ISNUMBER(AD946),AD946&gt;0),"FARM_CAREER_1_9","FARM_0_0")),IF(F946&gt;=1,IF(F946&lt;=3,"FARM_RECENT_1_3","FARM_RECENT_4_9"),"FARM_PREV_1_9_ONLY")))))))</x:f>
        <x:v>FARM_CAREER_0</x:v>
      </x:c>
      <x:c r="AF946" s="57" t="n">
        <x:f>AB946-T946</x:f>
        <x:v>7</x:v>
      </x:c>
      <x:c r="AG946" s="57" t="n">
        <x:f>AC946-U946</x:f>
        <x:v>8</x:v>
      </x:c>
      <x:c r="AH946" t="str">
        <x:v>https://puckpedia.com/player/kai-schwindt</x:v>
      </x:c>
    </x:row>
    <x:row r="947">
      <x:c r="A947" t="s">
        <x:v>1970</x:v>
      </x:c>
      <x:c r="B947" t="s">
        <x:v>584</x:v>
      </x:c>
      <x:c r="C947" t="s">
        <x:v>331</x:v>
      </x:c>
      <x:c r="D947">
        <x:v>8482707</x:v>
      </x:c>
      <x:c r="E947" t="s">
        <x:v>267</x:v>
      </x:c>
      <x:c r="J947" t="s">
        <x:v>2476</x:v>
      </x:c>
      <x:c r="K947">
        <x:v>44</x:v>
      </x:c>
      <x:c r="L947">
        <x:v>41</x:v>
      </x:c>
      <x:c r="M947">
        <x:v>59</x:v>
      </x:c>
      <x:c r="N947">
        <x:v>42</x:v>
      </x:c>
      <x:c r="O947">
        <x:v>41</x:v>
      </x:c>
      <x:c r="P947">
        <x:v>56</x:v>
      </x:c>
      <x:c r="Q947">
        <x:v>57</x:v>
      </x:c>
      <x:c r="R947">
        <x:v>51</x:v>
      </x:c>
      <x:c r="S947">
        <x:v>45</x:v>
      </x:c>
      <x:c r="T947" s="63" t="n">
        <x:f>MAX(30,MIN(AB947-VLOOKUP(AE947,'AHL_PA_SC_BALANCE'!$A$8:$E$18,2,FALSE),VLOOKUP(AE947,'AHL_PA_SC_BALANCE'!$A$8:$E$18,4,FALSE)))</x:f>
        <x:v>40</x:v>
      </x:c>
      <x:c r="U947" s="63" t="n">
        <x:f>MAX(30,MIN(AC947-VLOOKUP(AE947,'AHL_PA_SC_BALANCE'!$A$8:$E$18,3,FALSE),VLOOKUP(AE947,'AHL_PA_SC_BALANCE'!$A$8:$E$18,5,FALSE)))</x:f>
        <x:v>36</x:v>
      </x:c>
      <x:c r="V947">
        <x:v>44</x:v>
      </x:c>
      <x:c r="W947">
        <x:v>51</x:v>
      </x:c>
      <x:c r="X947">
        <x:v>55</x:v>
      </x:c>
      <x:c r="Y947">
        <x:v>53</x:v>
      </x:c>
      <x:c r="Z947">
        <x:v>51</x:v>
      </x:c>
      <x:c r="AA947">
        <x:v>42</x:v>
      </x:c>
      <x:c r="AB947" s="57" t="n">
        <x:v>40</x:v>
      </x:c>
      <x:c r="AC947" s="57" t="n">
        <x:v>36</x:v>
      </x:c>
      <x:c r="AD947" s="59"/>
      <x:c r="AE947" s="61" t="str">
        <x:f>IF(N(F947)&gt;=10,"NHL_LATEST_10",IF(AND(N(F947)&gt;0,N(G947)&gt;0),"NHL_BOTH_SEASONS",IF(N(G947)&gt;=10,"NHL_PREVIOUS_10",IF(AND(ISNUMBER(AD947),AD947=0,SUM(F947:G947)=0),"FARM_CAREER_0",IF(COUNT(F947:G947)&lt;2,"UNKNOWN_GP",IF(AND(F947=0,G947=0),IF(AD947&gt;=10,"FARM_LEGACY_10",IF(AND(ISNUMBER(AD947),AD947&gt;0),"FARM_CAREER_1_9","FARM_0_0")),IF(F947&gt;=1,IF(F947&lt;=3,"FARM_RECENT_1_3","FARM_RECENT_4_9"),"FARM_PREV_1_9_ONLY")))))))</x:f>
        <x:v>UNKNOWN_GP</x:v>
      </x:c>
      <x:c r="AF947" s="57" t="n">
        <x:f>AB947-T947</x:f>
        <x:v>0</x:v>
      </x:c>
      <x:c r="AG947" s="57" t="n">
        <x:f>AC947-U947</x:f>
        <x:v>0</x:v>
      </x:c>
    </x:row>
    <x:row r="948">
      <x:c r="A948" t="s">
        <x:v>1971</x:v>
      </x:c>
      <x:c r="B948" t="s">
        <x:v>584</x:v>
      </x:c>
      <x:c r="C948" t="s">
        <x:v>358</x:v>
      </x:c>
      <x:c r="D948">
        <x:v>8480836</x:v>
      </x:c>
      <x:c r="E948" t="s">
        <x:v>267</x:v>
      </x:c>
      <x:c r="J948" t="s">
        <x:v>2476</x:v>
      </x:c>
      <x:c r="K948">
        <x:v>52</x:v>
      </x:c>
      <x:c r="L948">
        <x:v>41</x:v>
      </x:c>
      <x:c r="M948">
        <x:v>51</x:v>
      </x:c>
      <x:c r="N948">
        <x:v>42</x:v>
      </x:c>
      <x:c r="O948">
        <x:v>41</x:v>
      </x:c>
      <x:c r="P948">
        <x:v>56</x:v>
      </x:c>
      <x:c r="Q948">
        <x:v>57</x:v>
      </x:c>
      <x:c r="R948">
        <x:v>57</x:v>
      </x:c>
      <x:c r="S948">
        <x:v>45</x:v>
      </x:c>
      <x:c r="T948" s="63" t="n">
        <x:f>MAX(30,MIN(AB948-VLOOKUP(AE948,'AHL_PA_SC_BALANCE'!$A$8:$E$18,2,FALSE),VLOOKUP(AE948,'AHL_PA_SC_BALANCE'!$A$8:$E$18,4,FALSE)))</x:f>
        <x:v>45</x:v>
      </x:c>
      <x:c r="U948" s="63" t="n">
        <x:f>MAX(30,MIN(AC948-VLOOKUP(AE948,'AHL_PA_SC_BALANCE'!$A$8:$E$18,3,FALSE),VLOOKUP(AE948,'AHL_PA_SC_BALANCE'!$A$8:$E$18,5,FALSE)))</x:f>
        <x:v>47</x:v>
      </x:c>
      <x:c r="V948">
        <x:v>45</x:v>
      </x:c>
      <x:c r="W948">
        <x:v>57</x:v>
      </x:c>
      <x:c r="X948">
        <x:v>55</x:v>
      </x:c>
      <x:c r="Y948">
        <x:v>53</x:v>
      </x:c>
      <x:c r="Z948">
        <x:v>51</x:v>
      </x:c>
      <x:c r="AA948">
        <x:v>42</x:v>
      </x:c>
      <x:c r="AB948" s="57" t="n">
        <x:v>45</x:v>
      </x:c>
      <x:c r="AC948" s="57" t="n">
        <x:v>47</x:v>
      </x:c>
      <x:c r="AD948" s="59"/>
      <x:c r="AE948" s="61" t="str">
        <x:f>IF(N(F948)&gt;=10,"NHL_LATEST_10",IF(AND(N(F948)&gt;0,N(G948)&gt;0),"NHL_BOTH_SEASONS",IF(N(G948)&gt;=10,"NHL_PREVIOUS_10",IF(AND(ISNUMBER(AD948),AD948=0,SUM(F948:G948)=0),"FARM_CAREER_0",IF(COUNT(F948:G948)&lt;2,"UNKNOWN_GP",IF(AND(F948=0,G948=0),IF(AD948&gt;=10,"FARM_LEGACY_10",IF(AND(ISNUMBER(AD948),AD948&gt;0),"FARM_CAREER_1_9","FARM_0_0")),IF(F948&gt;=1,IF(F948&lt;=3,"FARM_RECENT_1_3","FARM_RECENT_4_9"),"FARM_PREV_1_9_ONLY")))))))</x:f>
        <x:v>UNKNOWN_GP</x:v>
      </x:c>
      <x:c r="AF948" s="57" t="n">
        <x:f>AB948-T948</x:f>
        <x:v>0</x:v>
      </x:c>
      <x:c r="AG948" s="57" t="n">
        <x:f>AC948-U948</x:f>
        <x:v>0</x:v>
      </x:c>
    </x:row>
    <x:row r="949">
      <x:c r="A949" t="s">
        <x:v>1972</x:v>
      </x:c>
      <x:c r="B949" t="s">
        <x:v>584</x:v>
      </x:c>
      <x:c r="C949" t="s">
        <x:v>326</x:v>
      </x:c>
      <x:c r="D949">
        <x:v>8480833</x:v>
      </x:c>
      <x:c r="E949" t="s">
        <x:v>267</x:v>
      </x:c>
      <x:c r="J949" t="s">
        <x:v>2476</x:v>
      </x:c>
      <x:c r="K949">
        <x:v>39</x:v>
      </x:c>
      <x:c r="L949">
        <x:v>41</x:v>
      </x:c>
      <x:c r="M949">
        <x:v>51</x:v>
      </x:c>
      <x:c r="N949">
        <x:v>42</x:v>
      </x:c>
      <x:c r="O949">
        <x:v>41</x:v>
      </x:c>
      <x:c r="P949">
        <x:v>56</x:v>
      </x:c>
      <x:c r="Q949">
        <x:v>57</x:v>
      </x:c>
      <x:c r="R949">
        <x:v>57</x:v>
      </x:c>
      <x:c r="S949">
        <x:v>45</x:v>
      </x:c>
      <x:c r="T949" s="63" t="n">
        <x:f>MAX(30,MIN(AB949-VLOOKUP(AE949,'AHL_PA_SC_BALANCE'!$A$8:$E$18,2,FALSE),VLOOKUP(AE949,'AHL_PA_SC_BALANCE'!$A$8:$E$18,4,FALSE)))</x:f>
        <x:v>43</x:v>
      </x:c>
      <x:c r="U949" s="63" t="n">
        <x:f>MAX(30,MIN(AC949-VLOOKUP(AE949,'AHL_PA_SC_BALANCE'!$A$8:$E$18,3,FALSE),VLOOKUP(AE949,'AHL_PA_SC_BALANCE'!$A$8:$E$18,5,FALSE)))</x:f>
        <x:v>44</x:v>
      </x:c>
      <x:c r="V949">
        <x:v>38</x:v>
      </x:c>
      <x:c r="W949">
        <x:v>57</x:v>
      </x:c>
      <x:c r="X949">
        <x:v>55</x:v>
      </x:c>
      <x:c r="Y949">
        <x:v>53</x:v>
      </x:c>
      <x:c r="Z949">
        <x:v>51</x:v>
      </x:c>
      <x:c r="AA949">
        <x:v>42</x:v>
      </x:c>
      <x:c r="AB949" s="57" t="n">
        <x:v>43</x:v>
      </x:c>
      <x:c r="AC949" s="57" t="n">
        <x:v>44</x:v>
      </x:c>
      <x:c r="AD949" s="59"/>
      <x:c r="AE949" s="61" t="str">
        <x:f>IF(N(F949)&gt;=10,"NHL_LATEST_10",IF(AND(N(F949)&gt;0,N(G949)&gt;0),"NHL_BOTH_SEASONS",IF(N(G949)&gt;=10,"NHL_PREVIOUS_10",IF(AND(ISNUMBER(AD949),AD949=0,SUM(F949:G949)=0),"FARM_CAREER_0",IF(COUNT(F949:G949)&lt;2,"UNKNOWN_GP",IF(AND(F949=0,G949=0),IF(AD949&gt;=10,"FARM_LEGACY_10",IF(AND(ISNUMBER(AD949),AD949&gt;0),"FARM_CAREER_1_9","FARM_0_0")),IF(F949&gt;=1,IF(F949&lt;=3,"FARM_RECENT_1_3","FARM_RECENT_4_9"),"FARM_PREV_1_9_ONLY")))))))</x:f>
        <x:v>UNKNOWN_GP</x:v>
      </x:c>
      <x:c r="AF949" s="57" t="n">
        <x:f>AB949-T949</x:f>
        <x:v>0</x:v>
      </x:c>
      <x:c r="AG949" s="57" t="n">
        <x:f>AC949-U949</x:f>
        <x:v>0</x:v>
      </x:c>
    </x:row>
    <x:row r="950">
      <x:c r="A950" t="s">
        <x:v>1973</x:v>
      </x:c>
      <x:c r="B950" t="s">
        <x:v>584</x:v>
      </x:c>
      <x:c r="C950" t="s">
        <x:v>331</x:v>
      </x:c>
      <x:c r="D950">
        <x:v>8482927</x:v>
      </x:c>
      <x:c r="E950" t="s">
        <x:v>267</x:v>
      </x:c>
      <x:c r="J950" t="s">
        <x:v>2476</x:v>
      </x:c>
      <x:c r="K950">
        <x:v>44</x:v>
      </x:c>
      <x:c r="L950">
        <x:v>41</x:v>
      </x:c>
      <x:c r="M950">
        <x:v>59</x:v>
      </x:c>
      <x:c r="N950">
        <x:v>42</x:v>
      </x:c>
      <x:c r="O950">
        <x:v>41</x:v>
      </x:c>
      <x:c r="P950">
        <x:v>56</x:v>
      </x:c>
      <x:c r="Q950">
        <x:v>57</x:v>
      </x:c>
      <x:c r="R950">
        <x:v>51</x:v>
      </x:c>
      <x:c r="S950">
        <x:v>45</x:v>
      </x:c>
      <x:c r="T950" s="63" t="n">
        <x:f>MAX(30,MIN(AB950-VLOOKUP(AE950,'AHL_PA_SC_BALANCE'!$A$8:$E$18,2,FALSE),VLOOKUP(AE950,'AHL_PA_SC_BALANCE'!$A$8:$E$18,4,FALSE)))</x:f>
        <x:v>40</x:v>
      </x:c>
      <x:c r="U950" s="63" t="n">
        <x:f>MAX(30,MIN(AC950-VLOOKUP(AE950,'AHL_PA_SC_BALANCE'!$A$8:$E$18,3,FALSE),VLOOKUP(AE950,'AHL_PA_SC_BALANCE'!$A$8:$E$18,5,FALSE)))</x:f>
        <x:v>36</x:v>
      </x:c>
      <x:c r="V950">
        <x:v>44</x:v>
      </x:c>
      <x:c r="W950">
        <x:v>51</x:v>
      </x:c>
      <x:c r="X950">
        <x:v>55</x:v>
      </x:c>
      <x:c r="Y950">
        <x:v>53</x:v>
      </x:c>
      <x:c r="Z950">
        <x:v>51</x:v>
      </x:c>
      <x:c r="AA950">
        <x:v>42</x:v>
      </x:c>
      <x:c r="AB950" s="57" t="n">
        <x:v>40</x:v>
      </x:c>
      <x:c r="AC950" s="57" t="n">
        <x:v>36</x:v>
      </x:c>
      <x:c r="AD950" s="59"/>
      <x:c r="AE950" s="61" t="str">
        <x:f>IF(N(F950)&gt;=10,"NHL_LATEST_10",IF(AND(N(F950)&gt;0,N(G950)&gt;0),"NHL_BOTH_SEASONS",IF(N(G950)&gt;=10,"NHL_PREVIOUS_10",IF(AND(ISNUMBER(AD950),AD950=0,SUM(F950:G950)=0),"FARM_CAREER_0",IF(COUNT(F950:G950)&lt;2,"UNKNOWN_GP",IF(AND(F950=0,G950=0),IF(AD950&gt;=10,"FARM_LEGACY_10",IF(AND(ISNUMBER(AD950),AD950&gt;0),"FARM_CAREER_1_9","FARM_0_0")),IF(F950&gt;=1,IF(F950&lt;=3,"FARM_RECENT_1_3","FARM_RECENT_4_9"),"FARM_PREV_1_9_ONLY")))))))</x:f>
        <x:v>UNKNOWN_GP</x:v>
      </x:c>
      <x:c r="AF950" s="57" t="n">
        <x:f>AB950-T950</x:f>
        <x:v>0</x:v>
      </x:c>
      <x:c r="AG950" s="57" t="n">
        <x:f>AC950-U950</x:f>
        <x:v>0</x:v>
      </x:c>
    </x:row>
    <x:row r="951">
      <x:c r="A951" t="s">
        <x:v>1974</x:v>
      </x:c>
      <x:c r="B951" t="s">
        <x:v>584</x:v>
      </x:c>
      <x:c r="C951" t="s">
        <x:v>319</x:v>
      </x:c>
      <x:c r="D951">
        <x:v>8482891</x:v>
      </x:c>
      <x:c r="E951" t="s">
        <x:v>267</x:v>
      </x:c>
      <x:c r="J951" t="s">
        <x:v>2476</x:v>
      </x:c>
      <x:c r="K951">
        <x:v>39</x:v>
      </x:c>
      <x:c r="L951">
        <x:v>41</x:v>
      </x:c>
      <x:c r="M951">
        <x:v>51</x:v>
      </x:c>
      <x:c r="N951">
        <x:v>42</x:v>
      </x:c>
      <x:c r="O951">
        <x:v>41</x:v>
      </x:c>
      <x:c r="P951">
        <x:v>56</x:v>
      </x:c>
      <x:c r="Q951">
        <x:v>57</x:v>
      </x:c>
      <x:c r="R951">
        <x:v>57</x:v>
      </x:c>
      <x:c r="S951">
        <x:v>57</x:v>
      </x:c>
      <x:c r="T951" s="63" t="n">
        <x:f>MAX(30,MIN(AB951-VLOOKUP(AE951,'AHL_PA_SC_BALANCE'!$A$8:$E$18,2,FALSE),VLOOKUP(AE951,'AHL_PA_SC_BALANCE'!$A$8:$E$18,4,FALSE)))</x:f>
        <x:v>43</x:v>
      </x:c>
      <x:c r="U951" s="63" t="n">
        <x:f>MAX(30,MIN(AC951-VLOOKUP(AE951,'AHL_PA_SC_BALANCE'!$A$8:$E$18,3,FALSE),VLOOKUP(AE951,'AHL_PA_SC_BALANCE'!$A$8:$E$18,5,FALSE)))</x:f>
        <x:v>44</x:v>
      </x:c>
      <x:c r="V951">
        <x:v>38</x:v>
      </x:c>
      <x:c r="W951">
        <x:v>57</x:v>
      </x:c>
      <x:c r="X951">
        <x:v>55</x:v>
      </x:c>
      <x:c r="Y951">
        <x:v>53</x:v>
      </x:c>
      <x:c r="Z951">
        <x:v>51</x:v>
      </x:c>
      <x:c r="AA951">
        <x:v>42</x:v>
      </x:c>
      <x:c r="AB951" s="57" t="n">
        <x:v>43</x:v>
      </x:c>
      <x:c r="AC951" s="57" t="n">
        <x:v>44</x:v>
      </x:c>
      <x:c r="AD951" s="59"/>
      <x:c r="AE951" s="61" t="str">
        <x:f>IF(N(F951)&gt;=10,"NHL_LATEST_10",IF(AND(N(F951)&gt;0,N(G951)&gt;0),"NHL_BOTH_SEASONS",IF(N(G951)&gt;=10,"NHL_PREVIOUS_10",IF(AND(ISNUMBER(AD951),AD951=0,SUM(F951:G951)=0),"FARM_CAREER_0",IF(COUNT(F951:G951)&lt;2,"UNKNOWN_GP",IF(AND(F951=0,G951=0),IF(AD951&gt;=10,"FARM_LEGACY_10",IF(AND(ISNUMBER(AD951),AD951&gt;0),"FARM_CAREER_1_9","FARM_0_0")),IF(F951&gt;=1,IF(F951&lt;=3,"FARM_RECENT_1_3","FARM_RECENT_4_9"),"FARM_PREV_1_9_ONLY")))))))</x:f>
        <x:v>UNKNOWN_GP</x:v>
      </x:c>
      <x:c r="AF951" s="57" t="n">
        <x:f>AB951-T951</x:f>
        <x:v>0</x:v>
      </x:c>
      <x:c r="AG951" s="57" t="n">
        <x:f>AC951-U951</x:f>
        <x:v>0</x:v>
      </x:c>
    </x:row>
  </x:sheetData>
  <x:mergeCells>
    <x:mergeCell ref="A1:AA1"/>
    <x:mergeCell ref="A2:AA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10" defaultColWidth="8.83203125" defaultRowHeight="14"/>
  <x:cols>
    <x:col min="1" max="1" width="28" customWidth="1"/>
    <x:col min="2" max="4" width="18" customWidth="1"/>
    <x:col min="5" max="8" width="30" customWidth="1"/>
  </x:cols>
  <x:sheetData>
    <x:row r="1" ht="19">
      <x:c r="A1" s="5" t="s">
        <x:v>2491</x:v>
      </x:c>
      <x:c r="B1" s="5"/>
      <x:c r="C1" s="5"/>
      <x:c r="D1" s="5"/>
      <x:c r="E1" s="5"/>
      <x:c r="F1" s="5"/>
      <x:c r="G1" s="5"/>
      <x:c r="H1" s="5"/>
    </x:row>
    <x:row r="3" ht="16">
      <x:c r="A3" s="1" t="s">
        <x:v>2492</x:v>
      </x:c>
      <x:c r="B3" s="1" t="s">
        <x:v>1975</x:v>
      </x:c>
      <x:c r="C3" s="1" t="s">
        <x:v>2493</x:v>
      </x:c>
      <x:c r="D3" s="1" t="s">
        <x:v>2494</x:v>
      </x:c>
      <x:c r="E3" s="1" t="s">
        <x:v>2495</x:v>
      </x:c>
      <x:c r="F3" s="1" t="s">
        <x:v>2496</x:v>
      </x:c>
      <x:c r="G3" s="1" t="s">
        <x:v>2497</x:v>
      </x:c>
      <x:c r="H3" s="1" t="s">
        <x:v>69</x:v>
      </x:c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68" hidden="0" customWidth="1"/>
  </x:cols>
  <x:sheetData>
    <x:row r="1" ht="29" customHeight="1">
      <x:c r="A1" s="79" t="str">
        <x:v>AHL PA / SC — V10: ochrana hráčov NHL</x:v>
      </x:c>
      <x:c r="B1" s="25"/>
      <x:c r="C1" s="25"/>
      <x:c r="D1" s="25"/>
      <x:c r="E1" s="25"/>
      <x:c r="F1" s="25"/>
    </x:row>
    <x:row r="2" ht="36" customHeight="1">
      <x:c r="A2" s="50" t="str">
        <x:v>Najprv over NHL štarty za obe sezóny; hráč s doloženou účasťou v NHL spĺňajúci pravidlo nesmie dostať AHL penalizáciu.</x:v>
      </x:c>
      <x:c r="B2" s="50"/>
      <x:c r="C2" s="50"/>
      <x:c r="D2" s="50"/>
      <x:c r="E2" s="50"/>
      <x:c r="F2" s="50"/>
    </x:row>
    <x:row r="3">
      <x:c r="A3"/>
      <x:c r="B3"/>
      <x:c r="C3"/>
      <x:c r="D3"/>
      <x:c r="E3"/>
      <x:c r="F3"/>
    </x:row>
    <x:row r="4">
      <x:c r="A4" s="29" t="str">
        <x:v>SEZÓNY A ZDROJ</x:v>
      </x:c>
      <x:c r="B4" s="29"/>
      <x:c r="C4" s="29"/>
      <x:c r="D4" s="29"/>
      <x:c r="E4" s="29"/>
      <x:c r="F4" s="29"/>
    </x:row>
    <x:row r="5" ht="33" customHeight="1">
      <x:c r="A5" s="50" t="str">
        <x:v>F = NHL GP 2025/26, G = NHL GP 2024/25; prázdne údaje nie sú nula. Overená kariéra NHL GP v AD je voliteľná.</x:v>
      </x:c>
      <x:c r="B5" s="50"/>
      <x:c r="C5" s="50"/>
      <x:c r="D5" s="50"/>
      <x:c r="E5" s="50"/>
      <x:c r="F5" s="50"/>
    </x:row>
    <x:row r="6" ht="33" customHeight="1">
      <x:c r="A6" s="50" t="str">
        <x:v>Ak chýbajú GP, pôvodné PA/SC ostanú zachované. Na potvrdenie hráča s 0 kariérnymi NHL GP zadaj AD = 0.</x:v>
      </x:c>
      <x:c r="B6" s="50"/>
      <x:c r="C6" s="50"/>
      <x:c r="D6" s="50"/>
      <x:c r="E6" s="50"/>
      <x:c r="F6" s="50"/>
    </x:row>
    <x:row r="7" ht="30" customHeight="1">
      <x:c r="A7" s="77" t="str">
        <x:v>Skupina</x:v>
      </x:c>
      <x:c r="B7" s="77" t="str">
        <x:v>Zníženie PA</x:v>
      </x:c>
      <x:c r="C7" s="77" t="str">
        <x:v>Zníženie SC</x:v>
      </x:c>
      <x:c r="D7" s="77" t="str">
        <x:v>Max PA</x:v>
      </x:c>
      <x:c r="E7" s="77" t="str">
        <x:v>Max SC</x:v>
      </x:c>
      <x:c r="F7" s="77" t="str">
        <x:v>Pravidlo</x:v>
      </x:c>
    </x:row>
    <x:row r="8" ht="29" customHeight="1">
      <x:c r="A8" s="37" t="str">
        <x:v>NHL_LATEST_10</x:v>
      </x:c>
      <x:c r="B8" s="41" t="n">
        <x:v>0</x:v>
      </x:c>
      <x:c r="C8" s="41" t="n">
        <x:v>0</x:v>
      </x:c>
      <x:c r="D8" s="41" t="n">
        <x:v>99</x:v>
      </x:c>
      <x:c r="E8" s="41" t="n">
        <x:v>99</x:v>
      </x:c>
      <x:c r="F8" s="50" t="str">
        <x:v>Aspoň 10 GP v NHL v sezóne 2025/26 → PA/SC na úrovni NHL.</x:v>
      </x:c>
    </x:row>
    <x:row r="9" ht="29" customHeight="1">
      <x:c r="A9" s="37" t="str">
        <x:v>NHL_BOTH_SEASONS</x:v>
      </x:c>
      <x:c r="B9" s="41" t="n">
        <x:v>0</x:v>
      </x:c>
      <x:c r="C9" s="41" t="n">
        <x:v>0</x:v>
      </x:c>
      <x:c r="D9" s="41" t="n">
        <x:v>99</x:v>
      </x:c>
      <x:c r="E9" s="41" t="n">
        <x:v>99</x:v>
      </x:c>
      <x:c r="F9" s="50" t="str">
        <x:v>1–9 GP v 2025/26 a aspoň 1 GP v 2024/25 → PA/SC NHL.</x:v>
      </x:c>
    </x:row>
    <x:row r="10" ht="29" customHeight="1">
      <x:c r="A10" s="37" t="str">
        <x:v>NHL_PREVIOUS_10</x:v>
      </x:c>
      <x:c r="B10" s="41" t="n">
        <x:v>0</x:v>
      </x:c>
      <x:c r="C10" s="41" t="n">
        <x:v>0</x:v>
      </x:c>
      <x:c r="D10" s="41" t="n">
        <x:v>99</x:v>
      </x:c>
      <x:c r="E10" s="41" t="n">
        <x:v>99</x:v>
      </x:c>
      <x:c r="F10" s="50" t="str">
        <x:v>Aspoň 10 GP v 2024/25 → PA/SC NHL aj pri nízkom/žiadnom GP v 2025/26.</x:v>
      </x:c>
    </x:row>
    <x:row r="11" ht="29" customHeight="1">
      <x:c r="A11" s="37" t="str">
        <x:v>UNKNOWN_GP</x:v>
      </x:c>
      <x:c r="B11" s="41" t="n">
        <x:v>0</x:v>
      </x:c>
      <x:c r="C11" s="41" t="n">
        <x:v>0</x:v>
      </x:c>
      <x:c r="D11" s="41" t="n">
        <x:v>99</x:v>
      </x:c>
      <x:c r="E11" s="41" t="n">
        <x:v>99</x:v>
      </x:c>
      <x:c r="F11" s="50" t="str">
        <x:v>Chýbajú údaje GP; bez dôkazu hráča automaticky neznižovať.</x:v>
      </x:c>
    </x:row>
    <x:row r="12" ht="29" customHeight="1">
      <x:c r="A12" s="37" t="str">
        <x:v>FARM_CAREER_0</x:v>
      </x:c>
      <x:c r="B12" s="41" t="n">
        <x:v>7</x:v>
      </x:c>
      <x:c r="C12" s="41" t="n">
        <x:v>8</x:v>
      </x:c>
      <x:c r="D12" s="41" t="n">
        <x:v>43</x:v>
      </x:c>
      <x:c r="E12" s="41" t="n">
        <x:v>42</x:v>
      </x:c>
      <x:c r="F12" s="50" t="str">
        <x:v>Overených 0 kariérnych NHL GP a žiadne rozporné sezónne GP.</x:v>
      </x:c>
    </x:row>
    <x:row r="13" ht="29" customHeight="1">
      <x:c r="A13" s="37" t="str">
        <x:v>FARM_0_0</x:v>
      </x:c>
      <x:c r="B13" s="41" t="n">
        <x:v>5</x:v>
      </x:c>
      <x:c r="C13" s="41" t="n">
        <x:v>6</x:v>
      </x:c>
      <x:c r="D13" s="41" t="n">
        <x:v>46</x:v>
      </x:c>
      <x:c r="E13" s="41" t="n">
        <x:v>45</x:v>
      </x:c>
      <x:c r="F13" s="50" t="str">
        <x:v>Explicitne 0 GP v oboch posledných sezónach; kariéra nie je overená.</x:v>
      </x:c>
    </x:row>
    <x:row r="14" ht="29" customHeight="1">
      <x:c r="A14" s="37" t="str">
        <x:v>FARM_RECENT_1_3</x:v>
      </x:c>
      <x:c r="B14" s="41" t="n">
        <x:v>5</x:v>
      </x:c>
      <x:c r="C14" s="41" t="n">
        <x:v>6</x:v>
      </x:c>
      <x:c r="D14" s="41" t="n">
        <x:v>46</x:v>
      </x:c>
      <x:c r="E14" s="41" t="n">
        <x:v>45</x:v>
      </x:c>
      <x:c r="F14" s="50" t="str">
        <x:v>1–3 GP v 2025/26 a 0 GP v 2024/25.</x:v>
      </x:c>
    </x:row>
    <x:row r="15" ht="29" customHeight="1">
      <x:c r="A15" s="37" t="str">
        <x:v>FARM_RECENT_4_9</x:v>
      </x:c>
      <x:c r="B15" s="41" t="n">
        <x:v>4</x:v>
      </x:c>
      <x:c r="C15" s="41" t="n">
        <x:v>5</x:v>
      </x:c>
      <x:c r="D15" s="41" t="n">
        <x:v>48</x:v>
      </x:c>
      <x:c r="E15" s="41" t="n">
        <x:v>47</x:v>
      </x:c>
      <x:c r="F15" s="50" t="str">
        <x:v>4–9 GP v 2025/26 a 0 GP v 2024/25.</x:v>
      </x:c>
    </x:row>
    <x:row r="16" ht="29" customHeight="1">
      <x:c r="A16" s="37" t="str">
        <x:v>FARM_PREV_1_9_ONLY</x:v>
      </x:c>
      <x:c r="B16" s="41" t="n">
        <x:v>3</x:v>
      </x:c>
      <x:c r="C16" s="41" t="n">
        <x:v>4</x:v>
      </x:c>
      <x:c r="D16" s="41" t="n">
        <x:v>49</x:v>
      </x:c>
      <x:c r="E16" s="41" t="n">
        <x:v>48</x:v>
      </x:c>
      <x:c r="F16" s="50" t="str">
        <x:v>0 GP v 2025/26 a 1–9 GP v 2024/25.</x:v>
      </x:c>
    </x:row>
    <x:row r="17" ht="29" customHeight="1">
      <x:c r="A17" t="str">
        <x:v>FARM_LEGACY_10</x:v>
      </x:c>
      <x:c r="B17" t="n">
        <x:v>2</x:v>
      </x:c>
      <x:c r="C17" t="n">
        <x:v>3</x:v>
      </x:c>
      <x:c r="D17" t="n">
        <x:v>51</x:v>
      </x:c>
      <x:c r="E17" t="n">
        <x:v>50</x:v>
      </x:c>
      <x:c r="F17" s="50" t="str">
        <x:v>0 GP v oboch sezónach, ale aspoň 10 overených kariérnych GP.</x:v>
      </x:c>
    </x:row>
    <x:row r="18" ht="29" customHeight="1">
      <x:c r="A18" s="29" t="str">
        <x:v>FARM_CAREER_1_9</x:v>
      </x:c>
      <x:c r="B18" s="29" t="n">
        <x:v>5</x:v>
      </x:c>
      <x:c r="C18" s="29" t="n">
        <x:v>6</x:v>
      </x:c>
      <x:c r="D18" s="29" t="n">
        <x:v>46</x:v>
      </x:c>
      <x:c r="E18" s="29" t="n">
        <x:v>45</x:v>
      </x:c>
      <x:c r="F18" s="78" t="str">
        <x:v>0 GP v oboch sezónach, overených 1–9 kariérnych GP.</x:v>
      </x:c>
    </x:row>
    <x:row r="19" ht="36" customHeight="1">
      <x:c r="A19" s="50"/>
      <x:c r="B19" s="50"/>
      <x:c r="C19" s="50"/>
      <x:c r="D19" s="50"/>
      <x:c r="E19" s="50"/>
      <x:c r="F19" s="50"/>
    </x:row>
    <x:row r="20" ht="36" customHeight="1">
      <x:c r="A20" s="77" t="str">
        <x:v>POSTUP VÝPOČTU</x:v>
      </x:c>
      <x:c r="B20" s="77"/>
      <x:c r="C20" s="77"/>
      <x:c r="D20" s="77"/>
      <x:c r="E20" s="77"/>
      <x:c r="F20" s="77"/>
    </x:row>
    <x:row r="21">
      <x:c r="A21" t="str">
        <x:v>1. PA a SC pre NHL_LATEST_10 / NHL_BOTH_SEASONS / NHL_PREVIOUS_10 a UNKNOWN_GP = pôvodné PA/SC v AB/AC.</x:v>
      </x:c>
      <x:c r="B21"/>
      <x:c r="C21"/>
      <x:c r="D21"/>
      <x:c r="E21"/>
      <x:c r="F21"/>
    </x:row>
    <x:row r="22">
      <x:c r="A22" s="45" t="str">
        <x:v>2. Iba pri doloženej nedávnej nízkej účasti alebo overených 0 kariérnych GP: MAX(30; MIN(pôvodné − zníženie; strop)).</x:v>
      </x:c>
      <x:c r="B22" s="45"/>
      <x:c r="C22" s="45"/>
      <x:c r="D22" s="45"/>
      <x:c r="E22" s="45"/>
      <x:c r="F22" s="45"/>
    </x:row>
    <x:row r="23" ht="44" customHeight="1">
      <x:c r="A23" s="50" t="str">
        <x:v>3. Ak počet zápasov F/G a kariérne AD odporujú jeden druhému, dátový konflikt skontroluj pred ďalším update.</x:v>
      </x:c>
      <x:c r="B23" s="50"/>
      <x:c r="C23" s="50"/>
      <x:c r="D23" s="50"/>
      <x:c r="E23" s="50"/>
      <x:c r="F23" s="50"/>
    </x:row>
    <x:row r="24">
      <x:c r="A24"/>
      <x:c r="B24"/>
      <x:c r="C24"/>
      <x:c r="D24"/>
      <x:c r="E24"/>
      <x:c r="F24"/>
    </x:row>
    <x:row r="25">
      <x:c r="A25" s="76" t="str">
        <x:v>DÔLEŽITÉ PRE LIVE UPDATER</x:v>
      </x:c>
      <x:c r="B25" s="76"/>
      <x:c r="C25" s="76"/>
      <x:c r="D25" s="76"/>
      <x:c r="E25" s="76"/>
      <x:c r="F25" s="76"/>
    </x:row>
    <x:row r="26">
      <x:c r="A26" s="48" t="str">
        <x:v>Zmeny platia v tomto Exceli; externý UPDATE_STHS_V8.command ani skript nebol dodaný, môže prepísať GP a ratingy.</x:v>
      </x:c>
      <x:c r="B26"/>
      <x:c r="C26"/>
      <x:c r="D26"/>
      <x:c r="E26"/>
      <x:c r="F26"/>
    </x:row>
    <x:row r="27">
      <x:c r="A27" s="48" t="str">
        <x:v>Pri zapracovaní do skriptu najprv naplniť F/G za obe NHL sezóny podľa NHL ID, až potom aplikovať rovnaké pravidlá.</x:v>
      </x:c>
      <x:c r="B27"/>
      <x:c r="C27"/>
      <x:c r="D27"/>
      <x:c r="E27"/>
      <x:c r="F27"/>
    </x:row>
    <x:row r="28">
      <x:c r="A28" s="48"/>
      <x:c r="B28"/>
      <x:c r="C28"/>
      <x:c r="D28"/>
      <x:c r="E28"/>
      <x:c r="F28"/>
    </x:row>
    <x:row r="29">
      <x:c r="A29" s="76" t="str">
        <x:v>KONTROLA AHL</x:v>
      </x:c>
      <x:c r="B29" s="76"/>
      <x:c r="C29" s="76"/>
      <x:c r="D29" s="76"/>
      <x:c r="E29" s="76"/>
      <x:c r="F29" s="76"/>
    </x:row>
    <x:row r="30">
      <x:c r="A30" s="48" t="str">
        <x:v>Počet hráčov AHL</x:v>
      </x:c>
      <x:c r="B30" t="n">
        <x:v>947</x:v>
      </x:c>
      <x:c r="C30"/>
      <x:c r="D30"/>
      <x:c r="E30"/>
      <x:c r="F30"/>
    </x:row>
    <x:row r="31">
      <x:c r="A31" s="48" t="str">
        <x:v>Počet PA/SC NHL chránených</x:v>
      </x:c>
      <x:c r="B31" t="n">
        <x:f>COUNTIF(AHL_PLAYERS!AE5:AE951,"NHL_LATEST_10")+COUNTIF(AHL_PLAYERS!AE5:AE951,"NHL_BOTH_SEASONS")+COUNTIF(AHL_PLAYERS!AE5:AE951,"NHL_PREVIOUS_10")</x:f>
        <x:v>11</x:v>
      </x:c>
      <x:c r="C31"/>
      <x:c r="D31"/>
      <x:c r="E31"/>
      <x:c r="F31"/>
    </x:row>
    <x:row r="32">
      <x:c r="A32" s="48" t="str">
        <x:v>Počet bez GP (neznižovať)</x:v>
      </x:c>
      <x:c r="B32" t="n">
        <x:f>COUNTIF(AHL_PLAYERS!AE5:AE951,"UNKNOWN_GP")</x:f>
        <x:v>935</x:v>
      </x:c>
      <x:c r="C32"/>
      <x:c r="D32"/>
      <x:c r="E32"/>
      <x:c r="F32"/>
    </x:row>
    <x:row r="33">
      <x:c r="A33" t="str">
        <x:v>Počet s AHL penalizáciou</x:v>
      </x:c>
      <x:c r="B33" t="n">
        <x:f>B30-B31-B32</x:f>
        <x:v>1</x:v>
      </x:c>
      <x:c r="C33"/>
      <x:c r="D33"/>
      <x:c r="E33"/>
      <x:c r="F33"/>
    </x:row>
    <x:row r="34">
      <x:c r="A34" t="str">
        <x:v>Počet s rozdielnym PA</x:v>
      </x:c>
      <x:c r="B34" t="n">
        <x:f>COUNTIF(AHL_PLAYERS!AF5:AF951,"&gt;0")</x:f>
        <x:v>1</x:v>
      </x:c>
      <x:c r="C34"/>
      <x:c r="D34"/>
      <x:c r="E34"/>
      <x:c r="F34"/>
    </x:row>
    <x:row r="35" ht="26" customHeight="1">
      <x:c r="A35" s="50" t="str">
        <x:v>Počet s rozdielnym SC</x:v>
      </x:c>
      <x:c r="B35" s="50" t="n">
        <x:f>COUNTIF(AHL_PLAYERS!AG5:AG951,"&gt;0")</x:f>
        <x:v>1</x:v>
      </x:c>
      <x:c r="C35" s="50"/>
      <x:c r="D35" s="50"/>
      <x:c r="E35" s="50"/>
      <x:c r="F35" s="50"/>
    </x:row>
    <x:row r="36">
      <x:c r="A36"/>
      <x:c r="B36"/>
      <x:c r="C36"/>
      <x:c r="D36"/>
      <x:c r="E36"/>
      <x:c r="F36"/>
    </x:row>
    <x:row r="37">
      <x:c r="A37" s="76" t="str">
        <x:v>PRÍKLAD KURASHEV</x:v>
      </x:c>
      <x:c r="B37" s="76"/>
      <x:c r="C37" s="76"/>
      <x:c r="D37" s="76"/>
      <x:c r="E37" s="76"/>
      <x:c r="F37" s="76"/>
    </x:row>
    <x:row r="38">
      <x:c r="A38" t="str">
        <x:v>Kurashev 43/51 GP, PA 55 a SC 55 bez zníženia. Axel Sandin-Pellikka, Bichsel, Khusnutdinov a Finnie tiež NHL skupina; Kai Schwindt overených 0 NHL GP.</x:v>
      </x:c>
      <x:c r="B38"/>
      <x:c r="C38"/>
      <x:c r="D38"/>
      <x:c r="E38"/>
      <x:c r="F38"/>
    </x:row>
    <x:row r="39">
      <x:c r="A39" t="str">
        <x:v>Zdroje a konkrétne dvojročné NHL GP pre overených hráčov nájdeš na liste NHL_GP_OVERENIE_V10.</x:v>
      </x:c>
      <x:c r="B39" t="str">
        <x:v>https://www.hockey-reference.com/players/k/kurasph01.html</x:v>
      </x:c>
      <x:c r="C39"/>
      <x:c r="D39"/>
      <x:c r="E39"/>
      <x:c r="F39"/>
    </x:row>
    <x:row r="40">
      <x:c r="A40" t="str">
        <x:v>Neoverené údaje hráčov neinterpretujeme ako 0 GP.</x:v>
      </x:c>
      <x:c r="B40" t="str">
        <x:v>https://www.nhl.com/sharks/news/sharks-sign-forward-philipp-kurashev-to-a-one-year-contract</x:v>
      </x:c>
      <x:c r="C40"/>
      <x:c r="D40"/>
      <x:c r="E40"/>
      <x:c r="F40"/>
    </x:row>
    <x:row r="41">
      <x:c r="A41"/>
      <x:c r="B41"/>
      <x:c r="C41"/>
      <x:c r="D41"/>
      <x:c r="E41"/>
      <x:c r="F41"/>
    </x:row>
    <x:row r="42">
      <x:c r="A42" t="str">
        <x:v>Pôvodné PA/SC v AB/AC sa nemenia. LIVE updater musí implementovať rovnakú podmienku NHL pred znížením AHL.</x:v>
      </x:c>
      <x:c r="B42"/>
      <x:c r="C42"/>
      <x:c r="D42"/>
      <x:c r="E42"/>
      <x:c r="F42"/>
    </x:row>
    <x:row r="43">
      <x:c r="A43"/>
      <x:c r="B43"/>
      <x:c r="C43"/>
      <x:c r="D43"/>
      <x:c r="E43"/>
      <x:c r="F43"/>
    </x:row>
    <x:row r="44">
      <x:c r="A44"/>
      <x:c r="B44"/>
      <x:c r="C44"/>
      <x:c r="D44"/>
      <x:c r="E44"/>
      <x:c r="F44"/>
    </x:row>
    <x:row r="45">
      <x:c r="A45"/>
      <x:c r="B45"/>
      <x:c r="C45"/>
      <x:c r="D45"/>
      <x:c r="E45"/>
      <x:c r="F45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68" hidden="0" customWidth="1"/>
    <x:col min="7" max="7" width="48" hidden="0" customWidth="1"/>
  </x:cols>
  <x:sheetData>
    <x:row r="1" ht="27" customHeight="1">
      <x:c r="A1" s="76" t="str">
        <x:v>OVERENÉ NHL GP — sezóny 2025/26 a 2024/25</x:v>
      </x:c>
      <x:c r="B1" s="76"/>
      <x:c r="C1" s="76"/>
      <x:c r="D1" s="76"/>
      <x:c r="E1" s="76"/>
      <x:c r="F1" s="76"/>
      <x:c r="G1" s="76"/>
    </x:row>
    <x:row r="2">
      <x:c r="A2" t="str">
        <x:v>Iba hráči, pri ktorých boli NHL GP individuálne overené. Ďalších hráčov bez dát neoznačujeme ako 0 GP.</x:v>
      </x:c>
      <x:c r="B2"/>
      <x:c r="C2"/>
      <x:c r="D2"/>
      <x:c r="E2"/>
      <x:c r="F2"/>
      <x:c r="G2"/>
    </x:row>
    <x:row r="3" ht="30" customHeight="1">
      <x:c r="A3" s="77" t="str">
        <x:v>Hráč</x:v>
      </x:c>
      <x:c r="B3" s="77" t="str">
        <x:v>NHL ID</x:v>
      </x:c>
      <x:c r="C3" s="77" t="str">
        <x:v>GP 2025/26</x:v>
      </x:c>
      <x:c r="D3" s="77" t="str">
        <x:v>GP 2024/25</x:v>
      </x:c>
      <x:c r="E3" s="77" t="str">
        <x:v>Kariérne NHL GP</x:v>
      </x:c>
      <x:c r="F3" s="77" t="str">
        <x:v>Zdroj overenia</x:v>
      </x:c>
      <x:c r="G3" s="77" t="str">
        <x:v>Dôsledok</x:v>
      </x:c>
    </x:row>
    <x:row r="4" ht="23" customHeight="1">
      <x:c r="A4" t="str">
        <x:v>Philipp Kurashev</x:v>
      </x:c>
      <x:c r="B4" t="n">
        <x:v>8480798</x:v>
      </x:c>
      <x:c r="C4" t="n">
        <x:v>43</x:v>
      </x:c>
      <x:c r="D4" t="n">
        <x:v>51</x:v>
      </x:c>
      <x:c r="E4"/>
      <x:c r="F4" t="str">
        <x:v>https://www.hockey-reference.com/players/k/kurasph01.html</x:v>
      </x:c>
      <x:c r="G4" t="str">
        <x:v>NHL 2025/26 &gt;=10 → pôvodné PA/SC</x:v>
      </x:c>
    </x:row>
    <x:row r="5" ht="23" customHeight="1">
      <x:c r="A5" t="str">
        <x:v>Axel Sandin-Pellikka (R)</x:v>
      </x:c>
      <x:c r="B5" t="n">
        <x:v>8484223</x:v>
      </x:c>
      <x:c r="C5" t="n">
        <x:v>68</x:v>
      </x:c>
      <x:c r="D5" t="n">
        <x:v>0</x:v>
      </x:c>
      <x:c r="E5"/>
      <x:c r="F5" t="str">
        <x:v>https://www.hockey-reference.com/players/s/sandiax01.html</x:v>
      </x:c>
      <x:c r="G5" t="str">
        <x:v>NHL 2025/26 &gt;=10 → pôvodné PA/SC</x:v>
      </x:c>
    </x:row>
    <x:row r="6" ht="23" customHeight="1">
      <x:c r="A6" t="str">
        <x:v>Lian Bichsel</x:v>
      </x:c>
      <x:c r="B6" t="n">
        <x:v>8483425</x:v>
      </x:c>
      <x:c r="C6" t="n">
        <x:v>50</x:v>
      </x:c>
      <x:c r="D6" t="n">
        <x:v>38</x:v>
      </x:c>
      <x:c r="E6"/>
      <x:c r="F6" t="str">
        <x:v>https://www.hockey-reference.com/players/b/bichsli01.html</x:v>
      </x:c>
      <x:c r="G6" t="str">
        <x:v>NHL 2025/26 &gt;=10 → pôvodné PA/SC</x:v>
      </x:c>
    </x:row>
    <x:row r="7" ht="23" customHeight="1">
      <x:c r="A7" t="str">
        <x:v>Marat Khusnutdinov</x:v>
      </x:c>
      <x:c r="B7" t="n">
        <x:v>8482177</x:v>
      </x:c>
      <x:c r="C7" t="n">
        <x:v>77</x:v>
      </x:c>
      <x:c r="D7" t="n">
        <x:v>75</x:v>
      </x:c>
      <x:c r="E7"/>
      <x:c r="F7" t="str">
        <x:v>https://www.hockey-reference.com/players/k/khusnma01.html</x:v>
      </x:c>
      <x:c r="G7" t="str">
        <x:v>NHL 2025/26 &gt;=10 → pôvodné PA/SC</x:v>
      </x:c>
    </x:row>
    <x:row r="8" ht="23" customHeight="1">
      <x:c r="A8" t="str">
        <x:v>Emmitt Finnie (R)</x:v>
      </x:c>
      <x:c r="B8" t="n">
        <x:v>8484471</x:v>
      </x:c>
      <x:c r="C8" t="n">
        <x:v>82</x:v>
      </x:c>
      <x:c r="D8" t="n">
        <x:v>0</x:v>
      </x:c>
      <x:c r="E8"/>
      <x:c r="F8" t="str">
        <x:v>https://www.hockey-reference.com/players/f/finniem01.html</x:v>
      </x:c>
      <x:c r="G8" t="str">
        <x:v>NHL 2025/26 &gt;=10 → pôvodné PA/SC</x:v>
      </x:c>
    </x:row>
    <x:row r="9" ht="23" customHeight="1">
      <x:c r="A9" t="str">
        <x:v>Kai Schwindt</x:v>
      </x:c>
      <x:c r="B9" t="n">
        <x:v>8483878</x:v>
      </x:c>
      <x:c r="C9" t="n">
        <x:v>0</x:v>
      </x:c>
      <x:c r="D9" t="n">
        <x:v>0</x:v>
      </x:c>
      <x:c r="E9" t="n">
        <x:v>0</x:v>
      </x:c>
      <x:c r="F9" t="str">
        <x:v>https://puckpedia.com/player/kai-schwindt</x:v>
      </x:c>
      <x:c r="G9" t="str">
        <x:v>0 kariérnych NHL GP → silné zníženie AHL</x:v>
      </x:c>
    </x:row>
  </x:sheetData>
  <x:pageMargins left="0.7" right="0.7" top="0.75" bottom="0.75" header="0.3" footer="0.3"/>
</x:worksheet>
</file>